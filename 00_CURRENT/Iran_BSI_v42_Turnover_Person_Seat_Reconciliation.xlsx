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6.xml" ContentType="application/vnd.openxmlformats-officedocument.spreadsheetml.comments+xml"/>
  <Override PartName="/xl/worksheets/sheet16.xml" ContentType="application/vnd.openxmlformats-officedocument.spreadsheetml.worksheet+xml"/>
  <Override PartName="/xl/comments/comment7.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8.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9.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10.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omments/comment11.xml" ContentType="application/vnd.openxmlformats-officedocument.spreadsheetml.comments+xml"/>
  <Override PartName="/xl/worksheets/sheet29.xml" ContentType="application/vnd.openxmlformats-officedocument.spreadsheetml.worksheet+xml"/>
  <Override PartName="/xl/comments/comment1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13.xml" ContentType="application/vnd.openxmlformats-officedocument.spreadsheetml.comments+xml"/>
  <Override PartName="/xl/worksheets/sheet33.xml" ContentType="application/vnd.openxmlformats-officedocument.spreadsheetml.worksheet+xml"/>
  <Override PartName="/xl/comments/comment14.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comments/comment15.xml" ContentType="application/vnd.openxmlformats-officedocument.spreadsheetml.comments+xml"/>
  <Override PartName="/xl/worksheets/sheet43.xml" ContentType="application/vnd.openxmlformats-officedocument.spreadsheetml.worksheet+xml"/>
  <Override PartName="/xl/comments/comment16.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omments/comment17.xml" ContentType="application/vnd.openxmlformats-officedocument.spreadsheetml.comments+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comments/comment18.xml" ContentType="application/vnd.openxmlformats-officedocument.spreadsheetml.comments+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00" tabRatio="600" firstSheet="0" activeTab="0" autoFilterDateGrouping="1"/>
  </bookViews>
  <sheets>
    <sheet xmlns:r="http://schemas.openxmlformats.org/officeDocument/2006/relationships" name="راهنمای نسخه v39" sheetId="1" state="visible" r:id="rId1"/>
    <sheet xmlns:r="http://schemas.openxmlformats.org/officeDocument/2006/relationships" name="Gap Review v39" sheetId="2" state="visible" r:id="rId2"/>
    <sheet xmlns:r="http://schemas.openxmlformats.org/officeDocument/2006/relationships" name="CR1A v39" sheetId="3" state="visible" r:id="rId3"/>
    <sheet xmlns:r="http://schemas.openxmlformats.org/officeDocument/2006/relationships" name="Sources v39" sheetId="4" state="visible" r:id="rId4"/>
    <sheet xmlns:r="http://schemas.openxmlformats.org/officeDocument/2006/relationships" name="QA v39" sheetId="5" state="visible" r:id="rId5"/>
    <sheet xmlns:r="http://schemas.openxmlformats.org/officeDocument/2006/relationships" name="راهنمای نسخه v37" sheetId="6" state="visible" r:id="rId6"/>
    <sheet xmlns:r="http://schemas.openxmlformats.org/officeDocument/2006/relationships" name="راهنمای محاسبات و منابع" sheetId="7" state="visible" r:id="rId7"/>
    <sheet xmlns:r="http://schemas.openxmlformats.org/officeDocument/2006/relationships" name="گپ های باز" sheetId="8" state="visible" r:id="rId8"/>
    <sheet xmlns:r="http://schemas.openxmlformats.org/officeDocument/2006/relationships" name="خلاصه نهایی" sheetId="9" state="visible" r:id="rId9"/>
    <sheet xmlns:r="http://schemas.openxmlformats.org/officeDocument/2006/relationships" name="جدول استاد" sheetId="10" state="visible" r:id="rId10"/>
    <sheet xmlns:r="http://schemas.openxmlformats.org/officeDocument/2006/relationships" name="کاندید دکترا N02" sheetId="11" state="visible" r:id="rId11"/>
    <sheet xmlns:r="http://schemas.openxmlformats.org/officeDocument/2006/relationships" name="معماری به روز شده" sheetId="12" state="visible" r:id="rId12"/>
    <sheet xmlns:r="http://schemas.openxmlformats.org/officeDocument/2006/relationships" name="Constructهای مستقل" sheetId="13" state="visible" r:id="rId13"/>
    <sheet xmlns:r="http://schemas.openxmlformats.org/officeDocument/2006/relationships" name="وضعیت ۳۰ شرکت" sheetId="14" state="visible" r:id="rId14"/>
    <sheet xmlns:r="http://schemas.openxmlformats.org/officeDocument/2006/relationships" name="Turnover نهایی" sheetId="15" state="visible" r:id="rId15"/>
    <sheet xmlns:r="http://schemas.openxmlformats.org/officeDocument/2006/relationships" name="پوشش نهایی" sheetId="16" state="visible" r:id="rId16"/>
    <sheet xmlns:r="http://schemas.openxmlformats.org/officeDocument/2006/relationships" name="Variation نهایی" sheetId="17" state="visible" r:id="rId17"/>
    <sheet xmlns:r="http://schemas.openxmlformats.org/officeDocument/2006/relationships" name="Correlation" sheetId="18" state="visible" r:id="rId18"/>
    <sheet xmlns:r="http://schemas.openxmlformats.org/officeDocument/2006/relationships" name="Construct ایران محور" sheetId="19" state="visible" r:id="rId19"/>
    <sheet xmlns:r="http://schemas.openxmlformats.org/officeDocument/2006/relationships" name="۱۲ شاخص اصلی BSI" sheetId="20" state="visible" r:id="rId20"/>
    <sheet xmlns:r="http://schemas.openxmlformats.org/officeDocument/2006/relationships" name="ثبت منابع Batchها" sheetId="21" state="visible" r:id="rId21"/>
    <sheet xmlns:r="http://schemas.openxmlformats.org/officeDocument/2006/relationships" name="Audit Trail" sheetId="22" state="visible" r:id="rId22"/>
    <sheet xmlns:r="http://schemas.openxmlformats.org/officeDocument/2006/relationships" name="چک لیست نهایی" sheetId="23" state="visible" r:id="rId23"/>
    <sheet xmlns:r="http://schemas.openxmlformats.org/officeDocument/2006/relationships" name="تغییرات ممیزی v36" sheetId="24" state="visible" r:id="rId24"/>
    <sheet xmlns:r="http://schemas.openxmlformats.org/officeDocument/2006/relationships" name="خلاصه ممیزی" sheetId="25" state="visible" r:id="rId25"/>
    <sheet xmlns:r="http://schemas.openxmlformats.org/officeDocument/2006/relationships" name="Audit Workbook" sheetId="26" state="visible" r:id="rId26"/>
    <sheet xmlns:r="http://schemas.openxmlformats.org/officeDocument/2006/relationships" name="Audit شرکت ها" sheetId="27" state="visible" r:id="rId27"/>
    <sheet xmlns:r="http://schemas.openxmlformats.org/officeDocument/2006/relationships" name="Audit Measureها" sheetId="28" state="visible" r:id="rId28"/>
    <sheet xmlns:r="http://schemas.openxmlformats.org/officeDocument/2006/relationships" name="Audit فرمول ها" sheetId="29" state="visible" r:id="rId29"/>
    <sheet xmlns:r="http://schemas.openxmlformats.org/officeDocument/2006/relationships" name="Audit منابع" sheetId="30" state="visible" r:id="rId30"/>
    <sheet xmlns:r="http://schemas.openxmlformats.org/officeDocument/2006/relationships" name="Audit Cutoff" sheetId="31" state="visible" r:id="rId31"/>
    <sheet xmlns:r="http://schemas.openxmlformats.org/officeDocument/2006/relationships" name="Audit Missingness" sheetId="32" state="visible" r:id="rId32"/>
    <sheet xmlns:r="http://schemas.openxmlformats.org/officeDocument/2006/relationships" name="Audit Coverage" sheetId="33" state="visible" r:id="rId33"/>
    <sheet xmlns:r="http://schemas.openxmlformats.org/officeDocument/2006/relationships" name="Audit Turnover" sheetId="34" state="visible" r:id="rId34"/>
    <sheet xmlns:r="http://schemas.openxmlformats.org/officeDocument/2006/relationships" name="Audit Representative Change" sheetId="35" state="visible" r:id="rId35"/>
    <sheet xmlns:r="http://schemas.openxmlformats.org/officeDocument/2006/relationships" name="Audit Legal Entity Change" sheetId="36" state="visible" r:id="rId36"/>
    <sheet xmlns:r="http://schemas.openxmlformats.org/officeDocument/2006/relationships" name="Audit Diversity" sheetId="37" state="visible" r:id="rId37"/>
    <sheet xmlns:r="http://schemas.openxmlformats.org/officeDocument/2006/relationships" name="Audit Independence" sheetId="38" state="visible" r:id="rId38"/>
    <sheet xmlns:r="http://schemas.openxmlformats.org/officeDocument/2006/relationships" name="Audit Committees" sheetId="39" state="visible" r:id="rId39"/>
    <sheet xmlns:r="http://schemas.openxmlformats.org/officeDocument/2006/relationships" name="Audit Directionality" sheetId="40" state="visible" r:id="rId40"/>
    <sheet xmlns:r="http://schemas.openxmlformats.org/officeDocument/2006/relationships" name="Audit Redundancy" sheetId="41" state="visible" r:id="rId41"/>
    <sheet xmlns:r="http://schemas.openxmlformats.org/officeDocument/2006/relationships" name="Conflict Log" sheetId="42" state="visible" r:id="rId42"/>
    <sheet xmlns:r="http://schemas.openxmlformats.org/officeDocument/2006/relationships" name="Required Corrections" sheetId="43" state="visible" r:id="rId43"/>
    <sheet xmlns:r="http://schemas.openxmlformats.org/officeDocument/2006/relationships" name="Verified Measures" sheetId="44" state="visible" r:id="rId44"/>
    <sheet xmlns:r="http://schemas.openxmlformats.org/officeDocument/2006/relationships" name="Final Audit Verdict" sheetId="45" state="visible" r:id="rId45"/>
    <sheet xmlns:r="http://schemas.openxmlformats.org/officeDocument/2006/relationships" name="خلاصه Candidateها" sheetId="46" state="visible" r:id="rId46"/>
    <sheet xmlns:r="http://schemas.openxmlformats.org/officeDocument/2006/relationships" name="تمام Measureهای پیشنهادی" sheetId="47" state="visible" r:id="rId47"/>
    <sheet xmlns:r="http://schemas.openxmlformats.org/officeDocument/2006/relationships" name="Measureهای فعلی" sheetId="48" state="visible" r:id="rId48"/>
    <sheet xmlns:r="http://schemas.openxmlformats.org/officeDocument/2006/relationships" name="Measureهای جدید" sheetId="49" state="visible" r:id="rId49"/>
    <sheet xmlns:r="http://schemas.openxmlformats.org/officeDocument/2006/relationships" name="Construct Family" sheetId="50" state="visible" r:id="rId50"/>
    <sheet xmlns:r="http://schemas.openxmlformats.org/officeDocument/2006/relationships" name="Feasibility Test" sheetId="51" state="visible" r:id="rId51"/>
    <sheet xmlns:r="http://schemas.openxmlformats.org/officeDocument/2006/relationships" name="Source Availability" sheetId="52" state="visible" r:id="rId52"/>
    <sheet xmlns:r="http://schemas.openxmlformats.org/officeDocument/2006/relationships" name="Coverage Potential" sheetId="53" state="visible" r:id="rId53"/>
    <sheet xmlns:r="http://schemas.openxmlformats.org/officeDocument/2006/relationships" name="Historical Feasibility" sheetId="54" state="visible" r:id="rId54"/>
    <sheet xmlns:r="http://schemas.openxmlformats.org/officeDocument/2006/relationships" name="Scalability 500 Firms" sheetId="55" state="visible" r:id="rId55"/>
    <sheet xmlns:r="http://schemas.openxmlformats.org/officeDocument/2006/relationships" name="Automation Potential" sheetId="56" state="visible" r:id="rId56"/>
    <sheet xmlns:r="http://schemas.openxmlformats.org/officeDocument/2006/relationships" name="Directionality" sheetId="57" state="visible" r:id="rId57"/>
    <sheet xmlns:r="http://schemas.openxmlformats.org/officeDocument/2006/relationships" name="Overlap Matrix" sheetId="58" state="visible" r:id="rId58"/>
    <sheet xmlns:r="http://schemas.openxmlformats.org/officeDocument/2006/relationships" name="Incremental Information" sheetId="59" state="visible" r:id="rId59"/>
    <sheet xmlns:r="http://schemas.openxmlformats.org/officeDocument/2006/relationships" name="Robustness Measures" sheetId="60" state="visible" r:id="rId60"/>
    <sheet xmlns:r="http://schemas.openxmlformats.org/officeDocument/2006/relationships" name="Targeted Validation" sheetId="61" state="visible" r:id="rId61"/>
    <sheet xmlns:r="http://schemas.openxmlformats.org/officeDocument/2006/relationships" name="Scale Up Candidates" sheetId="62" state="visible" r:id="rId62"/>
    <sheet xmlns:r="http://schemas.openxmlformats.org/officeDocument/2006/relationships" name="Drop Candidates" sheetId="63" state="visible" r:id="rId63"/>
    <sheet xmlns:r="http://schemas.openxmlformats.org/officeDocument/2006/relationships" name="Final Recommended Architecture" sheetId="64" state="visible" r:id="rId64"/>
    <sheet xmlns:r="http://schemas.openxmlformats.org/officeDocument/2006/relationships" name="Turnover Resolution Audit" sheetId="65" state="visible" r:id="rId65"/>
    <sheet xmlns:r="http://schemas.openxmlformats.org/officeDocument/2006/relationships" name="Turnover Resolution Summary" sheetId="66" state="visible" r:id="rId66"/>
    <sheet xmlns:r="http://schemas.openxmlformats.org/officeDocument/2006/relationships" name="Turnover Seat Reconstruction" sheetId="67" state="visible" r:id="rId67"/>
    <sheet xmlns:r="http://schemas.openxmlformats.org/officeDocument/2006/relationships" name="v38 Change Log" sheetId="68" state="visible" r:id="rId68"/>
    <sheet xmlns:r="http://schemas.openxmlformats.org/officeDocument/2006/relationships" name="Changes v39" sheetId="69" state="visible" r:id="rId69"/>
    <sheet xmlns:r="http://schemas.openxmlformats.org/officeDocument/2006/relationships" name="AC Members v40" sheetId="70" state="visible" r:id="rId70"/>
    <sheet xmlns:r="http://schemas.openxmlformats.org/officeDocument/2006/relationships" name="AC Company v40" sheetId="71" state="visible" r:id="rId71"/>
    <sheet xmlns:r="http://schemas.openxmlformats.org/officeDocument/2006/relationships" name="AC Sources v40" sheetId="72" state="visible" r:id="rId72"/>
    <sheet xmlns:r="http://schemas.openxmlformats.org/officeDocument/2006/relationships" name="AC Dictionary v40" sheetId="73" state="visible" r:id="rId73"/>
    <sheet xmlns:r="http://schemas.openxmlformats.org/officeDocument/2006/relationships" name="AC Candidates v40" sheetId="74" state="visible" r:id="rId74"/>
    <sheet xmlns:r="http://schemas.openxmlformats.org/officeDocument/2006/relationships" name="AC Audit v40" sheetId="75" state="visible" r:id="rId75"/>
    <sheet xmlns:r="http://schemas.openxmlformats.org/officeDocument/2006/relationships" name="AC Coverage v40" sheetId="76" state="visible" r:id="rId76"/>
    <sheet xmlns:r="http://schemas.openxmlformats.org/officeDocument/2006/relationships" name="Changes v40" sheetId="77" state="visible" r:id="rId77"/>
    <sheet xmlns:r="http://schemas.openxmlformats.org/officeDocument/2006/relationships" name="BR Scope v41" sheetId="78" state="visible" r:id="rId78"/>
    <sheet xmlns:r="http://schemas.openxmlformats.org/officeDocument/2006/relationships" name="BR Independence v41" sheetId="79" state="visible" r:id="rId79"/>
    <sheet xmlns:r="http://schemas.openxmlformats.org/officeDocument/2006/relationships" name="BR Roles v41" sheetId="80" state="visible" r:id="rId80"/>
    <sheet xmlns:r="http://schemas.openxmlformats.org/officeDocument/2006/relationships" name="BR Tenure v41" sheetId="81" state="visible" r:id="rId81"/>
    <sheet xmlns:r="http://schemas.openxmlformats.org/officeDocument/2006/relationships" name="BR Summary v41" sheetId="82" state="visible" r:id="rId82"/>
    <sheet xmlns:r="http://schemas.openxmlformats.org/officeDocument/2006/relationships" name="BR Sources v41" sheetId="83" state="visible" r:id="rId83"/>
    <sheet xmlns:r="http://schemas.openxmlformats.org/officeDocument/2006/relationships" name="BR Audit v41" sheetId="84" state="visible" r:id="rId84"/>
    <sheet xmlns:r="http://schemas.openxmlformats.org/officeDocument/2006/relationships" name="BR Dictionary v41" sheetId="85" state="visible" r:id="rId85"/>
    <sheet xmlns:r="http://schemas.openxmlformats.org/officeDocument/2006/relationships" name="BR Coverage v41" sheetId="86" state="visible" r:id="rId86"/>
    <sheet xmlns:r="http://schemas.openxmlformats.org/officeDocument/2006/relationships" name="Changes v41" sheetId="87" state="visible" r:id="rId87"/>
    <sheet xmlns:r="http://schemas.openxmlformats.org/officeDocument/2006/relationships" name="QA v41" sheetId="88" state="visible" r:id="rId88"/>
    <sheet xmlns:r="http://schemas.openxmlformats.org/officeDocument/2006/relationships" name="Scope v42" sheetId="89" state="visible" r:id="rId89"/>
    <sheet xmlns:r="http://schemas.openxmlformats.org/officeDocument/2006/relationships" name="Snapshot Members v42" sheetId="90" state="visible" r:id="rId90"/>
    <sheet xmlns:r="http://schemas.openxmlformats.org/officeDocument/2006/relationships" name="Person Flows v42" sheetId="91" state="visible" r:id="rId91"/>
    <sheet xmlns:r="http://schemas.openxmlformats.org/officeDocument/2006/relationships" name="Flow Summary v42" sheetId="92" state="visible" r:id="rId92"/>
    <sheet xmlns:r="http://schemas.openxmlformats.org/officeDocument/2006/relationships" name="Seat Changes v42" sheetId="93" state="visible" r:id="rId93"/>
    <sheet xmlns:r="http://schemas.openxmlformats.org/officeDocument/2006/relationships" name="Turnover Events v42" sheetId="94" state="visible" r:id="rId94"/>
    <sheet xmlns:r="http://schemas.openxmlformats.org/officeDocument/2006/relationships" name="Five Cases v42" sheetId="95" state="visible" r:id="rId95"/>
    <sheet xmlns:r="http://schemas.openxmlformats.org/officeDocument/2006/relationships" name="Measures v42" sheetId="96" state="visible" r:id="rId96"/>
    <sheet xmlns:r="http://schemas.openxmlformats.org/officeDocument/2006/relationships" name="Coverage v42" sheetId="97" state="visible" r:id="rId97"/>
    <sheet xmlns:r="http://schemas.openxmlformats.org/officeDocument/2006/relationships" name="Sources v42" sheetId="98" state="visible" r:id="rId98"/>
    <sheet xmlns:r="http://schemas.openxmlformats.org/officeDocument/2006/relationships" name="Dictionary v42" sheetId="99" state="visible" r:id="rId99"/>
    <sheet xmlns:r="http://schemas.openxmlformats.org/officeDocument/2006/relationships" name="Changes v42" sheetId="100" state="visible" r:id="rId100"/>
    <sheet xmlns:r="http://schemas.openxmlformats.org/officeDocument/2006/relationships" name="QA v42" sheetId="101" state="visible" r:id="rId101"/>
  </sheets>
  <definedNames>
    <definedName name="_xlnm._FilterDatabase" localSheetId="0" hidden="1">'راهنمای نسخه v39'!$A$3:$D$17</definedName>
    <definedName name="_xlnm.Print_Titles" localSheetId="0">'راهنمای نسخه v39'!$1:$3</definedName>
    <definedName name="_xlnm._FilterDatabase" localSheetId="1" hidden="1">'Gap Review v39'!$A$3:$G$7</definedName>
    <definedName name="_xlnm.Print_Titles" localSheetId="1">'Gap Review v39'!$1:$3</definedName>
    <definedName name="_xlnm._FilterDatabase" localSheetId="2" hidden="1">'CR1A v39'!$A$3:$N$33</definedName>
    <definedName name="_xlnm.Print_Titles" localSheetId="2">'CR1A v39'!$1:$3</definedName>
    <definedName name="_xlnm._FilterDatabase" localSheetId="3" hidden="1">'Sources v39'!$A$3:$I$13</definedName>
    <definedName name="_xlnm.Print_Titles" localSheetId="3">'Sources v39'!$1:$3</definedName>
    <definedName name="_xlnm.Print_Titles" localSheetId="4">'QA v39'!$1:$3</definedName>
    <definedName name="_xlnm._FilterDatabase" localSheetId="6" hidden="1">'راهنمای محاسبات و منابع'!$A$4:$H$39</definedName>
    <definedName name="_xlnm._FilterDatabase" localSheetId="13" hidden="1">'وضعیت ۳۰ شرکت'!$A$3:$I$33</definedName>
    <definedName name="_xlnm._FilterDatabase" localSheetId="14" hidden="1">'Turnover نهایی'!$A$3:$AA$33</definedName>
    <definedName name="_xlnm._FilterDatabase" localSheetId="15" hidden="1">'پوشش نهایی'!$A$3:$M$9</definedName>
    <definedName name="_xlnm._FilterDatabase" localSheetId="16" hidden="1">'Variation نهایی'!$A$3:$L$8</definedName>
    <definedName name="_xlnm._FilterDatabase" localSheetId="17" hidden="1">'Correlation'!$A$3:$G$7</definedName>
    <definedName name="_xlnm._FilterDatabase" localSheetId="18" hidden="1">'Construct ایران محور'!$A$3:$G$12</definedName>
    <definedName name="_xlnm._FilterDatabase" localSheetId="19" hidden="1">'۱۲ شاخص اصلی BSI'!$A$1:$I$15</definedName>
    <definedName name="_xlnm._FilterDatabase" localSheetId="20" hidden="1">'ثبت منابع Batchها'!$A$1:$J$56</definedName>
    <definedName name="_xlnm._FilterDatabase" localSheetId="21" hidden="1">'Audit Trail'!$A$1:$E$9</definedName>
    <definedName name="_xlnm._FilterDatabase" localSheetId="22" hidden="1">'چک لیست نهایی'!$A$1:$D$11</definedName>
    <definedName name="_xlnm._FilterDatabase" localSheetId="68" hidden="1">'Changes v39'!$A$3:$E$159</definedName>
    <definedName name="_xlnm.Print_Titles" localSheetId="68">'Changes v39'!$1:$3</definedName>
    <definedName name="_xlnm._FilterDatabase" localSheetId="88" hidden="1">'Scope v42'!$A$3:$X$33</definedName>
    <definedName name="_xlnm._FilterDatabase" localSheetId="89" hidden="1">'Snapshot Members v42'!$A$3:$AA$238</definedName>
    <definedName name="_xlnm._FilterDatabase" localSheetId="90" hidden="1">'Person Flows v42'!$A$3:$V$200</definedName>
    <definedName name="_xlnm._FilterDatabase" localSheetId="91" hidden="1">'Flow Summary v42'!$A$3:$AF$33</definedName>
    <definedName name="_xlnm._FilterDatabase" localSheetId="92" hidden="1">'Seat Changes v42'!$A$3:$S$44</definedName>
    <definedName name="_xlnm._FilterDatabase" localSheetId="93" hidden="1">'Turnover Events v42'!$A$3:$Q$77</definedName>
    <definedName name="_xlnm._FilterDatabase" localSheetId="94" hidden="1">'Five Cases v42'!$A$3:$J$45</definedName>
    <definedName name="_xlnm._FilterDatabase" localSheetId="95" hidden="1">'Measures v42'!$A$3:$T$303</definedName>
    <definedName name="_xlnm._FilterDatabase" localSheetId="96" hidden="1">'Coverage v42'!$A$3:$M$19</definedName>
    <definedName name="_xlnm._FilterDatabase" localSheetId="97" hidden="1">'Sources v42'!$A$3:$O$75</definedName>
    <definedName name="_xlnm._FilterDatabase" localSheetId="100" hidden="1">'QA v42'!$A$3:$F$30</definedName>
  </definedNames>
  <calcPr calcId="191029" fullCalcOnLoad="1" forceFullCalc="1"/>
</workbook>
</file>

<file path=xl/styles.xml><?xml version="1.0" encoding="utf-8"?>
<styleSheet xmlns="http://schemas.openxmlformats.org/spreadsheetml/2006/main">
  <numFmts count="3">
    <numFmt numFmtId="164" formatCode="0.0%"/>
    <numFmt numFmtId="165" formatCode="0.000"/>
    <numFmt numFmtId="166" formatCode="yyyy\-mm\-dd"/>
  </numFmts>
  <fonts count="29">
    <font>
      <name val="Calibri"/>
      <charset val="1"/>
      <family val="2"/>
      <color theme="1"/>
      <sz val="11"/>
    </font>
    <font>
      <name val="Sahel"/>
      <color rgb="FF1F1F1F"/>
      <sz val="9"/>
    </font>
    <font>
      <name val="Sahel"/>
      <color rgb="FF000000"/>
      <sz val="11"/>
    </font>
    <font>
      <name val="Sahel"/>
      <b val="1"/>
      <color rgb="FFFFFFFF"/>
      <sz val="15"/>
    </font>
    <font>
      <name val="Sahel"/>
      <b val="1"/>
      <color rgb="FFFFFFFF"/>
      <sz val="11"/>
    </font>
    <font>
      <name val="Sahel"/>
      <b val="1"/>
      <color rgb="FFFFFFFF"/>
      <sz val="10"/>
    </font>
    <font>
      <name val="Sahel"/>
      <color rgb="FF000000"/>
      <sz val="9"/>
    </font>
    <font>
      <name val="Sahel"/>
      <color rgb="FF008000"/>
      <sz val="9"/>
    </font>
    <font>
      <name val="Sahel"/>
      <color rgb="FF1F1F1F"/>
      <sz val="9"/>
    </font>
    <font>
      <name val="Sahel"/>
      <color rgb="FF000000"/>
      <sz val="10"/>
    </font>
    <font>
      <name val="Sahel"/>
      <color rgb="FF008000"/>
      <sz val="9"/>
      <u val="single"/>
    </font>
    <font>
      <name val="Sahel"/>
      <sz val="10"/>
    </font>
    <font>
      <name val="Sahel"/>
      <b val="1"/>
      <color rgb="FF1F3864"/>
      <sz val="14"/>
    </font>
    <font>
      <name val="Sahel"/>
      <i val="1"/>
      <sz val="10"/>
    </font>
    <font>
      <name val="Sahel"/>
      <b val="1"/>
      <color rgb="FFFFFFFF"/>
      <sz val="10"/>
    </font>
    <font>
      <name val="Sahel"/>
      <charset val="1"/>
      <family val="2"/>
      <color theme="1"/>
      <sz val="11"/>
    </font>
    <font>
      <name val="Sahel"/>
      <b val="1"/>
      <color rgb="FFFFFFFF"/>
      <sz val="13"/>
    </font>
    <font>
      <name val="Sahel"/>
      <charset val="1"/>
      <family val="2"/>
      <b val="1"/>
      <color theme="1"/>
      <sz val="11"/>
    </font>
    <font>
      <name val="Sahel"/>
      <b val="1"/>
      <color rgb="FF1F1F1F"/>
      <sz val="9"/>
    </font>
    <font>
      <name val="Sahel"/>
      <b val="1"/>
      <color rgb="FF008000"/>
      <sz val="9"/>
    </font>
    <font>
      <name val="Sahel"/>
      <b val="1"/>
      <color rgb="FF008000"/>
      <sz val="9"/>
      <u val="single"/>
    </font>
    <font>
      <name val="Sahel"/>
      <b val="1"/>
      <color rgb="FFFFFFFF"/>
      <sz val="16"/>
    </font>
    <font>
      <name val="Sahel"/>
      <color rgb="FF606B7A"/>
      <sz val="11"/>
    </font>
    <font>
      <name val="Sahel"/>
      <b val="1"/>
      <color rgb="FFFFFFFF"/>
      <sz val="11"/>
    </font>
    <font>
      <name val="Sahel"/>
      <color rgb="FF24354B"/>
      <sz val="11"/>
    </font>
    <font>
      <name val="Sahel"/>
      <color rgb="FF0563C1"/>
      <sz val="10"/>
      <u val="single"/>
    </font>
    <font>
      <name val="Sahel"/>
      <color rgb="FF000000"/>
      <sz val="11"/>
    </font>
    <font>
      <name val="Sahel"/>
      <b val="1"/>
      <color rgb="FF1F3864"/>
      <sz val="14"/>
    </font>
    <font>
      <name val="Sahel"/>
      <b val="1"/>
      <color rgb="FFFFFFFF"/>
      <sz val="10"/>
    </font>
  </fonts>
  <fills count="31">
    <fill>
      <patternFill/>
    </fill>
    <fill>
      <patternFill patternType="gray125"/>
    </fill>
    <fill>
      <patternFill patternType="solid">
        <fgColor rgb="FFE2F0D9"/>
        <bgColor rgb="FFE7E6E6"/>
      </patternFill>
    </fill>
    <fill>
      <patternFill patternType="solid">
        <fgColor rgb="FFFFF2CC"/>
        <bgColor rgb="FFFCE4D6"/>
      </patternFill>
    </fill>
    <fill>
      <patternFill patternType="solid">
        <fgColor rgb="FFE7E6E6"/>
        <bgColor rgb="FFE2F0D9"/>
      </patternFill>
    </fill>
    <fill>
      <patternFill patternType="solid">
        <fgColor rgb="FFFCE4D6"/>
        <bgColor rgb="FFFFF2CC"/>
      </patternFill>
    </fill>
    <fill>
      <patternFill patternType="solid">
        <fgColor rgb="FF17365D"/>
      </patternFill>
    </fill>
    <fill>
      <patternFill patternType="solid">
        <fgColor rgb="FF1F4E78"/>
      </patternFill>
    </fill>
    <fill>
      <patternFill patternType="solid">
        <fgColor rgb="FF0F6B78"/>
      </patternFill>
    </fill>
    <fill>
      <patternFill patternType="solid">
        <fgColor rgb="FFFFF2CC"/>
      </patternFill>
    </fill>
    <fill>
      <patternFill patternType="solid">
        <fgColor rgb="FFE2F0D9"/>
      </patternFill>
    </fill>
    <fill>
      <patternFill patternType="solid">
        <fgColor rgb="FFF8FBFD"/>
      </patternFill>
    </fill>
    <fill>
      <patternFill patternType="solid">
        <fgColor rgb="FF1F3864"/>
      </patternFill>
    </fill>
    <fill>
      <patternFill patternType="solid">
        <fgColor rgb="FFD9E2F3"/>
      </patternFill>
    </fill>
    <fill>
      <patternFill patternType="solid">
        <fgColor rgb="FFF5F8FC"/>
      </patternFill>
    </fill>
    <fill>
      <patternFill patternType="solid">
        <fgColor rgb="FF1F4E78"/>
      </patternFill>
    </fill>
    <fill>
      <patternFill patternType="solid">
        <fgColor rgb="FFD9EAF7"/>
      </patternFill>
    </fill>
    <fill>
      <patternFill patternType="solid">
        <fgColor rgb="FFF4CCCC"/>
      </patternFill>
    </fill>
    <fill>
      <patternFill patternType="solid">
        <fgColor rgb="FFDDEBF7"/>
      </patternFill>
    </fill>
    <fill>
      <patternFill patternType="solid">
        <fgColor rgb="FFE2F0D9"/>
      </patternFill>
    </fill>
    <fill>
      <patternFill patternType="solid">
        <fgColor rgb="FFFCE4D6"/>
      </patternFill>
    </fill>
    <fill>
      <patternFill patternType="solid">
        <fgColor rgb="FFE7E6E6"/>
      </patternFill>
    </fill>
    <fill>
      <patternFill patternType="solid">
        <fgColor rgb="FFE4DFEC"/>
      </patternFill>
    </fill>
    <fill>
      <patternFill patternType="solid">
        <fgColor rgb="FF203864"/>
      </patternFill>
    </fill>
    <fill>
      <patternFill patternType="solid">
        <fgColor rgb="FFFFFFFF"/>
      </patternFill>
    </fill>
    <fill>
      <patternFill patternType="solid">
        <fgColor rgb="FFF4F7FB"/>
      </patternFill>
    </fill>
    <fill>
      <patternFill patternType="solid">
        <fgColor rgb="FFFFF0D9"/>
      </patternFill>
    </fill>
    <fill>
      <patternFill patternType="solid">
        <fgColor rgb="FFD9E2F3"/>
      </patternFill>
    </fill>
    <fill>
      <patternFill patternType="solid">
        <fgColor rgb="FF1F3864"/>
      </patternFill>
    </fill>
    <fill>
      <patternFill patternType="solid">
        <fgColor rgb="FFF5F8FC"/>
      </patternFill>
    </fill>
    <fill>
      <patternFill patternType="solid">
        <fgColor rgb="FFE2EFDA"/>
      </patternFill>
    </fill>
  </fills>
  <borders count="8">
    <border>
      <left/>
      <right/>
      <top/>
      <bottom/>
      <diagonal/>
    </border>
    <border>
      <left/>
      <right/>
      <top/>
      <bottom style="thin">
        <color rgb="FFD9E1F2"/>
      </bottom>
      <diagonal/>
    </border>
    <border>
      <left/>
      <right/>
      <top/>
      <bottom style="medium">
        <color rgb="FF17365D"/>
      </bottom>
      <diagonal/>
    </border>
    <border>
      <left/>
      <right/>
      <top/>
      <bottom style="thin">
        <color rgb="FFD9E2F3"/>
      </bottom>
      <diagonal/>
    </border>
    <border>
      <left style="thin">
        <color rgb="FFBFBFBF"/>
      </left>
      <right style="thin">
        <color rgb="FFBFBFBF"/>
      </right>
      <top style="thin">
        <color rgb="FFBFBFBF"/>
      </top>
      <bottom style="thin">
        <color rgb="FFBFBFBF"/>
      </bottom>
      <diagonal/>
    </border>
    <border>
      <left/>
      <right/>
      <top/>
      <bottom style="hair">
        <color rgb="FFDDE4EE"/>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6">
    <xf numFmtId="0" fontId="0" fillId="0" borderId="0" pivotButton="0" quotePrefix="0" xfId="0"/>
    <xf numFmtId="0" fontId="1" fillId="0" borderId="1" applyAlignment="1" pivotButton="0" quotePrefix="0" xfId="0">
      <alignment horizontal="right" vertical="center" wrapText="1"/>
    </xf>
    <xf numFmtId="0" fontId="1" fillId="0" borderId="1" applyAlignment="1" pivotButton="0" quotePrefix="0" xfId="0">
      <alignment horizontal="center" vertical="center" wrapText="1"/>
    </xf>
    <xf numFmtId="0" fontId="2" fillId="0" borderId="3" applyAlignment="1" pivotButton="0" quotePrefix="0" xfId="0">
      <alignment horizontal="center" vertical="center" wrapText="1"/>
    </xf>
    <xf numFmtId="0" fontId="6" fillId="9" borderId="3" applyAlignment="1" pivotButton="0" quotePrefix="0" xfId="0">
      <alignment horizontal="center" vertical="center" wrapText="1"/>
    </xf>
    <xf numFmtId="0" fontId="7" fillId="10" borderId="3" applyAlignment="1" pivotButton="0" quotePrefix="0" xfId="0">
      <alignment horizontal="center" vertical="center" wrapText="1"/>
    </xf>
    <xf numFmtId="0" fontId="2" fillId="11" borderId="3" applyAlignment="1" pivotButton="0" quotePrefix="0" xfId="0">
      <alignment horizontal="center" vertical="center" wrapText="1"/>
    </xf>
    <xf numFmtId="0" fontId="5" fillId="8" borderId="3" applyAlignment="1" pivotButton="0" quotePrefix="0" xfId="0">
      <alignment horizontal="center" vertical="center" wrapText="1"/>
    </xf>
    <xf numFmtId="0" fontId="8" fillId="0" borderId="3" applyAlignment="1" pivotButton="0" quotePrefix="0" xfId="0">
      <alignment horizontal="center" vertical="center" wrapText="1"/>
    </xf>
    <xf numFmtId="0" fontId="8" fillId="2" borderId="3" applyAlignment="1" pivotButton="0" quotePrefix="0" xfId="0">
      <alignment horizontal="center" vertical="center" wrapText="1"/>
    </xf>
    <xf numFmtId="0" fontId="8" fillId="11" borderId="3" applyAlignment="1" pivotButton="0" quotePrefix="0" xfId="0">
      <alignment horizontal="center" vertical="center" wrapText="1"/>
    </xf>
    <xf numFmtId="164" fontId="9" fillId="11" borderId="3" applyAlignment="1" pivotButton="0" quotePrefix="0" xfId="0">
      <alignment horizontal="center" vertical="center" wrapText="1"/>
    </xf>
    <xf numFmtId="164" fontId="9" fillId="0"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4" borderId="3" applyAlignment="1" pivotButton="0" quotePrefix="0" xfId="0">
      <alignment horizontal="center" vertical="center" wrapText="1"/>
    </xf>
    <xf numFmtId="0" fontId="10" fillId="10" borderId="3" applyAlignment="1" pivotButton="0" quotePrefix="0" xfId="0">
      <alignment horizontal="center" vertical="center" wrapText="1"/>
    </xf>
    <xf numFmtId="0" fontId="8" fillId="5" borderId="3" applyAlignment="1" pivotButton="0" quotePrefix="0" xfId="0">
      <alignment horizontal="center" vertical="center" wrapText="1"/>
    </xf>
    <xf numFmtId="0" fontId="9" fillId="11" borderId="3" applyAlignment="1" pivotButton="0" quotePrefix="0" xfId="0">
      <alignment horizontal="center" vertical="center" wrapText="1"/>
    </xf>
    <xf numFmtId="0" fontId="9" fillId="0" borderId="3" applyAlignment="1" pivotButton="0" quotePrefix="0" xfId="0">
      <alignment horizontal="center" vertical="center" wrapText="1"/>
    </xf>
    <xf numFmtId="2" fontId="9" fillId="11" borderId="3" applyAlignment="1" pivotButton="0" quotePrefix="0" xfId="0">
      <alignment horizontal="center" vertical="center" wrapText="1"/>
    </xf>
    <xf numFmtId="2" fontId="9" fillId="0" borderId="3" applyAlignment="1" pivotButton="0" quotePrefix="0" xfId="0">
      <alignment horizontal="center" vertical="center" wrapText="1"/>
    </xf>
    <xf numFmtId="165" fontId="9" fillId="0" borderId="3" applyAlignment="1" pivotButton="0" quotePrefix="0" xfId="0">
      <alignment horizontal="center" vertical="center" wrapText="1"/>
    </xf>
    <xf numFmtId="165" fontId="9" fillId="11" borderId="3" applyAlignment="1" pivotButton="0" quotePrefix="0" xfId="0">
      <alignment horizontal="center" vertical="center" wrapText="1"/>
    </xf>
    <xf numFmtId="0" fontId="11" fillId="0" borderId="4" applyAlignment="1" pivotButton="0" quotePrefix="0" xfId="0">
      <alignment horizontal="center" vertical="center" wrapText="1" readingOrder="2"/>
    </xf>
    <xf numFmtId="0" fontId="14" fillId="12" borderId="4" applyAlignment="1" pivotButton="0" quotePrefix="0" xfId="0">
      <alignment horizontal="center" vertical="center" wrapText="1" readingOrder="2"/>
    </xf>
    <xf numFmtId="0" fontId="11" fillId="14" borderId="4" applyAlignment="1" pivotButton="0" quotePrefix="0" xfId="0">
      <alignment horizontal="center" vertical="center" wrapText="1" readingOrder="2"/>
    </xf>
    <xf numFmtId="0" fontId="15" fillId="0" borderId="0" applyAlignment="1" pivotButton="0" quotePrefix="0" xfId="0">
      <alignment horizontal="center" vertical="center" wrapText="1"/>
    </xf>
    <xf numFmtId="0" fontId="17" fillId="16" borderId="0" applyAlignment="1" pivotButton="0" quotePrefix="0" xfId="0">
      <alignment horizontal="center" vertical="center" wrapText="1"/>
    </xf>
    <xf numFmtId="0" fontId="5" fillId="16" borderId="2" applyAlignment="1" pivotButton="0" quotePrefix="0" xfId="0">
      <alignment horizontal="center" vertical="center" wrapText="1"/>
    </xf>
    <xf numFmtId="0" fontId="17" fillId="17" borderId="0" applyAlignment="1" pivotButton="0" quotePrefix="0" xfId="0">
      <alignment horizontal="center" vertical="center" wrapText="1"/>
    </xf>
    <xf numFmtId="0" fontId="17" fillId="18" borderId="0" applyAlignment="1" pivotButton="0" quotePrefix="0" xfId="0">
      <alignment horizontal="center" vertical="center" wrapText="1"/>
    </xf>
    <xf numFmtId="164" fontId="15" fillId="0" borderId="0" applyAlignment="1" pivotButton="0" quotePrefix="0" xfId="0">
      <alignment horizontal="center" vertical="center" wrapText="1"/>
    </xf>
    <xf numFmtId="0" fontId="17" fillId="19" borderId="0" applyAlignment="1" pivotButton="0" quotePrefix="0" xfId="0">
      <alignment horizontal="center" vertical="center" wrapText="1"/>
    </xf>
    <xf numFmtId="0" fontId="17" fillId="20" borderId="0" applyAlignment="1" pivotButton="0" quotePrefix="0" xfId="0">
      <alignment horizontal="center" vertical="center" wrapText="1"/>
    </xf>
    <xf numFmtId="0" fontId="17" fillId="21" borderId="0" applyAlignment="1" pivotButton="0" quotePrefix="0" xfId="0">
      <alignment horizontal="center" vertical="center" wrapText="1"/>
    </xf>
    <xf numFmtId="0" fontId="17" fillId="22" borderId="0" applyAlignment="1" pivotButton="0" quotePrefix="0" xfId="0">
      <alignment horizontal="center" vertical="center" wrapText="1"/>
    </xf>
    <xf numFmtId="0" fontId="16" fillId="15" borderId="2" applyAlignment="1" pivotButton="0" quotePrefix="0" xfId="0">
      <alignment horizontal="center" vertical="center" wrapText="1"/>
    </xf>
    <xf numFmtId="0" fontId="18" fillId="16" borderId="3" applyAlignment="1" pivotButton="0" quotePrefix="0" xfId="0">
      <alignment horizontal="center" vertical="center" wrapText="1"/>
    </xf>
    <xf numFmtId="0" fontId="19" fillId="16" borderId="3" applyAlignment="1" pivotButton="0" quotePrefix="0" xfId="0">
      <alignment horizontal="center" vertical="center" wrapText="1"/>
    </xf>
    <xf numFmtId="0" fontId="20" fillId="16" borderId="3" applyAlignment="1" pivotButton="0" quotePrefix="0" xfId="0">
      <alignment horizontal="center" vertical="center" wrapText="1"/>
    </xf>
    <xf numFmtId="0" fontId="14" fillId="16" borderId="4" applyAlignment="1" pivotButton="0" quotePrefix="0" xfId="0">
      <alignment horizontal="center" vertical="center" wrapText="1" readingOrder="2"/>
    </xf>
    <xf numFmtId="0" fontId="5" fillId="16"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wrapText="1"/>
    </xf>
    <xf numFmtId="0" fontId="4"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wrapText="1"/>
    </xf>
    <xf numFmtId="0" fontId="4" fillId="18" borderId="1" applyAlignment="1" pivotButton="0" quotePrefix="0" xfId="0">
      <alignment horizontal="center" vertical="center" wrapText="1"/>
    </xf>
    <xf numFmtId="0" fontId="4" fillId="21" borderId="1" applyAlignment="1" pivotButton="0" quotePrefix="0" xfId="0">
      <alignment horizontal="center" vertical="center" wrapText="1"/>
    </xf>
    <xf numFmtId="0" fontId="4" fillId="22" borderId="1" applyAlignment="1" pivotButton="0" quotePrefix="0" xfId="0">
      <alignment horizontal="center" vertical="center" wrapText="1"/>
    </xf>
    <xf numFmtId="0" fontId="23" fillId="23" borderId="0" applyAlignment="1" pivotButton="0" quotePrefix="0" xfId="0">
      <alignment horizontal="center" vertical="center" wrapText="1" readingOrder="2"/>
    </xf>
    <xf numFmtId="0" fontId="24" fillId="25" borderId="5" applyAlignment="1" pivotButton="0" quotePrefix="0" xfId="0">
      <alignment horizontal="center" vertical="center" wrapText="1" readingOrder="2"/>
    </xf>
    <xf numFmtId="0" fontId="24" fillId="24" borderId="5" applyAlignment="1" pivotButton="0" quotePrefix="0" xfId="0">
      <alignment horizontal="center" vertical="center" wrapText="1" readingOrder="2"/>
    </xf>
    <xf numFmtId="0" fontId="26" fillId="24" borderId="5" applyAlignment="1" pivotButton="0" quotePrefix="0" xfId="0">
      <alignment horizontal="center" vertical="center" wrapText="1" readingOrder="2"/>
    </xf>
    <xf numFmtId="0" fontId="26" fillId="25" borderId="5" applyAlignment="1" pivotButton="0" quotePrefix="0" xfId="0">
      <alignment horizontal="center" vertical="center" wrapText="1" readingOrder="2"/>
    </xf>
    <xf numFmtId="0" fontId="24" fillId="26" borderId="5" applyAlignment="1" pivotButton="0" quotePrefix="0" xfId="0">
      <alignment horizontal="center" vertical="center" wrapText="1" readingOrder="2"/>
    </xf>
    <xf numFmtId="0" fontId="26" fillId="26" borderId="5" applyAlignment="1" pivotButton="0" quotePrefix="0" xfId="0">
      <alignment horizontal="center" vertical="center" wrapText="1" readingOrder="2"/>
    </xf>
    <xf numFmtId="0" fontId="25" fillId="26" borderId="5" applyAlignment="1" pivotButton="0" quotePrefix="0" xfId="0">
      <alignment horizontal="center" vertical="center" wrapText="1" readingOrder="2"/>
    </xf>
    <xf numFmtId="164" fontId="26" fillId="24" borderId="5" applyAlignment="1" pivotButton="0" quotePrefix="0" xfId="0">
      <alignment horizontal="center" vertical="center" wrapText="1" readingOrder="2"/>
    </xf>
    <xf numFmtId="164" fontId="26" fillId="25" borderId="5" applyAlignment="1" pivotButton="0" quotePrefix="0" xfId="0">
      <alignment horizontal="center" vertical="center" wrapText="1" readingOrder="2"/>
    </xf>
    <xf numFmtId="0" fontId="25" fillId="25" borderId="5" applyAlignment="1" pivotButton="0" quotePrefix="0" xfId="0">
      <alignment horizontal="center" vertical="center" wrapText="1" readingOrder="2"/>
    </xf>
    <xf numFmtId="0" fontId="25" fillId="24" borderId="5" applyAlignment="1" pivotButton="0" quotePrefix="0" xfId="0">
      <alignment horizontal="center" vertical="center" wrapText="1" readingOrder="2"/>
    </xf>
    <xf numFmtId="164" fontId="11" fillId="0" borderId="4" applyAlignment="1" pivotButton="0" quotePrefix="0" xfId="0">
      <alignment horizontal="center" vertical="center" wrapText="1" readingOrder="2"/>
    </xf>
    <xf numFmtId="164" fontId="11" fillId="14" borderId="4" applyAlignment="1" pivotButton="0" quotePrefix="0" xfId="0">
      <alignment horizontal="center" vertical="center" wrapText="1" readingOrder="2"/>
    </xf>
    <xf numFmtId="0" fontId="28" fillId="28" borderId="6" applyAlignment="1" pivotButton="0" quotePrefix="0" xfId="0">
      <alignment horizontal="center" vertical="center" wrapText="1" readingOrder="2"/>
    </xf>
    <xf numFmtId="0" fontId="11" fillId="0" borderId="6" applyAlignment="1" pivotButton="0" quotePrefix="0" xfId="0">
      <alignment horizontal="center" vertical="center" wrapText="1" readingOrder="2"/>
    </xf>
    <xf numFmtId="0" fontId="11" fillId="29" borderId="6" applyAlignment="1" pivotButton="0" quotePrefix="0" xfId="0">
      <alignment horizontal="center" vertical="center" wrapText="1" readingOrder="2"/>
    </xf>
    <xf numFmtId="166" fontId="11" fillId="0" borderId="6" applyAlignment="1" pivotButton="0" quotePrefix="0" xfId="0">
      <alignment horizontal="center" vertical="center" wrapText="1" readingOrder="2"/>
    </xf>
    <xf numFmtId="166" fontId="11" fillId="29" borderId="6" applyAlignment="1" pivotButton="0" quotePrefix="0" xfId="0">
      <alignment horizontal="center" vertical="center" wrapText="1" readingOrder="2"/>
    </xf>
    <xf numFmtId="0" fontId="11" fillId="30" borderId="6" applyAlignment="1" pivotButton="0" quotePrefix="0" xfId="0">
      <alignment horizontal="center" vertical="center" wrapText="1" readingOrder="2"/>
    </xf>
    <xf numFmtId="0" fontId="21" fillId="23" borderId="0" applyAlignment="1" pivotButton="0" quotePrefix="0" xfId="0">
      <alignment horizontal="center" vertical="center" wrapText="1" readingOrder="2"/>
    </xf>
    <xf numFmtId="0" fontId="0" fillId="0" borderId="0" pivotButton="0" quotePrefix="0" xfId="0"/>
    <xf numFmtId="0" fontId="22" fillId="24" borderId="0" applyAlignment="1" pivotButton="0" quotePrefix="0" xfId="0">
      <alignment horizontal="center" vertical="center" wrapText="1" readingOrder="2"/>
    </xf>
    <xf numFmtId="0" fontId="15" fillId="0" borderId="0" applyAlignment="1" pivotButton="0" quotePrefix="0" xfId="0">
      <alignment horizontal="center" vertical="center" wrapText="1"/>
    </xf>
    <xf numFmtId="0" fontId="16" fillId="15" borderId="0" applyAlignment="1" pivotButton="0" quotePrefix="0" xfId="0">
      <alignment horizontal="center" vertical="center" wrapText="1"/>
    </xf>
    <xf numFmtId="0" fontId="4" fillId="7" borderId="3" applyAlignment="1" pivotButton="0" quotePrefix="0" xfId="0">
      <alignment horizontal="center" vertical="center" wrapText="1"/>
    </xf>
    <xf numFmtId="0" fontId="0" fillId="0" borderId="3" pivotButton="0" quotePrefix="0" xfId="0"/>
    <xf numFmtId="0" fontId="4" fillId="7" borderId="0" applyAlignment="1" pivotButton="0" quotePrefix="0" xfId="0">
      <alignment horizontal="center" vertical="center" wrapText="1"/>
    </xf>
    <xf numFmtId="0" fontId="17" fillId="16" borderId="0" applyAlignment="1" pivotButton="0" quotePrefix="0" xfId="0">
      <alignment horizontal="center" vertical="center" wrapText="1"/>
    </xf>
    <xf numFmtId="0" fontId="17" fillId="18" borderId="0" applyAlignment="1" pivotButton="0" quotePrefix="0" xfId="0">
      <alignment horizontal="center" vertical="center" wrapText="1"/>
    </xf>
    <xf numFmtId="0" fontId="13" fillId="0" borderId="0" applyAlignment="1" pivotButton="0" quotePrefix="0" xfId="0">
      <alignment horizontal="center" vertical="center" wrapText="1" readingOrder="2"/>
    </xf>
    <xf numFmtId="0" fontId="2" fillId="0" borderId="0" applyAlignment="1" pivotButton="0" quotePrefix="0" xfId="0">
      <alignment horizontal="center" vertical="center" wrapText="1"/>
    </xf>
    <xf numFmtId="0" fontId="12" fillId="13" borderId="0" applyAlignment="1" pivotButton="0" quotePrefix="0" xfId="0">
      <alignment horizontal="center" vertical="center" wrapText="1" readingOrder="2"/>
    </xf>
    <xf numFmtId="0" fontId="27" fillId="27" borderId="0" applyAlignment="1" pivotButton="0" quotePrefix="0" xfId="0">
      <alignment horizontal="center" vertical="center" wrapText="1" readingOrder="2"/>
    </xf>
    <xf numFmtId="0" fontId="27" fillId="27" borderId="0" applyAlignment="1" pivotButton="0" quotePrefix="0" xfId="0">
      <alignment horizontal="center" vertical="center" wrapText="1"/>
    </xf>
    <xf numFmtId="0" fontId="11" fillId="0" borderId="0" applyAlignment="1" pivotButton="0" quotePrefix="0" xfId="0">
      <alignment horizontal="center" vertical="center" wrapText="1"/>
    </xf>
    <xf numFmtId="0" fontId="28" fillId="28" borderId="7" applyAlignment="1" pivotButton="0" quotePrefix="0" xfId="0">
      <alignment horizontal="center" vertical="center" wrapText="1"/>
    </xf>
    <xf numFmtId="0" fontId="11" fillId="0" borderId="7" applyAlignment="1" pivotButton="0" quotePrefix="0" xfId="0">
      <alignment horizontal="center" vertical="center" wrapText="1"/>
    </xf>
    <xf numFmtId="0" fontId="11" fillId="9" borderId="7" applyAlignment="1" pivotButton="0" quotePrefix="0" xfId="0">
      <alignment horizontal="center" vertical="center" wrapText="1"/>
    </xf>
    <xf numFmtId="0" fontId="11" fillId="20" borderId="7" applyAlignment="1" pivotButton="0" quotePrefix="0" xfId="0">
      <alignment horizontal="center" vertical="center" wrapText="1"/>
    </xf>
    <xf numFmtId="0" fontId="11" fillId="30" borderId="7"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styles" Target="styles.xml" Id="rId102"/><Relationship Type="http://schemas.openxmlformats.org/officeDocument/2006/relationships/theme" Target="theme/theme1.xml" Id="rId103"/></Relationships>
</file>

<file path=xl/comments/comment1.xml><?xml version="1.0" encoding="utf-8"?>
<comments xmlns="http://schemas.openxmlformats.org/spreadsheetml/2006/main">
  <authors>
    <author>ممیزی پروژه</author>
  </authors>
  <commentList>
    <comment ref="D9" authorId="0" shapeId="0">
      <text>
        <t>v39
افزودن منبع فعلی بدون تغییر تعریف نظری</t>
      </text>
    </comment>
    <comment ref="G9" authorId="0" shapeId="0">
      <text>
        <t>v39
تعریف کنترل محاسبات v39</t>
      </text>
    </comment>
  </commentList>
</comments>
</file>

<file path=xl/comments/comment2.xml><?xml version="1.0" encoding="utf-8"?>
<comments xmlns="http://schemas.openxmlformats.org/spreadsheetml/2006/main">
  <authors>
    <author>ممیزی پروژه</author>
  </authors>
  <commentList>
    <comment ref="A1" authorId="0" shapeId="0">
      <text>
        <t>v39
نمایش نسخه جاری</t>
      </text>
    </comment>
    <comment ref="D7" authorId="0" shapeId="0">
      <text>
        <t>v39
تفکیک ساختار کرسی از رویداد خروج</t>
      </text>
    </comment>
    <comment ref="F7" authorId="0" shapeId="0">
      <text>
        <t>v39
وب سایت رسمی شاهد تاریخ دار خروج نیست</t>
      </text>
    </comment>
    <comment ref="G7" authorId="0" shapeId="0">
      <text>
        <t>v39
دقت در معنای تاریخ موثر</t>
      </text>
    </comment>
    <comment ref="A14" authorId="0" shapeId="0">
      <text>
        <t>v39
ثبت گپ واقعی باقی مانده؛ نه اعلام بسته شدن بدون شاهد</t>
      </text>
    </comment>
    <comment ref="B14" authorId="0" shapeId="0">
      <text>
        <t>v39
ثبت گپ واقعی باقی مانده؛ نه اعلام بسته شدن بدون شاهد</t>
      </text>
    </comment>
    <comment ref="C14" authorId="0" shapeId="0">
      <text>
        <t>v39
ثبت گپ واقعی باقی مانده؛ نه اعلام بسته شدن بدون شاهد</t>
      </text>
    </comment>
    <comment ref="D14" authorId="0" shapeId="0">
      <text>
        <t>v39
ثبت گپ واقعی باقی مانده؛ نه اعلام بسته شدن بدون شاهد</t>
      </text>
    </comment>
    <comment ref="E14" authorId="0" shapeId="0">
      <text>
        <t>v39
ثبت گپ واقعی باقی مانده؛ نه اعلام بسته شدن بدون شاهد</t>
      </text>
    </comment>
    <comment ref="F14" authorId="0" shapeId="0">
      <text>
        <t>v39
ثبت گپ واقعی باقی مانده؛ نه اعلام بسته شدن بدون شاهد</t>
      </text>
    </comment>
    <comment ref="G14" authorId="0" shapeId="0">
      <text>
        <t>v39
ثبت گپ واقعی باقی مانده؛ نه اعلام بسته شدن بدون شاهد</t>
      </text>
    </comment>
    <comment ref="H14" authorId="0" shapeId="0">
      <text>
        <t>v39
ثبت گپ واقعی باقی مانده؛ نه اعلام بسته شدن بدون شاهد</t>
      </text>
    </comment>
    <comment ref="A15" authorId="0" shapeId="0">
      <text>
        <t>v39
ثبت گپ واقعی باقی مانده؛ نه اعلام بسته شدن بدون شاهد</t>
      </text>
    </comment>
    <comment ref="B15" authorId="0" shapeId="0">
      <text>
        <t>v39
ثبت گپ واقعی باقی مانده؛ نه اعلام بسته شدن بدون شاهد</t>
      </text>
    </comment>
    <comment ref="C15" authorId="0" shapeId="0">
      <text>
        <t>v39
ثبت گپ واقعی باقی مانده؛ نه اعلام بسته شدن بدون شاهد</t>
      </text>
    </comment>
    <comment ref="D15" authorId="0" shapeId="0">
      <text>
        <t>v39
ثبت گپ واقعی باقی مانده؛ نه اعلام بسته شدن بدون شاهد</t>
      </text>
    </comment>
    <comment ref="E15" authorId="0" shapeId="0">
      <text>
        <t>v39
ثبت گپ واقعی باقی مانده؛ نه اعلام بسته شدن بدون شاهد</t>
      </text>
    </comment>
    <comment ref="F15" authorId="0" shapeId="0">
      <text>
        <t>v39
ثبت گپ واقعی باقی مانده؛ نه اعلام بسته شدن بدون شاهد</t>
      </text>
    </comment>
    <comment ref="G15" authorId="0" shapeId="0">
      <text>
        <t>v39
ثبت گپ واقعی باقی مانده؛ نه اعلام بسته شدن بدون شاهد</t>
      </text>
    </comment>
    <comment ref="H15" authorId="0" shapeId="0">
      <text>
        <t>v39
ثبت گپ واقعی باقی مانده؛ نه اعلام بسته شدن بدون شاهد</t>
      </text>
    </comment>
    <comment ref="A16" authorId="0" shapeId="0">
      <text>
        <t>v39
ثبت گپ واقعی باقی مانده؛ نه اعلام بسته شدن بدون شاهد</t>
      </text>
    </comment>
    <comment ref="B16" authorId="0" shapeId="0">
      <text>
        <t>v39
ثبت گپ واقعی باقی مانده؛ نه اعلام بسته شدن بدون شاهد</t>
      </text>
    </comment>
    <comment ref="C16" authorId="0" shapeId="0">
      <text>
        <t>v39
ثبت گپ واقعی باقی مانده؛ نه اعلام بسته شدن بدون شاهد</t>
      </text>
    </comment>
    <comment ref="D16" authorId="0" shapeId="0">
      <text>
        <t>v39
ثبت گپ واقعی باقی مانده؛ نه اعلام بسته شدن بدون شاهد</t>
      </text>
    </comment>
    <comment ref="E16" authorId="0" shapeId="0">
      <text>
        <t>v39
ثبت گپ واقعی باقی مانده؛ نه اعلام بسته شدن بدون شاهد</t>
      </text>
    </comment>
    <comment ref="F16" authorId="0" shapeId="0">
      <text>
        <t>v39
ثبت گپ واقعی باقی مانده؛ نه اعلام بسته شدن بدون شاهد</t>
      </text>
    </comment>
    <comment ref="G16" authorId="0" shapeId="0">
      <text>
        <t>v39
ثبت گپ واقعی باقی مانده؛ نه اعلام بسته شدن بدون شاهد</t>
      </text>
    </comment>
    <comment ref="H16" authorId="0" shapeId="0">
      <text>
        <t>v39
ثبت گپ واقعی باقی مانده؛ نه اعلام بسته شدن بدون شاهد</t>
      </text>
    </comment>
  </commentList>
</comments>
</file>

<file path=xl/comments/comment3.xml><?xml version="1.0" encoding="utf-8"?>
<comments xmlns="http://schemas.openxmlformats.org/spreadsheetml/2006/main">
  <authors>
    <author>ممیزی پروژه</author>
  </authors>
  <commentList>
    <comment ref="A2" authorId="0" shapeId="0">
      <text>
        <t>v39
به روزرسانی جمع بندی جاری بر مبنای اجرای واقعی v39</t>
      </text>
    </comment>
    <comment ref="C6" authorId="0" shapeId="0">
      <text>
        <t>v39
به روزرسانی جمع بندی جاری بر مبنای اجرای واقعی v39</t>
      </text>
    </comment>
    <comment ref="D6" authorId="0" shapeId="0">
      <text>
        <t>v39
به روزرسانی جمع بندی جاری بر مبنای اجرای واقعی v39</t>
      </text>
    </comment>
    <comment ref="E6" authorId="0" shapeId="0">
      <text>
        <t>v39
به روزرسانی جمع بندی جاری بر مبنای اجرای واقعی v39</t>
      </text>
    </comment>
    <comment ref="G6" authorId="0" shapeId="0">
      <text>
        <t>v39
به روزرسانی جمع بندی جاری بر مبنای اجرای واقعی v39</t>
      </text>
    </comment>
    <comment ref="D11" authorId="0" shapeId="0">
      <text>
        <t>v39
به روزرسانی جمع بندی جاری بر مبنای اجرای واقعی v39</t>
      </text>
    </comment>
    <comment ref="C16" authorId="0" shapeId="0">
      <text>
        <t>v39
به روزرسانی جمع بندی جاری بر مبنای اجرای واقعی v39</t>
      </text>
    </comment>
    <comment ref="D16" authorId="0" shapeId="0">
      <text>
        <t>v39
به روزرسانی جمع بندی جاری بر مبنای اجرای واقعی v39</t>
      </text>
    </comment>
    <comment ref="E16" authorId="0" shapeId="0">
      <text>
        <t>v39
به روزرسانی جمع بندی جاری بر مبنای اجرای واقعی v39</t>
      </text>
    </comment>
    <comment ref="H16" authorId="0" shapeId="0">
      <text>
        <t>v39
به روزرسانی جمع بندی جاری بر مبنای اجرای واقعی v39</t>
      </text>
    </comment>
  </commentList>
</comments>
</file>

<file path=xl/comments/comment4.xml><?xml version="1.0" encoding="utf-8"?>
<comments xmlns="http://schemas.openxmlformats.org/spreadsheetml/2006/main">
  <authors>
    <author>ممیزی پروژه</author>
  </authors>
  <commentList>
    <comment ref="D8" authorId="0" shapeId="0">
      <text>
        <t>v39
همگام سازی CR1A با پوشش محافظه کارانه؛ فرمول مرجع واحد</t>
      </text>
    </comment>
    <comment ref="E8" authorId="0" shapeId="0">
      <text>
        <t>v39
همگام سازی CR1A با پوشش محافظه کارانه؛ فرمول مرجع واحد</t>
      </text>
    </comment>
    <comment ref="M8" authorId="0" shapeId="0">
      <text>
        <t>v39
رفع عدم همگامی CR1A؛ حفظ محدودیت شواهد و کنترل جهت کیفیت</t>
      </text>
    </comment>
    <comment ref="O8" authorId="0" shapeId="0">
      <text>
        <t>v39
رفع عدم همگامی CR1A؛ حفظ محدودیت شواهد و کنترل جهت کیفیت</t>
      </text>
    </comment>
    <comment ref="P8" authorId="0" shapeId="0">
      <text>
        <t>v39
رفع عدم همگامی CR1A؛ حفظ محدودیت شواهد و کنترل جهت کیفیت</t>
      </text>
    </comment>
  </commentList>
</comments>
</file>

<file path=xl/comments/comment5.xml><?xml version="1.0" encoding="utf-8"?>
<comments xmlns="http://schemas.openxmlformats.org/spreadsheetml/2006/main">
  <authors>
    <author>ممیزی پروژه</author>
  </authors>
  <commentList>
    <comment ref="D11" authorId="0" shapeId="0">
      <text>
        <t>v39
همگام سازی CR1A با پوشش محافظه کارانه؛ فرمول مرجع واحد</t>
      </text>
    </comment>
    <comment ref="E11" authorId="0" shapeId="0">
      <text>
        <t>v39
همگام سازی CR1A با پوشش محافظه کارانه؛ فرمول مرجع واحد</t>
      </text>
    </comment>
    <comment ref="M11" authorId="0" shapeId="0">
      <text>
        <t>v39
رفع عدم همگامی CR1A؛ حفظ محدودیت شواهد و کنترل جهت کیفیت</t>
      </text>
    </comment>
    <comment ref="N11" authorId="0" shapeId="0">
      <text>
        <t>v39
رفع عدم همگامی CR1A؛ حفظ محدودیت شواهد و کنترل جهت کیفیت</t>
      </text>
    </comment>
  </commentList>
</comments>
</file>

<file path=xl/comments/comment6.xml><?xml version="1.0" encoding="utf-8"?>
<comments xmlns="http://schemas.openxmlformats.org/spreadsheetml/2006/main">
  <authors>
    <author>OpenAI</author>
  </authors>
  <commentList>
    <comment ref="I4" authorId="0" shapeId="0">
      <text>
        <t>نرخ گردش فردی = صورت گردش فردی ÷ مخرج گردش فردی. فقط کرسی های قابل مقایسه وارد مخرج می شوند.</t>
      </text>
    </comment>
    <comment ref="L4" authorId="0" shapeId="0">
      <text>
        <t>نرخ تغییر نماینده = تعداد کرسی های شخص حقوقی ثابت با نماینده جدید ÷ تعداد کرسی های شخص حقوقی ثابت و قابل مقایسه.</t>
      </text>
    </comment>
    <comment ref="O4" authorId="0" shapeId="0">
      <text>
        <t>نرخ تغییر شخص حقوقی = تعداد کرسی های قابل مقایسه با شخص حقوقی جدید ÷ کل کرسی های قابل مقایسه.</t>
      </text>
    </comment>
    <comment ref="R4" authorId="0" shapeId="0">
      <text>
        <t>سهم اعضای جدید = افراد فعال ۱۴۰۴ که در ۱۴۰۳ حضور نداشتند ÷ افراد فعال ۱۴۰۴.</t>
      </text>
    </comment>
    <comment ref="U4" authorId="0" shapeId="0">
      <text>
        <t>نرخ ثبات = کرسی های دارای شخص حقیقی ثابت ÷ کرسی های شخص حقیقی قابل مقایسه.</t>
      </text>
    </comment>
    <comment ref="I5" authorId="0" shapeId="0">
      <text>
        <t>نرخ گردش فردی = صورت گردش فردی ÷ مخرج گردش فردی. فقط کرسی های قابل مقایسه وارد مخرج می شوند.</t>
      </text>
    </comment>
    <comment ref="L5" authorId="0" shapeId="0">
      <text>
        <t>نرخ تغییر نماینده = تعداد کرسی های شخص حقوقی ثابت با نماینده جدید ÷ تعداد کرسی های شخص حقوقی ثابت و قابل مقایسه.</t>
      </text>
    </comment>
    <comment ref="O5" authorId="0" shapeId="0">
      <text>
        <t>نرخ تغییر شخص حقوقی = تعداد کرسی های قابل مقایسه با شخص حقوقی جدید ÷ کل کرسی های قابل مقایسه.</t>
      </text>
    </comment>
    <comment ref="R5" authorId="0" shapeId="0">
      <text>
        <t>سهم اعضای جدید = افراد فعال ۱۴۰۴ که در ۱۴۰۳ حضور نداشتند ÷ افراد فعال ۱۴۰۴.</t>
      </text>
    </comment>
    <comment ref="U5" authorId="0" shapeId="0">
      <text>
        <t>نرخ ثبات = کرسی های دارای شخص حقیقی ثابت ÷ کرسی های شخص حقیقی قابل مقایسه.</t>
      </text>
    </comment>
    <comment ref="I6" authorId="0" shapeId="0">
      <text>
        <t>نرخ گردش فردی = صورت گردش فردی ÷ مخرج گردش فردی. فقط کرسی های قابل مقایسه وارد مخرج می شوند.</t>
      </text>
    </comment>
    <comment ref="L6" authorId="0" shapeId="0">
      <text>
        <t>نرخ تغییر نماینده = تعداد کرسی های شخص حقوقی ثابت با نماینده جدید ÷ تعداد کرسی های شخص حقوقی ثابت و قابل مقایسه.</t>
      </text>
    </comment>
    <comment ref="O6" authorId="0" shapeId="0">
      <text>
        <t>نرخ تغییر شخص حقوقی = تعداد کرسی های قابل مقایسه با شخص حقوقی جدید ÷ کل کرسی های قابل مقایسه.</t>
      </text>
    </comment>
    <comment ref="R6" authorId="0" shapeId="0">
      <text>
        <t>سهم اعضای جدید = افراد فعال ۱۴۰۴ که در ۱۴۰۳ حضور نداشتند ÷ افراد فعال ۱۴۰۴.</t>
      </text>
    </comment>
    <comment ref="U6" authorId="0" shapeId="0">
      <text>
        <t>نرخ ثبات = کرسی های دارای شخص حقیقی ثابت ÷ کرسی های شخص حقیقی قابل مقایسه.</t>
      </text>
    </comment>
    <comment ref="I7" authorId="0" shapeId="0">
      <text>
        <t>نرخ گردش فردی = صورت گردش فردی ÷ مخرج گردش فردی. فقط کرسی های قابل مقایسه وارد مخرج می شوند.</t>
      </text>
    </comment>
    <comment ref="L7" authorId="0" shapeId="0">
      <text>
        <t>نرخ تغییر نماینده = تعداد کرسی های شخص حقوقی ثابت با نماینده جدید ÷ تعداد کرسی های شخص حقوقی ثابت و قابل مقایسه.</t>
      </text>
    </comment>
    <comment ref="O7" authorId="0" shapeId="0">
      <text>
        <t>نرخ تغییر شخص حقوقی = تعداد کرسی های قابل مقایسه با شخص حقوقی جدید ÷ کل کرسی های قابل مقایسه.</t>
      </text>
    </comment>
    <comment ref="R7" authorId="0" shapeId="0">
      <text>
        <t>سهم اعضای جدید = افراد فعال ۱۴۰۴ که در ۱۴۰۳ حضور نداشتند ÷ افراد فعال ۱۴۰۴.</t>
      </text>
    </comment>
    <comment ref="U7" authorId="0" shapeId="0">
      <text>
        <t>نرخ ثبات = کرسی های دارای شخص حقیقی ثابت ÷ کرسی های شخص حقیقی قابل مقایسه.</t>
      </text>
    </comment>
    <comment ref="I8" authorId="0" shapeId="0">
      <text>
        <t>نرخ گردش فردی = صورت گردش فردی ÷ مخرج گردش فردی. فقط کرسی های قابل مقایسه وارد مخرج می شوند.</t>
      </text>
    </comment>
    <comment ref="L8" authorId="0" shapeId="0">
      <text>
        <t>نرخ تغییر نماینده = تعداد کرسی های شخص حقوقی ثابت با نماینده جدید ÷ تعداد کرسی های شخص حقوقی ثابت و قابل مقایسه.</t>
      </text>
    </comment>
    <comment ref="O8" authorId="0" shapeId="0">
      <text>
        <t>نرخ تغییر شخص حقوقی = تعداد کرسی های قابل مقایسه با شخص حقوقی جدید ÷ کل کرسی های قابل مقایسه.</t>
      </text>
    </comment>
    <comment ref="R8" authorId="0" shapeId="0">
      <text>
        <t>سهم اعضای جدید = افراد فعال ۱۴۰۴ که در ۱۴۰۳ حضور نداشتند ÷ افراد فعال ۱۴۰۴.</t>
      </text>
    </comment>
    <comment ref="U8" authorId="0" shapeId="0">
      <text>
        <t>نرخ ثبات = کرسی های دارای شخص حقیقی ثابت ÷ کرسی های شخص حقیقی قابل مقایسه.</t>
      </text>
    </comment>
    <comment ref="I9" authorId="0" shapeId="0">
      <text>
        <t>نرخ گردش فردی = صورت گردش فردی ÷ مخرج گردش فردی. فقط کرسی های قابل مقایسه وارد مخرج می شوند.</t>
      </text>
    </comment>
    <comment ref="L9" authorId="0" shapeId="0">
      <text>
        <t>نرخ تغییر نماینده = تعداد کرسی های شخص حقوقی ثابت با نماینده جدید ÷ تعداد کرسی های شخص حقوقی ثابت و قابل مقایسه.</t>
      </text>
    </comment>
    <comment ref="O9" authorId="0" shapeId="0">
      <text>
        <t>نرخ تغییر شخص حقوقی = تعداد کرسی های قابل مقایسه با شخص حقوقی جدید ÷ کل کرسی های قابل مقایسه.</t>
      </text>
    </comment>
    <comment ref="R9" authorId="0" shapeId="0">
      <text>
        <t>سهم اعضای جدید = افراد فعال ۱۴۰۴ که در ۱۴۰۳ حضور نداشتند ÷ افراد فعال ۱۴۰۴.</t>
      </text>
    </comment>
    <comment ref="U9" authorId="0" shapeId="0">
      <text>
        <t>نرخ ثبات = کرسی های دارای شخص حقیقی ثابت ÷ کرسی های شخص حقیقی قابل مقایسه.</t>
      </text>
    </comment>
    <comment ref="I10" authorId="0" shapeId="0">
      <text>
        <t>نرخ گردش فردی = صورت گردش فردی ÷ مخرج گردش فردی. فقط کرسی های قابل مقایسه وارد مخرج می شوند.</t>
      </text>
    </comment>
    <comment ref="L10" authorId="0" shapeId="0">
      <text>
        <t>نرخ تغییر نماینده = تعداد کرسی های شخص حقوقی ثابت با نماینده جدید ÷ تعداد کرسی های شخص حقوقی ثابت و قابل مقایسه.</t>
      </text>
    </comment>
    <comment ref="O10" authorId="0" shapeId="0">
      <text>
        <t>نرخ تغییر شخص حقوقی = تعداد کرسی های قابل مقایسه با شخص حقوقی جدید ÷ کل کرسی های قابل مقایسه.</t>
      </text>
    </comment>
    <comment ref="R10" authorId="0" shapeId="0">
      <text>
        <t>سهم اعضای جدید = افراد فعال ۱۴۰۴ که در ۱۴۰۳ حضور نداشتند ÷ افراد فعال ۱۴۰۴.</t>
      </text>
    </comment>
    <comment ref="U10" authorId="0" shapeId="0">
      <text>
        <t>نرخ ثبات = کرسی های دارای شخص حقیقی ثابت ÷ کرسی های شخص حقیقی قابل مقایسه.</t>
      </text>
    </comment>
    <comment ref="I11" authorId="0" shapeId="0">
      <text>
        <t>نرخ گردش فردی = صورت گردش فردی ÷ مخرج گردش فردی. فقط کرسی های قابل مقایسه وارد مخرج می شوند.</t>
      </text>
    </comment>
    <comment ref="L11" authorId="0" shapeId="0">
      <text>
        <t>نرخ تغییر نماینده = تعداد کرسی های شخص حقوقی ثابت با نماینده جدید ÷ تعداد کرسی های شخص حقوقی ثابت و قابل مقایسه.</t>
      </text>
    </comment>
    <comment ref="O11" authorId="0" shapeId="0">
      <text>
        <t>نرخ تغییر شخص حقوقی = تعداد کرسی های قابل مقایسه با شخص حقوقی جدید ÷ کل کرسی های قابل مقایسه.</t>
      </text>
    </comment>
    <comment ref="R11" authorId="0" shapeId="0">
      <text>
        <t>سهم اعضای جدید = افراد فعال ۱۴۰۴ که در ۱۴۰۳ حضور نداشتند ÷ افراد فعال ۱۴۰۴.</t>
      </text>
    </comment>
    <comment ref="U11" authorId="0" shapeId="0">
      <text>
        <t>نرخ ثبات = کرسی های دارای شخص حقیقی ثابت ÷ کرسی های شخص حقیقی قابل مقایسه.</t>
      </text>
    </comment>
    <comment ref="I12" authorId="0" shapeId="0">
      <text>
        <t>نرخ گردش فردی = صورت گردش فردی ÷ مخرج گردش فردی. فقط کرسی های قابل مقایسه وارد مخرج می شوند.</t>
      </text>
    </comment>
    <comment ref="L12" authorId="0" shapeId="0">
      <text>
        <t>نرخ تغییر نماینده = تعداد کرسی های شخص حقوقی ثابت با نماینده جدید ÷ تعداد کرسی های شخص حقوقی ثابت و قابل مقایسه.</t>
      </text>
    </comment>
    <comment ref="O12" authorId="0" shapeId="0">
      <text>
        <t>نرخ تغییر شخص حقوقی = تعداد کرسی های قابل مقایسه با شخص حقوقی جدید ÷ کل کرسی های قابل مقایسه.</t>
      </text>
    </comment>
    <comment ref="R12" authorId="0" shapeId="0">
      <text>
        <t>سهم اعضای جدید = افراد فعال ۱۴۰۴ که در ۱۴۰۳ حضور نداشتند ÷ افراد فعال ۱۴۰۴.</t>
      </text>
    </comment>
    <comment ref="U12" authorId="0" shapeId="0">
      <text>
        <t>نرخ ثبات = کرسی های دارای شخص حقیقی ثابت ÷ کرسی های شخص حقیقی قابل مقایسه.</t>
      </text>
    </comment>
    <comment ref="I13" authorId="0" shapeId="0">
      <text>
        <t>نرخ گردش فردی = صورت گردش فردی ÷ مخرج گردش فردی. فقط کرسی های قابل مقایسه وارد مخرج می شوند.</t>
      </text>
    </comment>
    <comment ref="L13" authorId="0" shapeId="0">
      <text>
        <t>نرخ تغییر نماینده = تعداد کرسی های شخص حقوقی ثابت با نماینده جدید ÷ تعداد کرسی های شخص حقوقی ثابت و قابل مقایسه.</t>
      </text>
    </comment>
    <comment ref="O13" authorId="0" shapeId="0">
      <text>
        <t>نرخ تغییر شخص حقوقی = تعداد کرسی های قابل مقایسه با شخص حقوقی جدید ÷ کل کرسی های قابل مقایسه.</t>
      </text>
    </comment>
    <comment ref="R13" authorId="0" shapeId="0">
      <text>
        <t>سهم اعضای جدید = افراد فعال ۱۴۰۴ که در ۱۴۰۳ حضور نداشتند ÷ افراد فعال ۱۴۰۴.</t>
      </text>
    </comment>
    <comment ref="U13" authorId="0" shapeId="0">
      <text>
        <t>نرخ ثبات = کرسی های دارای شخص حقیقی ثابت ÷ کرسی های شخص حقیقی قابل مقایسه.</t>
      </text>
    </comment>
    <comment ref="I14" authorId="0" shapeId="0">
      <text>
        <t>نرخ گردش فردی = صورت گردش فردی ÷ مخرج گردش فردی. فقط کرسی های قابل مقایسه وارد مخرج می شوند.</t>
      </text>
    </comment>
    <comment ref="L14" authorId="0" shapeId="0">
      <text>
        <t>نرخ تغییر نماینده = تعداد کرسی های شخص حقوقی ثابت با نماینده جدید ÷ تعداد کرسی های شخص حقوقی ثابت و قابل مقایسه.</t>
      </text>
    </comment>
    <comment ref="O14" authorId="0" shapeId="0">
      <text>
        <t>نرخ تغییر شخص حقوقی = تعداد کرسی های قابل مقایسه با شخص حقوقی جدید ÷ کل کرسی های قابل مقایسه.</t>
      </text>
    </comment>
    <comment ref="R14" authorId="0" shapeId="0">
      <text>
        <t>سهم اعضای جدید = افراد فعال ۱۴۰۴ که در ۱۴۰۳ حضور نداشتند ÷ افراد فعال ۱۴۰۴.</t>
      </text>
    </comment>
    <comment ref="U14" authorId="0" shapeId="0">
      <text>
        <t>نرخ ثبات = کرسی های دارای شخص حقیقی ثابت ÷ کرسی های شخص حقیقی قابل مقایسه.</t>
      </text>
    </comment>
    <comment ref="I15" authorId="0" shapeId="0">
      <text>
        <t>نرخ گردش فردی = صورت گردش فردی ÷ مخرج گردش فردی. فقط کرسی های قابل مقایسه وارد مخرج می شوند.</t>
      </text>
    </comment>
    <comment ref="L15" authorId="0" shapeId="0">
      <text>
        <t>نرخ تغییر نماینده = تعداد کرسی های شخص حقوقی ثابت با نماینده جدید ÷ تعداد کرسی های شخص حقوقی ثابت و قابل مقایسه.</t>
      </text>
    </comment>
    <comment ref="O15" authorId="0" shapeId="0">
      <text>
        <t>نرخ تغییر شخص حقوقی = تعداد کرسی های قابل مقایسه با شخص حقوقی جدید ÷ کل کرسی های قابل مقایسه.</t>
      </text>
    </comment>
    <comment ref="R15" authorId="0" shapeId="0">
      <text>
        <t>سهم اعضای جدید = افراد فعال ۱۴۰۴ که در ۱۴۰۳ حضور نداشتند ÷ افراد فعال ۱۴۰۴.</t>
      </text>
    </comment>
    <comment ref="U15" authorId="0" shapeId="0">
      <text>
        <t>نرخ ثبات = کرسی های دارای شخص حقیقی ثابت ÷ کرسی های شخص حقیقی قابل مقایسه.</t>
      </text>
    </comment>
    <comment ref="I16" authorId="0" shapeId="0">
      <text>
        <t>نرخ گردش فردی = صورت گردش فردی ÷ مخرج گردش فردی. فقط کرسی های قابل مقایسه وارد مخرج می شوند.</t>
      </text>
    </comment>
    <comment ref="L16" authorId="0" shapeId="0">
      <text>
        <t>نرخ تغییر نماینده = تعداد کرسی های شخص حقوقی ثابت با نماینده جدید ÷ تعداد کرسی های شخص حقوقی ثابت و قابل مقایسه.</t>
      </text>
    </comment>
    <comment ref="O16" authorId="0" shapeId="0">
      <text>
        <t>نرخ تغییر شخص حقوقی = تعداد کرسی های قابل مقایسه با شخص حقوقی جدید ÷ کل کرسی های قابل مقایسه.</t>
      </text>
    </comment>
    <comment ref="R16" authorId="0" shapeId="0">
      <text>
        <t>سهم اعضای جدید = افراد فعال ۱۴۰۴ که در ۱۴۰۳ حضور نداشتند ÷ افراد فعال ۱۴۰۴.</t>
      </text>
    </comment>
    <comment ref="U16" authorId="0" shapeId="0">
      <text>
        <t>نرخ ثبات = کرسی های دارای شخص حقیقی ثابت ÷ کرسی های شخص حقیقی قابل مقایسه.</t>
      </text>
    </comment>
    <comment ref="I17" authorId="0" shapeId="0">
      <text>
        <t>نرخ گردش فردی = صورت گردش فردی ÷ مخرج گردش فردی. فقط کرسی های قابل مقایسه وارد مخرج می شوند.</t>
      </text>
    </comment>
    <comment ref="L17" authorId="0" shapeId="0">
      <text>
        <t>نرخ تغییر نماینده = تعداد کرسی های شخص حقوقی ثابت با نماینده جدید ÷ تعداد کرسی های شخص حقوقی ثابت و قابل مقایسه.</t>
      </text>
    </comment>
    <comment ref="O17" authorId="0" shapeId="0">
      <text>
        <t>نرخ تغییر شخص حقوقی = تعداد کرسی های قابل مقایسه با شخص حقوقی جدید ÷ کل کرسی های قابل مقایسه.</t>
      </text>
    </comment>
    <comment ref="R17" authorId="0" shapeId="0">
      <text>
        <t>سهم اعضای جدید = افراد فعال ۱۴۰۴ که در ۱۴۰۳ حضور نداشتند ÷ افراد فعال ۱۴۰۴.</t>
      </text>
    </comment>
    <comment ref="U17" authorId="0" shapeId="0">
      <text>
        <t>نرخ ثبات = کرسی های دارای شخص حقیقی ثابت ÷ کرسی های شخص حقیقی قابل مقایسه.</t>
      </text>
    </comment>
    <comment ref="I18" authorId="0" shapeId="0">
      <text>
        <t>نرخ گردش فردی = صورت گردش فردی ÷ مخرج گردش فردی. فقط کرسی های قابل مقایسه وارد مخرج می شوند.</t>
      </text>
    </comment>
    <comment ref="L18" authorId="0" shapeId="0">
      <text>
        <t>نرخ تغییر نماینده = تعداد کرسی های شخص حقوقی ثابت با نماینده جدید ÷ تعداد کرسی های شخص حقوقی ثابت و قابل مقایسه.</t>
      </text>
    </comment>
    <comment ref="O18" authorId="0" shapeId="0">
      <text>
        <t>نرخ تغییر شخص حقوقی = تعداد کرسی های قابل مقایسه با شخص حقوقی جدید ÷ کل کرسی های قابل مقایسه.</t>
      </text>
    </comment>
    <comment ref="R18" authorId="0" shapeId="0">
      <text>
        <t>سهم اعضای جدید = افراد فعال ۱۴۰۴ که در ۱۴۰۳ حضور نداشتند ÷ افراد فعال ۱۴۰۴.</t>
      </text>
    </comment>
    <comment ref="U18" authorId="0" shapeId="0">
      <text>
        <t>نرخ ثبات = کرسی های دارای شخص حقیقی ثابت ÷ کرسی های شخص حقیقی قابل مقایسه.</t>
      </text>
    </comment>
    <comment ref="I19" authorId="0" shapeId="0">
      <text>
        <t>نرخ گردش فردی = صورت گردش فردی ÷ مخرج گردش فردی. فقط کرسی های قابل مقایسه وارد مخرج می شوند.</t>
      </text>
    </comment>
    <comment ref="L19" authorId="0" shapeId="0">
      <text>
        <t>نرخ تغییر نماینده = تعداد کرسی های شخص حقوقی ثابت با نماینده جدید ÷ تعداد کرسی های شخص حقوقی ثابت و قابل مقایسه.</t>
      </text>
    </comment>
    <comment ref="O19" authorId="0" shapeId="0">
      <text>
        <t>نرخ تغییر شخص حقوقی = تعداد کرسی های قابل مقایسه با شخص حقوقی جدید ÷ کل کرسی های قابل مقایسه.</t>
      </text>
    </comment>
    <comment ref="R19" authorId="0" shapeId="0">
      <text>
        <t>سهم اعضای جدید = افراد فعال ۱۴۰۴ که در ۱۴۰۳ حضور نداشتند ÷ افراد فعال ۱۴۰۴.</t>
      </text>
    </comment>
    <comment ref="U19" authorId="0" shapeId="0">
      <text>
        <t>نرخ ثبات = کرسی های دارای شخص حقیقی ثابت ÷ کرسی های شخص حقیقی قابل مقایسه.</t>
      </text>
    </comment>
    <comment ref="I20" authorId="0" shapeId="0">
      <text>
        <t>نرخ گردش فردی = صورت گردش فردی ÷ مخرج گردش فردی. فقط کرسی های قابل مقایسه وارد مخرج می شوند.</t>
      </text>
    </comment>
    <comment ref="L20" authorId="0" shapeId="0">
      <text>
        <t>نرخ تغییر نماینده = تعداد کرسی های شخص حقوقی ثابت با نماینده جدید ÷ تعداد کرسی های شخص حقوقی ثابت و قابل مقایسه.</t>
      </text>
    </comment>
    <comment ref="O20" authorId="0" shapeId="0">
      <text>
        <t>نرخ تغییر شخص حقوقی = تعداد کرسی های قابل مقایسه با شخص حقوقی جدید ÷ کل کرسی های قابل مقایسه.</t>
      </text>
    </comment>
    <comment ref="R20" authorId="0" shapeId="0">
      <text>
        <t>سهم اعضای جدید = افراد فعال ۱۴۰۴ که در ۱۴۰۳ حضور نداشتند ÷ افراد فعال ۱۴۰۴.</t>
      </text>
    </comment>
    <comment ref="U20" authorId="0" shapeId="0">
      <text>
        <t>نرخ ثبات = کرسی های دارای شخص حقیقی ثابت ÷ کرسی های شخص حقیقی قابل مقایسه.</t>
      </text>
    </comment>
    <comment ref="I21" authorId="0" shapeId="0">
      <text>
        <t>نرخ گردش فردی = صورت گردش فردی ÷ مخرج گردش فردی. فقط کرسی های قابل مقایسه وارد مخرج می شوند.</t>
      </text>
    </comment>
    <comment ref="L21" authorId="0" shapeId="0">
      <text>
        <t>نرخ تغییر نماینده = تعداد کرسی های شخص حقوقی ثابت با نماینده جدید ÷ تعداد کرسی های شخص حقوقی ثابت و قابل مقایسه.</t>
      </text>
    </comment>
    <comment ref="O21" authorId="0" shapeId="0">
      <text>
        <t>نرخ تغییر شخص حقوقی = تعداد کرسی های قابل مقایسه با شخص حقوقی جدید ÷ کل کرسی های قابل مقایسه.</t>
      </text>
    </comment>
    <comment ref="R21" authorId="0" shapeId="0">
      <text>
        <t>سهم اعضای جدید = افراد فعال ۱۴۰۴ که در ۱۴۰۳ حضور نداشتند ÷ افراد فعال ۱۴۰۴.</t>
      </text>
    </comment>
    <comment ref="U21" authorId="0" shapeId="0">
      <text>
        <t>نرخ ثبات = کرسی های دارای شخص حقیقی ثابت ÷ کرسی های شخص حقیقی قابل مقایسه.</t>
      </text>
    </comment>
    <comment ref="I22" authorId="0" shapeId="0">
      <text>
        <t>نرخ گردش فردی = صورت گردش فردی ÷ مخرج گردش فردی. فقط کرسی های قابل مقایسه وارد مخرج می شوند.</t>
      </text>
    </comment>
    <comment ref="L22" authorId="0" shapeId="0">
      <text>
        <t>نرخ تغییر نماینده = تعداد کرسی های شخص حقوقی ثابت با نماینده جدید ÷ تعداد کرسی های شخص حقوقی ثابت و قابل مقایسه.</t>
      </text>
    </comment>
    <comment ref="O22" authorId="0" shapeId="0">
      <text>
        <t>نرخ تغییر شخص حقوقی = تعداد کرسی های قابل مقایسه با شخص حقوقی جدید ÷ کل کرسی های قابل مقایسه.</t>
      </text>
    </comment>
    <comment ref="R22" authorId="0" shapeId="0">
      <text>
        <t>سهم اعضای جدید = افراد فعال ۱۴۰۴ که در ۱۴۰۳ حضور نداشتند ÷ افراد فعال ۱۴۰۴.</t>
      </text>
    </comment>
    <comment ref="U22" authorId="0" shapeId="0">
      <text>
        <t>نرخ ثبات = کرسی های دارای شخص حقیقی ثابت ÷ کرسی های شخص حقیقی قابل مقایسه.</t>
      </text>
    </comment>
    <comment ref="I23" authorId="0" shapeId="0">
      <text>
        <t>نرخ گردش فردی = صورت گردش فردی ÷ مخرج گردش فردی. فقط کرسی های قابل مقایسه وارد مخرج می شوند.</t>
      </text>
    </comment>
    <comment ref="L23" authorId="0" shapeId="0">
      <text>
        <t>نرخ تغییر نماینده = تعداد کرسی های شخص حقوقی ثابت با نماینده جدید ÷ تعداد کرسی های شخص حقوقی ثابت و قابل مقایسه.</t>
      </text>
    </comment>
    <comment ref="O23" authorId="0" shapeId="0">
      <text>
        <t>نرخ تغییر شخص حقوقی = تعداد کرسی های قابل مقایسه با شخص حقوقی جدید ÷ کل کرسی های قابل مقایسه.</t>
      </text>
    </comment>
    <comment ref="R23" authorId="0" shapeId="0">
      <text>
        <t>سهم اعضای جدید = افراد فعال ۱۴۰۴ که در ۱۴۰۳ حضور نداشتند ÷ افراد فعال ۱۴۰۴.</t>
      </text>
    </comment>
    <comment ref="U23" authorId="0" shapeId="0">
      <text>
        <t>نرخ ثبات = کرسی های دارای شخص حقیقی ثابت ÷ کرسی های شخص حقیقی قابل مقایسه.</t>
      </text>
    </comment>
    <comment ref="I24" authorId="0" shapeId="0">
      <text>
        <t>نرخ گردش فردی = صورت گردش فردی ÷ مخرج گردش فردی. فقط کرسی های قابل مقایسه وارد مخرج می شوند.</t>
      </text>
    </comment>
    <comment ref="L24" authorId="0" shapeId="0">
      <text>
        <t>نرخ تغییر نماینده = تعداد کرسی های شخص حقوقی ثابت با نماینده جدید ÷ تعداد کرسی های شخص حقوقی ثابت و قابل مقایسه.</t>
      </text>
    </comment>
    <comment ref="O24" authorId="0" shapeId="0">
      <text>
        <t>نرخ تغییر شخص حقوقی = تعداد کرسی های قابل مقایسه با شخص حقوقی جدید ÷ کل کرسی های قابل مقایسه.</t>
      </text>
    </comment>
    <comment ref="R24" authorId="0" shapeId="0">
      <text>
        <t>سهم اعضای جدید = افراد فعال ۱۴۰۴ که در ۱۴۰۳ حضور نداشتند ÷ افراد فعال ۱۴۰۴.</t>
      </text>
    </comment>
    <comment ref="U24" authorId="0" shapeId="0">
      <text>
        <t>نرخ ثبات = کرسی های دارای شخص حقیقی ثابت ÷ کرسی های شخص حقیقی قابل مقایسه.</t>
      </text>
    </comment>
    <comment ref="I25" authorId="0" shapeId="0">
      <text>
        <t>نرخ گردش فردی = صورت گردش فردی ÷ مخرج گردش فردی. فقط کرسی های قابل مقایسه وارد مخرج می شوند.</t>
      </text>
    </comment>
    <comment ref="L25" authorId="0" shapeId="0">
      <text>
        <t>نرخ تغییر نماینده = تعداد کرسی های شخص حقوقی ثابت با نماینده جدید ÷ تعداد کرسی های شخص حقوقی ثابت و قابل مقایسه.</t>
      </text>
    </comment>
    <comment ref="O25" authorId="0" shapeId="0">
      <text>
        <t>نرخ تغییر شخص حقوقی = تعداد کرسی های قابل مقایسه با شخص حقوقی جدید ÷ کل کرسی های قابل مقایسه.</t>
      </text>
    </comment>
    <comment ref="R25" authorId="0" shapeId="0">
      <text>
        <t>سهم اعضای جدید = افراد فعال ۱۴۰۴ که در ۱۴۰۳ حضور نداشتند ÷ افراد فعال ۱۴۰۴.</t>
      </text>
    </comment>
    <comment ref="U25" authorId="0" shapeId="0">
      <text>
        <t>نرخ ثبات = کرسی های دارای شخص حقیقی ثابت ÷ کرسی های شخص حقیقی قابل مقایسه.</t>
      </text>
    </comment>
    <comment ref="I26" authorId="0" shapeId="0">
      <text>
        <t>نرخ گردش فردی = صورت گردش فردی ÷ مخرج گردش فردی. فقط کرسی های قابل مقایسه وارد مخرج می شوند.</t>
      </text>
    </comment>
    <comment ref="L26" authorId="0" shapeId="0">
      <text>
        <t>نرخ تغییر نماینده = تعداد کرسی های شخص حقوقی ثابت با نماینده جدید ÷ تعداد کرسی های شخص حقوقی ثابت و قابل مقایسه.</t>
      </text>
    </comment>
    <comment ref="O26" authorId="0" shapeId="0">
      <text>
        <t>نرخ تغییر شخص حقوقی = تعداد کرسی های قابل مقایسه با شخص حقوقی جدید ÷ کل کرسی های قابل مقایسه.</t>
      </text>
    </comment>
    <comment ref="R26" authorId="0" shapeId="0">
      <text>
        <t>سهم اعضای جدید = افراد فعال ۱۴۰۴ که در ۱۴۰۳ حضور نداشتند ÷ افراد فعال ۱۴۰۴.</t>
      </text>
    </comment>
    <comment ref="U26" authorId="0" shapeId="0">
      <text>
        <t>نرخ ثبات = کرسی های دارای شخص حقیقی ثابت ÷ کرسی های شخص حقیقی قابل مقایسه.</t>
      </text>
    </comment>
    <comment ref="I27" authorId="0" shapeId="0">
      <text>
        <t>نرخ گردش فردی = صورت گردش فردی ÷ مخرج گردش فردی. فقط کرسی های قابل مقایسه وارد مخرج می شوند.</t>
      </text>
    </comment>
    <comment ref="L27" authorId="0" shapeId="0">
      <text>
        <t>نرخ تغییر نماینده = تعداد کرسی های شخص حقوقی ثابت با نماینده جدید ÷ تعداد کرسی های شخص حقوقی ثابت و قابل مقایسه.</t>
      </text>
    </comment>
    <comment ref="O27" authorId="0" shapeId="0">
      <text>
        <t>نرخ تغییر شخص حقوقی = تعداد کرسی های قابل مقایسه با شخص حقوقی جدید ÷ کل کرسی های قابل مقایسه.</t>
      </text>
    </comment>
    <comment ref="R27" authorId="0" shapeId="0">
      <text>
        <t>سهم اعضای جدید = افراد فعال ۱۴۰۴ که در ۱۴۰۳ حضور نداشتند ÷ افراد فعال ۱۴۰۴.</t>
      </text>
    </comment>
    <comment ref="U27" authorId="0" shapeId="0">
      <text>
        <t>نرخ ثبات = کرسی های دارای شخص حقیقی ثابت ÷ کرسی های شخص حقیقی قابل مقایسه.</t>
      </text>
    </comment>
    <comment ref="I28" authorId="0" shapeId="0">
      <text>
        <t>نرخ گردش فردی = صورت گردش فردی ÷ مخرج گردش فردی. فقط کرسی های قابل مقایسه وارد مخرج می شوند.</t>
      </text>
    </comment>
    <comment ref="L28" authorId="0" shapeId="0">
      <text>
        <t>نرخ تغییر نماینده = تعداد کرسی های شخص حقوقی ثابت با نماینده جدید ÷ تعداد کرسی های شخص حقوقی ثابت و قابل مقایسه.</t>
      </text>
    </comment>
    <comment ref="O28" authorId="0" shapeId="0">
      <text>
        <t>نرخ تغییر شخص حقوقی = تعداد کرسی های قابل مقایسه با شخص حقوقی جدید ÷ کل کرسی های قابل مقایسه.</t>
      </text>
    </comment>
    <comment ref="R28" authorId="0" shapeId="0">
      <text>
        <t>سهم اعضای جدید = افراد فعال ۱۴۰۴ که در ۱۴۰۳ حضور نداشتند ÷ افراد فعال ۱۴۰۴.</t>
      </text>
    </comment>
    <comment ref="U28" authorId="0" shapeId="0">
      <text>
        <t>نرخ ثبات = کرسی های دارای شخص حقیقی ثابت ÷ کرسی های شخص حقیقی قابل مقایسه.</t>
      </text>
    </comment>
    <comment ref="I29" authorId="0" shapeId="0">
      <text>
        <t>نرخ گردش فردی = صورت گردش فردی ÷ مخرج گردش فردی. فقط کرسی های قابل مقایسه وارد مخرج می شوند.</t>
      </text>
    </comment>
    <comment ref="L29" authorId="0" shapeId="0">
      <text>
        <t>نرخ تغییر نماینده = تعداد کرسی های شخص حقوقی ثابت با نماینده جدید ÷ تعداد کرسی های شخص حقوقی ثابت و قابل مقایسه.</t>
      </text>
    </comment>
    <comment ref="O29" authorId="0" shapeId="0">
      <text>
        <t>نرخ تغییر شخص حقوقی = تعداد کرسی های قابل مقایسه با شخص حقوقی جدید ÷ کل کرسی های قابل مقایسه.</t>
      </text>
    </comment>
    <comment ref="R29" authorId="0" shapeId="0">
      <text>
        <t>سهم اعضای جدید = افراد فعال ۱۴۰۴ که در ۱۴۰۳ حضور نداشتند ÷ افراد فعال ۱۴۰۴.</t>
      </text>
    </comment>
    <comment ref="U29" authorId="0" shapeId="0">
      <text>
        <t>نرخ ثبات = کرسی های دارای شخص حقیقی ثابت ÷ کرسی های شخص حقیقی قابل مقایسه.</t>
      </text>
    </comment>
    <comment ref="I30" authorId="0" shapeId="0">
      <text>
        <t>نرخ گردش فردی = صورت گردش فردی ÷ مخرج گردش فردی. فقط کرسی های قابل مقایسه وارد مخرج می شوند.</t>
      </text>
    </comment>
    <comment ref="L30" authorId="0" shapeId="0">
      <text>
        <t>نرخ تغییر نماینده = تعداد کرسی های شخص حقوقی ثابت با نماینده جدید ÷ تعداد کرسی های شخص حقوقی ثابت و قابل مقایسه.</t>
      </text>
    </comment>
    <comment ref="O30" authorId="0" shapeId="0">
      <text>
        <t>نرخ تغییر شخص حقوقی = تعداد کرسی های قابل مقایسه با شخص حقوقی جدید ÷ کل کرسی های قابل مقایسه.</t>
      </text>
    </comment>
    <comment ref="R30" authorId="0" shapeId="0">
      <text>
        <t>سهم اعضای جدید = افراد فعال ۱۴۰۴ که در ۱۴۰۳ حضور نداشتند ÷ افراد فعال ۱۴۰۴.</t>
      </text>
    </comment>
    <comment ref="U30" authorId="0" shapeId="0">
      <text>
        <t>نرخ ثبات = کرسی های دارای شخص حقیقی ثابت ÷ کرسی های شخص حقیقی قابل مقایسه.</t>
      </text>
    </comment>
    <comment ref="I31" authorId="0" shapeId="0">
      <text>
        <t>نرخ گردش فردی = صورت گردش فردی ÷ مخرج گردش فردی. فقط کرسی های قابل مقایسه وارد مخرج می شوند.</t>
      </text>
    </comment>
    <comment ref="L31" authorId="0" shapeId="0">
      <text>
        <t>نرخ تغییر نماینده = تعداد کرسی های شخص حقوقی ثابت با نماینده جدید ÷ تعداد کرسی های شخص حقوقی ثابت و قابل مقایسه.</t>
      </text>
    </comment>
    <comment ref="O31" authorId="0" shapeId="0">
      <text>
        <t>نرخ تغییر شخص حقوقی = تعداد کرسی های قابل مقایسه با شخص حقوقی جدید ÷ کل کرسی های قابل مقایسه.</t>
      </text>
    </comment>
    <comment ref="R31" authorId="0" shapeId="0">
      <text>
        <t>سهم اعضای جدید = افراد فعال ۱۴۰۴ که در ۱۴۰۳ حضور نداشتند ÷ افراد فعال ۱۴۰۴.</t>
      </text>
    </comment>
    <comment ref="U31" authorId="0" shapeId="0">
      <text>
        <t>نرخ ثبات = کرسی های دارای شخص حقیقی ثابت ÷ کرسی های شخص حقیقی قابل مقایسه.</t>
      </text>
    </comment>
    <comment ref="I32" authorId="0" shapeId="0">
      <text>
        <t>نرخ گردش فردی = صورت گردش فردی ÷ مخرج گردش فردی. فقط کرسی های قابل مقایسه وارد مخرج می شوند.</t>
      </text>
    </comment>
    <comment ref="L32" authorId="0" shapeId="0">
      <text>
        <t>نرخ تغییر نماینده = تعداد کرسی های شخص حقوقی ثابت با نماینده جدید ÷ تعداد کرسی های شخص حقوقی ثابت و قابل مقایسه.</t>
      </text>
    </comment>
    <comment ref="O32" authorId="0" shapeId="0">
      <text>
        <t>نرخ تغییر شخص حقوقی = تعداد کرسی های قابل مقایسه با شخص حقوقی جدید ÷ کل کرسی های قابل مقایسه.</t>
      </text>
    </comment>
    <comment ref="R32" authorId="0" shapeId="0">
      <text>
        <t>سهم اعضای جدید = افراد فعال ۱۴۰۴ که در ۱۴۰۳ حضور نداشتند ÷ افراد فعال ۱۴۰۴.</t>
      </text>
    </comment>
    <comment ref="U32" authorId="0" shapeId="0">
      <text>
        <t>نرخ ثبات = کرسی های دارای شخص حقیقی ثابت ÷ کرسی های شخص حقیقی قابل مقایسه.</t>
      </text>
    </comment>
    <comment ref="I33" authorId="0" shapeId="0">
      <text>
        <t>نرخ گردش فردی = صورت گردش فردی ÷ مخرج گردش فردی. فقط کرسی های قابل مقایسه وارد مخرج می شوند.</t>
      </text>
    </comment>
    <comment ref="L33" authorId="0" shapeId="0">
      <text>
        <t>نرخ تغییر نماینده = تعداد کرسی های شخص حقوقی ثابت با نماینده جدید ÷ تعداد کرسی های شخص حقوقی ثابت و قابل مقایسه.</t>
      </text>
    </comment>
    <comment ref="O33" authorId="0" shapeId="0">
      <text>
        <t>نرخ تغییر شخص حقوقی = تعداد کرسی های قابل مقایسه با شخص حقوقی جدید ÷ کل کرسی های قابل مقایسه.</t>
      </text>
    </comment>
    <comment ref="R33" authorId="0" shapeId="0">
      <text>
        <t>سهم اعضای جدید = افراد فعال ۱۴۰۴ که در ۱۴۰۳ حضور نداشتند ÷ افراد فعال ۱۴۰۴.</t>
      </text>
    </comment>
    <comment ref="U33" authorId="0" shapeId="0">
      <text>
        <t>نرخ ثبات = کرسی های دارای شخص حقیقی ثابت ÷ کرسی های شخص حقیقی قابل مقایسه.</t>
      </text>
    </comment>
  </commentList>
</comments>
</file>

<file path=xl/comments/comment7.xml><?xml version="1.0" encoding="utf-8"?>
<comments xmlns="http://schemas.openxmlformats.org/spreadsheetml/2006/main">
  <authors>
    <author>ممیزی پروژه</author>
  </authors>
  <commentList>
    <comment ref="A9" authorId="0" shapeId="0">
      <text>
        <t>v39
تفکیک CR1A از مخرج مختص گردش نمایندگان</t>
      </text>
    </comment>
    <comment ref="B9" authorId="0" shapeId="0">
      <text>
        <t>v39
پوشش CR1A روی تمام ۳۰ شرکت؛ داده نامشخص یا متعارض صفر نیست</t>
      </text>
    </comment>
    <comment ref="C9" authorId="0" shapeId="0">
      <text>
        <t>v39
پوشش CR1A روی تمام ۳۰ شرکت؛ داده نامشخص یا متعارض صفر نیست</t>
      </text>
    </comment>
    <comment ref="E9" authorId="0" shapeId="0">
      <text>
        <t>v39
پوشش CR1A روی تمام ۳۰ شرکت؛ داده نامشخص یا متعارض صفر نیست</t>
      </text>
    </comment>
    <comment ref="F9" authorId="0" shapeId="0">
      <text>
        <t>v39
پوشش CR1A روی تمام ۳۰ شرکت؛ داده نامشخص یا متعارض صفر نیست</t>
      </text>
    </comment>
    <comment ref="K9" authorId="0" shapeId="0">
      <text>
        <t>v39
حذف ادعای قدیمی و ناسازگار پوشش ۳۰ از ۳۰ برای CR1A</t>
      </text>
    </comment>
    <comment ref="L9" authorId="0" shapeId="0">
      <text>
        <t>v39
مخرج تغییر رئیس مستقل از قابلیت اعمال REF08 است</t>
      </text>
    </comment>
    <comment ref="M9" authorId="0" shapeId="0">
      <text>
        <t>v39
ردیابی منبع محاسبه</t>
      </text>
    </comment>
  </commentList>
</comments>
</file>

<file path=xl/comments/comment8.xml><?xml version="1.0" encoding="utf-8"?>
<comments xmlns="http://schemas.openxmlformats.org/spreadsheetml/2006/main">
  <authors>
    <author>ممیزی پروژه</author>
  </authors>
  <commentList>
    <comment ref="G12" authorId="0" shapeId="0">
      <text>
        <t>v39
پوشش مقطعی قدیمی نباید پوشش تغییر رئیس تفسیر شود</t>
      </text>
    </comment>
  </commentList>
</comments>
</file>

<file path=xl/comments/comment9.xml><?xml version="1.0" encoding="utf-8"?>
<comments xmlns="http://schemas.openxmlformats.org/spreadsheetml/2006/main">
  <authors>
    <author>ممیزی پروژه</author>
  </authors>
  <commentList>
    <comment ref="A4" authorId="0" shapeId="0">
      <text>
        <t>v39
واژه تاییدشده نباید صرفا از وجود عدد نتیجه گرفته شود</t>
      </text>
    </comment>
    <comment ref="B4" authorId="0" shapeId="0">
      <text>
        <t>v39
وتجارت همچنان نیازمند بررسی سند خروج است</t>
      </text>
    </comment>
    <comment ref="A12" authorId="0" shapeId="0">
      <text>
        <t>v39
ثبت دامنه واقعی اجرای v39</t>
      </text>
    </comment>
    <comment ref="B12" authorId="0" shapeId="0">
      <text>
        <t>v39
ثبت دامنه واقعی اجرای v39</t>
      </text>
    </comment>
    <comment ref="C12" authorId="0" shapeId="0">
      <text>
        <t>v39
ثبت دامنه واقعی اجرای v39</t>
      </text>
    </comment>
    <comment ref="D12" authorId="0" shapeId="0">
      <text>
        <t>v39
ثبت دامنه واقعی اجرای v39</t>
      </text>
    </comment>
    <comment ref="A13" authorId="0" shapeId="0">
      <text>
        <t>v39
ثبت دامنه واقعی اجرای v39</t>
      </text>
    </comment>
    <comment ref="B13" authorId="0" shapeId="0">
      <text>
        <t>v39
ثبت دامنه واقعی اجرای v39</t>
      </text>
    </comment>
    <comment ref="C13" authorId="0" shapeId="0">
      <text>
        <t>v39
ثبت دامنه واقعی اجرای v39</t>
      </text>
    </comment>
    <comment ref="D13" authorId="0" shapeId="0">
      <text>
        <t>v39
ثبت دامنه واقعی اجرای v39</t>
      </text>
    </comment>
    <comment ref="A14" authorId="0" shapeId="0">
      <text>
        <t>v39
ثبت دامنه واقعی اجرای v39</t>
      </text>
    </comment>
    <comment ref="B14" authorId="0" shapeId="0">
      <text>
        <t>v39
ثبت دامنه واقعی اجرای v39</t>
      </text>
    </comment>
    <comment ref="C14" authorId="0" shapeId="0">
      <text>
        <t>v39
ثبت دامنه واقعی اجرای v39</t>
      </text>
    </comment>
    <comment ref="D14" authorId="0" shapeId="0">
      <text>
        <t>v39
ثبت دامنه واقعی اجرای v39</t>
      </text>
    </comment>
  </commentList>
</comments>
</file>

<file path=xl/comments/comment10.xml><?xml version="1.0" encoding="utf-8"?>
<comments xmlns="http://schemas.openxmlformats.org/spreadsheetml/2006/main">
  <authors>
    <author>ممیزی پروژه</author>
  </authors>
  <commentList>
    <comment ref="B5" authorId="0" shapeId="0">
      <text>
        <t>v39
بازنویسی کنترل یکتایی با COUNTIF تجمعی و SUM؛ بدون فرمول آرایه ای و با همان نتیجه ۳۰ شرکت</t>
      </text>
    </comment>
  </commentList>
</comments>
</file>

<file path=xl/comments/comment11.xml><?xml version="1.0" encoding="utf-8"?>
<comments xmlns="http://schemas.openxmlformats.org/spreadsheetml/2006/main">
  <authors>
    <author>ممیزی پروژه</author>
  </authors>
  <commentList>
    <comment ref="D8" authorId="0" shapeId="0">
      <text>
        <t>v39
رفع عدم همگامی CR1A؛ حفظ محدودیت شواهد و کنترل جهت کیفیت</t>
      </text>
    </comment>
    <comment ref="G8" authorId="0" shapeId="0">
      <text>
        <t>v39
رفع عدم همگامی CR1A؛ حفظ محدودیت شواهد و کنترل جهت کیفیت</t>
      </text>
    </comment>
    <comment ref="H8" authorId="0" shapeId="0">
      <text>
        <t>v39
رفع عدم همگامی CR1A؛ حفظ محدودیت شواهد و کنترل جهت کیفیت</t>
      </text>
    </comment>
    <comment ref="I8" authorId="0" shapeId="0">
      <text>
        <t>v39
رفع عدم همگامی CR1A؛ حفظ محدودیت شواهد و کنترل جهت کیفیت</t>
      </text>
    </comment>
  </commentList>
</comments>
</file>

<file path=xl/comments/comment12.xml><?xml version="1.0" encoding="utf-8"?>
<comments xmlns="http://schemas.openxmlformats.org/spreadsheetml/2006/main">
  <authors>
    <author>ممیزی پروژه</author>
  </authors>
  <commentList>
    <comment ref="H10" authorId="0" shapeId="0">
      <text>
        <t>v39
رفع عدم همگامی CR1A؛ حفظ محدودیت شواهد و کنترل جهت کیفیت</t>
      </text>
    </comment>
    <comment ref="I10" authorId="0" shapeId="0">
      <text>
        <t>v39
رفع عدم همگامی CR1A؛ حفظ محدودیت شواهد و کنترل جهت کیفیت</t>
      </text>
    </comment>
    <comment ref="J10" authorId="0" shapeId="0">
      <text>
        <t>v39
رفع عدم همگامی CR1A؛ حفظ محدودیت شواهد و کنترل جهت کیفیت</t>
      </text>
    </comment>
  </commentList>
</comments>
</file>

<file path=xl/comments/comment13.xml><?xml version="1.0" encoding="utf-8"?>
<comments xmlns="http://schemas.openxmlformats.org/spreadsheetml/2006/main">
  <authors>
    <author>ممیزی پروژه</author>
  </authors>
  <commentList>
    <comment ref="B10" authorId="0" shapeId="0">
      <text>
        <t>v39
دلایل نبود داده CR1A از ممیزی ردیفی v39؛ صفر واقعی جدا</t>
      </text>
    </comment>
    <comment ref="D10" authorId="0" shapeId="0">
      <text>
        <t>v39
دلایل نبود داده CR1A از ممیزی ردیفی v39؛ صفر واقعی جدا</t>
      </text>
    </comment>
    <comment ref="F10" authorId="0" shapeId="0">
      <text>
        <t>v39
دلایل نبود داده CR1A از ممیزی ردیفی v39؛ صفر واقعی جدا</t>
      </text>
    </comment>
    <comment ref="G10" authorId="0" shapeId="0">
      <text>
        <t>v39
دلایل نبود داده CR1A از ممیزی ردیفی v39؛ صفر واقعی جدا</t>
      </text>
    </comment>
    <comment ref="I10" authorId="0" shapeId="0">
      <text>
        <t>v39
دلایل نبود داده CR1A از ممیزی ردیفی v39؛ صفر واقعی جدا</t>
      </text>
    </comment>
    <comment ref="K10" authorId="0" shapeId="0">
      <text>
        <t>v39
شفاف سازی طبقات بدون تبدیل فقدان به صفر</t>
      </text>
    </comment>
  </commentList>
</comments>
</file>

<file path=xl/comments/comment14.xml><?xml version="1.0" encoding="utf-8"?>
<comments xmlns="http://schemas.openxmlformats.org/spreadsheetml/2006/main">
  <authors>
    <author>ممیزی پروژه</author>
  </authors>
  <commentList>
    <comment ref="A2" authorId="0" shapeId="0">
      <text>
        <t>v39
تفکیک ممیزی تاریخی از اصلاح فعلی و نمایش علت فقدان محاسبه</t>
      </text>
    </comment>
    <comment ref="M3" authorId="0" shapeId="0">
      <text>
        <t>v39
افزودن پرچم صریح برای اعداد تاریخی بازیابی نشده</t>
      </text>
    </comment>
    <comment ref="D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4" authorId="0" shapeId="0">
      <text>
        <t>v39
خطای طرح داده ورودی گزارش شد؛ فرمول های محافظت شده جایگزین خطای VALUE شدند.</t>
      </text>
    </comment>
    <comment ref="D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5" authorId="0" shapeId="0">
      <text>
        <t>v39
خطای طرح داده ورودی گزارش شد؛ فرمول های محافظت شده جایگزین خطای VALUE شدند.</t>
      </text>
    </comment>
    <comment ref="D6"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6"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6"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6" authorId="0" shapeId="0">
      <text>
        <t>v39
خطای طرح داده ورودی گزارش شد؛ فرمول های محافظت شده جایگزین خطای VALUE شدند.</t>
      </text>
    </comment>
    <comment ref="D7"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7"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7"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7" authorId="0" shapeId="0">
      <text>
        <t>v39
خطای طرح داده ورودی گزارش شد؛ فرمول های محافظت شده جایگزین خطای VALUE شدند.</t>
      </text>
    </comment>
    <comment ref="D8"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8"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F8" authorId="0" shapeId="0">
      <text>
        <t>v39
همگام سازی CR1A با پوشش محافظه کارانه؛ فرمول مرجع واحد</t>
      </text>
    </comment>
    <comment ref="G8" authorId="0" shapeId="0">
      <text>
        <t>v39
همگام سازی CR1A با پوشش محافظه کارانه؛ فرمول مرجع واحد</t>
      </text>
    </comment>
    <comment ref="J8"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L8" authorId="0" shapeId="0">
      <text>
        <t>v39
رفع عدم همگامی CR1A؛ حفظ محدودیت شواهد و کنترل جهت کیفیت</t>
      </text>
    </comment>
    <comment ref="M8" authorId="0" shapeId="0">
      <text>
        <t>v39
خطای طرح داده ورودی گزارش شد؛ فرمول های محافظت شده جایگزین خطای VALUE شدند.</t>
      </text>
    </comment>
    <comment ref="D9"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9"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9"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9" authorId="0" shapeId="0">
      <text>
        <t>v39
خطای طرح داده ورودی گزارش شد؛ فرمول های محافظت شده جایگزین خطای VALUE شدند.</t>
      </text>
    </comment>
    <comment ref="D10"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0"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0"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0" authorId="0" shapeId="0">
      <text>
        <t>v39
خطای طرح داده ورودی گزارش شد؛ فرمول های محافظت شده جایگزین خطای VALUE شدند.</t>
      </text>
    </comment>
    <comment ref="D11"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1"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1"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1" authorId="0" shapeId="0">
      <text>
        <t>v39
خطای طرح داده ورودی گزارش شد؛ فرمول های محافظت شده جایگزین خطای VALUE شدند.</t>
      </text>
    </comment>
    <comment ref="D12"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2"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2"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2" authorId="0" shapeId="0">
      <text>
        <t>v39
خطای طرح داده ورودی گزارش شد؛ فرمول های محافظت شده جایگزین خطای VALUE شدند.</t>
      </text>
    </comment>
    <comment ref="D13"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3"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3"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3" authorId="0" shapeId="0">
      <text>
        <t>v39
خطای طرح داده ورودی گزارش شد؛ فرمول های محافظت شده جایگزین خطای VALUE شدند.</t>
      </text>
    </comment>
    <comment ref="D1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4"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4" authorId="0" shapeId="0">
      <text>
        <t>v39
خطای طرح داده ورودی گزارش شد؛ فرمول های محافظت شده جایگزین خطای VALUE شدند.</t>
      </text>
    </comment>
    <comment ref="D1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E1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J15" authorId="0" shapeId="0">
      <text>
        <t>v39
در v38 ستون B برخلاف سرستون دارای عنوان متنی است؛ تا بازیابی عدد تاریخی، محاسبه نامعتبر خالی و علامت گذاری می شود. عدد حدسی جایگزین نشد.</t>
      </text>
    </comment>
    <comment ref="M15" authorId="0" shapeId="0">
      <text>
        <t>v39
خطای طرح داده ورودی گزارش شد؛ فرمول های محافظت شده جایگزین خطای VALUE شدند.</t>
      </text>
    </comment>
  </commentList>
</comments>
</file>

<file path=xl/comments/comment15.xml><?xml version="1.0" encoding="utf-8"?>
<comments xmlns="http://schemas.openxmlformats.org/spreadsheetml/2006/main">
  <authors>
    <author>ممیزی پروژه</author>
  </authors>
  <commentList>
    <comment ref="D7" authorId="0" shapeId="0">
      <text>
        <t>v39
همگام سازی وضعیت جاری C04؛ مقادیر تاریخی در Changes v39 محفوظ اند</t>
      </text>
    </comment>
    <comment ref="E7" authorId="0" shapeId="0">
      <text>
        <t>v39
ثبت حل جزئی تعارض CR1A</t>
      </text>
    </comment>
    <comment ref="G7" authorId="0" shapeId="0">
      <text>
        <t>v39
بازمحاسبه انجام شد اما تعارض باقی مانده بسته نشد</t>
      </text>
    </comment>
  </commentList>
</comments>
</file>

<file path=xl/comments/comment16.xml><?xml version="1.0" encoding="utf-8"?>
<comments xmlns="http://schemas.openxmlformats.org/spreadsheetml/2006/main">
  <authors>
    <author>ممیزی پروژه</author>
  </authors>
  <commentList>
    <comment ref="A18" authorId="0" shapeId="0">
      <text>
        <t>v39
اجرای اصلاح محاسباتی با گپ سندی مستقل</t>
      </text>
    </comment>
    <comment ref="B18" authorId="0" shapeId="0">
      <text>
        <t>v39
اجرای اصلاح محاسباتی با گپ سندی مستقل</t>
      </text>
    </comment>
    <comment ref="C18" authorId="0" shapeId="0">
      <text>
        <t>v39
اجرای اصلاح محاسباتی با گپ سندی مستقل</t>
      </text>
    </comment>
    <comment ref="D18" authorId="0" shapeId="0">
      <text>
        <t>v39
اجرای اصلاح محاسباتی با گپ سندی مستقل</t>
      </text>
    </comment>
    <comment ref="E18" authorId="0" shapeId="0">
      <text>
        <t>v39
اجرای اصلاح محاسباتی با گپ سندی مستقل</t>
      </text>
    </comment>
    <comment ref="A19" authorId="0" shapeId="0">
      <text>
        <t>v39
رفع خطای فرمول بدون حدس عدد تاریخی</t>
      </text>
    </comment>
    <comment ref="B19" authorId="0" shapeId="0">
      <text>
        <t>v39
رفع خطای فرمول بدون حدس عدد تاریخی</t>
      </text>
    </comment>
    <comment ref="C19" authorId="0" shapeId="0">
      <text>
        <t>v39
رفع خطای فرمول بدون حدس عدد تاریخی</t>
      </text>
    </comment>
    <comment ref="D19" authorId="0" shapeId="0">
      <text>
        <t>v39
رفع خطای فرمول بدون حدس عدد تاریخی</t>
      </text>
    </comment>
    <comment ref="E19" authorId="0" shapeId="0">
      <text>
        <t>v39
رفع خطای فرمول بدون حدس عدد تاریخی</t>
      </text>
    </comment>
  </commentList>
</comments>
</file>

<file path=xl/comments/comment17.xml><?xml version="1.0" encoding="utf-8"?>
<comments xmlns="http://schemas.openxmlformats.org/spreadsheetml/2006/main">
  <authors>
    <author>ممیزی پروژه</author>
  </authors>
  <commentList>
    <comment ref="D8" authorId="0" shapeId="0">
      <text>
        <t>v39
همگام سازی پوشش CR1A با منبع محاسباتی واحد</t>
      </text>
    </comment>
    <comment ref="E8" authorId="0" shapeId="0">
      <text>
        <t>v39
همگام سازی پوشش CR1A با منبع محاسباتی واحد</t>
      </text>
    </comment>
  </commentList>
</comments>
</file>

<file path=xl/comments/comment18.xml><?xml version="1.0" encoding="utf-8"?>
<comments xmlns="http://schemas.openxmlformats.org/spreadsheetml/2006/main">
  <authors>
    <author>ممیزی پروژه</author>
  </authors>
  <commentList>
    <comment ref="D8" authorId="0" shapeId="0">
      <text>
        <t>v39
همگام سازی پوشش CR1A با منبع محاسباتی واحد</t>
      </text>
    </comment>
    <comment ref="E8" authorId="0" shapeId="0">
      <text>
        <t>v39
همگام سازی پوشش CR1A با منبع محاسباتی واحد</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codal.ir/Reports/Attachment.aspx?LetterSerial=Cxkdj8wztt52xU9MoBXp2w%3d%3d" TargetMode="External" Id="rId1"/></Relationships>
</file>

<file path=xl/worksheets/_rels/sheet4.xml.rels><Relationships xmlns="http://schemas.openxmlformats.org/package/2006/relationships"><Relationship Type="http://schemas.openxmlformats.org/officeDocument/2006/relationships/hyperlink" Target="https://www.tejaratbank.ir/web_directory/1679-Board-of-Directors-and-Director.html" TargetMode="External" Id="rId1"/><Relationship Type="http://schemas.openxmlformats.org/officeDocument/2006/relationships/hyperlink" Target="https://www.tejaratbank.ir/general_content/1520654-Board-Of-Directors.html" TargetMode="External" Id="rId2"/><Relationship Type="http://schemas.openxmlformats.org/officeDocument/2006/relationships/hyperlink" Target="https://www.tejaratbank.ir/news/2061976-tejaratbank.html" TargetMode="External" Id="rId3"/><Relationship Type="http://schemas.openxmlformats.org/officeDocument/2006/relationships/hyperlink" Target="https://www.codal.ir/Reports/Decision.aspx?LetterSerial=UtkvD7QAtPic497u28Cz6g%3d%3d&amp;rt=3&amp;let=90&amp;ct=0&amp;ft=-1" TargetMode="External" Id="rId4"/><Relationship Type="http://schemas.openxmlformats.org/officeDocument/2006/relationships/hyperlink" Target="https://saoi.ir/&#1705;&#1588;&#1578;&#1740;&#1585;&#1575;&#1606;&#1740;-&#1580;&#1605;&#1607;&#1608;&#1585;&#1740;-&#1575;&#1587;&#1604;&#1575;&#1605;&#1740;-&#1575;&#1740;&#1585;&#1575;&#1606;/" TargetMode="External" Id="rId5"/><Relationship Type="http://schemas.openxmlformats.org/officeDocument/2006/relationships/hyperlink" Target="https://www.codal.ir/Reports/Decision.aspx?LetterSerial=tL1npzfj3XSDR4oEqs1VIw%3d%3d&amp;rt=3&amp;let=19&amp;ct=0&amp;ft=-1" TargetMode="External" Id="rId6"/><Relationship Type="http://schemas.openxmlformats.org/officeDocument/2006/relationships/hyperlink" Target="https://www.codal.ir/Reports/Decision.aspx?LetterSerial=ag9Rd4I5seaRFhQQQaQQQiZlm5lQ%3d%3d&amp;rt=2&amp;let=19&amp;ct=0&amp;ft=-1" TargetMode="External" Id="rId7"/><Relationship Type="http://schemas.openxmlformats.org/officeDocument/2006/relationships/hyperlink" Target="https://www.codal.ir/Reports/Attachment.aspx?LetterSerial=Cxkdj8wztt52xU9MoBXp2w%3d%3d" TargetMode="External" Id="rId8"/></Relationships>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https://www.codal.ir/Reports/Decision.aspx?LetterSerial=ULk65ZOHpAkFOOObOOOb3pLpblJQ%3d%3d&amp;rt=0&amp;let=19&amp;ct=0&amp;ft=-1%0ahttps://www.codal.ir/Reports/Decision.aspx?LetterSerial=kealwqnfPYdWwbR3UB9uZw%3d%3d&amp;rt=0&amp;let=19&amp;ct=0&amp;ft=-1" TargetMode="External" Id="rId1"/><Relationship Type="http://schemas.openxmlformats.org/officeDocument/2006/relationships/hyperlink" Target="https://www.codal.ir/Reports/Decision.aspx?LetterSerial=sjHofZygVLXICVj8iXL3Aw%3d%3d&amp;rt=0&amp;let=19&amp;ct=0&amp;ft=-1%0ahttps://www.codal.ir/Reports/Decision.aspx?LetterSerial=1kqm2T6e5zV5EQQQaQQQKdlIj9HA%3d%3d&amp;rt=0&amp;let=19&amp;ct=0&amp;ft=-1" TargetMode="External" Id="rId2"/><Relationship Type="http://schemas.openxmlformats.org/officeDocument/2006/relationships/hyperlink" Target="https://www.codal.ir/Reports/Attachment.aspx?LetterSerial=W3P2HVjIaDXFbdMemqSeUA%3d%3d%0ahttps://www.codal.ir/Reports/Attachment.aspx?LetterSerial=F0veQQQaQQQX4tai7nAftHYyrDhg%3d%3d" TargetMode="External" Id="rId3"/><Relationship Type="http://schemas.openxmlformats.org/officeDocument/2006/relationships/hyperlink" Target="https://www.codal.ir/Reports/Decision.aspx?LetterSerial=gsard4xmaj4Zi8yOS8AWMA%3d%3d&amp;rt=5&amp;let=19&amp;ct=0&amp;ft=-1%0ahttps://www.codal.ir/Reports/Decision.aspx?LetterSerial=4P4QQQaQQQssbMX9ZMuZVciqBKOOObOOOg%3d%3d&amp;rt=5&amp;let=19&amp;ct=0&amp;ft=-1" TargetMode="External" Id="rId4"/><Relationship Type="http://schemas.openxmlformats.org/officeDocument/2006/relationships/hyperlink" Target="https://www.codal.ir/Reports/Decision.aspx?LetterSerial=b8oxHadTuSstqVNc5Bqzjw%3d%3d&amp;rt=2&amp;let=19&amp;ct=0&amp;ft=-1%0ahttps://www.codal.ir/Reports/Decision.aspx?LetterSerial=pk2gUF4FVfw9cOOObOOOOR6kSTDg%3d%3d&amp;rt=2&amp;let=19&amp;ct=0&amp;ft=-1" TargetMode="External" Id="rId5"/><Relationship Type="http://schemas.openxmlformats.org/officeDocument/2006/relationships/hyperlink" Target="https://www.codal.ir/Reports/Decision.aspx?LetterSerial=BgB1TPEYicGYh74gmrG9mA%3d%3d&amp;rt=0&amp;let=19&amp;ct=0&amp;ft=-1%0ahttps://www.codal.ir/Reports/Decision.aspx?LetterSerial=zWRtzdFgEWKY0H4XNrzRzA%3d%3d&amp;rt=0&amp;let=19&amp;ct=0&amp;ft=-1" TargetMode="External" Id="rId6"/><Relationship Type="http://schemas.openxmlformats.org/officeDocument/2006/relationships/hyperlink" Target="https://www.codal.ir/Reports/Decision.aspx?LetterSerial=b9uqvOIQIMvyGYAfsuoWUg%3d%3d&amp;rt=2&amp;let=19&amp;ct=0&amp;ft=-1%0ahttps://www.codal.ir/Reports/Decision.aspx?LetterSerial=ytYjZCpQQQaQQQ34BFQkm8DLxX9A%3d%3d&amp;rt=2&amp;let=19&amp;ct=0&amp;ft=-1" TargetMode="External" Id="rId7"/><Relationship Type="http://schemas.openxmlformats.org/officeDocument/2006/relationships/hyperlink" Target="https://www.codal.ir/Reports/Attachment.aspx?LetterSerial=qQQQaQQQXL8Mm5NCUb8eyBSic7hA%3d%3d%0ahttps://www.codal.ir/Reports/Attachment.aspx?LetterSerial=lWuukNFzDitnWL7VD4weCA%3d%3d" TargetMode="External" Id="rId8"/><Relationship Type="http://schemas.openxmlformats.org/officeDocument/2006/relationships/hyperlink" Target="https://www.codal.ir/Reports/Attachment.aspx?LetterSerial=lIOOObOOOFuv6MQlLw20bmBKF3Cw%3d%3d%0ahttps://www.codal.ir/Reports/Attachment.aspx?LetterSerial=DjTPnm9Pa79X4Gv1Zp8FQQQaQQQQ%3d%3d" TargetMode="External" Id="rId9"/><Relationship Type="http://schemas.openxmlformats.org/officeDocument/2006/relationships/hyperlink" Target="https://www.codal.ir/Reports/Attachment.aspx?LetterSerial=RjOGt7pH1eRnl2ioIPNqDg%3d%3d%0ahttps://www.codal.ir/Reports/Decision.aspx?LetterSerial=XPg1kJyBIkadWnCXHnsdKg%3d%3d&amp;rt=0&amp;let=19&amp;ct=0&amp;ft=-1" TargetMode="External" Id="rId10"/><Relationship Type="http://schemas.openxmlformats.org/officeDocument/2006/relationships/hyperlink" Target="https://www.codal.ir/Reports/Decision.aspx?LetterSerial=V8TQGa6IRAmh3pwzvDL0KQ%3d%3d&amp;rt=0&amp;let=19&amp;ct=0&amp;ft=-1%0ahttps://www.codal.ir/Reports/Decision.aspx?LetterSerial=IYIOOObOOO6mh6t3bHqdV5BigMrg%3d%3d&amp;rt=0&amp;let=19&amp;ct=0&amp;ft=-1" TargetMode="External" Id="rId11"/><Relationship Type="http://schemas.openxmlformats.org/officeDocument/2006/relationships/hyperlink" Target="https://www.codal.ir/Reports/Attachment.aspx?LetterSerial=Pzx8AUWEOOObOOOMcLjZdiSXNAoA%3d%3d%0ahttps://www.codal.ir/Reports/Attachment.aspx?LetterSerial=L6jPydiKkSCQR9kVCKMgkg%3d%3d" TargetMode="External" Id="rId12"/><Relationship Type="http://schemas.openxmlformats.org/officeDocument/2006/relationships/hyperlink" Target="https://www.codal.ir/Reports/Attachment.aspx?LetterSerial=l18osNfAAH2DvvstKQQQaQQQYuHQ%3d%3d%0ahttps://www.codal.ir/Reports/Decision.aspx?LetterSerial=GSIO5iJOn2Ini6eniOOOObOOOopw%3d%3d&amp;rt=5&amp;let=19&amp;ct=0&amp;ft=-1%0ahttps://www.codal.ir/Reports/Decision.aspx?LetterSerial=iXcFNxwCjn4aV4ptXi6QQQaQQQjA%3d%3d&amp;rt=5&amp;let=19&amp;ct=0&amp;ft=-1" TargetMode="External" Id="rId13"/><Relationship Type="http://schemas.openxmlformats.org/officeDocument/2006/relationships/hyperlink" Target="https://www.codal.ir/Reports/Attachment.aspx?LetterSerial=7DOfnJSrljlS4F1ZUoECfA%3d%3d%0ahttps://www.codal.ir/Reports/Decision.aspx?LetterSerial=BY8YXlJLNgWdHoQQQaQQQN2kMTZQ%3d%3d&amp;rt=0&amp;let=19&amp;ct=0&amp;ft=-1%0ahttps://www.codal.ir/Reports/Decision.aspx?LetterSerial=zrRXQNzllX2hozqxWf2Nng%3d%3d&amp;rt=0&amp;let=19&amp;ct=0&amp;ft=-1" TargetMode="External" Id="rId14"/><Relationship Type="http://schemas.openxmlformats.org/officeDocument/2006/relationships/hyperlink" Target="https://www.codal.ir/Reports/Attachment.aspx?LetterSerial=AcoEbrF1YWBxnIP9D2INbA%3d%3d%0ahttps://www.codal.ir/Reports/Attachment.aspx?LetterSerial=bRnwYafN0uOG5s7eZOOObOOObCPw%3d%3d%0ahttps://www.codal.ir/Reports/Decision.aspx?LetterSerial=GYYJgW0mQQQaQQQdbvnpR6QLaHlA%3d%3d&amp;rt=2&amp;let=19&amp;ct=0&amp;ft=-1%0ahttps://www.codal.ir/Reports/Decision.aspx?LetterSerial=AHwQQQaQQQkHcUkc0pfBa2dXOOObOOOE3Q%3d%3d&amp;rt=2&amp;let=19&amp;ct=0&amp;ft=-1" TargetMode="External" Id="rId15"/><Relationship Type="http://schemas.openxmlformats.org/officeDocument/2006/relationships/hyperlink" Target="https://www.codal.ir/Reports/Attachment.aspx?LetterSerial=CM4mqa3Wz2h9LMqk4uVACQ%3d%3d%0ahttps://www.codal.ir/Reports/Attachment.aspx?LetterSerial=L3pmVuuRgm42MhLxuM1ElQ%3d%3d%0ahttps://www.codal.ir/Reports/Decision.aspx?LetterSerial=1UEyCQ9gyduKzNiiDDNXUA%3d%3d&amp;rt=2&amp;let=19&amp;ct=0&amp;ft=-1%0ahttps://www.codal.ir/Reports/Decision.aspx?LetterSerial=heZfln7kl6v8fiuPpe5P4g%3d%3d&amp;rt=2&amp;let=19&amp;ct=0&amp;ft=-1" TargetMode="External" Id="rId16"/><Relationship Type="http://schemas.openxmlformats.org/officeDocument/2006/relationships/hyperlink" Target="https://www.codal.ir/Reports/Decision.aspx?LetterSerial=0rlsOOObOOOEFaa9IMoCD90IUbxA%3d%3d&amp;rt=0&amp;let=19&amp;ct=0&amp;ft=-1%0ahttps://www.codal.ir/Reports/Decision.aspx?LetterSerial=UJ1so0i61H6WpTMWJ3OsCA%3d%3d&amp;rt=0&amp;let=19&amp;ct=0&amp;ft=-1" TargetMode="External" Id="rId17"/><Relationship Type="http://schemas.openxmlformats.org/officeDocument/2006/relationships/hyperlink" Target="https://www.codal.ir/Reports/Attachment.aspx?LetterSerial=qF6WQQQaQQQvb3G9yQQQaQQQVuknoGcUQQ%3d%3d%0ahttps://www.codal.ir/Reports/Attachment.aspx?LetterSerial=Ln6R9zsWXNJqeuz97OOObOOOaACw%3d%3d%0ahttps://www.codal.ir/Reports/Decision.aspx?LetterSerial=EkFsjyhmhfXBQoQQQaQQQTg7cqCw%3d%3d&amp;rt=5&amp;let=19&amp;ct=0&amp;ft=-1" TargetMode="External" Id="rId18"/><Relationship Type="http://schemas.openxmlformats.org/officeDocument/2006/relationships/hyperlink" Target="https://www.codal.ir/Reports/Decision.aspx?LetterSerial=pMyRiSQQQaQQQwMIoymmCCqmzwtg%3d%3d&amp;rt=3&amp;let=19&amp;ct=0&amp;ft=-1%0ahttps://www.codal.ir/Reports/Decision.aspx?LetterSerial=jqQzOOObOOOZ5mOOObOOO0IdbSC6088ERA%3d%3d&amp;rt=3&amp;let=19&amp;ct=0&amp;ft=-1" TargetMode="External" Id="rId19"/><Relationship Type="http://schemas.openxmlformats.org/officeDocument/2006/relationships/hyperlink" Target="https://www.codal.ir/Reports/Attachment.aspx?LetterSerial=HChwyLb11ZnzYeIEeB3Jng%3d%3d%0ahttps://www.codal.ir/Reports/Attachment.aspx?LetterSerial=p0cfFj1rDsXiFZsu35tCWw%3d%3d" TargetMode="External" Id="rId20"/><Relationship Type="http://schemas.openxmlformats.org/officeDocument/2006/relationships/hyperlink" Target="https://www.codal.ir/Reports/Attachment.aspx?LetterSerial=Cxkdj8wztt52xU9MoBXp2w%3d%3d" TargetMode="External" Id="rId2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6.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21.xml.rels><Relationships xmlns="http://schemas.openxmlformats.org/package/2006/relationships"><Relationship Type="http://schemas.openxmlformats.org/officeDocument/2006/relationships/hyperlink" Target="https://www.codal.ir/Reports/Decision.aspx?LetterSerial=ULk65ZOHpAkFOOObOOOb3pLpblJQ%3d%3d&amp;rt=0&amp;let=19&amp;ct=0&amp;ft=-1" TargetMode="External" Id="rId1"/><Relationship Type="http://schemas.openxmlformats.org/officeDocument/2006/relationships/hyperlink" Target="https://www.codal.ir/Reports/Decision.aspx?LetterSerial=kealwqnfPYdWwbR3UB9uZw%3d%3d&amp;rt=0&amp;let=19&amp;ct=0&amp;ft=-1" TargetMode="External" Id="rId2"/><Relationship Type="http://schemas.openxmlformats.org/officeDocument/2006/relationships/hyperlink" Target="https://www.codal.ir/Reports/Decision.aspx?LetterSerial=sjHofZygVLXICVj8iXL3Aw%3d%3d&amp;rt=0&amp;let=19&amp;ct=0&amp;ft=-1" TargetMode="External" Id="rId3"/><Relationship Type="http://schemas.openxmlformats.org/officeDocument/2006/relationships/hyperlink" Target="https://www.codal.ir/Reports/Decision.aspx?LetterSerial=1kqm2T6e5zV5EQQQaQQQKdlIj9HA%3d%3d&amp;rt=0&amp;let=19&amp;ct=0&amp;ft=-1" TargetMode="External" Id="rId4"/><Relationship Type="http://schemas.openxmlformats.org/officeDocument/2006/relationships/hyperlink" Target="https://www.codal.ir/Reports/Attachment.aspx?LetterSerial=W3P2HVjIaDXFbdMemqSeUA%3d%3d" TargetMode="External" Id="rId5"/><Relationship Type="http://schemas.openxmlformats.org/officeDocument/2006/relationships/hyperlink" Target="https://www.codal.ir/Reports/Attachment.aspx?LetterSerial=F0veQQQaQQQX4tai7nAftHYyrDhg%3d%3d" TargetMode="External" Id="rId6"/><Relationship Type="http://schemas.openxmlformats.org/officeDocument/2006/relationships/hyperlink" Target="https://www.codal.ir/Reports/Decision.aspx?LetterSerial=gsard4xmaj4Zi8yOS8AWMA%3d%3d&amp;rt=5&amp;let=19&amp;ct=0&amp;ft=-1" TargetMode="External" Id="rId7"/><Relationship Type="http://schemas.openxmlformats.org/officeDocument/2006/relationships/hyperlink" Target="https://www.codal.ir/Reports/Decision.aspx?LetterSerial=4P4QQQaQQQssbMX9ZMuZVciqBKOOObOOOg%3d%3d&amp;rt=5&amp;let=19&amp;ct=0&amp;ft=-1" TargetMode="External" Id="rId8"/><Relationship Type="http://schemas.openxmlformats.org/officeDocument/2006/relationships/hyperlink" Target="https://www.codal.ir/Reports/Attachment.aspx?LetterSerial=Cxkdj8wztt52xU9MoBXp2w%3d%3d" TargetMode="External" Id="rId9"/><Relationship Type="http://schemas.openxmlformats.org/officeDocument/2006/relationships/hyperlink" Target="https://www.codal.ir/Reports/Decision.aspx?LetterSerial=b8oxHadTuSstqVNc5Bqzjw%3d%3d&amp;rt=2&amp;let=19&amp;ct=0&amp;ft=-1" TargetMode="External" Id="rId10"/><Relationship Type="http://schemas.openxmlformats.org/officeDocument/2006/relationships/hyperlink" Target="https://www.codal.ir/Reports/Decision.aspx?LetterSerial=pk2gUF4FVfw9cOOObOOOOR6kSTDg%3d%3d&amp;rt=2&amp;let=19&amp;ct=0&amp;ft=-1" TargetMode="External" Id="rId11"/><Relationship Type="http://schemas.openxmlformats.org/officeDocument/2006/relationships/hyperlink" Target="https://www.codal.ir/Reports/Decision.aspx?LetterSerial=BgB1TPEYicGYh74gmrG9mA%3d%3d&amp;rt=0&amp;let=19&amp;ct=0&amp;ft=-1" TargetMode="External" Id="rId12"/><Relationship Type="http://schemas.openxmlformats.org/officeDocument/2006/relationships/hyperlink" Target="https://www.codal.ir/Reports/Decision.aspx?LetterSerial=zWRtzdFgEWKY0H4XNrzRzA%3d%3d&amp;rt=0&amp;let=19&amp;ct=0&amp;ft=-1" TargetMode="External" Id="rId13"/><Relationship Type="http://schemas.openxmlformats.org/officeDocument/2006/relationships/hyperlink" Target="https://www.codal.ir/Reports/Decision.aspx?LetterSerial=b9uqvOIQIMvyGYAfsuoWUg%3d%3d&amp;rt=2&amp;let=19&amp;ct=0&amp;ft=-1" TargetMode="External" Id="rId14"/><Relationship Type="http://schemas.openxmlformats.org/officeDocument/2006/relationships/hyperlink" Target="https://www.codal.ir/Reports/Decision.aspx?LetterSerial=ytYjZCpQQQaQQQ34BFQkm8DLxX9A%3d%3d&amp;rt=2&amp;let=19&amp;ct=0&amp;ft=-1" TargetMode="External" Id="rId15"/><Relationship Type="http://schemas.openxmlformats.org/officeDocument/2006/relationships/hyperlink" Target="https://www.codal.ir/Reports/Attachment.aspx?LetterSerial=qQQQaQQQXL8Mm5NCUb8eyBSic7hA%3d%3d" TargetMode="External" Id="rId16"/><Relationship Type="http://schemas.openxmlformats.org/officeDocument/2006/relationships/hyperlink" Target="https://www.codal.ir/Reports/Attachment.aspx?LetterSerial=lWuukNFzDitnWL7VD4weCA%3d%3d" TargetMode="External" Id="rId17"/><Relationship Type="http://schemas.openxmlformats.org/officeDocument/2006/relationships/hyperlink" Target="https://www.codal.ir/Reports/Attachment.aspx?LetterSerial=lIOOObOOOFuv6MQlLw20bmBKF3Cw%3d%3d" TargetMode="External" Id="rId18"/><Relationship Type="http://schemas.openxmlformats.org/officeDocument/2006/relationships/hyperlink" Target="https://www.codal.ir/Reports/Attachment.aspx?LetterSerial=DjTPnm9Pa79X4Gv1Zp8FQQQaQQQQ%3d%3d" TargetMode="External" Id="rId19"/><Relationship Type="http://schemas.openxmlformats.org/officeDocument/2006/relationships/hyperlink" Target="https://www.codal.ir/Reports/Attachment.aspx?LetterSerial=RjOGt7pH1eRnl2ioIPNqDg%3d%3d" TargetMode="External" Id="rId20"/><Relationship Type="http://schemas.openxmlformats.org/officeDocument/2006/relationships/hyperlink" Target="https://www.codal.ir/Reports/Decision.aspx?LetterSerial=XPg1kJyBIkadWnCXHnsdKg%3d%3d&amp;rt=0&amp;let=19&amp;ct=0&amp;ft=-1" TargetMode="External" Id="rId21"/><Relationship Type="http://schemas.openxmlformats.org/officeDocument/2006/relationships/hyperlink" Target="https://www.codal.ir/Reports/Decision.aspx?LetterSerial=V8TQGa6IRAmh3pwzvDL0KQ%3d%3d&amp;rt=0&amp;let=19&amp;ct=0&amp;ft=-1" TargetMode="External" Id="rId22"/><Relationship Type="http://schemas.openxmlformats.org/officeDocument/2006/relationships/hyperlink" Target="https://www.codal.ir/Reports/Decision.aspx?LetterSerial=IYIOOObOOO6mh6t3bHqdV5BigMrg%3d%3d&amp;rt=0&amp;let=19&amp;ct=0&amp;ft=-1" TargetMode="External" Id="rId23"/><Relationship Type="http://schemas.openxmlformats.org/officeDocument/2006/relationships/hyperlink" Target="https://www.codal.ir/Reports/Attachment.aspx?LetterSerial=Pzx8AUWEOOObOOOMcLjZdiSXNAoA%3d%3d" TargetMode="External" Id="rId24"/><Relationship Type="http://schemas.openxmlformats.org/officeDocument/2006/relationships/hyperlink" Target="https://www.codal.ir/Reports/Attachment.aspx?LetterSerial=L6jPydiKkSCQR9kVCKMgkg%3d%3d" TargetMode="External" Id="rId25"/><Relationship Type="http://schemas.openxmlformats.org/officeDocument/2006/relationships/hyperlink" Target="https://www.codal.ir/Reports/Attachment.aspx?LetterSerial=l18osNfAAH2DvvstKQQQaQQQYuHQ%3d%3d" TargetMode="External" Id="rId26"/><Relationship Type="http://schemas.openxmlformats.org/officeDocument/2006/relationships/hyperlink" Target="https://www.codal.ir/Reports/Decision.aspx?LetterSerial=GSIO5iJOn2Ini6eniOOOObOOOopw%3d%3d&amp;rt=5&amp;let=19&amp;ct=0&amp;ft=-1" TargetMode="External" Id="rId27"/><Relationship Type="http://schemas.openxmlformats.org/officeDocument/2006/relationships/hyperlink" Target="https://www.codal.ir/Reports/Decision.aspx?LetterSerial=iXcFNxwCjn4aV4ptXi6QQQaQQQjA%3d%3d&amp;rt=5&amp;let=19&amp;ct=0&amp;ft=-1" TargetMode="External" Id="rId28"/><Relationship Type="http://schemas.openxmlformats.org/officeDocument/2006/relationships/hyperlink" Target="https://www.codal.ir/Reports/Attachment.aspx?LetterSerial=7DOfnJSrljlS4F1ZUoECfA%3d%3d" TargetMode="External" Id="rId29"/><Relationship Type="http://schemas.openxmlformats.org/officeDocument/2006/relationships/hyperlink" Target="https://www.codal.ir/Reports/Decision.aspx?LetterSerial=BY8YXlJLNgWdHoQQQaQQQN2kMTZQ%3d%3d&amp;rt=0&amp;let=19&amp;ct=0&amp;ft=-1" TargetMode="External" Id="rId30"/><Relationship Type="http://schemas.openxmlformats.org/officeDocument/2006/relationships/hyperlink" Target="https://www.codal.ir/Reports/Decision.aspx?LetterSerial=zrRXQNzllX2hozqxWf2Nng%3d%3d&amp;rt=0&amp;let=19&amp;ct=0&amp;ft=-1" TargetMode="External" Id="rId31"/><Relationship Type="http://schemas.openxmlformats.org/officeDocument/2006/relationships/hyperlink" Target="https://www.codal.ir/Reports/Attachment.aspx?LetterSerial=AcoEbrF1YWBxnIP9D2INbA%3d%3d" TargetMode="External" Id="rId32"/><Relationship Type="http://schemas.openxmlformats.org/officeDocument/2006/relationships/hyperlink" Target="https://www.codal.ir/Reports/Attachment.aspx?LetterSerial=bRnwYafN0uOG5s7eZOOObOOObCPw%3d%3d" TargetMode="External" Id="rId33"/><Relationship Type="http://schemas.openxmlformats.org/officeDocument/2006/relationships/hyperlink" Target="https://www.codal.ir/Reports/Decision.aspx?LetterSerial=GYYJgW0mQQQaQQQdbvnpR6QLaHlA%3d%3d&amp;rt=2&amp;let=19&amp;ct=0&amp;ft=-1" TargetMode="External" Id="rId34"/><Relationship Type="http://schemas.openxmlformats.org/officeDocument/2006/relationships/hyperlink" Target="https://www.codal.ir/Reports/Decision.aspx?LetterSerial=AHwQQQaQQQkHcUkc0pfBa2dXOOObOOOE3Q%3d%3d&amp;rt=2&amp;let=19&amp;ct=0&amp;ft=-1" TargetMode="External" Id="rId35"/><Relationship Type="http://schemas.openxmlformats.org/officeDocument/2006/relationships/hyperlink" Target="https://www.codal.ir/Reports/Attachment.aspx?LetterSerial=CM4mqa3Wz2h9LMqk4uVACQ%3d%3d" TargetMode="External" Id="rId36"/><Relationship Type="http://schemas.openxmlformats.org/officeDocument/2006/relationships/hyperlink" Target="https://www.codal.ir/Reports/Attachment.aspx?LetterSerial=L3pmVuuRgm42MhLxuM1ElQ%3d%3d" TargetMode="External" Id="rId37"/><Relationship Type="http://schemas.openxmlformats.org/officeDocument/2006/relationships/hyperlink" Target="https://www.codal.ir/Reports/Decision.aspx?LetterSerial=1UEyCQ9gyduKzNiiDDNXUA%3d%3d&amp;rt=2&amp;let=19&amp;ct=0&amp;ft=-1" TargetMode="External" Id="rId38"/><Relationship Type="http://schemas.openxmlformats.org/officeDocument/2006/relationships/hyperlink" Target="https://www.codal.ir/Reports/Decision.aspx?LetterSerial=heZfln7kl6v8fiuPpe5P4g%3d%3d&amp;rt=2&amp;let=19&amp;ct=0&amp;ft=-1" TargetMode="External" Id="rId39"/><Relationship Type="http://schemas.openxmlformats.org/officeDocument/2006/relationships/hyperlink" Target="https://www.codal.ir/Reports/Decision.aspx?LetterSerial=0rlsOOObOOOEFaa9IMoCD90IUbxA%3d%3d&amp;rt=0&amp;let=19&amp;ct=0&amp;ft=-1" TargetMode="External" Id="rId40"/><Relationship Type="http://schemas.openxmlformats.org/officeDocument/2006/relationships/hyperlink" Target="https://www.codal.ir/Reports/Decision.aspx?LetterSerial=UJ1so0i61H6WpTMWJ3OsCA%3d%3d&amp;rt=0&amp;let=19&amp;ct=0&amp;ft=-1" TargetMode="External" Id="rId41"/><Relationship Type="http://schemas.openxmlformats.org/officeDocument/2006/relationships/hyperlink" Target="https://www.codal.ir/Reports/Attachment.aspx?LetterSerial=qF6WQQQaQQQvb3G9yQQQaQQQVuknoGcUQQ%3d%3d" TargetMode="External" Id="rId42"/><Relationship Type="http://schemas.openxmlformats.org/officeDocument/2006/relationships/hyperlink" Target="https://www.codal.ir/Reports/Attachment.aspx?LetterSerial=Ln6R9zsWXNJqeuz97OOObOOOaACw%3d%3d" TargetMode="External" Id="rId43"/><Relationship Type="http://schemas.openxmlformats.org/officeDocument/2006/relationships/hyperlink" Target="https://www.codal.ir/Reports/Decision.aspx?LetterSerial=EkFsjyhmhfXBQoQQQaQQQTg7cqCw%3d%3d&amp;rt=5&amp;let=19&amp;ct=0&amp;ft=-1" TargetMode="External" Id="rId44"/><Relationship Type="http://schemas.openxmlformats.org/officeDocument/2006/relationships/hyperlink" Target="https://www.codal.ir/Reports/Decision.aspx?LetterSerial=pMyRiSQQQaQQQwMIoymmCCqmzwtg%3d%3d&amp;rt=3&amp;let=19&amp;ct=0&amp;ft=-1" TargetMode="External" Id="rId45"/><Relationship Type="http://schemas.openxmlformats.org/officeDocument/2006/relationships/hyperlink" Target="https://www.codal.ir/Reports/Decision.aspx?LetterSerial=jqQzOOObOOOZ5mOOObOOO0IdbSC6088ERA%3d%3d&amp;rt=3&amp;let=19&amp;ct=0&amp;ft=-1" TargetMode="External" Id="rId46"/><Relationship Type="http://schemas.openxmlformats.org/officeDocument/2006/relationships/hyperlink" Target="https://www.codal.ir/Reports/Attachment.aspx?LetterSerial=HChwyLb11ZnzYeIEeB3Jng%3d%3d" TargetMode="External" Id="rId47"/><Relationship Type="http://schemas.openxmlformats.org/officeDocument/2006/relationships/hyperlink" Target="https://www.codal.ir/Reports/Attachment.aspx?LetterSerial=p0cfFj1rDsXiFZsu35tCWw%3d%3d" TargetMode="External" Id="rId48"/><Relationship Type="http://schemas.openxmlformats.org/officeDocument/2006/relationships/hyperlink" Target="https://www.codal.ir/Reports/Attachment.aspx?LetterSerial=Cxkdj8wztt52xU9MoBXp2w%3d%3d" TargetMode="External" Id="rId49"/></Relationships>
</file>

<file path=xl/worksheets/_rels/sheet23.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2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8.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9.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32.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33.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42.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43.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4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6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sheetPr>
    <outlinePr summaryBelow="1" summaryRight="1"/>
    <pageSetUpPr fitToPage="1"/>
  </sheetPr>
  <dimension ref="A1:D17"/>
  <sheetViews>
    <sheetView showGridLines="0" rightToLeft="1" tabSelected="1" zoomScale="85" workbookViewId="0">
      <pane xSplit="1" ySplit="3" topLeftCell="B4" activePane="bottomRight" state="frozen"/>
      <selection pane="topRight" activeCell="A1" sqref="A1"/>
      <selection pane="bottomLeft" activeCell="A1" sqref="A1"/>
      <selection pane="bottomRight" activeCell="A1" sqref="A1:D1"/>
    </sheetView>
  </sheetViews>
  <sheetFormatPr baseColWidth="10" defaultColWidth="8.83203125" defaultRowHeight="15"/>
  <cols>
    <col width="30" customWidth="1" style="76" min="1" max="1"/>
    <col width="31" customWidth="1" style="76" min="2" max="2"/>
    <col width="91" customWidth="1" style="76" min="3" max="3"/>
    <col width="45" customWidth="1" style="76" min="4" max="4"/>
  </cols>
  <sheetData>
    <row r="1" ht="38" customHeight="1" s="76">
      <c r="A1" s="75" t="inlineStr">
        <is>
          <t>نتیجه بررسی v39</t>
        </is>
      </c>
    </row>
    <row r="2" ht="44" customHeight="1" s="76">
      <c r="A2" s="77" t="inlineStr">
        <is>
          <t>فایل مبنا v38 دست نخورده است. این نسخه تکمیل محاسبات است، نه ادعای تکمیل همه اسناد.</t>
        </is>
      </c>
    </row>
    <row r="3" ht="36" customHeight="1" s="76">
      <c r="A3" s="55" t="inlineStr">
        <is>
          <t>موضوع</t>
        </is>
      </c>
      <c r="B3" s="55" t="inlineStr">
        <is>
          <t>نتیجه</t>
        </is>
      </c>
      <c r="C3" s="55" t="inlineStr">
        <is>
          <t>توضیح</t>
        </is>
      </c>
      <c r="D3" s="55" t="inlineStr">
        <is>
          <t>منبع یا روش</t>
        </is>
      </c>
    </row>
    <row r="4" ht="79" customHeight="1" s="76">
      <c r="A4" s="56" t="inlineStr">
        <is>
          <t>وضعیت اجرا</t>
        </is>
      </c>
      <c r="B4" s="56" t="inlineStr">
        <is>
          <t>محاسبات تکمیل؛ اسناد ناقص</t>
        </is>
      </c>
      <c r="C4" s="56" t="inlineStr">
        <is>
          <t>CR1A بازسازی محاسباتی شد و خروجی ها همگام شدند. سه پرونده سندی هنوز باز هستند.</t>
        </is>
      </c>
      <c r="D4" s="56" t="inlineStr">
        <is>
          <t>Gap Review v39</t>
        </is>
      </c>
    </row>
    <row r="5" ht="79" customHeight="1" s="76">
      <c r="A5" s="57" t="inlineStr">
        <is>
          <t>پوشش عددی تغییر رئیس</t>
        </is>
      </c>
      <c r="B5" s="58" t="str">
        <f>'CR1A v39'!B38&amp;" از "&amp;'CR1A v39'!B44</f>
        <v>27 از 30</v>
      </c>
      <c r="C5" s="57" t="inlineStr">
        <is>
          <t>شامل همه کدهای موجود صفر و یک، حتی فملی که تعارض باز دارد.</t>
        </is>
      </c>
      <c r="D5" s="57" t="inlineStr">
        <is>
          <t>CR1A v39؛ ستون C</t>
        </is>
      </c>
    </row>
    <row r="6" ht="79" customHeight="1" s="76">
      <c r="A6" s="56" t="inlineStr">
        <is>
          <t>پوشش محافظه کارانه</t>
        </is>
      </c>
      <c r="B6" s="59" t="str">
        <f>'CR1A v39'!B39&amp;" از "&amp;'CR1A v39'!B44</f>
        <v>26 از 30</v>
      </c>
      <c r="C6" s="56" t="inlineStr">
        <is>
          <t>بدون تعارض باز ثبت شده؛ تایید مستقل جدید همه منابع نیست. این عدد به جدول استاد منتقل شده است.</t>
        </is>
      </c>
      <c r="D6" s="56" t="inlineStr">
        <is>
          <t>CR1A v39؛ ستون F</t>
        </is>
      </c>
    </row>
    <row r="7" ht="79" customHeight="1" s="76">
      <c r="A7" s="57" t="inlineStr">
        <is>
          <t>موارد خارج از مجموعه محافظه کارانه</t>
        </is>
      </c>
      <c r="B7" s="57" t="inlineStr">
        <is>
          <t>فملی، رمپنا، وپاسار، حکشتی</t>
        </is>
      </c>
      <c r="C7" s="57" t="inlineStr">
        <is>
          <t>فملی متعارض است؛ سه شرکت دیگر نامشخص هستند. هیچ کدام صفرگذاری نشده اند.</t>
        </is>
      </c>
      <c r="D7" s="57" t="inlineStr">
        <is>
          <t>CR1A v39؛ ستون های D و M</t>
        </is>
      </c>
    </row>
    <row r="8" ht="79" customHeight="1" s="76">
      <c r="A8" s="56" t="inlineStr">
        <is>
          <t>وتجارت</t>
        </is>
      </c>
      <c r="B8" s="56" t="inlineStr">
        <is>
          <t>نیازمند سند خروج</t>
        </is>
      </c>
      <c r="C8" s="56" t="inlineStr">
        <is>
          <t>مقدار قبلی ۲۰ درصد با پرچم بررسی حفظ شد. تفاوت فهرست فارسی و انگلیسی بانک تاریخ خروج را مشخص نمی کند.</t>
        </is>
      </c>
      <c r="D8" s="56" t="inlineStr">
        <is>
          <t>V39S01؛ V39S02؛ Gap Review v39</t>
        </is>
      </c>
    </row>
    <row r="9" ht="79" customHeight="1" s="76">
      <c r="A9" s="57" t="inlineStr">
        <is>
          <t>وپاسار</t>
        </is>
      </c>
      <c r="B9" s="57" t="inlineStr">
        <is>
          <t>گزارش 1526305 سرنخ تازه</t>
        </is>
      </c>
      <c r="C9" s="57" t="inlineStr">
        <is>
          <t>فراداده گزارش کنترل های داخلی دوره ۱۴۰۴ پیدا شد؛ متن گزارش و فهرست اعضا دریافت نشد.</t>
        </is>
      </c>
      <c r="D9" s="57" t="inlineStr">
        <is>
          <t>V39S04؛ target_filings.json</t>
        </is>
      </c>
    </row>
    <row r="10" ht="79" customHeight="1" s="76">
      <c r="A10" s="56" t="inlineStr">
        <is>
          <t>حکشتی</t>
        </is>
      </c>
      <c r="B10" s="56" t="inlineStr">
        <is>
          <t>دو نام تاریخی؛ ترکیب ناقص</t>
        </is>
      </c>
      <c r="C10" s="56" t="inlineStr">
        <is>
          <t>فهرست انجمن نام مدیرعامل و رئیس را دارد اما نمایندگان پنج کرسی را در دو نقطه تعیین نمی کند.</t>
        </is>
      </c>
      <c r="D10" s="56" t="inlineStr">
        <is>
          <t>V39S05</t>
        </is>
      </c>
    </row>
    <row r="11" ht="79" customHeight="1" s="76">
      <c r="A11" s="57" t="inlineStr">
        <is>
          <t>تغییر داده خام</t>
        </is>
      </c>
      <c r="B11" s="57" t="inlineStr">
        <is>
          <t>هیچ مقدار خام گردش تغییر نکرد</t>
        </is>
      </c>
      <c r="C11" s="57" t="inlineStr">
        <is>
          <t>ورودی های عددی و ستون تغییر رئیس در Turnover نهایی عینا حفظ شدند؛ اصلاحات در محاسبات، کنترل ها، پوشش و یادداشت ها است.</t>
        </is>
      </c>
      <c r="D11" s="57" t="inlineStr">
        <is>
          <t>Changes v39 و کنترل مقایسه خودکار</t>
        </is>
      </c>
    </row>
    <row r="12" ht="79" customHeight="1" s="76">
      <c r="A12" s="56" t="inlineStr">
        <is>
          <t>حساسیت جم</t>
        </is>
      </c>
      <c r="B12" s="56" t="inlineStr">
        <is>
          <t>تاریخ موثر در برابر انتشار</t>
        </is>
      </c>
      <c r="C12" s="56" t="inlineStr">
        <is>
          <t>کد اصلی تغییر رئیس یک است؛ مبنای انتشار طبق یادداشت v38 می تواند آن را صفر کند. این تفاوت در مدل تجربی باید صریح باشد.</t>
        </is>
      </c>
      <c r="D12" s="56" t="inlineStr">
        <is>
          <t>CR1A v39؛ ردیف جم</t>
        </is>
      </c>
    </row>
    <row r="13" ht="79" customHeight="1" s="76">
      <c r="A13" s="57" t="inlineStr">
        <is>
          <t>جهت CR1A</t>
        </is>
      </c>
      <c r="B13" s="57" t="inlineStr">
        <is>
          <t>کنترلی؛ خارج شاخص ترکیبی</t>
        </is>
      </c>
      <c r="C13" s="57" t="inlineStr">
        <is>
          <t>تغییر رئیس به صورت پیش فرض خوب یا بد تفسیر نمی شود.</t>
        </is>
      </c>
      <c r="D13" s="57" t="inlineStr">
        <is>
          <t>جدول استاد؛ معماری به روز شده</t>
        </is>
      </c>
    </row>
    <row r="14" ht="79" customHeight="1" s="76">
      <c r="A14" s="56" t="inlineStr">
        <is>
          <t>فرمول های ورودی تاریخی</t>
        </is>
      </c>
      <c r="B14" s="56" t="inlineStr">
        <is>
          <t>محافظ عددی و هشدار صریح</t>
        </is>
      </c>
      <c r="C14" s="56" t="inlineStr">
        <is>
          <t>۳۶ فرمول Audit Coverage بر عنوان متنی تقسیم یا تفریق می کردند. محاسبه نامعتبر تا بازیابی عدد تاریخی خالی است و پرچم دارد.</t>
        </is>
      </c>
      <c r="D14" s="56" t="inlineStr">
        <is>
          <t>Audit Coverage ستون M؛ Changes v39</t>
        </is>
      </c>
    </row>
    <row r="15" ht="79" customHeight="1" s="76">
      <c r="A15" s="57" t="inlineStr">
        <is>
          <t>بازمحاسبه فایل</t>
        </is>
      </c>
      <c r="B15" s="57" t="inlineStr">
        <is>
          <t>محاسبه و ذخیره نتیجه انجام شد</t>
        </is>
      </c>
      <c r="C15" s="57" t="inlineStr">
        <is>
          <t>همه فرمول ها بازمحاسبه و مقادیر محاسبه شده در فایل ذخیره شد؛ خطای محاسباتی باقی مانده صفر است. پنج نرخ اصلی نیز مستقل از موتور محاسبات کنترل شدند.</t>
        </is>
      </c>
      <c r="D15" s="57" t="inlineStr">
        <is>
          <t>QA v39</t>
        </is>
      </c>
    </row>
    <row r="16" ht="79" customHeight="1" s="76">
      <c r="A16" s="56" t="inlineStr">
        <is>
          <t>سابقه ممیزی</t>
        </is>
      </c>
      <c r="B16" s="56" t="inlineStr">
        <is>
          <t>حفظ شده</t>
        </is>
      </c>
      <c r="C16" s="56" t="inlineStr">
        <is>
          <t>برگه های ممیزی قدیمی تاریخچه پروژه اند. به جز سلول های ثبت شده در Changes v39، ادعای به روز شدن کامل آن برگه ها نداریم.</t>
        </is>
      </c>
      <c r="D16" s="56" t="inlineStr">
        <is>
          <t>Changes v39</t>
        </is>
      </c>
    </row>
    <row r="17" ht="79" customHeight="1" s="76">
      <c r="A17" s="57" t="inlineStr">
        <is>
          <t>محدودیت دسترسی</t>
        </is>
      </c>
      <c r="B17" s="57" t="inlineStr">
        <is>
          <t>متن اسناد جدید کدال دریافت نشد</t>
        </is>
      </c>
      <c r="C17" s="57" t="inlineStr">
        <is>
          <t>خطای دسترسی به معنی نبود یا منتشر نشدن سند نیست. فقط متن جستجو و فراداده در دسترس استفاده شد.</t>
        </is>
      </c>
      <c r="D17" s="57" t="inlineStr">
        <is>
          <t>Sources v39؛ fetch_log.json</t>
        </is>
      </c>
    </row>
  </sheetData>
  <autoFilter ref="A3:D17"/>
  <mergeCells count="2">
    <mergeCell ref="A1:D1"/>
    <mergeCell ref="A2:D2"/>
  </mergeCells>
  <printOptions horizontalCentered="1"/>
  <pageMargins left="0.75" right="0.75" top="1" bottom="1" header="0.5" footer="0.5"/>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G7"/>
  <sheetViews>
    <sheetView showGridLines="0" rightToLeft="1"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0" customWidth="1" style="76" min="1" max="1"/>
    <col width="25" customWidth="1" style="76" min="2" max="2"/>
    <col width="64" customWidth="1" style="76" min="3" max="3"/>
    <col width="45" customWidth="1" style="76" min="4" max="4"/>
    <col width="65" customWidth="1" style="76" min="5" max="5"/>
    <col width="60" customWidth="1" style="76" min="6" max="6"/>
    <col width="25" customWidth="1" style="76" min="7" max="7"/>
  </cols>
  <sheetData>
    <row r="1" ht="38" customHeight="1" s="76">
      <c r="A1" s="75" t="inlineStr">
        <is>
          <t>نتیجه چهار کار در v39</t>
        </is>
      </c>
    </row>
    <row r="2" ht="44" customHeight="1" s="76">
      <c r="A2" s="77" t="inlineStr">
        <is>
          <t>تکمیل محاسبات انجام شد؛ سه پرونده سندی هنوز بسته نشده اند. هیچ داده خام حدسی وارد نشده است.</t>
        </is>
      </c>
    </row>
    <row r="3" ht="36" customHeight="1" s="76">
      <c r="A3" s="55" t="inlineStr">
        <is>
          <t>موضوع</t>
        </is>
      </c>
      <c r="B3" s="55" t="inlineStr">
        <is>
          <t>نتیجه</t>
        </is>
      </c>
      <c r="C3" s="55" t="inlineStr">
        <is>
          <t>یافته تازه یا کنترل انجام شده</t>
        </is>
      </c>
      <c r="D3" s="55" t="inlineStr">
        <is>
          <t>اثر بر داده</t>
        </is>
      </c>
      <c r="E3" s="55" t="inlineStr">
        <is>
          <t>چرا هنوز محدودیت دارد</t>
        </is>
      </c>
      <c r="F3" s="55" t="inlineStr">
        <is>
          <t>سند لازم یا مسیر بعدی</t>
        </is>
      </c>
      <c r="G3" s="55" t="inlineStr">
        <is>
          <t>منابع</t>
        </is>
      </c>
    </row>
    <row r="4" ht="145" customHeight="1" s="76">
      <c r="A4" s="56" t="inlineStr">
        <is>
          <t>CR1A</t>
        </is>
      </c>
      <c r="B4" s="56" t="inlineStr">
        <is>
          <t>بازمحاسبه انجام شد</t>
        </is>
      </c>
      <c r="C4" s="56" t="inlineStr">
        <is>
          <t>۳۰ ردیف کنترل شد؛ ۲۷ کد موجود، ۲۶ مورد بدون تعارض باز ثبت شده، سه نامشخص و یک تعارض فملی. هویت رئیس برای هشت شرکت از بازسازی v38 تطبیق داده شد.</t>
        </is>
      </c>
      <c r="D4" s="56" t="inlineStr">
        <is>
          <t>جدول استاد، معماری و برگه های وابسته با پوشش محافظه کارانه همگام شدند.</t>
        </is>
      </c>
      <c r="E4" s="56" t="inlineStr">
        <is>
          <t>۲۶ مورد به معنی بازخوانی مستقل همه اسناد در v39 نیست. حساسیت تاریخ انتشار جم حفظ شد.</t>
        </is>
      </c>
      <c r="F4" s="56" t="inlineStr">
        <is>
          <t>بستن تعارض فملی و تکمیل هویت رئیس در رمپنا، وپاسار و حکشتی؛ این موارد صفر نیستند.</t>
        </is>
      </c>
      <c r="G4" s="56" t="inlineStr">
        <is>
          <t>CR1A v39؛ V39S10</t>
        </is>
      </c>
    </row>
    <row r="5" ht="145" customHeight="1" s="76">
      <c r="A5" s="60" t="inlineStr">
        <is>
          <t>وتجارت</t>
        </is>
      </c>
      <c r="B5" s="60" t="inlineStr">
        <is>
          <t>حل جزئی؛ سند خروج پیدا نشد</t>
        </is>
      </c>
      <c r="C5" s="60" t="inlineStr">
        <is>
          <t>نسخه فارسی رسمی چهار نام و نسخه انگلیسی پنج نام شامل شریفیان دارد. این اختلاف ثبت شد.</t>
        </is>
      </c>
      <c r="D5" s="60" t="inlineStr">
        <is>
          <t>گردش فردی ۱ از ۵ بدون تغییر و با برچسب نیازمند بررسی باقی ماند؛ تغییر رئیس صفر با محدودیت قبلی.</t>
        </is>
      </c>
      <c r="E5" s="60" t="inlineStr">
        <is>
          <t>صفحات بدون تاریخ موثر سند خروج نیستند؛ تعارض نسخه اولیه و اصلاحیه در v38 هنوز نیازمند سند است.</t>
        </is>
      </c>
      <c r="F5" s="60" t="inlineStr">
        <is>
          <t>صورتجلسه خروج یا اعلام رسمی تاریخ پایان عضویت شریفیان و تطبیق با اصلاحیه 1444154.</t>
        </is>
      </c>
      <c r="G5" s="60" t="inlineStr">
        <is>
          <t>V39S01، V39S02، V39S03، V39S06</t>
        </is>
      </c>
    </row>
    <row r="6" ht="145" customHeight="1" s="76">
      <c r="A6" s="60" t="inlineStr">
        <is>
          <t>وپاسار</t>
        </is>
      </c>
      <c r="B6" s="60" t="inlineStr">
        <is>
          <t>حل نشد؛ سرنخ تازه ثبت شد</t>
        </is>
      </c>
      <c r="C6" s="60" t="inlineStr">
        <is>
          <t>در فهرست پروژه گزارش کنترل های داخلی پایان ۱۴۰۴ با ردیابی 1526305 و انتشار ۱۴۰۵/۰۲/۲۷ پیدا شد.</t>
        </is>
      </c>
      <c r="D6" s="60" t="inlineStr">
        <is>
          <t>هیچ نام یا مقدار گردش از فراداده استخراج نشد؛ داده ۱۴۰۴ همچنان نامشخص است.</t>
        </is>
      </c>
      <c r="E6" s="60" t="inlineStr">
        <is>
          <t>متن گزارش و نام امضاکنندگان دریافت نشد. اختلاف پایه هفت نفره با پنج نفره نیز حل نشده است.</t>
        </is>
      </c>
      <c r="F6" s="60" t="inlineStr">
        <is>
          <t>دریافت گزارش 1526305 و بررسی امضاها در کنار گزارش فعالیت، صورتجلسه و تاریخ موثر عضویت؛ یک فهرست فعلی کافی نیست.</t>
        </is>
      </c>
      <c r="G6" s="60" t="inlineStr">
        <is>
          <t>V39S04، V39S08، V39S09</t>
        </is>
      </c>
    </row>
    <row r="7" ht="145" customHeight="1" s="76">
      <c r="A7" s="60" t="inlineStr">
        <is>
          <t>حکشتی</t>
        </is>
      </c>
      <c r="B7" s="60" t="inlineStr">
        <is>
          <t>حل نشد؛ شناسایی تاریخی محدود</t>
        </is>
      </c>
      <c r="C7" s="60" t="inlineStr">
        <is>
          <t>فهرست انجمن در ۱۴۰۳/۱۰/۱۷ نام مدرس خیابانی به عنوان مدیرعامل و علی مسیبی بهروز به عنوان رئیس را دارد.</t>
        </is>
      </c>
      <c r="D7" s="60" t="inlineStr">
        <is>
          <t>هیچ نماینده ای به کرسی حقوقی منتسب نشد؛ گردش فردی و تغییر رئیس همچنان نامشخص هستند.</t>
        </is>
      </c>
      <c r="E7" s="60" t="inlineStr">
        <is>
          <t>دو نام تاریخی جایگزین پنج نماینده در دو نقطه مشترک نیست و منبع، صفحه رسمی خود ناشر نیست.</t>
        </is>
      </c>
      <c r="F7" s="60" t="inlineStr">
        <is>
          <t>صورتجلسه تعیین سمت یا صفحه رسمی تاریخ دار همراه با تطبیق هر نماینده با شخص حقوقی در دو نقطه.</t>
        </is>
      </c>
      <c r="G7" s="60" t="inlineStr">
        <is>
          <t>V39S05، V39S07، V39S09</t>
        </is>
      </c>
    </row>
  </sheetData>
  <autoFilter ref="A3:G7"/>
  <mergeCells count="2">
    <mergeCell ref="A2:G2"/>
    <mergeCell ref="A1:G1"/>
  </mergeCells>
  <printOptions horizontalCentered="1"/>
  <pageMargins left="0.75" right="0.75" top="1" bottom="1" header="0.5" footer="0.5"/>
  <pageSetup orientation="landscape" paperSize="8" fitToHeight="0"/>
</worksheet>
</file>

<file path=xl/worksheets/sheet3.xml><?xml version="1.0" encoding="utf-8"?>
<worksheet xmlns="http://schemas.openxmlformats.org/spreadsheetml/2006/main">
  <sheetPr>
    <outlinePr summaryBelow="1" summaryRight="1"/>
    <pageSetUpPr fitToPage="1"/>
  </sheetPr>
  <dimension ref="A1:O50"/>
  <sheetViews>
    <sheetView showGridLines="0" rightToLeft="1"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5" customWidth="1" style="76" min="1" max="1"/>
    <col width="17" customWidth="1" style="76" min="2" max="2"/>
    <col width="15" customWidth="1" style="76" min="3" max="3"/>
    <col width="28" customWidth="1" style="76" min="4" max="4"/>
    <col width="24" customWidth="1" style="76" min="5" max="5"/>
    <col width="23" customWidth="1" style="76" min="6" max="6"/>
    <col width="26" customWidth="1" style="76" min="7" max="8"/>
    <col width="45" customWidth="1" style="76" min="9" max="9"/>
    <col width="42" customWidth="1" style="76" min="10" max="10"/>
    <col width="70" customWidth="1" style="76" min="11" max="11"/>
    <col width="45" customWidth="1" style="76" min="12" max="12"/>
    <col width="27" customWidth="1" style="76" min="13" max="13"/>
    <col width="61" customWidth="1" style="76" min="14" max="14"/>
    <col hidden="1" width="14" customWidth="1" style="76" min="15" max="15"/>
  </cols>
  <sheetData>
    <row r="1" ht="38" customHeight="1" s="76">
      <c r="A1" s="75" t="inlineStr">
        <is>
          <t>بازمحاسبه و تفکیک وضعیت CR1A</t>
        </is>
      </c>
    </row>
    <row r="2" ht="44" customHeight="1" s="76">
      <c r="A2" s="77" t="inlineStr">
        <is>
          <t>پنجره مشترک ۱۴۰۳/۱۲/۲۹ تا ۱۴۰۴/۱۲/۲۹؛ پوشش عددی با کفایت شواهد یکسان نیست. مقادیر قبلی بدون سند تازه تغییر نکرده اند.</t>
        </is>
      </c>
    </row>
    <row r="3" ht="36" customHeight="1" s="76">
      <c r="A3" s="55" t="inlineStr">
        <is>
          <t>شرکت</t>
        </is>
      </c>
      <c r="B3" s="55" t="inlineStr">
        <is>
          <t>ورودی متنی v38</t>
        </is>
      </c>
      <c r="C3" s="55" t="inlineStr">
        <is>
          <t>کد عددی موجود</t>
        </is>
      </c>
      <c r="D3" s="55" t="inlineStr">
        <is>
          <t>وضعیت شواهد</t>
        </is>
      </c>
      <c r="E3" s="55" t="inlineStr">
        <is>
          <t>ورود به شمارش محافظه کارانه</t>
        </is>
      </c>
      <c r="F3" s="55" t="inlineStr">
        <is>
          <t>کد قابل استفاده با محدودیت</t>
        </is>
      </c>
      <c r="G3" s="55" t="inlineStr">
        <is>
          <t>رئیس در مبنا</t>
        </is>
      </c>
      <c r="H3" s="55" t="inlineStr">
        <is>
          <t>رئیس در پایان</t>
        </is>
      </c>
      <c r="I3" s="55" t="inlineStr">
        <is>
          <t>روش بررسی</t>
        </is>
      </c>
      <c r="J3" s="55" t="inlineStr">
        <is>
          <t>ارجاع و ردیابی</t>
        </is>
      </c>
      <c r="K3" s="55" t="inlineStr">
        <is>
          <t>نشانی منابع</t>
        </is>
      </c>
      <c r="L3" s="55" t="inlineStr">
        <is>
          <t>حساسیت تاریخ انتشار</t>
        </is>
      </c>
      <c r="M3" s="55" t="inlineStr">
        <is>
          <t>دلیل فقدان یا تعارض</t>
        </is>
      </c>
      <c r="N3" s="55" t="inlineStr">
        <is>
          <t>یادداشت</t>
        </is>
      </c>
      <c r="O3" s="55" t="inlineStr">
        <is>
          <t>کنترل یکتایی</t>
        </is>
      </c>
    </row>
    <row r="4" ht="110" customHeight="1" s="76">
      <c r="A4" s="60" t="inlineStr">
        <is>
          <t>فملی</t>
        </is>
      </c>
      <c r="B4" s="61" t="str">
        <f>'Turnover نهایی'!V4</f>
        <v>خیر</v>
      </c>
      <c r="C4" s="61">
        <f>IF(B4="بله",1,IF(B4="خیر",0,""))</f>
        <v>0</v>
      </c>
      <c r="D4" s="60" t="inlineStr">
        <is>
          <t>NEEDS_REVIEW</t>
        </is>
      </c>
      <c r="E4" s="60" t="inlineStr">
        <is>
          <t>خیر</t>
        </is>
      </c>
      <c r="F4" s="61">
        <f>IF(AND(E4="بله",ISNUMBER(C4)),C4,"")</f>
      </c>
      <c r="G4" s="60" t="n"/>
      <c r="H4" s="60" t="n"/>
      <c r="I4" s="60" t="inlineStr">
        <is>
          <t>حفظ پرچم تعارض قبلی؛ بدون حدس درباره نام رئیس یا جهت تغییر.</t>
        </is>
      </c>
      <c r="J4" s="60" t="inlineStr">
        <is>
          <t>Iran_BSI_v33_Phase4_2K_FinalTurnoverClosure.xlsx | برگه های گردش اشخاص حقیقی، تغییر نماینده، تغییر شخص حقوقی، اعضای جدید، ثبات هیئت و تغییر رئیس</t>
        </is>
      </c>
      <c r="K4" s="60" t="inlineStr">
        <is>
          <t>برای ردیابی پایه به فایل v33 و Source_IDهای همان فاز مراجعه شود</t>
        </is>
      </c>
      <c r="L4" s="60" t="n"/>
      <c r="M4" s="60" t="inlineStr">
        <is>
          <t>COULD_NOT_VERIFY</t>
        </is>
      </c>
      <c r="N4" s="60" t="inlineStr">
        <is>
          <t>تعارض تاریخی CR1A در Conflict Log C04 و Audit فرمول ها باقی است. v38 این شرکت را بازسازی نکرده؛ مقدار خام خیر حفظ شد اما از پوشش محافظه کارانه کنار گذاشته شد.</t>
        </is>
      </c>
      <c r="O4" s="61">
        <f>IF(COUNTIF($A$4:A4,A4)=1,1,0)</f>
        <v>1</v>
      </c>
    </row>
    <row r="5" ht="110" customHeight="1" s="76">
      <c r="A5" s="57" t="inlineStr">
        <is>
          <t>تاپیکو</t>
        </is>
      </c>
      <c r="B5" s="58" t="str">
        <f>'Turnover نهایی'!V5</f>
        <v>بله</v>
      </c>
      <c r="C5" s="58">
        <f>IF(B5="بله",1,IF(B5="خیر",0,""))</f>
        <v>1</v>
      </c>
      <c r="D5" s="57" t="inlineStr">
        <is>
          <t>V38_CONFIRMED</t>
        </is>
      </c>
      <c r="E5" s="57" t="inlineStr">
        <is>
          <t>بله</t>
        </is>
      </c>
      <c r="F5" s="58">
        <f>IF(AND(E5="بله",ISNUMBER(C5)),C5,"")</f>
        <v>1</v>
      </c>
      <c r="G5" s="57" t="inlineStr">
        <is>
          <t>جعفر ربیعی</t>
        </is>
      </c>
      <c r="H5" s="57" t="inlineStr">
        <is>
          <t>محمدمهدی رحمتی</t>
        </is>
      </c>
      <c r="I5" s="57" t="inlineStr">
        <is>
          <t>مقایسه هویت رئیس در دو نقطه از بازسازی سطح کرسی v38؛ عدم تغییر سایر سمت ها ملاک نیست.</t>
        </is>
      </c>
      <c r="J5" s="57" t="inlineStr">
        <is>
          <t>Turnover Seat Reconstruction؛ 1311653 / 1477918</t>
        </is>
      </c>
      <c r="K5" s="57" t="inlineStr">
        <is>
          <t>https://www.codal.ir/Reports/Decision.aspx?LetterSerial=QijK3OnJnjtoOOObOOOYV1GqeqyQ%3d%3d&amp;rt=2&amp;let=19&amp;ct=0&amp;ft=-1
https://www.codal.ir/Reports/Decision.aspx?LetterSerial=Exef5qCkFaU4GYSKSR3wjg%3d%3d&amp;rt=2&amp;let=19&amp;ct=0&amp;ft=-1</t>
        </is>
      </c>
      <c r="L5" s="57" t="n"/>
      <c r="M5" s="57" t="n"/>
      <c r="N5" s="57" t="inlineStr">
        <is>
          <t>مبنای این مرحله شواهد مستند در فایل v38 است؛ دریافت مجدد مستقل اسناد کدال در این محیط ممکن نشد.</t>
        </is>
      </c>
      <c r="O5" s="58">
        <f>IF(COUNTIF($A$4:A5,A5)=1,1,0)</f>
        <v>1</v>
      </c>
    </row>
    <row r="6" ht="110" customHeight="1" s="76">
      <c r="A6" s="56" t="inlineStr">
        <is>
          <t>فارس</t>
        </is>
      </c>
      <c r="B6" s="59" t="str">
        <f>'Turnover نهایی'!V6</f>
        <v>بله</v>
      </c>
      <c r="C6" s="59">
        <f>IF(B6="بله",1,IF(B6="خیر",0,""))</f>
        <v>1</v>
      </c>
      <c r="D6" s="56" t="inlineStr">
        <is>
          <t>INHERITED_WITH_LIMITATION</t>
        </is>
      </c>
      <c r="E6" s="56" t="inlineStr">
        <is>
          <t>بله</t>
        </is>
      </c>
      <c r="F6" s="59">
        <f>IF(AND(E6="بله",ISNUMBER(C6)),C6,"")</f>
        <v>1</v>
      </c>
      <c r="G6" s="56" t="n"/>
      <c r="H6" s="56" t="n"/>
      <c r="I6" s="56" t="inlineStr">
        <is>
          <t>انتقال کنترل شده مقدار v38؛ تایید مجدد مستقل همه منابع این شرکت در v39 انجام نشده است.</t>
        </is>
      </c>
      <c r="J6" s="56"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K6" s="56" t="inlineStr">
        <is>
          <t>برای ردیابی پایه به فایل v33 و Source_IDهای همان فاز مراجعه شود</t>
        </is>
      </c>
      <c r="L6" s="56" t="n"/>
      <c r="M6" s="56" t="n"/>
      <c r="N6" s="56" t="inlineStr">
        <is>
          <t>پذیرش به معنی نبود تعارض باز ثبت شده در فایل است؛ نه تایید مستقل کامل اسناد اولیه.</t>
        </is>
      </c>
      <c r="O6" s="59">
        <f>IF(COUNTIF($A$4:A6,A6)=1,1,0)</f>
        <v>1</v>
      </c>
    </row>
    <row r="7" ht="110" customHeight="1" s="76">
      <c r="A7" s="57" t="inlineStr">
        <is>
          <t>خودرو</t>
        </is>
      </c>
      <c r="B7" s="58" t="str">
        <f>'Turnover نهایی'!V7</f>
        <v>خیر</v>
      </c>
      <c r="C7" s="58">
        <f>IF(B7="بله",1,IF(B7="خیر",0,""))</f>
        <v>0</v>
      </c>
      <c r="D7" s="57" t="inlineStr">
        <is>
          <t>V38_CONFIRMED</t>
        </is>
      </c>
      <c r="E7" s="57" t="inlineStr">
        <is>
          <t>بله</t>
        </is>
      </c>
      <c r="F7" s="58">
        <f>IF(AND(E7="بله",ISNUMBER(C7)),C7,"")</f>
        <v>0</v>
      </c>
      <c r="G7" s="57" t="inlineStr">
        <is>
          <t>یوسف الهی شکیب</t>
        </is>
      </c>
      <c r="H7" s="57" t="inlineStr">
        <is>
          <t>یوسف الهی شکیب</t>
        </is>
      </c>
      <c r="I7" s="57" t="inlineStr">
        <is>
          <t>مقایسه هویت رئیس در دو نقطه از بازسازی سطح کرسی v38؛ عدم تغییر سایر سمت ها ملاک نیست.</t>
        </is>
      </c>
      <c r="J7" s="57" t="inlineStr">
        <is>
          <t>Turnover Seat Reconstruction؛ 1306740 / 1417850</t>
        </is>
      </c>
      <c r="K7" s="57" t="inlineStr">
        <is>
          <t>https://www.codal.ir/Reports/Decision.aspx?LetterSerial=gVTCoHYs1M0v5mNrsaCDkA%3d%3d&amp;rt=0&amp;let=19&amp;ct=0&amp;ft=-1
https://www.codal.ir/Reports/Decision.aspx?LetterSerial=8qXiOOObOOOscQQQaQQQfIOkx3DWj8Uw1Q%3d%3d&amp;rt=0&amp;let=19&amp;ct=0&amp;ft=-1</t>
        </is>
      </c>
      <c r="L7" s="57" t="n"/>
      <c r="M7" s="57" t="n"/>
      <c r="N7" s="57" t="inlineStr">
        <is>
          <t>مبنای این مرحله شواهد مستند در فایل v38 است؛ دریافت مجدد مستقل اسناد کدال در این محیط ممکن نشد.</t>
        </is>
      </c>
      <c r="O7" s="58">
        <f>IF(COUNTIF($A$4:A7,A7)=1,1,0)</f>
        <v>1</v>
      </c>
    </row>
    <row r="8" ht="110" customHeight="1" s="76">
      <c r="A8" s="56" t="inlineStr">
        <is>
          <t>زاگرس</t>
        </is>
      </c>
      <c r="B8" s="59" t="str">
        <f>'Turnover نهایی'!V8</f>
        <v>بله</v>
      </c>
      <c r="C8" s="59">
        <f>IF(B8="بله",1,IF(B8="خیر",0,""))</f>
        <v>1</v>
      </c>
      <c r="D8" s="56" t="inlineStr">
        <is>
          <t>INHERITED_WITH_LIMITATION</t>
        </is>
      </c>
      <c r="E8" s="56" t="inlineStr">
        <is>
          <t>بله</t>
        </is>
      </c>
      <c r="F8" s="59">
        <f>IF(AND(E8="بله",ISNUMBER(C8)),C8,"")</f>
        <v>1</v>
      </c>
      <c r="G8" s="56" t="n"/>
      <c r="H8" s="56" t="n"/>
      <c r="I8" s="56" t="inlineStr">
        <is>
          <t>انتقال کنترل شده مقدار v38؛ تایید مجدد مستقل همه منابع این شرکت در v39 انجام نشده است.</t>
        </is>
      </c>
      <c r="J8" s="56"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K8" s="56" t="inlineStr">
        <is>
          <t>برای ردیابی پایه به فایل v33 و Source_IDهای همان فاز مراجعه شود</t>
        </is>
      </c>
      <c r="L8" s="56" t="n"/>
      <c r="M8" s="56" t="n"/>
      <c r="N8" s="56" t="inlineStr">
        <is>
          <t>پذیرش به معنی نبود تعارض باز ثبت شده در فایل است؛ نه تایید مستقل کامل اسناد اولیه.</t>
        </is>
      </c>
      <c r="O8" s="59">
        <f>IF(COUNTIF($A$4:A8,A8)=1,1,0)</f>
        <v>1</v>
      </c>
    </row>
    <row r="9" ht="110" customHeight="1" s="76">
      <c r="A9" s="57" t="inlineStr">
        <is>
          <t>شبندر</t>
        </is>
      </c>
      <c r="B9" s="58" t="str">
        <f>'Turnover نهایی'!V9</f>
        <v>بله</v>
      </c>
      <c r="C9" s="58">
        <f>IF(B9="بله",1,IF(B9="خیر",0,""))</f>
        <v>1</v>
      </c>
      <c r="D9" s="57" t="inlineStr">
        <is>
          <t>INHERITED_WITH_LIMITATION</t>
        </is>
      </c>
      <c r="E9" s="57" t="inlineStr">
        <is>
          <t>بله</t>
        </is>
      </c>
      <c r="F9" s="58">
        <f>IF(AND(E9="بله",ISNUMBER(C9)),C9,"")</f>
        <v>1</v>
      </c>
      <c r="G9" s="57" t="n"/>
      <c r="H9" s="57" t="n"/>
      <c r="I9" s="57" t="inlineStr">
        <is>
          <t>انتقال کنترل شده مقدار v38؛ تایید مجدد مستقل همه منابع این شرکت در v39 انجام نشده است.</t>
        </is>
      </c>
      <c r="J9" s="57" t="inlineStr">
        <is>
          <t>SRC_SHBN_1404_007 | T19 اصلاحیه | جلسه هیئت مدیره ۱۴۰۳/۱۲/۲۷ | صفحه ۱ | Roster مستقیم ۱۴۰۳
SRC_SHBN_1404_003 | T19 | جلسه هیئت مدیره ۱۴۰۴/۱۰/۱۸ | صفحه ۱ | Roster مستقیم ۱۴۰۴
SRC_SHBN_1404_001 (p.55 56 کمیته حسابرسی، p.82 84 روستر هیئت‌مدیره) | بازخوانی جزئی این فاز با الگوی جستجوی عربی؛ بدون دانلود جدید</t>
        </is>
      </c>
      <c r="K9" s="57" t="inlineStr">
        <is>
          <t>https://www.codal.ir/Reports/Decision.aspx?LetterSerial=ULk65ZOHpAkFOOObOOOb3pLpblJQ%3d%3d&amp;rt=0&amp;let=19&amp;ct=0&amp;ft=-1
https://www.codal.ir/Reports/Decision.aspx?LetterSerial=kealwqnfPYdWwbR3UB9uZw%3d%3d&amp;rt=0&amp;let=19&amp;ct=0&amp;ft=-1</t>
        </is>
      </c>
      <c r="L9" s="57" t="n"/>
      <c r="M9" s="57" t="n"/>
      <c r="N9" s="57" t="inlineStr">
        <is>
          <t>پذیرش به معنی نبود تعارض باز ثبت شده در فایل است؛ نه تایید مستقل کامل اسناد اولیه.</t>
        </is>
      </c>
      <c r="O9" s="58">
        <f>IF(COUNTIF($A$4:A9,A9)=1,1,0)</f>
        <v>1</v>
      </c>
    </row>
    <row r="10" ht="110" customHeight="1" s="76">
      <c r="A10" s="56" t="inlineStr">
        <is>
          <t>پارس</t>
        </is>
      </c>
      <c r="B10" s="59" t="str">
        <f>'Turnover نهایی'!V10</f>
        <v>بله</v>
      </c>
      <c r="C10" s="59">
        <f>IF(B10="بله",1,IF(B10="خیر",0,""))</f>
        <v>1</v>
      </c>
      <c r="D10" s="56" t="inlineStr">
        <is>
          <t>INHERITED_WITH_LIMITATION</t>
        </is>
      </c>
      <c r="E10" s="56" t="inlineStr">
        <is>
          <t>بله</t>
        </is>
      </c>
      <c r="F10" s="59">
        <f>IF(AND(E10="بله",ISNUMBER(C10)),C10,"")</f>
        <v>1</v>
      </c>
      <c r="G10" s="56" t="n"/>
      <c r="H10" s="56" t="n"/>
      <c r="I10" s="56" t="inlineStr">
        <is>
          <t>انتقال کنترل شده مقدار v38؛ تایید مجدد مستقل همه منابع این شرکت در v39 انجام نشده است.</t>
        </is>
      </c>
      <c r="J10" s="56"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K10" s="56" t="inlineStr">
        <is>
          <t>https://www.codal.ir/Reports/Decision.aspx?LetterSerial=sjHofZygVLXICVj8iXL3Aw%3d%3d&amp;rt=0&amp;let=19&amp;ct=0&amp;ft=-1
https://www.codal.ir/Reports/Decision.aspx?LetterSerial=1kqm2T6e5zV5EQQQaQQQKdlIj9HA%3d%3d&amp;rt=0&amp;let=19&amp;ct=0&amp;ft=-1</t>
        </is>
      </c>
      <c r="L10" s="56" t="n"/>
      <c r="M10" s="56" t="n"/>
      <c r="N10" s="56" t="inlineStr">
        <is>
          <t>پذیرش به معنی نبود تعارض باز ثبت شده در فایل است؛ نه تایید مستقل کامل اسناد اولیه.</t>
        </is>
      </c>
      <c r="O10" s="59">
        <f>IF(COUNTIF($A$4:A10,A10)=1,1,0)</f>
        <v>1</v>
      </c>
    </row>
    <row r="11" ht="110" customHeight="1" s="76">
      <c r="A11" s="57" t="inlineStr">
        <is>
          <t>شتران</t>
        </is>
      </c>
      <c r="B11" s="58" t="str">
        <f>'Turnover نهایی'!V11</f>
        <v>خیر</v>
      </c>
      <c r="C11" s="58">
        <f>IF(B11="بله",1,IF(B11="خیر",0,""))</f>
        <v>0</v>
      </c>
      <c r="D11" s="57" t="inlineStr">
        <is>
          <t>INHERITED_WITH_LIMITATION</t>
        </is>
      </c>
      <c r="E11" s="57" t="inlineStr">
        <is>
          <t>بله</t>
        </is>
      </c>
      <c r="F11" s="58">
        <f>IF(AND(E11="بله",ISNUMBER(C11)),C11,"")</f>
        <v>0</v>
      </c>
      <c r="G11" s="57" t="n"/>
      <c r="H11" s="57" t="n"/>
      <c r="I11" s="57" t="inlineStr">
        <is>
          <t>انتقال کنترل شده مقدار v38؛ تایید مجدد مستقل همه منابع این شرکت در v39 انجام نشده است.</t>
        </is>
      </c>
      <c r="J11" s="57"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K11" s="57" t="inlineStr">
        <is>
          <t>https://www.codal.ir/Reports/Attachment.aspx?LetterSerial=W3P2HVjIaDXFbdMemqSeUA%3d%3d
https://www.codal.ir/Reports/Attachment.aspx?LetterSerial=F0veQQQaQQQX4tai7nAftHYyrDhg%3d%3d</t>
        </is>
      </c>
      <c r="L11" s="57" t="n"/>
      <c r="M11" s="57" t="n"/>
      <c r="N11" s="57" t="inlineStr">
        <is>
          <t>پذیرش به معنی نبود تعارض باز ثبت شده در فایل است؛ نه تایید مستقل کامل اسناد اولیه.</t>
        </is>
      </c>
      <c r="O11" s="58">
        <f>IF(COUNTIF($A$4:A11,A11)=1,1,0)</f>
        <v>1</v>
      </c>
    </row>
    <row r="12" ht="110" customHeight="1" s="76">
      <c r="A12" s="56" t="inlineStr">
        <is>
          <t>وتجارت</t>
        </is>
      </c>
      <c r="B12" s="59" t="str">
        <f>'Turnover نهایی'!V12</f>
        <v>خیر</v>
      </c>
      <c r="C12" s="59">
        <f>IF(B12="بله",1,IF(B12="خیر",0,""))</f>
        <v>0</v>
      </c>
      <c r="D12" s="56" t="inlineStr">
        <is>
          <t>CHAIR_WITH_LIMITATION</t>
        </is>
      </c>
      <c r="E12" s="56" t="inlineStr">
        <is>
          <t>بله</t>
        </is>
      </c>
      <c r="F12" s="59">
        <f>IF(AND(E12="بله",ISNUMBER(C12)),C12,"")</f>
        <v>0</v>
      </c>
      <c r="G12" s="56" t="inlineStr">
        <is>
          <t>مرتضی ترک‌تبریزی</t>
        </is>
      </c>
      <c r="H12" s="56" t="inlineStr">
        <is>
          <t>مرتضی ترک‌تبریزی</t>
        </is>
      </c>
      <c r="I12" s="56" t="inlineStr">
        <is>
          <t>مقایسه هویت رئیس در دو نقطه از بازسازی سطح کرسی v38؛ عدم تغییر سایر سمت ها ملاک نیست.</t>
        </is>
      </c>
      <c r="J12" s="56" t="inlineStr">
        <is>
          <t>Turnover Seat Reconstruction؛ 1159936 / 1444154</t>
        </is>
      </c>
      <c r="K12" s="56" t="inlineStr">
        <is>
          <t>https://www.codal.ir/Reports/Decision.aspx?LetterSerial=OqEx%2bg3X3xQQQaQQQ1V8FTa1bU9w%3d%3d&amp;rt=3&amp;let=19&amp;ct=0&amp;ft=-1
https://www.codal.ir/Reports/Decision.aspx?LetterSerial=tL1npzfj3XSDR4oEqs1VIw%3d%3d&amp;rt=3&amp;let=19&amp;ct=0&amp;ft=-1</t>
        </is>
      </c>
      <c r="L12" s="56" t="n"/>
      <c r="M12" s="56" t="n"/>
      <c r="N12" s="56" t="inlineStr">
        <is>
          <t>نام ترک تبریزی در هر دو نقطه بازسازی v38 یکسان است؛ ابهام تاریخ خروج شریفیان به صورت مستقل در گردش افراد باقی است. صفحات فارسی و انگلیسی بانک متفاوت اند.</t>
        </is>
      </c>
      <c r="O12" s="59">
        <f>IF(COUNTIF($A$4:A12,A12)=1,1,0)</f>
        <v>1</v>
      </c>
    </row>
    <row r="13" ht="110" customHeight="1" s="76">
      <c r="A13" s="60" t="inlineStr">
        <is>
          <t>رمپنا</t>
        </is>
      </c>
      <c r="B13" s="61" t="str">
        <f>'Turnover نهایی'!V13</f>
        <v>نامشخص</v>
      </c>
      <c r="C13" s="61">
        <f>IF(B13="بله",1,IF(B13="خیر",0,""))</f>
      </c>
      <c r="D13" s="60" t="inlineStr">
        <is>
          <t>MISSING</t>
        </is>
      </c>
      <c r="E13" s="60" t="inlineStr">
        <is>
          <t>خیر</t>
        </is>
      </c>
      <c r="F13" s="61">
        <f>IF(AND(E13="بله",ISNUMBER(C13)),C13,"")</f>
      </c>
      <c r="G13" s="60" t="n"/>
      <c r="H13" s="60" t="n"/>
      <c r="I13" s="60" t="inlineStr">
        <is>
          <t>انتقال کنترل شده مقدار v38؛ تایید مجدد مستقل همه منابع این شرکت در v39 انجام نشده است.</t>
        </is>
      </c>
      <c r="J13" s="60"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K13" s="60" t="inlineStr">
        <is>
          <t>https://www.codal.ir/Reports/Decision.aspx?LetterSerial=gsard4xmaj4Zi8yOS8AWMA%3d%3d&amp;rt=5&amp;let=19&amp;ct=0&amp;ft=-1
https://www.codal.ir/Reports/Decision.aspx?LetterSerial=4P4QQQaQQQssbMX9ZMuZVciqBKOOObOOOg%3d%3d&amp;rt=5&amp;let=19&amp;ct=0&amp;ft=-1</t>
        </is>
      </c>
      <c r="L13" s="60" t="n"/>
      <c r="M13" s="60" t="inlineStr">
        <is>
          <t>INSUFFICIENT_EVIDENCE</t>
        </is>
      </c>
      <c r="N13" s="60" t="inlineStr">
        <is>
          <t>داده نامشخص به صفر تبدیل نشد.</t>
        </is>
      </c>
      <c r="O13" s="61">
        <f>IF(COUNTIF($A$4:A13,A13)=1,1,0)</f>
        <v>1</v>
      </c>
    </row>
    <row r="14" ht="110" customHeight="1" s="76">
      <c r="A14" s="56" t="inlineStr">
        <is>
          <t>فخوز</t>
        </is>
      </c>
      <c r="B14" s="59" t="str">
        <f>'Turnover نهایی'!V14</f>
        <v>بله</v>
      </c>
      <c r="C14" s="59">
        <f>IF(B14="بله",1,IF(B14="خیر",0,""))</f>
        <v>1</v>
      </c>
      <c r="D14" s="56" t="inlineStr">
        <is>
          <t>INHERITED_WITH_LIMITATION</t>
        </is>
      </c>
      <c r="E14" s="56" t="inlineStr">
        <is>
          <t>بله</t>
        </is>
      </c>
      <c r="F14" s="59">
        <f>IF(AND(E14="بله",ISNUMBER(C14)),C14,"")</f>
        <v>1</v>
      </c>
      <c r="G14" s="56" t="n"/>
      <c r="H14" s="56" t="n"/>
      <c r="I14" s="56" t="inlineStr">
        <is>
          <t>انتقال کنترل شده مقدار v38؛ تایید مجدد مستقل همه منابع این شرکت در v39 انجام نشده است.</t>
        </is>
      </c>
      <c r="J14" s="56"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K14" s="56" t="inlineStr">
        <is>
          <t>برای ردیابی پایه به فایل v33 و Source_IDهای همان فاز مراجعه شود</t>
        </is>
      </c>
      <c r="L14" s="56" t="n"/>
      <c r="M14" s="56" t="n"/>
      <c r="N14" s="56" t="inlineStr">
        <is>
          <t>پذیرش به معنی نبود تعارض باز ثبت شده در فایل است؛ نه تایید مستقل کامل اسناد اولیه.</t>
        </is>
      </c>
      <c r="O14" s="59">
        <f>IF(COUNTIF($A$4:A14,A14)=1,1,0)</f>
        <v>1</v>
      </c>
    </row>
    <row r="15" ht="110" customHeight="1" s="76">
      <c r="A15" s="57" t="inlineStr">
        <is>
          <t>شستا</t>
        </is>
      </c>
      <c r="B15" s="58" t="str">
        <f>'Turnover نهایی'!V15</f>
        <v>بله</v>
      </c>
      <c r="C15" s="58">
        <f>IF(B15="بله",1,IF(B15="خیر",0,""))</f>
        <v>1</v>
      </c>
      <c r="D15" s="57" t="inlineStr">
        <is>
          <t>INHERITED_WITH_LIMITATION</t>
        </is>
      </c>
      <c r="E15" s="57" t="inlineStr">
        <is>
          <t>بله</t>
        </is>
      </c>
      <c r="F15" s="58">
        <f>IF(AND(E15="بله",ISNUMBER(C15)),C15,"")</f>
        <v>1</v>
      </c>
      <c r="G15" s="57" t="n"/>
      <c r="H15" s="57" t="n"/>
      <c r="I15" s="57" t="inlineStr">
        <is>
          <t>انتقال کنترل شده مقدار v38؛ تایید مجدد مستقل همه منابع این شرکت در v39 انجام نشده است.</t>
        </is>
      </c>
      <c r="J15" s="57" t="inlineStr">
        <is>
          <t>SRC_SHST_1404_015 | افشای نوع ۱۹ | ۱۴۰۳ | ۱ | Snapshot مبنا برای ۱۴۰۳
SRC_SHST_1404_007 | افشای نوع ۱۹ | ۱۴۰۴ | ۱ | Snapshot مبنا برای ۱۴۰۴</t>
        </is>
      </c>
      <c r="K15" s="57" t="inlineStr">
        <is>
          <t>https://www.codal.ir/Reports/Decision.aspx?LetterSerial=b8oxHadTuSstqVNc5Bqzjw%3d%3d&amp;rt=2&amp;let=19&amp;ct=0&amp;ft=-1
https://www.codal.ir/Reports/Decision.aspx?LetterSerial=pk2gUF4FVfw9cOOObOOOOR6kSTDg%3d%3d&amp;rt=2&amp;let=19&amp;ct=0&amp;ft=-1</t>
        </is>
      </c>
      <c r="L15" s="57" t="n"/>
      <c r="M15" s="57" t="n"/>
      <c r="N15" s="57" t="inlineStr">
        <is>
          <t>پذیرش به معنی نبود تعارض باز ثبت شده در فایل است؛ نه تایید مستقل کامل اسناد اولیه.</t>
        </is>
      </c>
      <c r="O15" s="58">
        <f>IF(COUNTIF($A$4:A15,A15)=1,1,0)</f>
        <v>1</v>
      </c>
    </row>
    <row r="16" ht="110" customHeight="1" s="76">
      <c r="A16" s="56" t="inlineStr">
        <is>
          <t>شپنا</t>
        </is>
      </c>
      <c r="B16" s="59" t="str">
        <f>'Turnover نهایی'!V16</f>
        <v>خیر</v>
      </c>
      <c r="C16" s="59">
        <f>IF(B16="بله",1,IF(B16="خیر",0,""))</f>
        <v>0</v>
      </c>
      <c r="D16" s="56" t="inlineStr">
        <is>
          <t>INHERITED_WITH_LIMITATION</t>
        </is>
      </c>
      <c r="E16" s="56" t="inlineStr">
        <is>
          <t>بله</t>
        </is>
      </c>
      <c r="F16" s="59">
        <f>IF(AND(E16="بله",ISNUMBER(C16)),C16,"")</f>
        <v>0</v>
      </c>
      <c r="G16" s="56" t="n"/>
      <c r="H16" s="56" t="n"/>
      <c r="I16" s="56" t="inlineStr">
        <is>
          <t>انتقال کنترل شده مقدار v38؛ تایید مجدد مستقل همه منابع این شرکت در v39 انجام نشده است.</t>
        </is>
      </c>
      <c r="J16" s="56" t="inlineStr">
        <is>
          <t>SRC_SHPN_1404_002 | افشای نوع ۱۹ | ۱۴۰۳ | ۱ | Snapshot مبنا برای ۱۴۰۳
SRC_SHPN_1404_004 | افشای نوع ۱۹ | ۱۴۰۴ | ۱ تا ۲ | Snapshot مبنا برای ۱۴۰۴</t>
        </is>
      </c>
      <c r="K16" s="56" t="inlineStr">
        <is>
          <t>https://www.codal.ir/Reports/Decision.aspx?LetterSerial=BgB1TPEYicGYh74gmrG9mA%3d%3d&amp;rt=0&amp;let=19&amp;ct=0&amp;ft=-1
https://www.codal.ir/Reports/Decision.aspx?LetterSerial=zWRtzdFgEWKY0H4XNrzRzA%3d%3d&amp;rt=0&amp;let=19&amp;ct=0&amp;ft=-1</t>
        </is>
      </c>
      <c r="L16" s="56" t="n"/>
      <c r="M16" s="56" t="n"/>
      <c r="N16" s="56" t="inlineStr">
        <is>
          <t>پذیرش به معنی نبود تعارض باز ثبت شده در فایل است؛ نه تایید مستقل کامل اسناد اولیه.</t>
        </is>
      </c>
      <c r="O16" s="59">
        <f>IF(COUNTIF($A$4:A16,A16)=1,1,0)</f>
        <v>1</v>
      </c>
    </row>
    <row r="17" ht="110" customHeight="1" s="76">
      <c r="A17" s="57" t="inlineStr">
        <is>
          <t>وغدیر</t>
        </is>
      </c>
      <c r="B17" s="58" t="str">
        <f>'Turnover نهایی'!V17</f>
        <v>خیر</v>
      </c>
      <c r="C17" s="58">
        <f>IF(B17="بله",1,IF(B17="خیر",0,""))</f>
        <v>0</v>
      </c>
      <c r="D17" s="57" t="inlineStr">
        <is>
          <t>INHERITED_WITH_LIMITATION</t>
        </is>
      </c>
      <c r="E17" s="57" t="inlineStr">
        <is>
          <t>بله</t>
        </is>
      </c>
      <c r="F17" s="58">
        <f>IF(AND(E17="بله",ISNUMBER(C17)),C17,"")</f>
        <v>0</v>
      </c>
      <c r="G17" s="57" t="n"/>
      <c r="H17" s="57" t="n"/>
      <c r="I17" s="57" t="inlineStr">
        <is>
          <t>انتقال کنترل شده مقدار v38؛ تایید مجدد مستقل همه منابع این شرکت در v39 انجام نشده است.</t>
        </is>
      </c>
      <c r="J17" s="57" t="inlineStr">
        <is>
          <t>SRC_VGHD_1404_002 | افشای نوع ۱۹ | ۱۴۰۳ | ۱ | Snapshot مبنا برای ۱۴۰۳
SRC_VGHD_1404_006 | افشای نوع ۱۹ | ۱۴۰۴ | ۱ | Snapshot مبنا برای ۱۴۰۴</t>
        </is>
      </c>
      <c r="K17" s="57" t="inlineStr">
        <is>
          <t>https://www.codal.ir/Reports/Decision.aspx?LetterSerial=b9uqvOIQIMvyGYAfsuoWUg%3d%3d&amp;rt=2&amp;let=19&amp;ct=0&amp;ft=-1
https://www.codal.ir/Reports/Decision.aspx?LetterSerial=ytYjZCpQQQaQQQ34BFQkm8DLxX9A%3d%3d&amp;rt=2&amp;let=19&amp;ct=0&amp;ft=-1</t>
        </is>
      </c>
      <c r="L17" s="57" t="n"/>
      <c r="M17" s="57" t="n"/>
      <c r="N17" s="57" t="inlineStr">
        <is>
          <t>پذیرش به معنی نبود تعارض باز ثبت شده در فایل است؛ نه تایید مستقل کامل اسناد اولیه.</t>
        </is>
      </c>
      <c r="O17" s="58">
        <f>IF(COUNTIF($A$4:A17,A17)=1,1,0)</f>
        <v>1</v>
      </c>
    </row>
    <row r="18" ht="110" customHeight="1" s="76">
      <c r="A18" s="56" t="inlineStr">
        <is>
          <t>نوری</t>
        </is>
      </c>
      <c r="B18" s="59" t="str">
        <f>'Turnover نهایی'!V18</f>
        <v>بله</v>
      </c>
      <c r="C18" s="59">
        <f>IF(B18="بله",1,IF(B18="خیر",0,""))</f>
        <v>1</v>
      </c>
      <c r="D18" s="56" t="inlineStr">
        <is>
          <t>INHERITED_WITH_LIMITATION</t>
        </is>
      </c>
      <c r="E18" s="56" t="inlineStr">
        <is>
          <t>بله</t>
        </is>
      </c>
      <c r="F18" s="59">
        <f>IF(AND(E18="بله",ISNUMBER(C18)),C18,"")</f>
        <v>1</v>
      </c>
      <c r="G18" s="56" t="n"/>
      <c r="H18" s="56" t="n"/>
      <c r="I18" s="56" t="inlineStr">
        <is>
          <t>انتقال کنترل شده مقدار v38؛ تایید مجدد مستقل همه منابع این شرکت در v39 انجام نشده است.</t>
        </is>
      </c>
      <c r="J18" s="56"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K18" s="56" t="inlineStr">
        <is>
          <t>https://www.codal.ir/Reports/Attachment.aspx?LetterSerial=qQQQaQQQXL8Mm5NCUb8eyBSic7hA%3d%3d
https://www.codal.ir/Reports/Attachment.aspx?LetterSerial=lWuukNFzDitnWL7VD4weCA%3d%3d</t>
        </is>
      </c>
      <c r="L18" s="56" t="n"/>
      <c r="M18" s="56" t="n"/>
      <c r="N18" s="56" t="inlineStr">
        <is>
          <t>پذیرش به معنی نبود تعارض باز ثبت شده در فایل است؛ نه تایید مستقل کامل اسناد اولیه.</t>
        </is>
      </c>
      <c r="O18" s="59">
        <f>IF(COUNTIF($A$4:A18,A18)=1,1,0)</f>
        <v>1</v>
      </c>
    </row>
    <row r="19" ht="110" customHeight="1" s="76">
      <c r="A19" s="57" t="inlineStr">
        <is>
          <t>فولاد</t>
        </is>
      </c>
      <c r="B19" s="58" t="str">
        <f>'Turnover نهایی'!V19</f>
        <v>بله</v>
      </c>
      <c r="C19" s="58">
        <f>IF(B19="بله",1,IF(B19="خیر",0,""))</f>
        <v>1</v>
      </c>
      <c r="D19" s="57" t="inlineStr">
        <is>
          <t>INHERITED_WITH_LIMITATION</t>
        </is>
      </c>
      <c r="E19" s="57" t="inlineStr">
        <is>
          <t>بله</t>
        </is>
      </c>
      <c r="F19" s="58">
        <f>IF(AND(E19="بله",ISNUMBER(C19)),C19,"")</f>
        <v>1</v>
      </c>
      <c r="G19" s="57" t="n"/>
      <c r="H19" s="57" t="n"/>
      <c r="I19" s="57" t="inlineStr">
        <is>
          <t>انتقال کنترل شده مقدار v38؛ تایید مجدد مستقل همه منابع این شرکت در v39 انجام نشده است.</t>
        </is>
      </c>
      <c r="J19" s="57"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K19" s="57" t="inlineStr">
        <is>
          <t>https://www.codal.ir/Reports/Attachment.aspx?LetterSerial=lIOOObOOOFuv6MQlLw20bmBKF3Cw%3d%3d
https://www.codal.ir/Reports/Attachment.aspx?LetterSerial=DjTPnm9Pa79X4Gv1Zp8FQQQaQQQQ%3d%3d</t>
        </is>
      </c>
      <c r="L19" s="57" t="n"/>
      <c r="M19" s="57" t="n"/>
      <c r="N19" s="57" t="inlineStr">
        <is>
          <t>پذیرش به معنی نبود تعارض باز ثبت شده در فایل است؛ نه تایید مستقل کامل اسناد اولیه.</t>
        </is>
      </c>
      <c r="O19" s="58">
        <f>IF(COUNTIF($A$4:A19,A19)=1,1,0)</f>
        <v>1</v>
      </c>
    </row>
    <row r="20" ht="110" customHeight="1" s="76">
      <c r="A20" s="56" t="inlineStr">
        <is>
          <t>کچاد</t>
        </is>
      </c>
      <c r="B20" s="59" t="str">
        <f>'Turnover نهایی'!V20</f>
        <v>بله</v>
      </c>
      <c r="C20" s="59">
        <f>IF(B20="بله",1,IF(B20="خیر",0,""))</f>
        <v>1</v>
      </c>
      <c r="D20" s="56" t="inlineStr">
        <is>
          <t>V38_CONFIRMED</t>
        </is>
      </c>
      <c r="E20" s="56" t="inlineStr">
        <is>
          <t>بله</t>
        </is>
      </c>
      <c r="F20" s="59">
        <f>IF(AND(E20="بله",ISNUMBER(C20)),C20,"")</f>
        <v>1</v>
      </c>
      <c r="G20" s="56" t="inlineStr">
        <is>
          <t>محمود صلاحی</t>
        </is>
      </c>
      <c r="H20" s="56" t="inlineStr">
        <is>
          <t>محمدرضا تابش</t>
        </is>
      </c>
      <c r="I20" s="56" t="inlineStr">
        <is>
          <t>مقایسه هویت رئیس در دو نقطه از بازسازی سطح کرسی v38؛ عدم تغییر سایر سمت ها ملاک نیست.</t>
        </is>
      </c>
      <c r="J20" s="56" t="inlineStr">
        <is>
          <t>Turnover Seat Reconstruction؛ 1287746 / 1473973</t>
        </is>
      </c>
      <c r="K20" s="56" t="inlineStr">
        <is>
          <t>https://www.codal.ir/Reports/Decision.aspx?LetterSerial=v9VDr2f0BIJNqKEnWy6Rug%3d%3d&amp;rt=0&amp;let=19&amp;ct=0&amp;ft=-1
https://www.codal.ir/Reports/Decision.aspx?LetterSerial=XPg1kJyBIkadWnCXHnsdKg%3d%3d&amp;rt=0&amp;let=19&amp;ct=0&amp;ft=-1</t>
        </is>
      </c>
      <c r="L20" s="56" t="n"/>
      <c r="M20" s="56" t="n"/>
      <c r="N20" s="56" t="inlineStr">
        <is>
          <t>مبنای این مرحله شواهد مستند در فایل v38 است؛ دریافت مجدد مستقل اسناد کدال در این محیط ممکن نشد.</t>
        </is>
      </c>
      <c r="O20" s="59">
        <f>IF(COUNTIF($A$4:A20,A20)=1,1,0)</f>
        <v>1</v>
      </c>
    </row>
    <row r="21" ht="110" customHeight="1" s="76">
      <c r="A21" s="57" t="inlineStr">
        <is>
          <t>کگل</t>
        </is>
      </c>
      <c r="B21" s="58" t="str">
        <f>'Turnover نهایی'!V21</f>
        <v>بله</v>
      </c>
      <c r="C21" s="58">
        <f>IF(B21="بله",1,IF(B21="خیر",0,""))</f>
        <v>1</v>
      </c>
      <c r="D21" s="57" t="inlineStr">
        <is>
          <t>INHERITED_WITH_LIMITATION</t>
        </is>
      </c>
      <c r="E21" s="57" t="inlineStr">
        <is>
          <t>بله</t>
        </is>
      </c>
      <c r="F21" s="58">
        <f>IF(AND(E21="بله",ISNUMBER(C21)),C21,"")</f>
        <v>1</v>
      </c>
      <c r="G21" s="57" t="n"/>
      <c r="H21" s="57" t="n"/>
      <c r="I21" s="57" t="inlineStr">
        <is>
          <t>انتقال کنترل شده مقدار v38؛ تایید مجدد مستقل همه منابع این شرکت در v39 انجام نشده است.</t>
        </is>
      </c>
      <c r="J21" s="57" t="inlineStr">
        <is>
          <t>SRC_KGOL_1404_002 | افشای نوع ۱۹ | ۱۴۰۳ | ۱ | Snapshot مبنا برای پایان ۱۴۰۳ و جلوگیری از Look Ahead
SRC_KGOL_1404_004 | افشای نوع ۱۹ | ۱۴۰۴ | ۱ | Snapshot مبنا برای ۱۴۰۴</t>
        </is>
      </c>
      <c r="K21" s="57" t="inlineStr">
        <is>
          <t>https://www.codal.ir/Reports/Decision.aspx?LetterSerial=V8TQGa6IRAmh3pwzvDL0KQ%3d%3d&amp;rt=0&amp;let=19&amp;ct=0&amp;ft=-1
https://www.codal.ir/Reports/Decision.aspx?LetterSerial=IYIOOObOOO6mh6t3bHqdV5BigMrg%3d%3d&amp;rt=0&amp;let=19&amp;ct=0&amp;ft=-1</t>
        </is>
      </c>
      <c r="L21" s="57" t="n"/>
      <c r="M21" s="57" t="n"/>
      <c r="N21" s="57" t="inlineStr">
        <is>
          <t>پذیرش به معنی نبود تعارض باز ثبت شده در فایل است؛ نه تایید مستقل کامل اسناد اولیه.</t>
        </is>
      </c>
      <c r="O21" s="58">
        <f>IF(COUNTIF($A$4:A21,A21)=1,1,0)</f>
        <v>1</v>
      </c>
    </row>
    <row r="22" ht="110" customHeight="1" s="76">
      <c r="A22" s="56" t="inlineStr">
        <is>
          <t>پارسان</t>
        </is>
      </c>
      <c r="B22" s="59" t="str">
        <f>'Turnover نهایی'!V22</f>
        <v>خیر</v>
      </c>
      <c r="C22" s="59">
        <f>IF(B22="بله",1,IF(B22="خیر",0,""))</f>
        <v>0</v>
      </c>
      <c r="D22" s="56" t="inlineStr">
        <is>
          <t>V38_HIGH</t>
        </is>
      </c>
      <c r="E22" s="56" t="inlineStr">
        <is>
          <t>بله</t>
        </is>
      </c>
      <c r="F22" s="59">
        <f>IF(AND(E22="بله",ISNUMBER(C22)),C22,"")</f>
        <v>0</v>
      </c>
      <c r="G22" s="56" t="inlineStr">
        <is>
          <t>احد امیری</t>
        </is>
      </c>
      <c r="H22" s="56" t="inlineStr">
        <is>
          <t>احد امیری</t>
        </is>
      </c>
      <c r="I22" s="56" t="inlineStr">
        <is>
          <t>مقایسه هویت رئیس در دو نقطه از بازسازی سطح کرسی v38؛ عدم تغییر سایر سمت ها ملاک نیست.</t>
        </is>
      </c>
      <c r="J22" s="56" t="inlineStr">
        <is>
          <t>Turnover Seat Reconstruction؛ 1288275 / 1443940</t>
        </is>
      </c>
      <c r="K22" s="56" t="inlineStr">
        <is>
          <t>https://www.codal.ir/Reports/Decision.aspx?LetterSerial=DsOgAmOOObOOOXCBilD6gqB1SIaw%3d%3d&amp;rt=2&amp;let=19&amp;ct=0&amp;ft=-1
https://www.codal.ir/Reports/Decision.aspx?LetterSerial=zNIQQQaQQQIYcl2yMb4DUIPu3s7w%3d%3d&amp;rt=2&amp;let=19&amp;ct=0&amp;ft=-1</t>
        </is>
      </c>
      <c r="L22" s="56" t="n"/>
      <c r="M22" s="56" t="n"/>
      <c r="N22" s="56" t="inlineStr">
        <is>
          <t>مبنای این مرحله شواهد مستند در فایل v38 است؛ دریافت مجدد مستقل اسناد کدال در این محیط ممکن نشد.</t>
        </is>
      </c>
      <c r="O22" s="59">
        <f>IF(COUNTIF($A$4:A22,A22)=1,1,0)</f>
        <v>1</v>
      </c>
    </row>
    <row r="23" ht="110" customHeight="1" s="76">
      <c r="A23" s="57" t="inlineStr">
        <is>
          <t>اخابر</t>
        </is>
      </c>
      <c r="B23" s="58" t="str">
        <f>'Turnover نهایی'!V23</f>
        <v>خیر</v>
      </c>
      <c r="C23" s="58">
        <f>IF(B23="بله",1,IF(B23="خیر",0,""))</f>
        <v>0</v>
      </c>
      <c r="D23" s="57" t="inlineStr">
        <is>
          <t>INHERITED_WITH_LIMITATION</t>
        </is>
      </c>
      <c r="E23" s="57" t="inlineStr">
        <is>
          <t>بله</t>
        </is>
      </c>
      <c r="F23" s="58">
        <f>IF(AND(E23="بله",ISNUMBER(C23)),C23,"")</f>
        <v>0</v>
      </c>
      <c r="G23" s="57" t="n"/>
      <c r="H23" s="57" t="n"/>
      <c r="I23" s="57" t="inlineStr">
        <is>
          <t>انتقال کنترل شده مقدار v38؛ تایید مجدد مستقل همه منابع این شرکت در v39 انجام نشده است.</t>
        </is>
      </c>
      <c r="J23" s="57"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K23" s="57" t="inlineStr">
        <is>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is>
      </c>
      <c r="L23" s="57" t="n"/>
      <c r="M23" s="57" t="n"/>
      <c r="N23" s="57" t="inlineStr">
        <is>
          <t>پذیرش به معنی نبود تعارض باز ثبت شده در فایل است؛ نه تایید مستقل کامل اسناد اولیه.</t>
        </is>
      </c>
      <c r="O23" s="58">
        <f>IF(COUNTIF($A$4:A23,A23)=1,1,0)</f>
        <v>1</v>
      </c>
    </row>
    <row r="24" ht="110" customHeight="1" s="76">
      <c r="A24" s="56" t="inlineStr">
        <is>
          <t>جم</t>
        </is>
      </c>
      <c r="B24" s="59" t="str">
        <f>'Turnover نهایی'!V24</f>
        <v>بله</v>
      </c>
      <c r="C24" s="59">
        <f>IF(B24="بله",1,IF(B24="خیر",0,""))</f>
        <v>1</v>
      </c>
      <c r="D24" s="56" t="inlineStr">
        <is>
          <t>V38_HIGH</t>
        </is>
      </c>
      <c r="E24" s="56" t="inlineStr">
        <is>
          <t>بله</t>
        </is>
      </c>
      <c r="F24" s="59">
        <f>IF(AND(E24="بله",ISNUMBER(C24)),C24,"")</f>
        <v>1</v>
      </c>
      <c r="G24" s="56" t="inlineStr">
        <is>
          <t>متین دیداری</t>
        </is>
      </c>
      <c r="H24" s="56" t="inlineStr">
        <is>
          <t>محمدسجاد سیاهکارزاده</t>
        </is>
      </c>
      <c r="I24" s="56" t="inlineStr">
        <is>
          <t>مقایسه هویت رئیس در دو نقطه از بازسازی سطح کرسی v38؛ عدم تغییر سایر سمت ها ملاک نیست.</t>
        </is>
      </c>
      <c r="J24" s="56" t="inlineStr">
        <is>
          <t>Turnover Seat Reconstruction؛ 1171265 / 1527389</t>
        </is>
      </c>
      <c r="K24" s="56" t="inlineStr">
        <is>
          <t>https://www.codal.ir/Reports/Decision.aspx?LetterSerial=SZoueUaBHVA%2bs%2bgcP%2bwj4A%3d%3d&amp;rt=0&amp;let=19&amp;ct=0&amp;ft=-1
https://www.codal.ir/Reports/Decision.aspx?LetterSerial=QQQaQQQtpQVpIOOObOOOPhcgQQQaQQQA5ahYjCjA%3d%3d&amp;rt=0&amp;let=19&amp;ct=0&amp;ft=-1</t>
        </is>
      </c>
      <c r="L24" s="56" t="inlineStr">
        <is>
          <t>طبق یادداشت v38 رویداد ۱۴۰۴/۱۲/۲۵ و انتشار ۱۴۰۵/۰۲/۲۹؛ با مبنای تاریخ انتشار تغییر رئیس می تواند صفر شود. کد اصلی این فایل مبتنی بر تاریخ موثر است.</t>
        </is>
      </c>
      <c r="M24" s="56" t="n"/>
      <c r="N24" s="56" t="inlineStr">
        <is>
          <t>مبنای این مرحله شواهد مستند در فایل v38 است؛ دریافت مجدد مستقل اسناد کدال در این محیط ممکن نشد.</t>
        </is>
      </c>
      <c r="O24" s="59">
        <f>IF(COUNTIF($A$4:A24,A24)=1,1,0)</f>
        <v>1</v>
      </c>
    </row>
    <row r="25" ht="110" customHeight="1" s="76">
      <c r="A25" s="57" t="inlineStr">
        <is>
          <t>ومعادن</t>
        </is>
      </c>
      <c r="B25" s="58" t="str">
        <f>'Turnover نهایی'!V25</f>
        <v>بله</v>
      </c>
      <c r="C25" s="58">
        <f>IF(B25="بله",1,IF(B25="خیر",0,""))</f>
        <v>1</v>
      </c>
      <c r="D25" s="57" t="inlineStr">
        <is>
          <t>INHERITED_WITH_LIMITATION</t>
        </is>
      </c>
      <c r="E25" s="57" t="inlineStr">
        <is>
          <t>بله</t>
        </is>
      </c>
      <c r="F25" s="58">
        <f>IF(AND(E25="بله",ISNUMBER(C25)),C25,"")</f>
        <v>1</v>
      </c>
      <c r="G25" s="57" t="n"/>
      <c r="H25" s="57" t="n"/>
      <c r="I25" s="57" t="inlineStr">
        <is>
          <t>انتقال کنترل شده مقدار v38؛ تایید مجدد مستقل همه منابع این شرکت در v39 انجام نشده است.</t>
        </is>
      </c>
      <c r="J25" s="57"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K25" s="57" t="inlineStr">
        <is>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is>
      </c>
      <c r="L25" s="57" t="n"/>
      <c r="M25" s="57" t="n"/>
      <c r="N25" s="57" t="inlineStr">
        <is>
          <t>پذیرش به معنی نبود تعارض باز ثبت شده در فایل است؛ نه تایید مستقل کامل اسناد اولیه.</t>
        </is>
      </c>
      <c r="O25" s="58">
        <f>IF(COUNTIF($A$4:A25,A25)=1,1,0)</f>
        <v>1</v>
      </c>
    </row>
    <row r="26" ht="110" customHeight="1" s="76">
      <c r="A26" s="56" t="inlineStr">
        <is>
          <t>وامید</t>
        </is>
      </c>
      <c r="B26" s="59" t="str">
        <f>'Turnover نهایی'!V26</f>
        <v>خیر</v>
      </c>
      <c r="C26" s="59">
        <f>IF(B26="بله",1,IF(B26="خیر",0,""))</f>
        <v>0</v>
      </c>
      <c r="D26" s="56" t="inlineStr">
        <is>
          <t>INHERITED_WITH_LIMITATION</t>
        </is>
      </c>
      <c r="E26" s="56" t="inlineStr">
        <is>
          <t>بله</t>
        </is>
      </c>
      <c r="F26" s="59">
        <f>IF(AND(E26="بله",ISNUMBER(C26)),C26,"")</f>
        <v>0</v>
      </c>
      <c r="G26" s="56" t="n"/>
      <c r="H26" s="56" t="n"/>
      <c r="I26" s="56" t="inlineStr">
        <is>
          <t>انتقال کنترل شده مقدار v38؛ تایید مجدد مستقل همه منابع این شرکت در v39 انجام نشده است.</t>
        </is>
      </c>
      <c r="J26" s="56"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K26" s="56" t="inlineStr">
        <is>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is>
      </c>
      <c r="L26" s="56" t="n"/>
      <c r="M26" s="56" t="n"/>
      <c r="N26" s="56" t="inlineStr">
        <is>
          <t>پذیرش به معنی نبود تعارض باز ثبت شده در فایل است؛ نه تایید مستقل کامل اسناد اولیه.</t>
        </is>
      </c>
      <c r="O26" s="59">
        <f>IF(COUNTIF($A$4:A26,A26)=1,1,0)</f>
        <v>1</v>
      </c>
    </row>
    <row r="27" ht="110" customHeight="1" s="76">
      <c r="A27" s="57" t="inlineStr">
        <is>
          <t>خساپا</t>
        </is>
      </c>
      <c r="B27" s="58" t="str">
        <f>'Turnover نهایی'!V27</f>
        <v>خیر</v>
      </c>
      <c r="C27" s="58">
        <f>IF(B27="بله",1,IF(B27="خیر",0,""))</f>
        <v>0</v>
      </c>
      <c r="D27" s="57" t="inlineStr">
        <is>
          <t>V38_CONFIRMED</t>
        </is>
      </c>
      <c r="E27" s="57" t="inlineStr">
        <is>
          <t>بله</t>
        </is>
      </c>
      <c r="F27" s="58">
        <f>IF(AND(E27="بله",ISNUMBER(C27)),C27,"")</f>
        <v>0</v>
      </c>
      <c r="G27" s="57" t="inlineStr">
        <is>
          <t>کورش پرویزیان</t>
        </is>
      </c>
      <c r="H27" s="57" t="inlineStr">
        <is>
          <t>کورش پرویزیان</t>
        </is>
      </c>
      <c r="I27" s="57" t="inlineStr">
        <is>
          <t>مقایسه هویت رئیس در دو نقطه از بازسازی سطح کرسی v38؛ عدم تغییر سایر سمت ها ملاک نیست.</t>
        </is>
      </c>
      <c r="J27" s="57" t="inlineStr">
        <is>
          <t>Turnover Seat Reconstruction؛ 1295938 / 1386511</t>
        </is>
      </c>
      <c r="K27" s="57" t="inlineStr">
        <is>
          <t>https://www.codal.ir/Reports/Decision.aspx?LetterSerial=0rlsOOObOOOEFaa9IMoCD90IUbxA%3d%3d&amp;rt=0&amp;let=19&amp;ct=0&amp;ft=-1
https://www.codal.ir/Reports/Decision.aspx?LetterSerial=UJ1so0i61H6WpTMWJ3OsCA%3d%3d&amp;rt=0&amp;let=19&amp;ct=0&amp;ft=-1</t>
        </is>
      </c>
      <c r="L27" s="57" t="n"/>
      <c r="M27" s="57" t="n"/>
      <c r="N27" s="57" t="inlineStr">
        <is>
          <t>مبنای این مرحله شواهد مستند در فایل v38 است؛ دریافت مجدد مستقل اسناد کدال در این محیط ممکن نشد.</t>
        </is>
      </c>
      <c r="O27" s="58">
        <f>IF(COUNTIF($A$4:A27,A27)=1,1,0)</f>
        <v>1</v>
      </c>
    </row>
    <row r="28" ht="110" customHeight="1" s="76">
      <c r="A28" s="56" t="inlineStr">
        <is>
          <t>همراه</t>
        </is>
      </c>
      <c r="B28" s="59" t="str">
        <f>'Turnover نهایی'!V28</f>
        <v>خیر</v>
      </c>
      <c r="C28" s="59">
        <f>IF(B28="بله",1,IF(B28="خیر",0,""))</f>
        <v>0</v>
      </c>
      <c r="D28" s="56" t="inlineStr">
        <is>
          <t>INHERITED_WITH_LIMITATION</t>
        </is>
      </c>
      <c r="E28" s="56" t="inlineStr">
        <is>
          <t>بله</t>
        </is>
      </c>
      <c r="F28" s="59">
        <f>IF(AND(E28="بله",ISNUMBER(C28)),C28,"")</f>
        <v>0</v>
      </c>
      <c r="G28" s="56" t="n"/>
      <c r="H28" s="56" t="n"/>
      <c r="I28" s="56" t="inlineStr">
        <is>
          <t>انتقال کنترل شده مقدار v38؛ تایید مجدد مستقل همه منابع این شرکت در v39 انجام نشده است.</t>
        </is>
      </c>
      <c r="J28" s="56"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K28" s="56" t="inlineStr">
        <is>
          <t>https://www.codal.ir/Reports/Attachment.aspx?LetterSerial=qF6WQQQaQQQvb3G9yQQQaQQQVuknoGcUQQ%3d%3d
https://www.codal.ir/Reports/Attachment.aspx?LetterSerial=Ln6R9zsWXNJqeuz97OOObOOOaACw%3d%3d
https://www.codal.ir/Reports/Decision.aspx?LetterSerial=EkFsjyhmhfXBQoQQQaQQQTg7cqCw%3d%3d&amp;rt=5&amp;let=19&amp;ct=0&amp;ft=-1</t>
        </is>
      </c>
      <c r="L28" s="56" t="n"/>
      <c r="M28" s="56" t="n"/>
      <c r="N28" s="56" t="inlineStr">
        <is>
          <t>پذیرش به معنی نبود تعارض باز ثبت شده در فایل است؛ نه تایید مستقل کامل اسناد اولیه.</t>
        </is>
      </c>
      <c r="O28" s="59">
        <f>IF(COUNTIF($A$4:A28,A28)=1,1,0)</f>
        <v>1</v>
      </c>
    </row>
    <row r="29" ht="110" customHeight="1" s="76">
      <c r="A29" s="57" t="inlineStr">
        <is>
          <t>وبملت</t>
        </is>
      </c>
      <c r="B29" s="58" t="str">
        <f>'Turnover نهایی'!V29</f>
        <v>خیر</v>
      </c>
      <c r="C29" s="58">
        <f>IF(B29="بله",1,IF(B29="خیر",0,""))</f>
        <v>0</v>
      </c>
      <c r="D29" s="57" t="inlineStr">
        <is>
          <t>INHERITED_WITH_LIMITATION</t>
        </is>
      </c>
      <c r="E29" s="57" t="inlineStr">
        <is>
          <t>بله</t>
        </is>
      </c>
      <c r="F29" s="58">
        <f>IF(AND(E29="بله",ISNUMBER(C29)),C29,"")</f>
        <v>0</v>
      </c>
      <c r="G29" s="57" t="n"/>
      <c r="H29" s="57" t="n"/>
      <c r="I29" s="57" t="inlineStr">
        <is>
          <t>انتقال کنترل شده مقدار v38؛ تایید مجدد مستقل همه منابع این شرکت در v39 انجام نشده است.</t>
        </is>
      </c>
      <c r="J29" s="57" t="inlineStr">
        <is>
          <t>SRC_MELT_1404_006 | افشای نوع ۱۹ | ۱۴۰۳ | ۱ | Snapshot اشخاص حقیقی ۱۴۰۳
SRC_MELT_1404_005 | افشای نوع ۱۹ | ۱۴۰۴ | ۱ | Snapshot اشخاص حقیقی ۱۴۰۴؛ فقط تغییر سمت</t>
        </is>
      </c>
      <c r="K29" s="57" t="inlineStr">
        <is>
          <t>https://www.codal.ir/Reports/Decision.aspx?LetterSerial=pMyRiSQQQaQQQwMIoymmCCqmzwtg%3d%3d&amp;rt=3&amp;let=19&amp;ct=0&amp;ft=-1
https://www.codal.ir/Reports/Decision.aspx?LetterSerial=jqQzOOObOOOZ5mOOObOOO0IdbSC6088ERA%3d%3d&amp;rt=3&amp;let=19&amp;ct=0&amp;ft=-1</t>
        </is>
      </c>
      <c r="L29" s="57" t="n"/>
      <c r="M29" s="57" t="n"/>
      <c r="N29" s="57" t="inlineStr">
        <is>
          <t>پذیرش به معنی نبود تعارض باز ثبت شده در فایل است؛ نه تایید مستقل کامل اسناد اولیه.</t>
        </is>
      </c>
      <c r="O29" s="58">
        <f>IF(COUNTIF($A$4:A29,A29)=1,1,0)</f>
        <v>1</v>
      </c>
    </row>
    <row r="30" ht="110" customHeight="1" s="76">
      <c r="A30" s="56" t="inlineStr">
        <is>
          <t>وبصادر</t>
        </is>
      </c>
      <c r="B30" s="59" t="str">
        <f>'Turnover نهایی'!V30</f>
        <v>خیر</v>
      </c>
      <c r="C30" s="59">
        <f>IF(B30="بله",1,IF(B30="خیر",0,""))</f>
        <v>0</v>
      </c>
      <c r="D30" s="56" t="inlineStr">
        <is>
          <t>INHERITED_WITH_LIMITATION</t>
        </is>
      </c>
      <c r="E30" s="56" t="inlineStr">
        <is>
          <t>بله</t>
        </is>
      </c>
      <c r="F30" s="59">
        <f>IF(AND(E30="بله",ISNUMBER(C30)),C30,"")</f>
        <v>0</v>
      </c>
      <c r="G30" s="56" t="n"/>
      <c r="H30" s="56" t="n"/>
      <c r="I30" s="56" t="inlineStr">
        <is>
          <t>انتقال کنترل شده مقدار v38؛ تایید مجدد مستقل همه منابع این شرکت در v39 انجام نشده است.</t>
        </is>
      </c>
      <c r="J30" s="56" t="inlineStr">
        <is>
          <t>SRC_VBSD_1404_002 | گزارش فعالیت هیئت مدیره | ۱۴۰۳ | ۳۸ تا ۳۹ | Snapshot مبنا ۱۴۰۳
SRC_VBSD_1404_001 | گزارش فعالیت هیئت مدیره | ۱۴۰۴ | ۴۵ تا ۴۶ | Snapshot مبنا ۱۴۰۴</t>
        </is>
      </c>
      <c r="K30" s="56" t="inlineStr">
        <is>
          <t>https://www.codal.ir/Reports/Attachment.aspx?LetterSerial=HChwyLb11ZnzYeIEeB3Jng%3d%3d
https://www.codal.ir/Reports/Attachment.aspx?LetterSerial=p0cfFj1rDsXiFZsu35tCWw%3d%3d</t>
        </is>
      </c>
      <c r="L30" s="56" t="n"/>
      <c r="M30" s="56" t="n"/>
      <c r="N30" s="56" t="inlineStr">
        <is>
          <t>پذیرش به معنی نبود تعارض باز ثبت شده در فایل است؛ نه تایید مستقل کامل اسناد اولیه.</t>
        </is>
      </c>
      <c r="O30" s="59">
        <f>IF(COUNTIF($A$4:A30,A30)=1,1,0)</f>
        <v>1</v>
      </c>
    </row>
    <row r="31" ht="110" customHeight="1" s="76">
      <c r="A31" s="60" t="inlineStr">
        <is>
          <t>وپاسار</t>
        </is>
      </c>
      <c r="B31" s="61" t="str">
        <f>'Turnover نهایی'!V31</f>
        <v>نامشخص</v>
      </c>
      <c r="C31" s="61">
        <f>IF(B31="بله",1,IF(B31="خیر",0,""))</f>
      </c>
      <c r="D31" s="60" t="inlineStr">
        <is>
          <t>MISSING</t>
        </is>
      </c>
      <c r="E31" s="60" t="inlineStr">
        <is>
          <t>خیر</t>
        </is>
      </c>
      <c r="F31" s="61">
        <f>IF(AND(E31="بله",ISNUMBER(C31)),C31,"")</f>
      </c>
      <c r="G31" s="60" t="n"/>
      <c r="H31" s="60" t="n"/>
      <c r="I31" s="60" t="inlineStr">
        <is>
          <t>انتقال کنترل شده مقدار v38؛ تایید مجدد مستقل همه منابع این شرکت در v39 انجام نشده است.</t>
        </is>
      </c>
      <c r="J31" s="60"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K31" s="62" t="inlineStr">
        <is>
          <t>https://www.codal.ir/Reports/Attachment.aspx?LetterSerial=Cxkdj8wztt52xU9MoBXp2w%3d%3d</t>
        </is>
      </c>
      <c r="L31" s="60" t="n"/>
      <c r="M31" s="60" t="inlineStr">
        <is>
          <t>DOCUMENT_MISSING</t>
        </is>
      </c>
      <c r="N31" s="60" t="inlineStr">
        <is>
          <t>داده نامشخص به صفر تبدیل نشد. سرنخ گزارش کنترل های داخلی 1526305 پیدا شد ولی متن و امضاهای آن در دسترس نبود.</t>
        </is>
      </c>
      <c r="O31" s="61">
        <f>IF(COUNTIF($A$4:A31,A31)=1,1,0)</f>
        <v>1</v>
      </c>
    </row>
    <row r="32" ht="110" customHeight="1" s="76">
      <c r="A32" s="60" t="inlineStr">
        <is>
          <t>حکشتی</t>
        </is>
      </c>
      <c r="B32" s="61" t="str">
        <f>'Turnover نهایی'!V32</f>
        <v>نامشخص</v>
      </c>
      <c r="C32" s="61">
        <f>IF(B32="بله",1,IF(B32="خیر",0,""))</f>
      </c>
      <c r="D32" s="60" t="inlineStr">
        <is>
          <t>MISSING</t>
        </is>
      </c>
      <c r="E32" s="60" t="inlineStr">
        <is>
          <t>خیر</t>
        </is>
      </c>
      <c r="F32" s="61">
        <f>IF(AND(E32="بله",ISNUMBER(C32)),C32,"")</f>
      </c>
      <c r="G32" s="60" t="n"/>
      <c r="H32" s="60" t="n"/>
      <c r="I32" s="60" t="inlineStr">
        <is>
          <t>انتقال کنترل شده مقدار v38؛ تایید مجدد مستقل همه منابع این شرکت در v39 انجام نشده است.</t>
        </is>
      </c>
      <c r="J32" s="60" t="inlineStr">
        <is>
          <t>Iran_BSI_v33_Phase4_2K_FinalTurnoverClosure.xlsx | شرکت های Seat Level | داده شخص حقیقی برای Turnover قابل اتکا نبود</t>
        </is>
      </c>
      <c r="K32" s="60" t="inlineStr">
        <is>
          <t>برای ردیابی پایه به فایل v33 و Source_IDهای همان فاز مراجعه شود</t>
        </is>
      </c>
      <c r="L32" s="60" t="n"/>
      <c r="M32" s="60" t="inlineStr">
        <is>
          <t>PERSON_LEVEL_UNAVAILABLE</t>
        </is>
      </c>
      <c r="N32" s="60" t="inlineStr">
        <is>
          <t>داده نامشخص به صفر تبدیل نشد. نام رئیس در یک فهرست تاریخی انجمن کافی برای دو نقطه مقایسه یا تطبیق پنج نماینده نیست.</t>
        </is>
      </c>
      <c r="O32" s="61">
        <f>IF(COUNTIF($A$4:A32,A32)=1,1,0)</f>
        <v>1</v>
      </c>
    </row>
    <row r="33" ht="110" customHeight="1" s="76">
      <c r="A33" s="57" t="inlineStr">
        <is>
          <t>شپدیس</t>
        </is>
      </c>
      <c r="B33" s="58" t="str">
        <f>'Turnover نهایی'!V33</f>
        <v>بله</v>
      </c>
      <c r="C33" s="58">
        <f>IF(B33="بله",1,IF(B33="خیر",0,""))</f>
        <v>1</v>
      </c>
      <c r="D33" s="57" t="inlineStr">
        <is>
          <t>V38_CONFIRMED</t>
        </is>
      </c>
      <c r="E33" s="57" t="inlineStr">
        <is>
          <t>بله</t>
        </is>
      </c>
      <c r="F33" s="58">
        <f>IF(AND(E33="بله",ISNUMBER(C33)),C33,"")</f>
        <v>1</v>
      </c>
      <c r="G33" s="57" t="inlineStr">
        <is>
          <t>هوشنگ گودرزی</t>
        </is>
      </c>
      <c r="H33" s="57" t="inlineStr">
        <is>
          <t>حسن شاه‌ولدی</t>
        </is>
      </c>
      <c r="I33" s="57" t="inlineStr">
        <is>
          <t>مقایسه هویت رئیس در دو نقطه از بازسازی سطح کرسی v38؛ عدم تغییر سایر سمت ها ملاک نیست.</t>
        </is>
      </c>
      <c r="J33" s="57" t="inlineStr">
        <is>
          <t>Turnover Seat Reconstruction؛ 1309386 / 1443721</t>
        </is>
      </c>
      <c r="K33" s="57" t="inlineStr">
        <is>
          <t>https://www.codal.ir/Reports/Decision.aspx?LetterSerial=C4XsKe3dMCJ7F1MqOaUJBw%3d%3d&amp;rt=0&amp;let=19&amp;ct=0&amp;ft=-1
https://www.codal.ir/Reports/Decision.aspx?LetterSerial=Lh6dCOOObOOOOOObOOOHmUIfwOOObOOOrvn9DNRQ%3d%3d&amp;rt=0&amp;let=19&amp;ct=0&amp;ft=-1</t>
        </is>
      </c>
      <c r="L33" s="57" t="n"/>
      <c r="M33" s="57" t="n"/>
      <c r="N33" s="57" t="inlineStr">
        <is>
          <t>مبنای این مرحله شواهد مستند در فایل v38 است؛ دریافت مجدد مستقل اسناد کدال در این محیط ممکن نشد.</t>
        </is>
      </c>
      <c r="O33" s="58">
        <f>IF(COUNTIF($A$4:A33,A33)=1,1,0)</f>
        <v>1</v>
      </c>
    </row>
    <row r="37" ht="35" customHeight="1" s="76">
      <c r="A37" s="57" t="inlineStr">
        <is>
          <t>معیار</t>
        </is>
      </c>
      <c r="B37" s="57" t="inlineStr">
        <is>
          <t>مقدار</t>
        </is>
      </c>
      <c r="C37" s="57" t="inlineStr">
        <is>
          <t>توضیح</t>
        </is>
      </c>
    </row>
    <row r="38" ht="62" customHeight="1" s="76">
      <c r="A38" s="56" t="inlineStr">
        <is>
          <t>پوشش عددی موجود</t>
        </is>
      </c>
      <c r="B38" s="59">
        <f>COUNT(C4:C33)</f>
        <v>27</v>
      </c>
      <c r="C38" s="56" t="inlineStr">
        <is>
          <t>تعداد کدهای صفر یا یک بدون حذف تعارض</t>
        </is>
      </c>
    </row>
    <row r="39" ht="62" customHeight="1" s="76">
      <c r="A39" s="57" t="inlineStr">
        <is>
          <t>بدون تعارض باز ثبت شده</t>
        </is>
      </c>
      <c r="B39" s="58">
        <f>COUNT(F4:F33)</f>
        <v>26</v>
      </c>
      <c r="C39" s="57" t="inlineStr">
        <is>
          <t>پوشش محافظه کارانه؛ شواهد موروثی با محدودیت</t>
        </is>
      </c>
    </row>
    <row r="40" ht="62" customHeight="1" s="76">
      <c r="A40" s="56" t="inlineStr">
        <is>
          <t>ورودی نامشخص</t>
        </is>
      </c>
      <c r="B40" s="59">
        <f>COUNTIF(D4:D33,"MISSING")</f>
        <v>3</v>
      </c>
      <c r="C40" s="56" t="inlineStr">
        <is>
          <t>رمپنا، وپاسار، حکشتی</t>
        </is>
      </c>
    </row>
    <row r="41" ht="62" customHeight="1" s="76">
      <c r="A41" s="57" t="inlineStr">
        <is>
          <t>تعارض باز</t>
        </is>
      </c>
      <c r="B41" s="58">
        <f>COUNTIF(D4:D33,"NEEDS_REVIEW")</f>
        <v>1</v>
      </c>
      <c r="C41" s="57" t="inlineStr">
        <is>
          <t>فملی؛ ورودی خام نگهداری شده است</t>
        </is>
      </c>
    </row>
    <row r="42" ht="62" customHeight="1" s="76">
      <c r="A42" s="56" t="inlineStr">
        <is>
          <t>تغییر رئیس در مجموعه محافظه کارانه</t>
        </is>
      </c>
      <c r="B42" s="59">
        <f>COUNTIFS(E4:E33,"بله",F4:F33,1)</f>
        <v>14</v>
      </c>
      <c r="C42" s="56" t="inlineStr">
        <is>
          <t>وجود تغییر به معنی بهتر یا بدتر شدن کیفیت نیست</t>
        </is>
      </c>
    </row>
    <row r="43" ht="62" customHeight="1" s="76">
      <c r="A43" s="57" t="inlineStr">
        <is>
          <t>بدون تغییر در مجموعه محافظه کارانه</t>
        </is>
      </c>
      <c r="B43" s="58">
        <f>COUNTIFS(E4:E33,"بله",F4:F33,0)</f>
        <v>12</v>
      </c>
      <c r="C43" s="57" t="inlineStr">
        <is>
          <t>صفر واقعی فقط در مجموعه قابل استفاده</t>
        </is>
      </c>
    </row>
    <row r="44" ht="62" customHeight="1" s="76">
      <c r="A44" s="56" t="inlineStr">
        <is>
          <t>تعداد شرکت ها</t>
        </is>
      </c>
      <c r="B44" s="59">
        <f>COUNTA(A4:A33)</f>
        <v>30</v>
      </c>
      <c r="C44" s="56" t="inlineStr">
        <is>
          <t>کل نمونه؛ مستقل از واجد شرایط بودن گردش نمایندگان</t>
        </is>
      </c>
    </row>
    <row r="45" ht="62" customHeight="1" s="76">
      <c r="A45" s="57" t="inlineStr">
        <is>
          <t>پوشش عددی از کل</t>
        </is>
      </c>
      <c r="B45" s="63">
        <f>IF(B44&gt;0,B38/B44,"")</f>
        <v>0.9</v>
      </c>
      <c r="C45" s="57" t="inlineStr">
        <is>
          <t>موجود بودن کد، حتی با تعارض باز</t>
        </is>
      </c>
    </row>
    <row r="46" ht="62" customHeight="1" s="76">
      <c r="A46" s="56" t="inlineStr">
        <is>
          <t>پوشش محافظه کارانه از کل</t>
        </is>
      </c>
      <c r="B46" s="64">
        <f>IF(B44&gt;0,B39/B44,"")</f>
        <v>0.8666666666666667</v>
      </c>
      <c r="C46" s="56" t="inlineStr">
        <is>
          <t>این نسبت به جدول استاد و معماری منتقل شده است</t>
        </is>
      </c>
    </row>
    <row r="47" ht="62" customHeight="1" s="76">
      <c r="A47" s="57" t="inlineStr">
        <is>
          <t>پوشش گزارش شده در ممیزی v38</t>
        </is>
      </c>
      <c r="B47" s="57" t="n">
        <v>23</v>
      </c>
      <c r="C47" s="57" t="inlineStr">
        <is>
          <t>Audit Coverage!F8 در فایل مبنا؛ مقدار تاریخی</t>
        </is>
      </c>
    </row>
    <row r="48" ht="62" customHeight="1" s="76">
      <c r="A48" s="56" t="inlineStr">
        <is>
          <t>افزایش پوشش نسبت به ممیزی قبلی</t>
        </is>
      </c>
      <c r="B48" s="59">
        <f>B39-B47</f>
        <v>3</v>
      </c>
      <c r="C48" s="56" t="inlineStr">
        <is>
          <t>دو تعارض تاپیکو و کچاد حل شد؛ شپدیس از نامشخص خارج شد</t>
        </is>
      </c>
    </row>
    <row r="49" ht="62" customHeight="1" s="76">
      <c r="A49" s="57" t="inlineStr">
        <is>
          <t>تعداد شرکت یکتا</t>
        </is>
      </c>
      <c r="B49" s="58">
        <f>SUM(O4:O33)</f>
        <v>30</v>
      </c>
      <c r="C49" s="57" t="inlineStr">
        <is>
          <t>کنترل اولین وقوع نام با COUNTIF تجمعی</t>
        </is>
      </c>
    </row>
    <row r="50" ht="62" customHeight="1" s="76">
      <c r="A50" s="56" t="inlineStr">
        <is>
          <t>نامشخص یا متعارض</t>
        </is>
      </c>
      <c r="B50" s="59">
        <f>B40+B41</f>
        <v>4</v>
      </c>
      <c r="C50" s="56" t="inlineStr">
        <is>
          <t>خارج از پوشش محافظه کارانه</t>
        </is>
      </c>
    </row>
  </sheetData>
  <autoFilter ref="A3:N33"/>
  <mergeCells count="2">
    <mergeCell ref="A1:O1"/>
    <mergeCell ref="A2:O2"/>
  </mergeCells>
  <hyperlinks>
    <hyperlink xmlns:r="http://schemas.openxmlformats.org/officeDocument/2006/relationships" ref="K31" r:id="rId1"/>
  </hyperlinks>
  <printOptions horizontalCentered="1"/>
  <pageMargins left="0.75" right="0.75" top="1" bottom="1" header="0.5" footer="0.5"/>
  <pageSetup orientation="landscape" paperSize="8" fitToHeight="0"/>
</worksheet>
</file>

<file path=xl/worksheets/sheet4.xml><?xml version="1.0" encoding="utf-8"?>
<worksheet xmlns="http://schemas.openxmlformats.org/spreadsheetml/2006/main">
  <sheetPr>
    <outlinePr summaryBelow="1" summaryRight="1"/>
    <pageSetUpPr fitToPage="1"/>
  </sheetPr>
  <dimension ref="A1:I13"/>
  <sheetViews>
    <sheetView showGridLines="0" rightToLeft="1"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4" customWidth="1" style="76" min="1" max="2"/>
    <col width="37" customWidth="1" style="76" min="3" max="3"/>
    <col width="28" customWidth="1" style="76" min="4" max="5"/>
    <col width="62" customWidth="1" style="76" min="6" max="6"/>
    <col width="36" customWidth="1" style="76" min="7" max="7"/>
    <col width="53" customWidth="1" style="76" min="8" max="8"/>
    <col width="63" customWidth="1" style="76" min="9" max="9"/>
  </cols>
  <sheetData>
    <row r="1" ht="38" customHeight="1" s="76">
      <c r="A1" s="75" t="inlineStr">
        <is>
          <t>فهرست شواهد و محدودیت دسترسی v39</t>
        </is>
      </c>
    </row>
    <row r="2" ht="44" customHeight="1" s="76">
      <c r="A2" s="77" t="inlineStr">
        <is>
          <t>تاریخ بررسی ۲۰۲۶/۱۰/۰۲؛ داده دریافت نشده به عنوان شاهد قطعی استفاده نشده است.</t>
        </is>
      </c>
    </row>
    <row r="3" ht="36" customHeight="1" s="76">
      <c r="A3" s="55" t="inlineStr">
        <is>
          <t>شناسه</t>
        </is>
      </c>
      <c r="B3" s="55" t="inlineStr">
        <is>
          <t>شرکت</t>
        </is>
      </c>
      <c r="C3" s="55" t="inlineStr">
        <is>
          <t>عنوان</t>
        </is>
      </c>
      <c r="D3" s="55" t="inlineStr">
        <is>
          <t>تاریخ یا ردیابی</t>
        </is>
      </c>
      <c r="E3" s="55" t="inlineStr">
        <is>
          <t>نوع منبع</t>
        </is>
      </c>
      <c r="F3" s="55" t="inlineStr">
        <is>
          <t>نشانی یا فایل</t>
        </is>
      </c>
      <c r="G3" s="55" t="inlineStr">
        <is>
          <t>روش مشاهده</t>
        </is>
      </c>
      <c r="H3" s="55" t="inlineStr">
        <is>
          <t>یافته</t>
        </is>
      </c>
      <c r="I3" s="55" t="inlineStr">
        <is>
          <t>محدودیت</t>
        </is>
      </c>
    </row>
    <row r="4" ht="94" customHeight="1" s="76">
      <c r="A4" s="56" t="inlineStr">
        <is>
          <t>V39S01</t>
        </is>
      </c>
      <c r="B4" s="56" t="inlineStr">
        <is>
          <t>وتجارت</t>
        </is>
      </c>
      <c r="C4" s="56" t="inlineStr">
        <is>
          <t>صفحه فارسی هیئت مدیره بانک تجارت</t>
        </is>
      </c>
      <c r="D4" s="56" t="inlineStr">
        <is>
          <t>بدون تاریخ موثر</t>
        </is>
      </c>
      <c r="E4" s="56" t="inlineStr">
        <is>
          <t>صفحه رسمی بانک</t>
        </is>
      </c>
      <c r="F4" s="65" t="inlineStr">
        <is>
          <t>https://www.tejaratbank.ir/web_directory/1679-Board-of-Directors-and-Director.html</t>
        </is>
      </c>
      <c r="G4" s="56" t="inlineStr">
        <is>
          <t>متن نمایه شده در جستجوی وب</t>
        </is>
      </c>
      <c r="H4" s="56" t="inlineStr">
        <is>
          <t>چهار نام درج شده و نام شریفیان در فهرست دیده نمی شود.</t>
        </is>
      </c>
      <c r="I4" s="56" t="inlineStr">
        <is>
          <t>فقط موید ترکیب فعلی؛ نه سند تاریخ خروج و نه تصویر قطعی پایان ۱۴۰۴.</t>
        </is>
      </c>
    </row>
    <row r="5" ht="94" customHeight="1" s="76">
      <c r="A5" s="57" t="inlineStr">
        <is>
          <t>V39S02</t>
        </is>
      </c>
      <c r="B5" s="57" t="inlineStr">
        <is>
          <t>وتجارت</t>
        </is>
      </c>
      <c r="C5" s="57" t="inlineStr">
        <is>
          <t>صفحه انگلیسی هیئت مدیره بانک تجارت</t>
        </is>
      </c>
      <c r="D5" s="57" t="inlineStr">
        <is>
          <t>بدون تاریخ موثر</t>
        </is>
      </c>
      <c r="E5" s="57" t="inlineStr">
        <is>
          <t>صفحه رسمی بانک</t>
        </is>
      </c>
      <c r="F5" s="66" t="inlineStr">
        <is>
          <t>https://www.tejaratbank.ir/general_content/1520654-Board-Of-Directors.html</t>
        </is>
      </c>
      <c r="G5" s="57" t="inlineStr">
        <is>
          <t>متن نمایه شده در جستجوی وب</t>
        </is>
      </c>
      <c r="H5" s="57" t="inlineStr">
        <is>
          <t>پنج نام دارد و حمیدرضا شریفیان را نایب رئیس معرفی می کند.</t>
        </is>
      </c>
      <c r="I5" s="57" t="inlineStr">
        <is>
          <t>با نسخه فارسی یکسان نیست؛ تاریخ خروج از صفحه وب قابل تعیین نیست.</t>
        </is>
      </c>
    </row>
    <row r="6" ht="94" customHeight="1" s="76">
      <c r="A6" s="56" t="inlineStr">
        <is>
          <t>V39S03</t>
        </is>
      </c>
      <c r="B6" s="56" t="inlineStr">
        <is>
          <t>وتجارت</t>
        </is>
      </c>
      <c r="C6" s="56" t="inlineStr">
        <is>
          <t>خبر انتصاب رئیس و نایب رئیس بانک تجارت</t>
        </is>
      </c>
      <c r="D6" s="56" t="inlineStr">
        <is>
          <t>۱۴۰۱/۱۲/۲۹</t>
        </is>
      </c>
      <c r="E6" s="56" t="inlineStr">
        <is>
          <t>خبر رسمی بانک</t>
        </is>
      </c>
      <c r="F6" s="65" t="inlineStr">
        <is>
          <t>https://www.tejaratbank.ir/news/2061976-tejaratbank.html</t>
        </is>
      </c>
      <c r="G6" s="56" t="inlineStr">
        <is>
          <t>متن نمایه شده در جستجوی وب</t>
        </is>
      </c>
      <c r="H6" s="56" t="inlineStr">
        <is>
          <t>انتخاب ترک تبریزی و شریفیان به ریاست و نایب رئیسی را گزارش می کند.</t>
        </is>
      </c>
      <c r="I6" s="56" t="inlineStr">
        <is>
          <t>این سند تاریخی درباره آغاز سمت است و خروج شریفیان در ۱۴۰۴ را اثبات نمی کند.</t>
        </is>
      </c>
    </row>
    <row r="7" ht="94" customHeight="1" s="76">
      <c r="A7" s="57" t="inlineStr">
        <is>
          <t>V39S04</t>
        </is>
      </c>
      <c r="B7" s="57" t="inlineStr">
        <is>
          <t>وپاسار</t>
        </is>
      </c>
      <c r="C7" s="57" t="inlineStr">
        <is>
          <t>فراداده گزارش کنترل های داخلی در تاریخ ۱۴۰۴/۱۲/۲۹</t>
        </is>
      </c>
      <c r="D7" s="57" t="inlineStr">
        <is>
          <t>انتشار ۱۴۰۵/۰۲/۲۷؛ ردیابی 1526305</t>
        </is>
      </c>
      <c r="E7" s="57" t="inlineStr">
        <is>
          <t>فهرست اطلاعیه های ذخیره شده در پروژه</t>
        </is>
      </c>
      <c r="F7" s="66" t="inlineStr">
        <is>
          <t>https://www.codal.ir/Reports/Decision.aspx?LetterSerial=UtkvD7QAtPic497u28Cz6g%3d%3d&amp;rt=3&amp;let=90&amp;ct=0&amp;ft=-1</t>
        </is>
      </c>
      <c r="G7" s="57" t="inlineStr">
        <is>
          <t>فراداده محلی خوانده شد؛ متن گزارش دریافت نشد</t>
        </is>
      </c>
      <c r="H7" s="57" t="inlineStr">
        <is>
          <t>گزارش دوره هدف در فهرست پروژه وجود دارد؛ ردیف کامل در target_filings.json نگهداری شد.</t>
        </is>
      </c>
      <c r="I7" s="57" t="inlineStr">
        <is>
          <t>وجود فراداده، نام امضاکنندگان یا ترکیب هیئت مدیره را ثابت نمی کند. این گزارش با گزارش فعالیت هیئت مدیره تفاوت دارد.</t>
        </is>
      </c>
    </row>
    <row r="8" ht="94" customHeight="1" s="76">
      <c r="A8" s="56" t="inlineStr">
        <is>
          <t>V39S05</t>
        </is>
      </c>
      <c r="B8" s="56" t="inlineStr">
        <is>
          <t>حکشتی</t>
        </is>
      </c>
      <c r="C8" s="56" t="inlineStr">
        <is>
          <t>معرفی کشتیرانی جمهوری اسلامی ایران در فهرست اعضای انجمن</t>
        </is>
      </c>
      <c r="D8" s="56" t="inlineStr">
        <is>
          <t>۱۴۰۳/۱۰/۱۷</t>
        </is>
      </c>
      <c r="E8" s="56" t="inlineStr">
        <is>
          <t>فهرست اعضای انجمن کشتیرانی</t>
        </is>
      </c>
      <c r="F8" s="65" t="inlineStr">
        <is>
          <t>https://saoi.ir/کشتیرانی-جمهوری-اسلامی-ایران/</t>
        </is>
      </c>
      <c r="G8" s="56" t="inlineStr">
        <is>
          <t>متن نمایه شده در جستجوی وب</t>
        </is>
      </c>
      <c r="H8" s="56" t="inlineStr">
        <is>
          <t>مدیرعامل محمدرضا مدرس خیابانی و رئیس هیئت مدیره علی مسیبی بهروز درج شده اند.</t>
        </is>
      </c>
      <c r="I8" s="56" t="inlineStr">
        <is>
          <t>فقط سرنخ تاریخی؛ نمایندگی پنج کرسی حقوقی یا ترکیب پایان ۱۴۰۴ را نشان نمی دهد.</t>
        </is>
      </c>
    </row>
    <row r="9" ht="94" customHeight="1" s="76">
      <c r="A9" s="57" t="inlineStr">
        <is>
          <t>V39S06</t>
        </is>
      </c>
      <c r="B9" s="57" t="inlineStr">
        <is>
          <t>وتجارت</t>
        </is>
      </c>
      <c r="C9" s="57" t="inlineStr">
        <is>
          <t>اطلاعیه اصلاحی ترکیب هیئت مدیره</t>
        </is>
      </c>
      <c r="D9" s="57" t="inlineStr">
        <is>
          <t>انتشار ۱۴۰۴/۰۹/۱۵؛ ردیابی 1444154</t>
        </is>
      </c>
      <c r="E9" s="57" t="inlineStr">
        <is>
          <t>کدال طبق شواهد ذخیره شده v38</t>
        </is>
      </c>
      <c r="F9" s="66" t="inlineStr">
        <is>
          <t>https://www.codal.ir/Reports/Decision.aspx?LetterSerial=tL1npzfj3XSDR4oEqs1VIw%3d%3d&amp;rt=3&amp;let=19&amp;ct=0&amp;ft=-1</t>
        </is>
      </c>
      <c r="G9" s="57" t="inlineStr">
        <is>
          <t>شرح و بازسازی داخل فایل v38؛ دریافت مجدد ناموفق</t>
        </is>
      </c>
      <c r="H9" s="57" t="inlineStr">
        <is>
          <t>بازسازی v38 چهار عضو را در پایان دوره ثبت کرده است.</t>
        </is>
      </c>
      <c r="I9" s="57" t="inlineStr">
        <is>
          <t>نسخه اولیه ردیابی 1443078 و اصلاحیه درباره شریفیان ناسازگار گزارش شده اند؛ v39 سند تازه خروج دریافت نکرد.</t>
        </is>
      </c>
    </row>
    <row r="10" ht="94" customHeight="1" s="76">
      <c r="A10" s="56" t="inlineStr">
        <is>
          <t>V39S07</t>
        </is>
      </c>
      <c r="B10" s="56" t="inlineStr">
        <is>
          <t>حکشتی</t>
        </is>
      </c>
      <c r="C10" s="56" t="inlineStr">
        <is>
          <t>اطلاعیه ترکیب هیئت مدیره</t>
        </is>
      </c>
      <c r="D10" s="56" t="inlineStr">
        <is>
          <t>انتشار ۱۴۰۴/۰۸/۱۸؛ ردیابی 1433770</t>
        </is>
      </c>
      <c r="E10" s="56" t="inlineStr">
        <is>
          <t>کدال طبق شواهد ذخیره شده v38</t>
        </is>
      </c>
      <c r="F10" s="65" t="inlineStr">
        <is>
          <t>https://www.codal.ir/Reports/Decision.aspx?LetterSerial=ag9Rd4I5seaRFhQQQaQQQiZlm5lQ%3d%3d&amp;rt=2&amp;let=19&amp;ct=0&amp;ft=-1</t>
        </is>
      </c>
      <c r="G10" s="56" t="inlineStr">
        <is>
          <t>شرح داخل فایل v38؛ دریافت مجدد ناموفق</t>
        </is>
      </c>
      <c r="H10" s="56" t="inlineStr">
        <is>
          <t>پنج شخص حقوقی در بازسازی موجود هستند؛ نام نمایندگان برای محاسبه فردی کافی نیست.</t>
        </is>
      </c>
      <c r="I10" s="56" t="inlineStr">
        <is>
          <t>عبارت فاقد نماینده در اسناد به صفر بودن گردش یا نبود واقعی نماینده تبدیل نشد.</t>
        </is>
      </c>
    </row>
    <row r="11" ht="94" customHeight="1" s="76">
      <c r="A11" s="57" t="inlineStr">
        <is>
          <t>V39S08</t>
        </is>
      </c>
      <c r="B11" s="57" t="inlineStr">
        <is>
          <t>وپاسار</t>
        </is>
      </c>
      <c r="C11" s="57" t="inlineStr">
        <is>
          <t>گزارش فعالیت هیئت مدیره سال ۱۴۰۳</t>
        </is>
      </c>
      <c r="D11" s="57" t="inlineStr">
        <is>
          <t>انتشار ۱۴۰۴/۰۶/۱۶؛ ردیابی 1396276</t>
        </is>
      </c>
      <c r="E11" s="57" t="inlineStr">
        <is>
          <t>کدال طبق شواهد ذخیره شده v38</t>
        </is>
      </c>
      <c r="F11" s="66" t="inlineStr">
        <is>
          <t>https://www.codal.ir/Reports/Attachment.aspx?LetterSerial=Cxkdj8wztt52xU9MoBXp2w%3d%3d</t>
        </is>
      </c>
      <c r="G11" s="57" t="inlineStr">
        <is>
          <t>شرح داخل فایل v38؛ دریافت مجدد ناموفق</t>
        </is>
      </c>
      <c r="H11" s="57" t="inlineStr">
        <is>
          <t>v38 اختلاف فهرست هفت نفره گزارش با پنج نفره تصمیمات مجمع را ثبت کرده است.</t>
        </is>
      </c>
      <c r="I11" s="57" t="inlineStr">
        <is>
          <t>اصلی یا علی البدل بودن، تاریخ موثر و پنجره دو فهرست هنوز تطبیق نشده است.</t>
        </is>
      </c>
    </row>
    <row r="12" ht="94" customHeight="1" s="76">
      <c r="A12" s="56" t="inlineStr">
        <is>
          <t>V39S09</t>
        </is>
      </c>
      <c r="B12" s="56" t="inlineStr">
        <is>
          <t>هر سه شرکت</t>
        </is>
      </c>
      <c r="C12" s="56" t="inlineStr">
        <is>
          <t>گزارش آزمون دسترسی مستقیم</t>
        </is>
      </c>
      <c r="D12" s="56" t="inlineStr">
        <is>
          <t>زمان همین بررسی</t>
        </is>
      </c>
      <c r="E12" s="56" t="inlineStr">
        <is>
          <t>گزارش فنی محیط</t>
        </is>
      </c>
      <c r="F12" s="56" t="inlineStr">
        <is>
          <t>fetch_log.json</t>
        </is>
      </c>
      <c r="G12" s="56" t="inlineStr">
        <is>
          <t>خطای تفکیک نام دامنه در درخواست مستقیم؛ بازکردن صفحات رسمی با ابزار وب نیز ناموفق</t>
        </is>
      </c>
      <c r="H12" s="56" t="inlineStr">
        <is>
          <t>متن کامل اسناد جدید کدال از این مسیر دریافت نشد.</t>
        </is>
      </c>
      <c r="I12" s="56" t="inlineStr">
        <is>
          <t>شکست دسترسی به معنی نبود یا منتشر نشدن سند نیست.</t>
        </is>
      </c>
    </row>
    <row r="13" ht="94" customHeight="1" s="76">
      <c r="A13" s="57" t="inlineStr">
        <is>
          <t>V39S10</t>
        </is>
      </c>
      <c r="B13" s="57" t="inlineStr">
        <is>
          <t>۳۰ شرکت</t>
        </is>
      </c>
      <c r="C13" s="57" t="inlineStr">
        <is>
          <t>فایل مبنا و بازسازی سطح کرسی v38</t>
        </is>
      </c>
      <c r="D13" s="57" t="inlineStr">
        <is>
          <t>فایل تحویلی کاربر</t>
        </is>
      </c>
      <c r="E13" s="57" t="inlineStr">
        <is>
          <t>داده و ممیزی قبلی پروژه</t>
        </is>
      </c>
      <c r="F13" s="57" t="inlineStr">
        <is>
          <t>Iran_BSI_v38_Turnover_Resolved.xlsx</t>
        </is>
      </c>
      <c r="G13" s="57" t="inlineStr">
        <is>
          <t>فایل کامل با openpyxl خوانده شد</t>
        </is>
      </c>
      <c r="H13" s="57" t="inlineStr">
        <is>
          <t>مبنای محاسبه CR1A ستون V و برای هشت شرکت نام رئیس از برگه بازسازی سطح کرسی استخراج شد.</t>
        </is>
      </c>
      <c r="I13" s="57" t="inlineStr">
        <is>
          <t>v39 جایگزین بازخوانی مستقل همه اسناد اولیه ۳۰ شرکت نیست؛ محدودیت شواهد قبلی حفظ شد.</t>
        </is>
      </c>
    </row>
  </sheetData>
  <autoFilter ref="A3:I13"/>
  <mergeCells count="2">
    <mergeCell ref="A1:I1"/>
    <mergeCell ref="A2:I2"/>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s>
  <printOptions horizontalCentered="1"/>
  <pageMargins left="0.75" right="0.75" top="1" bottom="1" header="0.5" footer="0.5"/>
  <pageSetup orientation="landscape" paperSize="8" fitToHeight="0"/>
</worksheet>
</file>

<file path=xl/worksheets/sheet5.xml><?xml version="1.0" encoding="utf-8"?>
<worksheet xmlns="http://schemas.openxmlformats.org/spreadsheetml/2006/main">
  <sheetPr>
    <outlinePr summaryBelow="1" summaryRight="1"/>
    <pageSetUpPr fitToPage="1"/>
  </sheetPr>
  <dimension ref="A1:C18"/>
  <sheetViews>
    <sheetView showGridLines="0" rightToLeft="1"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8" customWidth="1" style="76" min="1" max="1"/>
    <col width="32" customWidth="1" style="76" min="2" max="2"/>
    <col width="102" customWidth="1" style="76" min="3" max="3"/>
  </cols>
  <sheetData>
    <row r="1" ht="38" customHeight="1" s="76">
      <c r="A1" s="75" t="inlineStr">
        <is>
          <t>کنترل کیفیت و محاسبات</t>
        </is>
      </c>
    </row>
    <row r="2" ht="44" customHeight="1" s="76">
      <c r="A2" s="77" t="inlineStr">
        <is>
          <t>گزارش کنترل محاسبات، حفظ داده های خام و تفاوت با فایل مبنا.</t>
        </is>
      </c>
    </row>
    <row r="3" ht="36" customHeight="1" s="76">
      <c r="A3" s="55" t="inlineStr">
        <is>
          <t>کنترل</t>
        </is>
      </c>
      <c r="B3" s="55" t="inlineStr">
        <is>
          <t>نتیجه</t>
        </is>
      </c>
      <c r="C3" s="55" t="inlineStr">
        <is>
          <t>روش و دامنه</t>
        </is>
      </c>
    </row>
    <row r="4" ht="67" customHeight="1" s="76">
      <c r="A4" s="56" t="inlineStr">
        <is>
          <t>تعداد ردیف شرکت</t>
        </is>
      </c>
      <c r="B4" s="59">
        <f>'CR1A v39'!B44</f>
        <v>30</v>
      </c>
      <c r="C4" s="56" t="inlineStr">
        <is>
          <t>باید ۳۰ باشد</t>
        </is>
      </c>
    </row>
    <row r="5" ht="67" customHeight="1" s="76">
      <c r="A5" s="57" t="inlineStr">
        <is>
          <t>تعداد نام یکتا</t>
        </is>
      </c>
      <c r="B5" s="58">
        <f>'CR1A v39'!B49</f>
        <v>30</v>
      </c>
      <c r="C5" s="57" t="inlineStr">
        <is>
          <t>COUNTIF تجمعی؛ باید ۳۰ باشد</t>
        </is>
      </c>
    </row>
    <row r="6" ht="67" customHeight="1" s="76">
      <c r="A6" s="56" t="inlineStr">
        <is>
          <t>کدهای موجود CR1A</t>
        </is>
      </c>
      <c r="B6" s="59">
        <f>'CR1A v39'!B38</f>
        <v>27</v>
      </c>
      <c r="C6" s="56" t="inlineStr">
        <is>
          <t>باید ۲۷ باشد</t>
        </is>
      </c>
    </row>
    <row r="7" ht="67" customHeight="1" s="76">
      <c r="A7" s="57" t="inlineStr">
        <is>
          <t>پوشش محافظه کارانه</t>
        </is>
      </c>
      <c r="B7" s="58">
        <f>'CR1A v39'!B39</f>
        <v>26</v>
      </c>
      <c r="C7" s="57" t="inlineStr">
        <is>
          <t>باید ۲۶ باشد؛ تایید مستقل جدید همه اسناد نیست</t>
        </is>
      </c>
    </row>
    <row r="8" ht="67" customHeight="1" s="76">
      <c r="A8" s="56" t="inlineStr">
        <is>
          <t>جمع تغییر و عدم تغییر</t>
        </is>
      </c>
      <c r="B8" s="59">
        <f>'CR1A v39'!B42+'CR1A v39'!B43</f>
        <v>26</v>
      </c>
      <c r="C8" s="56" t="inlineStr">
        <is>
          <t>باید برابر پوشش محافظه کارانه باشد</t>
        </is>
      </c>
    </row>
    <row r="9" ht="67" customHeight="1" s="76">
      <c r="A9" s="57" t="inlineStr">
        <is>
          <t>کامل بودن تفکیک</t>
        </is>
      </c>
      <c r="B9" s="58">
        <f>'CR1A v39'!B39+'CR1A v39'!B40+'CR1A v39'!B41</f>
        <v>30</v>
      </c>
      <c r="C9" s="57" t="inlineStr">
        <is>
          <t>باید برابر ۳۰ باشد</t>
        </is>
      </c>
    </row>
    <row r="10" ht="67" customHeight="1" s="76">
      <c r="A10" s="56" t="inlineStr">
        <is>
          <t>تغییر ورودی خام گردش و رئیس</t>
        </is>
      </c>
      <c r="B10" s="56" t="n">
        <v>0</v>
      </c>
      <c r="C10" s="56" t="inlineStr">
        <is>
          <t>مقایسه همه سلول های Turnover نهایی با v38؛ انتظار صفر تفاوت</t>
        </is>
      </c>
    </row>
    <row r="11" ht="67" customHeight="1" s="76">
      <c r="A11" s="57" t="inlineStr">
        <is>
          <t>تطبیق هویت رئیس در بازسازی v38</t>
        </is>
      </c>
      <c r="B11" s="57" t="n">
        <v>8</v>
      </c>
      <c r="C11" s="57" t="inlineStr">
        <is>
          <t>هشت شرکت با نام رئیس در هر دو نقطه؛ کد محاسبه با ستون V یکسان بود</t>
        </is>
      </c>
    </row>
    <row r="12" ht="67" customHeight="1" s="76">
      <c r="A12" s="56" t="inlineStr">
        <is>
          <t>فرمول های تاریخی با ورودی متن</t>
        </is>
      </c>
      <c r="B12" s="56" t="n">
        <v>36</v>
      </c>
      <c r="C12" s="56" t="inlineStr">
        <is>
          <t>در Audit Coverage با ISNUMBER محافظت و علت فقدان عدد برچسب گذاری شد</t>
        </is>
      </c>
    </row>
    <row r="13" ht="67" customHeight="1" s="76">
      <c r="A13" s="57" t="inlineStr">
        <is>
          <t>فرمول یکتایی سازگار شده</t>
        </is>
      </c>
      <c r="B13" s="57" t="n">
        <v>1</v>
      </c>
      <c r="C13" s="57" t="inlineStr">
        <is>
          <t>تبدیل SUMPRODUCT با COUNTIF آرایه ای به COUNTIF تجمعی و SUM</t>
        </is>
      </c>
    </row>
    <row r="14" ht="67" customHeight="1" s="76">
      <c r="A14" s="56" t="inlineStr">
        <is>
          <t>تعداد خطای محاسبات پس از بازگشایی</t>
        </is>
      </c>
      <c r="B14" s="56" t="n">
        <v>0</v>
      </c>
      <c r="C14" s="56" t="inlineStr">
        <is>
          <t>بازمحاسبه انجام و همه سلول های خطای محاسبات بررسی شد؛ هیچ خطای اکسل در مقادیر ذخیره شده باقی نماند.</t>
        </is>
      </c>
    </row>
    <row r="15" ht="67" customHeight="1" s="76">
      <c r="A15" s="57" t="inlineStr">
        <is>
          <t>تعداد فرمول ها</t>
        </is>
      </c>
      <c r="B15" s="57" t="n">
        <v>926</v>
      </c>
      <c r="C15" s="57" t="inlineStr">
        <is>
          <t>تعداد فرمول های واقعی فایل؛ متن فرمول های قدیمی در ثبت تغییرات به عنوان متن نگهداری می شوند.</t>
        </is>
      </c>
    </row>
    <row r="16" ht="67" customHeight="1" s="76">
      <c r="A16" s="56" t="inlineStr">
        <is>
          <t>تعداد سلول های تغییر یافته موجود</t>
        </is>
      </c>
      <c r="B16" s="56" t="n">
        <v>156</v>
      </c>
      <c r="C16" s="56" t="inlineStr">
        <is>
          <t>تفاوت سلول های موجود؛ برگه های جدید جدا از این شمارش اند</t>
        </is>
      </c>
    </row>
    <row r="17" ht="67" customHeight="1" s="76">
      <c r="A17" s="57" t="inlineStr">
        <is>
          <t>هش فایل مبنا</t>
        </is>
      </c>
      <c r="B17" s="57" t="inlineStr">
        <is>
          <t>a38b0c234772920be07af7b7ff8f00754cf8f3c7b582044269856b6b003cb483</t>
        </is>
      </c>
      <c r="C17" s="57" t="inlineStr">
        <is>
          <t>SHA256؛ فایل مبنا نباید تغییر کرده باشد</t>
        </is>
      </c>
    </row>
    <row r="18" ht="67" customHeight="1" s="76">
      <c r="A18" s="56" t="inlineStr">
        <is>
          <t>مرز اعتبار خروجی</t>
        </is>
      </c>
      <c r="B18" s="56" t="inlineStr">
        <is>
          <t>محاسباتی و ردیابی</t>
        </is>
      </c>
      <c r="C18" s="56" t="inlineStr">
        <is>
          <t>این بررسی به معنی تایید مستقل همه اعداد تاریخی فایل یا بسته شدن سه پرونده نیست</t>
        </is>
      </c>
    </row>
  </sheetData>
  <mergeCells count="2">
    <mergeCell ref="A1:C1"/>
    <mergeCell ref="A2:C2"/>
  </mergeCells>
  <printOptions horizontalCentered="1"/>
  <pageMargins left="0.75" right="0.75" top="1" bottom="1" header="0.5" footer="0.5"/>
  <pageSetup orientation="landscape" paperSize="8" fitToHeight="0"/>
</worksheet>
</file>

<file path=xl/worksheets/sheet6.xml><?xml version="1.0" encoding="utf-8"?>
<worksheet xmlns="http://schemas.openxmlformats.org/spreadsheetml/2006/main">
  <sheetPr>
    <outlinePr summaryBelow="1" summaryRight="1"/>
    <pageSetUpPr/>
  </sheetPr>
  <dimension ref="A1:H12"/>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25.83203125" customWidth="1" style="76" min="2" max="2"/>
    <col width="12.5" customWidth="1" style="76" min="3" max="3"/>
    <col width="42" customWidth="1" style="76" min="4" max="5"/>
    <col width="20.1640625" customWidth="1" style="76" min="6" max="6"/>
    <col width="37.1640625" customWidth="1" style="76" min="7" max="7"/>
    <col width="39.1640625" customWidth="1" style="76" min="8" max="8"/>
  </cols>
  <sheetData>
    <row r="1" ht="34" customHeight="1" s="76">
      <c r="A1" s="79" t="inlineStr">
        <is>
          <t>راهنمای فایل نهایی Iran BSI v37</t>
        </is>
      </c>
    </row>
    <row r="2" ht="28" customHeight="1" s="76">
      <c r="A2" s="78" t="inlineStr">
        <is>
          <t>این فایل سه خروجی v36 را در یک Master Workbook یکپارچه می کند و هیچ داده ای از فایل های مرجع حذف نشده است.</t>
        </is>
      </c>
    </row>
    <row r="3" ht="24" customHeight="1" s="76"/>
    <row r="4" ht="24" customHeight="1" s="76">
      <c r="A4" s="83" t="inlineStr">
        <is>
          <t>بخش</t>
        </is>
      </c>
      <c r="B4" s="83" t="inlineStr">
        <is>
          <t>هدف</t>
        </is>
      </c>
      <c r="C4" s="83" t="inlineStr">
        <is>
          <t>وضعیت</t>
        </is>
      </c>
      <c r="D4" s="83" t="inlineStr">
        <is>
          <t>منبع</t>
        </is>
      </c>
      <c r="E4" s="83" t="inlineStr">
        <is>
          <t>روش یا قاعده</t>
        </is>
      </c>
      <c r="F4" s="83" t="inlineStr">
        <is>
          <t>خروجی قابل استفاده</t>
        </is>
      </c>
      <c r="G4" s="83" t="inlineStr">
        <is>
          <t>محدودیت</t>
        </is>
      </c>
      <c r="H4" s="83" t="inlineStr">
        <is>
          <t>یادداشت</t>
        </is>
      </c>
    </row>
    <row r="5" ht="24" customHeight="1" s="76">
      <c r="A5" s="78" t="inlineStr">
        <is>
          <t>خلاصه نهایی</t>
        </is>
      </c>
      <c r="B5" s="78" t="inlineStr">
        <is>
          <t>جمع بندی ممیزی و معماری</t>
        </is>
      </c>
      <c r="C5" s="78" t="inlineStr">
        <is>
          <t>به روز شده</t>
        </is>
      </c>
      <c r="D5" s="78" t="inlineStr">
        <is>
          <t>v36 Audit + Candidates</t>
        </is>
      </c>
      <c r="E5" s="78" t="inlineStr">
        <is>
          <t>فقط اعداد و نقش های ممیزی شده</t>
        </is>
      </c>
      <c r="F5" s="78" t="inlineStr">
        <is>
          <t>ارائه مدیریتی</t>
        </is>
      </c>
      <c r="G5" s="78" t="inlineStr">
        <is>
          <t>گپ های باز جداگانه ثبت شده</t>
        </is>
      </c>
      <c r="H5" s="78" t="inlineStr">
        <is>
          <t>نقطه شروع فایل</t>
        </is>
      </c>
    </row>
    <row r="6" ht="24" customHeight="1" s="76">
      <c r="A6" s="78" t="inlineStr">
        <is>
          <t>جدول استاد</t>
        </is>
      </c>
      <c r="B6" s="78" t="inlineStr">
        <is>
          <t>جدول Measureها</t>
        </is>
      </c>
      <c r="C6" s="78" t="inlineStr">
        <is>
          <t>به روز شده</t>
        </is>
      </c>
      <c r="D6" s="78" t="inlineStr">
        <is>
          <t>Audit Measureها + Candidate N02</t>
        </is>
      </c>
      <c r="E6" s="78" t="inlineStr">
        <is>
          <t>Coverage، Formula، Source و Role کنار هم</t>
        </is>
      </c>
      <c r="F6" s="78" t="inlineStr">
        <is>
          <t>جلسه استاد</t>
        </is>
      </c>
      <c r="G6" s="78" t="inlineStr">
        <is>
          <t>N02 هنوز Composite نیست</t>
        </is>
      </c>
      <c r="H6" s="78" t="inlineStr">
        <is>
          <t>مناسب ارائه</t>
        </is>
      </c>
    </row>
    <row r="7" ht="24" customHeight="1" s="76">
      <c r="A7" s="78" t="inlineStr">
        <is>
          <t>معماری به روز شده</t>
        </is>
      </c>
      <c r="B7" s="78" t="inlineStr">
        <is>
          <t>تصمیم نقش Measureها</t>
        </is>
      </c>
      <c r="C7" s="78" t="inlineStr">
        <is>
          <t>به روز شده</t>
        </is>
      </c>
      <c r="D7" s="78" t="inlineStr">
        <is>
          <t>Final Audit Verdict</t>
        </is>
      </c>
      <c r="E7" s="78" t="inlineStr">
        <is>
          <t>تفکیک Scale Up، Structural، Control، Robustness و Targeted</t>
        </is>
      </c>
      <c r="F7" s="78" t="inlineStr">
        <is>
          <t>طراحی Phase 5</t>
        </is>
      </c>
      <c r="G7" s="78" t="inlineStr">
        <is>
          <t>REF08 هنوز Targeted</t>
        </is>
      </c>
      <c r="H7" s="78" t="inlineStr">
        <is>
          <t>جلوگیری از دوباره شماری</t>
        </is>
      </c>
    </row>
    <row r="8" ht="24" customHeight="1" s="76">
      <c r="A8" s="78" t="inlineStr">
        <is>
          <t>Constructهای مستقل</t>
        </is>
      </c>
      <c r="B8" s="78" t="inlineStr">
        <is>
          <t>شمارش Constructهای واقعی</t>
        </is>
      </c>
      <c r="C8" s="78" t="inlineStr">
        <is>
          <t>به روز شده</t>
        </is>
      </c>
      <c r="D8" s="78" t="inlineStr">
        <is>
          <t>Audit Redundancy</t>
        </is>
      </c>
      <c r="E8" s="78" t="inlineStr">
        <is>
          <t>Measureهای مکمل یک Construct دوباره شمرده نمی شوند</t>
        </is>
      </c>
      <c r="F8" s="78" t="inlineStr">
        <is>
          <t>معماری مفهومی</t>
        </is>
      </c>
      <c r="G8" s="78" t="inlineStr">
        <is>
          <t>۹ Construct فعلی</t>
        </is>
      </c>
      <c r="H8" s="78" t="inlineStr">
        <is>
          <t>SEP07 کنترل است</t>
        </is>
      </c>
    </row>
    <row r="9" ht="24" customHeight="1" s="76">
      <c r="A9" s="78" t="inlineStr">
        <is>
          <t>Turnover نهایی</t>
        </is>
      </c>
      <c r="B9" s="78" t="inlineStr">
        <is>
          <t>داده شرکت به شرکت</t>
        </is>
      </c>
      <c r="C9" s="78" t="inlineStr">
        <is>
          <t>اصلاح شده</t>
        </is>
      </c>
      <c r="D9" s="78" t="inlineStr">
        <is>
          <t>v36 Final Integrated Audited</t>
        </is>
      </c>
      <c r="E9" s="78" t="inlineStr">
        <is>
          <t>فرمول صورت و مخرج</t>
        </is>
      </c>
      <c r="F9" s="78" t="inlineStr">
        <is>
          <t>تحلیل گردش</t>
        </is>
      </c>
      <c r="G9" s="78" t="inlineStr">
        <is>
          <t>چند Source Review باز</t>
        </is>
      </c>
      <c r="H9" s="78" t="inlineStr">
        <is>
          <t>خودرو و فارس اصلاح شده اند</t>
        </is>
      </c>
    </row>
    <row r="10" ht="24" customHeight="1" s="76">
      <c r="A10" s="78" t="inlineStr">
        <is>
          <t>Audit sheets</t>
        </is>
      </c>
      <c r="B10" s="78" t="inlineStr">
        <is>
          <t>ممیزی مستقل</t>
        </is>
      </c>
      <c r="C10" s="78" t="inlineStr">
        <is>
          <t>حفظ کامل</t>
        </is>
      </c>
      <c r="D10" s="78" t="inlineStr">
        <is>
          <t>Iran_BSI_v36_Independent_Audit.xlsx</t>
        </is>
      </c>
      <c r="E10" s="78" t="inlineStr">
        <is>
          <t>بازتولید مستقل</t>
        </is>
      </c>
      <c r="F10" s="78" t="inlineStr">
        <is>
          <t>ردیابی خطا و اصلاح</t>
        </is>
      </c>
      <c r="G10" s="78" t="inlineStr">
        <is>
          <t>Fully Verified تعریف سخت گیرانه دارد</t>
        </is>
      </c>
      <c r="H10" s="78" t="inlineStr">
        <is>
          <t>تمام Sheetها در همین فایل کپی شده اند</t>
        </is>
      </c>
    </row>
    <row r="11" ht="24" customHeight="1" s="76">
      <c r="A11" s="78" t="inlineStr">
        <is>
          <t>Candidate sheets</t>
        </is>
      </c>
      <c r="B11" s="78" t="inlineStr">
        <is>
          <t>کشف Measure جدید</t>
        </is>
      </c>
      <c r="C11" s="78" t="inlineStr">
        <is>
          <t>حفظ کامل</t>
        </is>
      </c>
      <c r="D11" s="78" t="inlineStr">
        <is>
          <t>Iran_BSI_v36_Additional_Measure_Candidates.xlsx</t>
        </is>
      </c>
      <c r="E11" s="78" t="inlineStr">
        <is>
          <t>Feasibility + Variation + Scalability</t>
        </is>
      </c>
      <c r="F11" s="78" t="inlineStr">
        <is>
          <t>R&amp;D Measureها</t>
        </is>
      </c>
      <c r="G11" s="78" t="inlineStr">
        <is>
          <t>فقط N02 Scale Up Candidate شد</t>
        </is>
      </c>
      <c r="H11" s="78" t="inlineStr">
        <is>
          <t>هیچ Candidate جدید وارد Composite نشده</t>
        </is>
      </c>
    </row>
    <row r="12" ht="60" customHeight="1" s="76">
      <c r="A12" s="78" t="inlineStr">
        <is>
          <t>فرمول ها</t>
        </is>
      </c>
      <c r="B12" s="78" t="inlineStr">
        <is>
          <t>کنترل ارجاع و Recalc در Excel</t>
        </is>
      </c>
      <c r="C12" s="78" t="inlineStr">
        <is>
          <t>بدون #REF در فرمول ها</t>
        </is>
      </c>
      <c r="D12" s="78" t="inlineStr">
        <is>
          <t>v36 Audit + QA v37</t>
        </is>
      </c>
      <c r="E12" s="78" t="inlineStr">
        <is>
          <t>ارجاع فرمول ها بررسی شده و فایل روی Automatic Calculation تنظیم شده است</t>
        </is>
      </c>
      <c r="F12" s="78" t="inlineStr">
        <is>
          <t>پس از اولین باز کردن در Excel دوباره محاسبه می شود</t>
        </is>
      </c>
      <c r="G12" s="78" t="inlineStr">
        <is>
          <t>مقادیر فرمولی در این محیط به صورت عددی مستقل Recalculate نشده اند</t>
        </is>
      </c>
      <c r="H12" s="78" t="inlineStr">
        <is>
          <t>پس از باز کردن در Excel یک Save انجام شود</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showGridLines="0" rightToLeft="1" workbookViewId="0">
      <pane ySplit="4" topLeftCell="A24" activePane="bottomLeft" state="frozen"/>
      <selection pane="bottomLeft" activeCell="A1" sqref="A1:H1"/>
    </sheetView>
  </sheetViews>
  <sheetFormatPr baseColWidth="10" defaultColWidth="8.83203125" defaultRowHeight="15"/>
  <cols>
    <col width="42" customWidth="1" style="76" min="1" max="5"/>
    <col width="20.1640625" customWidth="1" style="76" min="6" max="6"/>
    <col width="42" customWidth="1" style="76" min="7" max="8"/>
  </cols>
  <sheetData>
    <row r="1" ht="34" customHeight="1" s="76">
      <c r="A1" s="79" t="inlineStr">
        <is>
          <t>راهنمای محاسبات، منابع و ردیابی داده ها</t>
        </is>
      </c>
    </row>
    <row r="2" ht="28" customHeight="1" s="76">
      <c r="A2" s="82" t="inlineStr">
        <is>
          <t>هر عدد یا از منبع رسمی ردیابی می شود یا روش محاسبه آن در این فایل مشخص است</t>
        </is>
      </c>
    </row>
    <row r="3" ht="24" customHeight="1" s="76"/>
    <row r="4" ht="34" customHeight="1" s="76">
      <c r="A4" s="28" t="inlineStr">
        <is>
          <t>کد</t>
        </is>
      </c>
      <c r="B4" s="28" t="inlineStr">
        <is>
          <t>معیار</t>
        </is>
      </c>
      <c r="C4" s="28" t="inlineStr">
        <is>
          <t>روش محاسبه یا تعریف عملیاتی</t>
        </is>
      </c>
      <c r="D4" s="28" t="inlineStr">
        <is>
          <t>منبع تصمیم یا برگه محاسباتی</t>
        </is>
      </c>
      <c r="E4" s="28" t="inlineStr">
        <is>
          <t>منبع داده خام</t>
        </is>
      </c>
      <c r="F4" s="28" t="inlineStr">
        <is>
          <t>نوع خروجی</t>
        </is>
      </c>
      <c r="G4" s="28" t="inlineStr">
        <is>
          <t>قاعده Missingness</t>
        </is>
      </c>
      <c r="H4" s="28" t="inlineStr">
        <is>
          <t>نکته کنترل کیفیت</t>
        </is>
      </c>
    </row>
    <row r="5" ht="56" customHeight="1" s="76">
      <c r="A5" s="3" t="inlineStr">
        <is>
          <t>S1A</t>
        </is>
      </c>
      <c r="B5" s="3" t="inlineStr">
        <is>
          <t>پروکسی استقلال ساختاری هیئت مدیره</t>
        </is>
      </c>
      <c r="C5" s="4" t="inlineStr">
        <is>
          <t>تعداد اعضای غیرموظف تقسیم بر تعداد اعضای هیئت مدیره با وضعیت موظف یا غیرموظف قابل تایید. این متغیر استقلال صریح نیست و فقط پروکسی ساختاری است.</t>
        </is>
      </c>
      <c r="D5" s="3" t="inlineStr">
        <is>
          <t>Iran_BSI_v30_Phase4_2H_PreAdvisorReview.xlsx | معیارهای قابل توسعه، معماری سازه ای و بررسی Separation</t>
        </is>
      </c>
      <c r="E5" s="5" t="inlineStr">
        <is>
          <t>داده خام وضعیت موظف یا غیرموظف اعضا از افشاهای رسمی هیئت مدیره</t>
        </is>
      </c>
      <c r="F5" s="3" t="inlineStr">
        <is>
          <t>محاسباتی</t>
        </is>
      </c>
      <c r="G5" s="3" t="inlineStr">
        <is>
          <t>Missing و قابل اعمال نیست صفر نمی شوند</t>
        </is>
      </c>
      <c r="H5" s="3" t="inlineStr">
        <is>
          <t>بدون حدس؛ Source_ID و شواهد خام حفظ می شوند</t>
        </is>
      </c>
    </row>
    <row r="6" ht="56" customHeight="1" s="76">
      <c r="A6" s="6" t="inlineStr">
        <is>
          <t>V1</t>
        </is>
      </c>
      <c r="B6" s="6" t="inlineStr">
        <is>
          <t>تنوع رشته تحصیلی</t>
        </is>
      </c>
      <c r="C6" s="4" t="inlineStr">
        <is>
          <t>Blau خام برابر است با ۱ منهای مجموع مربع سهم هر گروه رشته تحصیلی. اگر اطلاعات رشته تحصیلی عضو فعال برای محاسبه کامل نباشد، Missing به صفر تبدیل نمی شود.</t>
        </is>
      </c>
      <c r="D6" s="6" t="inlineStr">
        <is>
          <t>Iran_BSI_v30_Phase4_2H_PreAdvisorReview.xlsx | تنوع تحصیلی و معماری آماده استاد</t>
        </is>
      </c>
      <c r="E6" s="5" t="inlineStr">
        <is>
          <t>Iran_BSI_Variety_SubPilot_A_Batch1_v2.xlsx و نسخه های تکمیلی Variety</t>
        </is>
      </c>
      <c r="F6" s="6" t="inlineStr">
        <is>
          <t>محاسباتی</t>
        </is>
      </c>
      <c r="G6" s="6" t="inlineStr">
        <is>
          <t>Missing و قابل اعمال نیست صفر نمی شوند</t>
        </is>
      </c>
      <c r="H6" s="6" t="inlineStr">
        <is>
          <t>بدون حدس؛ Source_ID و شواهد خام حفظ می شوند</t>
        </is>
      </c>
    </row>
    <row r="7" ht="72" customHeight="1" s="76">
      <c r="A7" s="3" t="inlineStr">
        <is>
          <t>VAR06_Strict</t>
        </is>
      </c>
      <c r="B7" s="3" t="inlineStr">
        <is>
          <t>تنوع سابقه حرفه ای، نسخه سخت گیرانه</t>
        </is>
      </c>
      <c r="C7" s="4" t="inlineStr">
        <is>
          <t>ابتدا سابقه حرفه ای صریح در گروه های از پیش تعریف شده کدگذاری می شود. عنوان عمومی مدیریتی بدون مسیر وظیفه ای به تنهایی طبقه بندی نمی شود. سپس Blau برابر ۱ منهای مجموع مربع سهم گروه ها محاسبه می شود.</t>
        </is>
      </c>
      <c r="D7" s="3" t="inlineStr">
        <is>
          <t>Iran_BSI_v30_Phase4_2H_PreAdvisorReview.xlsx | تنوع سابقه حرفه ای</t>
        </is>
      </c>
      <c r="E7" s="5" t="inlineStr">
        <is>
          <t>کدگذاری سابقه حرفه ای اعضا از رزومه و افشاهای رسمی</t>
        </is>
      </c>
      <c r="F7" s="3" t="inlineStr">
        <is>
          <t>محاسباتی</t>
        </is>
      </c>
      <c r="G7" s="3" t="inlineStr">
        <is>
          <t>Missing و قابل اعمال نیست صفر نمی شوند</t>
        </is>
      </c>
      <c r="H7" s="3" t="inlineStr">
        <is>
          <t>بدون حدس؛ Source_ID و شواهد خام حفظ می شوند</t>
        </is>
      </c>
    </row>
    <row r="8" ht="56" customHeight="1" s="76">
      <c r="A8" s="6" t="inlineStr">
        <is>
          <t>VAR10</t>
        </is>
      </c>
      <c r="B8" s="6" t="inlineStr">
        <is>
          <t>تخصص مالی مستند ترکیبی</t>
        </is>
      </c>
      <c r="C8" s="4" t="inlineStr">
        <is>
          <t>تعداد اعضایی که تخصص مالی آنها از تحصیلات یا سابقه حرفه ای به طور مستند قابل تایید است تقسیم بر تعداد اعضای قابل ارزیابی.</t>
        </is>
      </c>
      <c r="D8" s="6" t="inlineStr">
        <is>
          <t>Iran_BSI_v30_Phase4_2H_PreAdvisorReview.xlsx و Iran_BSI_v31_Phase4_2I_MaximumMeasureRecovery.xlsx | تخصص هیئت مدیره</t>
        </is>
      </c>
      <c r="E8" s="5" t="inlineStr">
        <is>
          <t>تحصیلات و سابقه حرفه ای رسمی اعضای هیئت مدیره</t>
        </is>
      </c>
      <c r="F8" s="6" t="inlineStr">
        <is>
          <t>محاسباتی</t>
        </is>
      </c>
      <c r="G8" s="6" t="inlineStr">
        <is>
          <t>Missing و قابل اعمال نیست صفر نمی شوند</t>
        </is>
      </c>
      <c r="H8" s="6" t="inlineStr">
        <is>
          <t>بدون حدس؛ Source_ID و شواهد خام حفظ می شوند</t>
        </is>
      </c>
    </row>
    <row r="9" ht="72" customHeight="1" s="76">
      <c r="A9" s="3" t="inlineStr">
        <is>
          <t>CR1A</t>
        </is>
      </c>
      <c r="B9" s="3" t="inlineStr">
        <is>
          <t>تغییر رئیس هیئت مدیره</t>
        </is>
      </c>
      <c r="C9" s="4" t="inlineStr">
        <is>
          <t>هویت رئیس هیئت مدیره در پنجره زمانی مشترک با توالی افشاهای رسمی مقایسه می شود. تغییر تاییدشده برابر بله و نبود تغییر تاییدشده برابر خیر است. جهت کیفیت از پیش مثبت یا منفی فرض نمی شود.</t>
        </is>
      </c>
      <c r="D9" s="3" t="inlineStr">
        <is>
          <t>CR1A v39؛ Turnover Seat Reconstruction v38؛ تاریخچه v30 محفوظ است</t>
        </is>
      </c>
      <c r="E9" s="5" t="inlineStr">
        <is>
          <t>افشاهای رسمی انتصاب و تغییر اعضای هیئت مدیره</t>
        </is>
      </c>
      <c r="F9" s="3" t="inlineStr">
        <is>
          <t>استخراج و مقایسه</t>
        </is>
      </c>
      <c r="G9" s="3" t="inlineStr">
        <is>
          <t>نامشخص و متعارض صفر نمی شوند؛ پوشش عددی از پوشش محافظه کارانه جدا است. تاریخ موثر مبنای اصلی است و حساسیت انتشار جم حفظ می شود.</t>
        </is>
      </c>
      <c r="H9" s="3" t="inlineStr">
        <is>
          <t>بدون حدس؛ Source_ID و شواهد خام حفظ می شوند</t>
        </is>
      </c>
    </row>
    <row r="10" ht="56" customHeight="1" s="76">
      <c r="A10" s="6" t="inlineStr">
        <is>
          <t>AUD01</t>
        </is>
      </c>
      <c r="B10" s="6" t="inlineStr">
        <is>
          <t>وجود کمیته حسابرسی</t>
        </is>
      </c>
      <c r="C10" s="4" t="inlineStr">
        <is>
          <t>وجود کمیته حسابرسی فقط با افشای رسمی صریح تایید می شود. نبود منبع کافی به معنی صفر نیست.</t>
        </is>
      </c>
      <c r="D10" s="6" t="inlineStr">
        <is>
          <t>Iran_BSI_v30_Phase4_2H_PreAdvisorReview.xlsx و Iran_BSI_v31_Phase4_2I_MaximumMeasureRecovery.xlsx | کمیته حسابرسی</t>
        </is>
      </c>
      <c r="E10" s="5" t="inlineStr">
        <is>
          <t>گزارش های فعالیت هیئت مدیره و جداول کمیته حسابرسی</t>
        </is>
      </c>
      <c r="F10" s="6" t="inlineStr">
        <is>
          <t>استخراج و مقایسه</t>
        </is>
      </c>
      <c r="G10" s="6" t="inlineStr">
        <is>
          <t>Missing و قابل اعمال نیست صفر نمی شوند</t>
        </is>
      </c>
      <c r="H10" s="6" t="inlineStr">
        <is>
          <t>بدون حدس؛ Source_ID و شواهد خام حفظ می شوند</t>
        </is>
      </c>
    </row>
    <row r="11" ht="44" customHeight="1" s="76">
      <c r="A11" s="3" t="inlineStr">
        <is>
          <t>AUD02</t>
        </is>
      </c>
      <c r="B11" s="3" t="inlineStr">
        <is>
          <t>اندازه کمیته حسابرسی</t>
        </is>
      </c>
      <c r="C11" s="4" t="inlineStr">
        <is>
          <t>تعداد اعضای کمیته حسابرسی فقط در شرکت هایی که فهرست اعضا به طور کامل قابل خواندن و تایید است.</t>
        </is>
      </c>
      <c r="D11" s="3" t="inlineStr">
        <is>
          <t>Iran_BSI_v31_Phase4_2I_MaximumMeasureRecovery.xlsx | کمیته حسابرسی خام و معیارهای کمیته حسابرسی</t>
        </is>
      </c>
      <c r="E11" s="5" t="inlineStr">
        <is>
          <t>فهرست رسمی اعضای کمیته حسابرسی</t>
        </is>
      </c>
      <c r="F11" s="3" t="inlineStr">
        <is>
          <t>محاسباتی</t>
        </is>
      </c>
      <c r="G11" s="3" t="inlineStr">
        <is>
          <t>Missing و قابل اعمال نیست صفر نمی شوند</t>
        </is>
      </c>
      <c r="H11" s="3" t="inlineStr">
        <is>
          <t>بدون حدس؛ Source_ID و شواهد خام حفظ می شوند</t>
        </is>
      </c>
    </row>
    <row r="12" ht="56" customHeight="1" s="76">
      <c r="A12" s="6" t="inlineStr">
        <is>
          <t>IRN01</t>
        </is>
      </c>
      <c r="B12" s="6" t="inlineStr">
        <is>
          <t>سهم کرسی اشخاص حقوقی</t>
        </is>
      </c>
      <c r="C12" s="4" t="inlineStr">
        <is>
          <t>تعداد کرسی هایی که صاحب کرسی آنها شخص حقوقی است تقسیم بر کل کرسی های فعال و قابل طبقه بندی هیئت مدیره.</t>
        </is>
      </c>
      <c r="D12" s="6" t="inlineStr">
        <is>
          <t>Iran_BSI_v30_Phase4_2H_PreAdvisorReview.xlsx | ساختار اشخاص حقوقی و معیارهای قابل توسعه</t>
        </is>
      </c>
      <c r="E12" s="5" t="inlineStr">
        <is>
          <t>جداول رسمی ترکیب هیئت مدیره</t>
        </is>
      </c>
      <c r="F12" s="6" t="inlineStr">
        <is>
          <t>محاسباتی</t>
        </is>
      </c>
      <c r="G12" s="6" t="inlineStr">
        <is>
          <t>Missing و قابل اعمال نیست صفر نمی شوند</t>
        </is>
      </c>
      <c r="H12" s="6" t="inlineStr">
        <is>
          <t>بدون حدس؛ Source_ID و شواهد خام حفظ می شوند</t>
        </is>
      </c>
    </row>
    <row r="13" ht="56" customHeight="1" s="76">
      <c r="A13" s="3" t="inlineStr">
        <is>
          <t>IRN02</t>
        </is>
      </c>
      <c r="B13" s="3" t="inlineStr">
        <is>
          <t>سهم کرسی اشخاص حقیقی</t>
        </is>
      </c>
      <c r="C13" s="4" t="inlineStr">
        <is>
          <t>تعداد کرسی های مستقیم اشخاص حقیقی تقسیم بر کل کرسی های فعال و قابل طبقه بندی. در طبقه بندی کامل، مکمل ریاضی IRN01 است.</t>
        </is>
      </c>
      <c r="D13" s="3" t="inlineStr">
        <is>
          <t>Iran_BSI_v30_Phase4_2H_PreAdvisorReview.xlsx | ساختار اشخاص حقوقی و معیارهای قابل توسعه</t>
        </is>
      </c>
      <c r="E13" s="5" t="inlineStr">
        <is>
          <t>جداول رسمی ترکیب هیئت مدیره</t>
        </is>
      </c>
      <c r="F13" s="3" t="inlineStr">
        <is>
          <t>محاسباتی</t>
        </is>
      </c>
      <c r="G13" s="3" t="inlineStr">
        <is>
          <t>Missing و قابل اعمال نیست صفر نمی شوند</t>
        </is>
      </c>
      <c r="H13" s="3" t="inlineStr">
        <is>
          <t>بدون حدس؛ Source_ID و شواهد خام حفظ می شوند</t>
        </is>
      </c>
    </row>
    <row r="14" ht="56" customHeight="1" s="76">
      <c r="A14" s="6" t="inlineStr">
        <is>
          <t>SEP07</t>
        </is>
      </c>
      <c r="B14" s="6" t="inlineStr">
        <is>
          <t>تفکیک مدیرعامل و رئیس هیئت مدیره</t>
        </is>
      </c>
      <c r="C14" s="4" t="inlineStr">
        <is>
          <t>اگر مدیرعامل و رئیس هیئت مدیره دو شخص متفاوت باشند مقدار تفکیک تایید می شود. هویت ها فقط از افشای رسمی گرفته می شوند.</t>
        </is>
      </c>
      <c r="D14" s="6" t="inlineStr">
        <is>
          <t>Iran_BSI_v30_Phase4_2H_PreAdvisorReview.xlsx | تفکیک مدیرعامل و رئیس هیئت مدیره</t>
        </is>
      </c>
      <c r="E14" s="5" t="inlineStr">
        <is>
          <t>هویت رئیس و مدیرعامل در افشاهای رسمی</t>
        </is>
      </c>
      <c r="F14" s="6" t="inlineStr">
        <is>
          <t>استخراج و مقایسه</t>
        </is>
      </c>
      <c r="G14" s="6" t="inlineStr">
        <is>
          <t>Missing و قابل اعمال نیست صفر نمی شوند</t>
        </is>
      </c>
      <c r="H14" s="6" t="inlineStr">
        <is>
          <t>بدون حدس؛ Source_ID و شواهد خام حفظ می شوند</t>
        </is>
      </c>
    </row>
    <row r="15" ht="72" customHeight="1" s="76">
      <c r="A15" s="3" t="inlineStr">
        <is>
          <t>REF05</t>
        </is>
      </c>
      <c r="B15" s="3" t="inlineStr">
        <is>
          <t>نرخ گردش شخص حقیقی هیئت مدیره</t>
        </is>
      </c>
      <c r="C15" s="4" t="inlineStr">
        <is>
          <t>تعداد کرسی های قابل مقایسه که شخص حقیقی آنها بین Snapshot ۱۴۰۳ و ۱۴۰۴ تغییر کرده تقسیم بر تعداد کرسی های دارای شخص حقیقی قابل مقایسه. تغییر سمت به تنهایی Turnover نیست و کرسی خالی به صورت خودکار تغییر نماینده محسوب نمی شود.</t>
        </is>
      </c>
      <c r="D15" s="3" t="inlineStr">
        <is>
          <t>Turnover نهایی | ستون های صورت گردش فردی و مخرج گردش فردی</t>
        </is>
      </c>
      <c r="E15" s="5" t="inlineStr">
        <is>
          <t>v33 و شش Batch بررسی بصری و تطبیق اسناد کدال</t>
        </is>
      </c>
      <c r="F15" s="3" t="inlineStr">
        <is>
          <t>محاسباتی</t>
        </is>
      </c>
      <c r="G15" s="3" t="inlineStr">
        <is>
          <t>Missing و قابل اعمال نیست صفر نمی شوند</t>
        </is>
      </c>
      <c r="H15" s="3" t="inlineStr">
        <is>
          <t>بدون حدس؛ Source_ID و شواهد خام حفظ می شوند</t>
        </is>
      </c>
    </row>
    <row r="16" ht="56" customHeight="1" s="76">
      <c r="A16" s="6" t="inlineStr">
        <is>
          <t>REF08</t>
        </is>
      </c>
      <c r="B16" s="6" t="inlineStr">
        <is>
          <t>نرخ تغییر نماینده حقیقی با شخص حقوقی ثابت</t>
        </is>
      </c>
      <c r="C16" s="4" t="inlineStr">
        <is>
          <t>تعداد کرسی هایی که شخص حقوقی در دو Snapshot ثابت مانده ولی نماینده حقیقی تغییر کرده تقسیم بر تعداد کرسی های شخص حقوقی ثابت و قابل مقایسه.</t>
        </is>
      </c>
      <c r="D16" s="6" t="inlineStr">
        <is>
          <t>Turnover نهایی | ستون های صورت تغییر نماینده و مخرج تغییر نماینده</t>
        </is>
      </c>
      <c r="E16" s="5" t="inlineStr">
        <is>
          <t>v33 و شش Batch بررسی بصری و تطبیق اسناد کدال</t>
        </is>
      </c>
      <c r="F16" s="6" t="inlineStr">
        <is>
          <t>محاسباتی</t>
        </is>
      </c>
      <c r="G16" s="6" t="inlineStr">
        <is>
          <t>Missing و قابل اعمال نیست صفر نمی شوند</t>
        </is>
      </c>
      <c r="H16" s="6" t="inlineStr">
        <is>
          <t>بدون حدس؛ Source_ID و شواهد خام حفظ می شوند</t>
        </is>
      </c>
    </row>
    <row r="17" ht="44" customHeight="1" s="76">
      <c r="A17" s="3" t="inlineStr">
        <is>
          <t>ROB_LEGAL</t>
        </is>
      </c>
      <c r="B17" s="3" t="inlineStr">
        <is>
          <t>نرخ تغییر شخص حقوقی</t>
        </is>
      </c>
      <c r="C17" s="4" t="inlineStr">
        <is>
          <t>تعداد کرسی های قابل مقایسه که شخص حقوقی صاحب کرسی تغییر کرده تقسیم بر تعداد کرسی های قابل مقایسه.</t>
        </is>
      </c>
      <c r="D17" s="3" t="inlineStr">
        <is>
          <t>Turnover نهایی | ستون های صورت و مخرج تغییر شخص حقوقی</t>
        </is>
      </c>
      <c r="E17" s="5" t="inlineStr">
        <is>
          <t>خانواده Turnover، برای Robustness و تشخیص ساختاری</t>
        </is>
      </c>
      <c r="F17" s="3" t="inlineStr">
        <is>
          <t>محاسباتی</t>
        </is>
      </c>
      <c r="G17" s="3" t="inlineStr">
        <is>
          <t>Missing و قابل اعمال نیست صفر نمی شوند</t>
        </is>
      </c>
      <c r="H17" s="3" t="inlineStr">
        <is>
          <t>بدون حدس؛ Source_ID و شواهد خام حفظ می شوند</t>
        </is>
      </c>
    </row>
    <row r="18" ht="56" customHeight="1" s="76">
      <c r="A18" s="6" t="inlineStr">
        <is>
          <t>ROB_NEW</t>
        </is>
      </c>
      <c r="B18" s="6" t="inlineStr">
        <is>
          <t>سهم اعضای جدید</t>
        </is>
      </c>
      <c r="C18" s="4" t="inlineStr">
        <is>
          <t>تعداد افراد فعال ۱۴۰۴ که در Roster قابل مقایسه ۱۴۰۳ حضور نداشتند تقسیم بر تعداد افراد فعال ۱۴۰۴. جابه جایی همان فرد بین کرسی ها عضو جدید محسوب نمی شود.</t>
        </is>
      </c>
      <c r="D18" s="6" t="inlineStr">
        <is>
          <t>Turnover نهایی | ستون های صورت و مخرج عضو جدید</t>
        </is>
      </c>
      <c r="E18" s="5" t="inlineStr">
        <is>
          <t>خانواده Turnover</t>
        </is>
      </c>
      <c r="F18" s="6" t="inlineStr">
        <is>
          <t>محاسباتی</t>
        </is>
      </c>
      <c r="G18" s="6" t="inlineStr">
        <is>
          <t>Missing و قابل اعمال نیست صفر نمی شوند</t>
        </is>
      </c>
      <c r="H18" s="6" t="inlineStr">
        <is>
          <t>بدون حدس؛ Source_ID و شواهد خام حفظ می شوند</t>
        </is>
      </c>
    </row>
    <row r="19" ht="56" customHeight="1" s="76">
      <c r="A19" s="3" t="inlineStr">
        <is>
          <t>ROB_STABILITY</t>
        </is>
      </c>
      <c r="B19" s="3" t="inlineStr">
        <is>
          <t>نرخ ثبات هیئت مدیره</t>
        </is>
      </c>
      <c r="C19" s="4" t="inlineStr">
        <is>
          <t>تعداد کرسی های قابل مقایسه که شخص حقیقی آنها ثابت مانده تقسیم بر تعداد کرسی های شخص حقیقی قابل مقایسه. این معیار مکمل ریاضی Turnover است و همزمان با آن در Composite وارد نمی شود.</t>
        </is>
      </c>
      <c r="D19" s="3" t="inlineStr">
        <is>
          <t>Turnover نهایی | ستون های صورت و مخرج ثبات</t>
        </is>
      </c>
      <c r="E19" s="5" t="inlineStr">
        <is>
          <t>خانواده Turnover</t>
        </is>
      </c>
      <c r="F19" s="3" t="inlineStr">
        <is>
          <t>محاسباتی</t>
        </is>
      </c>
      <c r="G19" s="3" t="inlineStr">
        <is>
          <t>Missing و قابل اعمال نیست صفر نمی شوند</t>
        </is>
      </c>
      <c r="H19" s="3" t="inlineStr">
        <is>
          <t>بدون حدس؛ Source_ID و شواهد خام حفظ می شوند</t>
        </is>
      </c>
    </row>
    <row r="20" ht="56" customHeight="1" s="76">
      <c r="A20" s="6" t="inlineStr">
        <is>
          <t>COVERAGE</t>
        </is>
      </c>
      <c r="B20" s="6" t="inlineStr">
        <is>
          <t>پوشش داده</t>
        </is>
      </c>
      <c r="C20" s="4" t="inlineStr">
        <is>
          <t>تعداد شرکت های دارای مقدار تاییدشده تقسیم بر تعداد شرکت های واجد شرایط همان Measure. شرکت های خارج از دامنه یا قابل اعمال نبودن از مخرج مناسب حذف می شوند.</t>
        </is>
      </c>
      <c r="D20" s="6" t="inlineStr">
        <is>
          <t>برگه پوشش نهایی</t>
        </is>
      </c>
      <c r="E20" s="5" t="inlineStr">
        <is>
          <t>محاسبه از برگه Turnover نهایی و وضعیت ۳۰ شرکت</t>
        </is>
      </c>
      <c r="F20" s="6" t="inlineStr">
        <is>
          <t>محاسباتی</t>
        </is>
      </c>
      <c r="G20" s="6" t="inlineStr">
        <is>
          <t>Missing و قابل اعمال نیست صفر نمی شوند</t>
        </is>
      </c>
      <c r="H20" s="6" t="inlineStr">
        <is>
          <t>بدون حدس؛ Source_ID و شواهد خام حفظ می شوند</t>
        </is>
      </c>
    </row>
    <row r="21" ht="56" customHeight="1" s="76">
      <c r="A21" s="3" t="inlineStr">
        <is>
          <t>CORR</t>
        </is>
      </c>
      <c r="B21" s="3" t="inlineStr">
        <is>
          <t>همبستگی Measureها</t>
        </is>
      </c>
      <c r="C21" s="4" t="inlineStr">
        <is>
          <t>همبستگی Pearson روی نرخ های موجود و قابل مقایسه. این خروجی فقط برای بررسی همپوشانی است و به تنهایی مبنای انتخاب کیفیت نیست.</t>
        </is>
      </c>
      <c r="D21" s="3" t="inlineStr">
        <is>
          <t>برگه Correlation</t>
        </is>
      </c>
      <c r="E21" s="5" t="inlineStr">
        <is>
          <t>محاسبه از نرخ های تاییدشده Turnover نهایی</t>
        </is>
      </c>
      <c r="F21" s="3" t="inlineStr">
        <is>
          <t>محاسباتی</t>
        </is>
      </c>
      <c r="G21" s="3" t="inlineStr">
        <is>
          <t>Missing و قابل اعمال نیست صفر نمی شوند</t>
        </is>
      </c>
      <c r="H21" s="3" t="inlineStr">
        <is>
          <t>بدون حدس؛ Source_ID و شواهد خام حفظ می شوند</t>
        </is>
      </c>
    </row>
    <row r="22" ht="24" customHeight="1" s="76"/>
    <row r="23" ht="24" customHeight="1" s="76"/>
    <row r="24" ht="24" customHeight="1" s="76">
      <c r="A24" s="80" t="inlineStr">
        <is>
          <t>ردیابی برگه های فایل</t>
        </is>
      </c>
      <c r="B24" s="81" t="n"/>
      <c r="C24" s="81" t="n"/>
      <c r="D24" s="81" t="n"/>
      <c r="E24" s="81" t="n"/>
      <c r="F24" s="81" t="n"/>
      <c r="G24" s="81" t="n"/>
      <c r="H24" s="81" t="n"/>
    </row>
    <row r="25" ht="34" customHeight="1" s="76">
      <c r="A25" s="7" t="inlineStr">
        <is>
          <t>برگه</t>
        </is>
      </c>
      <c r="B25" s="7" t="inlineStr">
        <is>
          <t>هدف</t>
        </is>
      </c>
      <c r="C25" s="7" t="inlineStr">
        <is>
          <t>روش تولید</t>
        </is>
      </c>
      <c r="D25" s="7" t="inlineStr">
        <is>
          <t>منبع یا ورودی</t>
        </is>
      </c>
      <c r="E25" s="7" t="inlineStr">
        <is>
          <t>فرمول یا منطق</t>
        </is>
      </c>
      <c r="F25" s="7" t="inlineStr">
        <is>
          <t>آیا داده خام دارد؟</t>
        </is>
      </c>
      <c r="G25" s="7" t="inlineStr">
        <is>
          <t>کنترل کیفیت</t>
        </is>
      </c>
      <c r="H25" s="7" t="inlineStr">
        <is>
          <t>یادداشت</t>
        </is>
      </c>
    </row>
    <row r="26" ht="34" customHeight="1" s="76">
      <c r="A26" s="6" t="inlineStr">
        <is>
          <t>خلاصه نهایی</t>
        </is>
      </c>
      <c r="B26" s="6" t="inlineStr">
        <is>
          <t>جمع بندی تغییر Coverage و معماری</t>
        </is>
      </c>
      <c r="C26" s="4" t="inlineStr">
        <is>
          <t>تجمیع خروجی های سایر برگه ها</t>
        </is>
      </c>
      <c r="D26" s="6" t="inlineStr">
        <is>
          <t>پوشش نهایی، معماری به روز شده و Audit Trail</t>
        </is>
      </c>
      <c r="E26" s="5" t="inlineStr">
        <is>
          <t>مقایسه قبل و بعد</t>
        </is>
      </c>
      <c r="F26" s="6" t="inlineStr">
        <is>
          <t>خیر</t>
        </is>
      </c>
      <c r="G26" s="6" t="inlineStr">
        <is>
          <t>سازگاری اعداد با برگه های مرجع</t>
        </is>
      </c>
      <c r="H26" s="6" t="inlineStr">
        <is>
          <t>خروجی ارائه ای</t>
        </is>
      </c>
    </row>
    <row r="27" ht="34" customHeight="1" s="76">
      <c r="A27" s="3" t="inlineStr">
        <is>
          <t>جدول استاد</t>
        </is>
      </c>
      <c r="B27" s="3" t="inlineStr">
        <is>
          <t>نمایش Measureهای قابل توسعه</t>
        </is>
      </c>
      <c r="C27" s="4" t="inlineStr">
        <is>
          <t>تجمیع معماری و Coverage</t>
        </is>
      </c>
      <c r="D27" s="3" t="inlineStr">
        <is>
          <t>معماری به روز شده و پوشش نهایی</t>
        </is>
      </c>
      <c r="E27" s="5" t="inlineStr">
        <is>
          <t>Coverage برابر دارای داده تقسیم بر واجد شرایط</t>
        </is>
      </c>
      <c r="F27" s="3" t="inlineStr">
        <is>
          <t>خیر</t>
        </is>
      </c>
      <c r="G27" s="3" t="inlineStr">
        <is>
          <t>فرمول های Coverage نگهداری شده</t>
        </is>
      </c>
      <c r="H27" s="3" t="inlineStr">
        <is>
          <t>خروجی ارائه ای</t>
        </is>
      </c>
    </row>
    <row r="28" ht="44" customHeight="1" s="76">
      <c r="A28" s="6" t="inlineStr">
        <is>
          <t>معماری به روز شده</t>
        </is>
      </c>
      <c r="B28" s="6" t="inlineStr">
        <is>
          <t>تصمیم نهایی Measureها</t>
        </is>
      </c>
      <c r="C28" s="4" t="inlineStr">
        <is>
          <t>سنتز شواهد فازهای ۴.۲ و Batchها</t>
        </is>
      </c>
      <c r="D28" s="6" t="inlineStr">
        <is>
          <t>v30، v31، v33 و v34</t>
        </is>
      </c>
      <c r="E28" s="5" t="inlineStr">
        <is>
          <t>رتبه معماری براساس Coverage، Variation، جهت نظری و مقیاس پذیری</t>
        </is>
      </c>
      <c r="F28" s="6" t="inlineStr">
        <is>
          <t>خیر</t>
        </is>
      </c>
      <c r="G28" s="6" t="inlineStr">
        <is>
          <t>جهت نظری از Coverage جدا نگه داشته شده</t>
        </is>
      </c>
      <c r="H28" s="6" t="n"/>
    </row>
    <row r="29" ht="44" customHeight="1" s="76">
      <c r="A29" s="3" t="inlineStr">
        <is>
          <t>Constructهای مستقل</t>
        </is>
      </c>
      <c r="B29" s="3" t="inlineStr">
        <is>
          <t>جلوگیری از دوباره شماری</t>
        </is>
      </c>
      <c r="C29" s="4" t="inlineStr">
        <is>
          <t>گروه بندی Measureهای هم سازه</t>
        </is>
      </c>
      <c r="D29" s="3" t="inlineStr">
        <is>
          <t>معماری به روز شده</t>
        </is>
      </c>
      <c r="E29" s="5" t="inlineStr">
        <is>
          <t>Measureهای مکمل یا تبدیل ریاضی یک Construct مستقل محسوب نمی شوند</t>
        </is>
      </c>
      <c r="F29" s="3" t="inlineStr">
        <is>
          <t>خیر</t>
        </is>
      </c>
      <c r="G29" s="3" t="inlineStr">
        <is>
          <t>همپوشانی مفهومی کنترل شده</t>
        </is>
      </c>
      <c r="H29" s="3" t="n"/>
    </row>
    <row r="30" ht="34" customHeight="1" s="76">
      <c r="A30" s="6" t="inlineStr">
        <is>
          <t>وضعیت ۳۰ شرکت</t>
        </is>
      </c>
      <c r="B30" s="6" t="inlineStr">
        <is>
          <t>وضعیت نهایی هر شرکت</t>
        </is>
      </c>
      <c r="C30" s="4" t="inlineStr">
        <is>
          <t>تجمیع v33 و Batchهای ۱ تا ۶</t>
        </is>
      </c>
      <c r="D30" s="6" t="inlineStr">
        <is>
          <t>اسناد کدال و فایل های Batch</t>
        </is>
      </c>
      <c r="E30" s="5" t="inlineStr">
        <is>
          <t>طبقه بندی تاییدشده، حل نشده، خارج از مخرج</t>
        </is>
      </c>
      <c r="F30" s="6" t="inlineStr">
        <is>
          <t>بله</t>
        </is>
      </c>
      <c r="G30" s="6" t="inlineStr">
        <is>
          <t>هیچ Missing به صفر تبدیل نشده</t>
        </is>
      </c>
      <c r="H30" s="6" t="n"/>
    </row>
    <row r="31" ht="34" customHeight="1" s="76">
      <c r="A31" s="3" t="inlineStr">
        <is>
          <t>Turnover نهایی</t>
        </is>
      </c>
      <c r="B31" s="3" t="inlineStr">
        <is>
          <t>محاسبات اصلی گردش و تغییر نماینده</t>
        </is>
      </c>
      <c r="C31" s="4" t="inlineStr">
        <is>
          <t>تطبیق دو Snapshot سال ۱۴۰۳ و ۱۴۰۴</t>
        </is>
      </c>
      <c r="D31" s="3" t="inlineStr">
        <is>
          <t>اسناد رسمی کدال، v33 و Batchهای ۱ تا ۶</t>
        </is>
      </c>
      <c r="E31" s="5" t="inlineStr">
        <is>
          <t>نرخ ها از صورت تقسیم بر مخرج محاسبه می شوند</t>
        </is>
      </c>
      <c r="F31" s="3" t="inlineStr">
        <is>
          <t>بله</t>
        </is>
      </c>
      <c r="G31" s="3" t="inlineStr">
        <is>
          <t>Cutoff، vacancy، تغییر سمت و N/A کنترل شده</t>
        </is>
      </c>
      <c r="H31" s="3" t="inlineStr">
        <is>
          <t>مرجع اصلی خانواده Turnover</t>
        </is>
      </c>
    </row>
    <row r="32" ht="24" customHeight="1" s="76">
      <c r="A32" s="6" t="inlineStr">
        <is>
          <t>پوشش نهایی</t>
        </is>
      </c>
      <c r="B32" s="6" t="inlineStr">
        <is>
          <t>Coverage خانواده Turnover</t>
        </is>
      </c>
      <c r="C32" s="4" t="inlineStr">
        <is>
          <t>شمارش از Turnover نهایی</t>
        </is>
      </c>
      <c r="D32" s="6" t="inlineStr">
        <is>
          <t>Turnover نهایی</t>
        </is>
      </c>
      <c r="E32" s="5" t="inlineStr">
        <is>
          <t>دارای داده تقسیم بر واجد شرایط</t>
        </is>
      </c>
      <c r="F32" s="6" t="inlineStr">
        <is>
          <t>خیر</t>
        </is>
      </c>
      <c r="G32" s="6" t="inlineStr">
        <is>
          <t>N/A و خارج از مخرج جدا هستند</t>
        </is>
      </c>
      <c r="H32" s="6" t="n"/>
    </row>
    <row r="33" ht="34" customHeight="1" s="76">
      <c r="A33" s="3" t="inlineStr">
        <is>
          <t>Variation نهایی</t>
        </is>
      </c>
      <c r="B33" s="3" t="inlineStr">
        <is>
          <t>آمار توصیفی</t>
        </is>
      </c>
      <c r="C33" s="4" t="inlineStr">
        <is>
          <t>محاسبه روی نرخ های تاییدشده</t>
        </is>
      </c>
      <c r="D33" s="3" t="inlineStr">
        <is>
          <t>Turnover نهایی</t>
        </is>
      </c>
      <c r="E33" s="5" t="inlineStr">
        <is>
          <t>کمینه، بیشینه، میانگین، میانه، انحراف معیار و شمارش صفر</t>
        </is>
      </c>
      <c r="F33" s="3" t="inlineStr">
        <is>
          <t>خیر</t>
        </is>
      </c>
      <c r="G33" s="3" t="inlineStr">
        <is>
          <t>فقط داده تاییدشده</t>
        </is>
      </c>
      <c r="H33" s="3" t="n"/>
    </row>
    <row r="34" ht="24" customHeight="1" s="76">
      <c r="A34" s="6" t="inlineStr">
        <is>
          <t>Correlation</t>
        </is>
      </c>
      <c r="B34" s="6" t="inlineStr">
        <is>
          <t>بررسی همپوشانی</t>
        </is>
      </c>
      <c r="C34" s="4" t="inlineStr">
        <is>
          <t>Pearson روی مشاهدات زوجی</t>
        </is>
      </c>
      <c r="D34" s="6" t="inlineStr">
        <is>
          <t>Turnover نهایی</t>
        </is>
      </c>
      <c r="E34" s="5" t="inlineStr">
        <is>
          <t>CORREL روی نرخ های موجود</t>
        </is>
      </c>
      <c r="F34" s="6" t="inlineStr">
        <is>
          <t>خیر</t>
        </is>
      </c>
      <c r="G34" s="6" t="inlineStr">
        <is>
          <t>برای جلوگیری از دوباره شماری</t>
        </is>
      </c>
      <c r="H34" s="6" t="n"/>
    </row>
    <row r="35" ht="34" customHeight="1" s="76">
      <c r="A35" s="3" t="inlineStr">
        <is>
          <t>Construct ایران محور</t>
        </is>
      </c>
      <c r="B35" s="3" t="inlineStr">
        <is>
          <t>ارزیابی پویایی نمایندگی</t>
        </is>
      </c>
      <c r="C35" s="4" t="inlineStr">
        <is>
          <t>سنتز REF08</t>
        </is>
      </c>
      <c r="D35" s="3" t="inlineStr">
        <is>
          <t>Turnover نهایی</t>
        </is>
      </c>
      <c r="E35" s="5" t="inlineStr">
        <is>
          <t>شمارش وقوع، میانگین، میانه، کمینه، بیشینه و همبستگی</t>
        </is>
      </c>
      <c r="F35" s="3" t="inlineStr">
        <is>
          <t>خیر</t>
        </is>
      </c>
      <c r="G35" s="3" t="inlineStr">
        <is>
          <t>فقط شرکت های دارای ساختار نمایندگی حقوقی تاییدشده</t>
        </is>
      </c>
      <c r="H35" s="3" t="n"/>
    </row>
    <row r="36" ht="34" customHeight="1" s="76">
      <c r="A36" s="6" t="inlineStr">
        <is>
          <t>۱۲ شاخص اصلی BSI</t>
        </is>
      </c>
      <c r="B36" s="6" t="inlineStr">
        <is>
          <t>Mapping شاخص اصلی به ایران</t>
        </is>
      </c>
      <c r="C36" s="4" t="inlineStr">
        <is>
          <t>ممیزی مفهومی و داده ای</t>
        </is>
      </c>
      <c r="D36" s="6" t="inlineStr">
        <is>
          <t>v30 و v31</t>
        </is>
      </c>
      <c r="E36" s="5" t="inlineStr">
        <is>
          <t>Direct، Proxy، Robustness، Drop یا Unresolved</t>
        </is>
      </c>
      <c r="F36" s="6" t="inlineStr">
        <is>
          <t>خیر</t>
        </is>
      </c>
      <c r="G36" s="6" t="inlineStr">
        <is>
          <t>هیچ معادل مستقیم بدون شواهد ادعا نشده</t>
        </is>
      </c>
      <c r="H36" s="6" t="n"/>
    </row>
    <row r="37" ht="34" customHeight="1" s="76">
      <c r="A37" s="3" t="inlineStr">
        <is>
          <t>ثبت منابع Batchها</t>
        </is>
      </c>
      <c r="B37" s="3" t="inlineStr">
        <is>
          <t>ثبت Source_ID و لینک کدال</t>
        </is>
      </c>
      <c r="C37" s="4" t="inlineStr">
        <is>
          <t>استخراج مستقیم از فایل های Batch</t>
        </is>
      </c>
      <c r="D37" s="3" t="inlineStr">
        <is>
          <t>اسناد رسمی کدال</t>
        </is>
      </c>
      <c r="E37" s="5" t="inlineStr">
        <is>
          <t>بدون محاسبه</t>
        </is>
      </c>
      <c r="F37" s="3" t="inlineStr">
        <is>
          <t>بله</t>
        </is>
      </c>
      <c r="G37" s="3" t="inlineStr">
        <is>
          <t>ردیابی Source_ID و صفحه</t>
        </is>
      </c>
      <c r="H37" s="3" t="inlineStr">
        <is>
          <t>مرجع URL</t>
        </is>
      </c>
    </row>
    <row r="38" ht="24" customHeight="1" s="76">
      <c r="A38" s="6" t="inlineStr">
        <is>
          <t>Audit Trail</t>
        </is>
      </c>
      <c r="B38" s="6" t="inlineStr">
        <is>
          <t>تاریخچه تصمیم ها</t>
        </is>
      </c>
      <c r="C38" s="4" t="inlineStr">
        <is>
          <t>ثبت تغییرات مرحله ای</t>
        </is>
      </c>
      <c r="D38" s="6" t="inlineStr">
        <is>
          <t>v33 و Batchهای ۱ تا ۶</t>
        </is>
      </c>
      <c r="E38" s="5" t="inlineStr">
        <is>
          <t>بدون محاسبه</t>
        </is>
      </c>
      <c r="F38" s="6" t="inlineStr">
        <is>
          <t>خیر</t>
        </is>
      </c>
      <c r="G38" s="6" t="inlineStr">
        <is>
          <t>قابلیت بازسازی تصمیم</t>
        </is>
      </c>
      <c r="H38" s="6" t="n"/>
    </row>
    <row r="39" ht="34" customHeight="1" s="76">
      <c r="A39" s="3" t="inlineStr">
        <is>
          <t>چک لیست نهایی</t>
        </is>
      </c>
      <c r="B39" s="3" t="inlineStr">
        <is>
          <t>کنترل پایانی</t>
        </is>
      </c>
      <c r="C39" s="4" t="inlineStr">
        <is>
          <t>ممیزی ساختاری فایل</t>
        </is>
      </c>
      <c r="D39" s="3" t="inlineStr">
        <is>
          <t>تمام برگه ها</t>
        </is>
      </c>
      <c r="E39" s="5" t="inlineStr">
        <is>
          <t>کنترل تعداد شرکت، Missingness، فرمول و تکرار</t>
        </is>
      </c>
      <c r="F39" s="3" t="inlineStr">
        <is>
          <t>خیر</t>
        </is>
      </c>
      <c r="G39" s="3" t="inlineStr">
        <is>
          <t>باید قبل از تحویل تایید باشد</t>
        </is>
      </c>
      <c r="H39" s="3" t="n"/>
    </row>
  </sheetData>
  <autoFilter ref="A4:H39"/>
  <mergeCells count="3">
    <mergeCell ref="A24:H24"/>
    <mergeCell ref="A2:H2"/>
    <mergeCell ref="A1:H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16"/>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27.6640625" customWidth="1" style="76" min="1" max="1"/>
    <col width="19.1640625" customWidth="1" style="76" min="2" max="2"/>
    <col width="20.1640625" customWidth="1" style="76" min="3" max="3"/>
    <col width="42" customWidth="1" style="76" min="4" max="4"/>
    <col width="32.5" customWidth="1" style="76" min="5" max="5"/>
    <col width="10" customWidth="1" style="76" min="6" max="6"/>
    <col width="37.1640625" customWidth="1" style="76" min="7" max="7"/>
    <col width="42" customWidth="1" style="76" min="8" max="8"/>
  </cols>
  <sheetData>
    <row r="1" ht="34" customHeight="1" s="76">
      <c r="A1" s="79" t="inlineStr">
        <is>
          <t>گپ های باز و تاریخچه حل تا v39</t>
        </is>
      </c>
    </row>
    <row r="2" ht="28" customHeight="1" s="76"/>
    <row r="3" ht="24" customHeight="1" s="76">
      <c r="A3" s="83" t="inlineStr">
        <is>
          <t>ID</t>
        </is>
      </c>
      <c r="B3" s="83" t="inlineStr">
        <is>
          <t>موضوع</t>
        </is>
      </c>
      <c r="C3" s="83" t="inlineStr">
        <is>
          <t>شرکت یا Measure</t>
        </is>
      </c>
      <c r="D3" s="83" t="inlineStr">
        <is>
          <t>مشکل</t>
        </is>
      </c>
      <c r="E3" s="83" t="inlineStr">
        <is>
          <t>شاهد</t>
        </is>
      </c>
      <c r="F3" s="83" t="inlineStr">
        <is>
          <t>وضعیت</t>
        </is>
      </c>
      <c r="G3" s="83" t="inlineStr">
        <is>
          <t>اقدام لازم</t>
        </is>
      </c>
      <c r="H3" s="83" t="inlineStr">
        <is>
          <t>قاعده تصمیم</t>
        </is>
      </c>
    </row>
    <row r="4" ht="24" customHeight="1" s="76">
      <c r="A4" s="78" t="inlineStr">
        <is>
          <t>G01</t>
        </is>
      </c>
      <c r="B4" s="78" t="inlineStr">
        <is>
          <t>Turnover identity</t>
        </is>
      </c>
      <c r="C4" s="78" t="inlineStr">
        <is>
          <t>تاپیکو</t>
        </is>
      </c>
      <c r="D4" s="78" t="inlineStr">
        <is>
          <t>Snapshot FY1403 ناهمتراز و احتمال Look Ahead</t>
        </is>
      </c>
      <c r="E4" s="78" t="inlineStr">
        <is>
          <t>Conflict Log C10</t>
        </is>
      </c>
      <c r="F4" s="78" t="inlineStr">
        <is>
          <t>حل شد (v38)</t>
        </is>
      </c>
      <c r="G4" s="78" t="inlineStr">
        <is>
          <t>بازبینی سند و Snapshot قبل از Cutoff</t>
        </is>
      </c>
      <c r="H4" s="78" t="inlineStr">
        <is>
          <t>Confirmed: Snapshot تاپیکو بازسازی شد</t>
        </is>
      </c>
    </row>
    <row r="5" ht="24" customHeight="1" s="76">
      <c r="A5" s="78" t="inlineStr">
        <is>
          <t>G02</t>
        </is>
      </c>
      <c r="B5" s="78" t="inlineStr">
        <is>
          <t>Turnover identity</t>
        </is>
      </c>
      <c r="C5" s="78" t="inlineStr">
        <is>
          <t>کچاد</t>
        </is>
      </c>
      <c r="D5" s="78" t="inlineStr">
        <is>
          <t>هویت K برابر N منهای M نقض شده</t>
        </is>
      </c>
      <c r="E5" s="78" t="inlineStr">
        <is>
          <t>Conflict Log C13</t>
        </is>
      </c>
      <c r="F5" s="78" t="inlineStr">
        <is>
          <t>حل شد (v38)</t>
        </is>
      </c>
      <c r="G5" s="78" t="inlineStr">
        <is>
          <t>بازخوانی Seat Matching</t>
        </is>
      </c>
      <c r="H5" s="78" t="inlineStr">
        <is>
          <t>Confirmed: Snapshot مبنا Look-Ahead بود</t>
        </is>
      </c>
    </row>
    <row r="6" ht="24" customHeight="1" s="76">
      <c r="A6" s="78" t="inlineStr">
        <is>
          <t>G03</t>
        </is>
      </c>
      <c r="B6" s="78" t="inlineStr">
        <is>
          <t>Turnover identity</t>
        </is>
      </c>
      <c r="C6" s="78" t="inlineStr">
        <is>
          <t>پارسان</t>
        </is>
      </c>
      <c r="D6" s="78" t="inlineStr">
        <is>
          <t>Q برابر ۷ با ساختار حقوقی v22 ناسازگار</t>
        </is>
      </c>
      <c r="E6" s="78" t="inlineStr">
        <is>
          <t>Conflict Log C11</t>
        </is>
      </c>
      <c r="F6" s="78" t="inlineStr">
        <is>
          <t>حل شد (v38)</t>
        </is>
      </c>
      <c r="G6" s="78" t="inlineStr">
        <is>
          <t>بازبینی roster و seat structure</t>
        </is>
      </c>
      <c r="H6" s="78" t="inlineStr">
        <is>
          <t>High: Q=5؛ ۵ کرسی حقوقی</t>
        </is>
      </c>
    </row>
    <row r="7" ht="24" customHeight="1" s="76">
      <c r="A7" s="78" t="inlineStr">
        <is>
          <t>G04</t>
        </is>
      </c>
      <c r="B7" s="78" t="inlineStr">
        <is>
          <t>Turnover identity</t>
        </is>
      </c>
      <c r="C7" s="78" t="inlineStr">
        <is>
          <t>وتجارت</t>
        </is>
      </c>
      <c r="D7" s="78" t="inlineStr">
        <is>
          <t>ساختار حل شده؛ تاریخ خروج شریفیان و ناسازگاری اسناد نیازمند بررسی است.</t>
        </is>
      </c>
      <c r="E7" s="78" t="inlineStr">
        <is>
          <t>Conflict Log C12</t>
        </is>
      </c>
      <c r="F7" s="78" t="inlineStr">
        <is>
          <t>باز با شواهد تکمیلی v39</t>
        </is>
      </c>
      <c r="G7" s="78" t="inlineStr">
        <is>
          <t>دریافت سند خروج و تطبیق نسخه اولیه با اصلاحیه</t>
        </is>
      </c>
      <c r="H7" s="78" t="inlineStr">
        <is>
          <t>ساختار تایید؛ تاریخ خروج شریفیان Needs Review</t>
        </is>
      </c>
    </row>
    <row r="8" ht="24" customHeight="1" s="76">
      <c r="A8" s="78" t="inlineStr">
        <is>
          <t>G05</t>
        </is>
      </c>
      <c r="B8" s="78" t="inlineStr">
        <is>
          <t>Turnover identity</t>
        </is>
      </c>
      <c r="C8" s="78" t="inlineStr">
        <is>
          <t>جم</t>
        </is>
      </c>
      <c r="D8" s="78" t="inlineStr">
        <is>
          <t>P کمتر از G</t>
        </is>
      </c>
      <c r="E8" s="78" t="inlineStr">
        <is>
          <t>Conflict Log C14</t>
        </is>
      </c>
      <c r="F8" s="78" t="inlineStr">
        <is>
          <t>حل شد (v38)</t>
        </is>
      </c>
      <c r="G8" s="78" t="inlineStr">
        <is>
          <t>بازبینی New Member vs Seat Change</t>
        </is>
      </c>
      <c r="H8" s="78" t="inlineStr">
        <is>
          <t>P&lt;G مشروع (جابه‌جایی)؛ P=1</t>
        </is>
      </c>
    </row>
    <row r="9" ht="24" customHeight="1" s="76">
      <c r="A9" s="78" t="inlineStr">
        <is>
          <t>G06</t>
        </is>
      </c>
      <c r="B9" s="78" t="inlineStr">
        <is>
          <t>Turnover identity</t>
        </is>
      </c>
      <c r="C9" s="78" t="inlineStr">
        <is>
          <t>خساپا</t>
        </is>
      </c>
      <c r="D9" s="78" t="inlineStr">
        <is>
          <t>P کمتر از G</t>
        </is>
      </c>
      <c r="E9" s="78" t="inlineStr">
        <is>
          <t>Conflict Log C14</t>
        </is>
      </c>
      <c r="F9" s="78" t="inlineStr">
        <is>
          <t>حل شد (v38)</t>
        </is>
      </c>
      <c r="G9" s="78" t="inlineStr">
        <is>
          <t>بازبینی جابجایی فرد بین کرسی ها</t>
        </is>
      </c>
      <c r="H9" s="78" t="inlineStr">
        <is>
          <t>مقادیر v35 تایید؛ P&lt;G مشروع</t>
        </is>
      </c>
    </row>
    <row r="10" ht="24" customHeight="1" s="76">
      <c r="A10" s="78" t="inlineStr">
        <is>
          <t>G07</t>
        </is>
      </c>
      <c r="B10" s="78" t="inlineStr">
        <is>
          <t>AUD01 page review</t>
        </is>
      </c>
      <c r="C10" s="78" t="inlineStr">
        <is>
          <t>۶ شرکت Keyword Hit</t>
        </is>
      </c>
      <c r="D10" s="78" t="inlineStr">
        <is>
          <t>وجود کلیدواژه بدون تایید صفحه</t>
        </is>
      </c>
      <c r="E10" s="78" t="inlineStr">
        <is>
          <t>Conflict Log و Audit Committees</t>
        </is>
      </c>
      <c r="F10" s="78" t="inlineStr">
        <is>
          <t>حل شد برای ۶ شرکت؛ وپاسار باز</t>
        </is>
      </c>
      <c r="G10" s="78" t="inlineStr">
        <is>
          <t>بازبینی صفحه</t>
        </is>
      </c>
      <c r="H10" s="78" t="inlineStr">
        <is>
          <t>Keyword Hit به تنهایی YES نیست؛ فقط افشای صریح</t>
        </is>
      </c>
    </row>
    <row r="11" ht="24" customHeight="1" s="76">
      <c r="A11" s="78" t="inlineStr">
        <is>
          <t>G08</t>
        </is>
      </c>
      <c r="B11" s="78" t="inlineStr">
        <is>
          <t>Source URL</t>
        </is>
      </c>
      <c r="C11" s="78" t="inlineStr">
        <is>
          <t>۹ شرکت</t>
        </is>
      </c>
      <c r="D11" s="78" t="inlineStr">
        <is>
          <t>URL منبع در رجیستری کامل نیست</t>
        </is>
      </c>
      <c r="E11" s="78" t="inlineStr">
        <is>
          <t>Conflict Log C18</t>
        </is>
      </c>
      <c r="F11" s="78" t="inlineStr">
        <is>
          <t>باز</t>
        </is>
      </c>
      <c r="G11" s="78" t="inlineStr">
        <is>
          <t>تکمیل Source Registry</t>
        </is>
      </c>
      <c r="H11" s="78" t="inlineStr">
        <is>
          <t>نبود URL به معنی نبود Source نیست ولی provenance باید کامل شود</t>
        </is>
      </c>
    </row>
    <row r="12" ht="24" customHeight="1" s="76">
      <c r="A12" s="78" t="inlineStr">
        <is>
          <t>G09</t>
        </is>
      </c>
      <c r="B12" s="78" t="inlineStr">
        <is>
          <t>Source registry</t>
        </is>
      </c>
      <c r="C12" s="78" t="inlineStr">
        <is>
          <t>۴ شرکت</t>
        </is>
      </c>
      <c r="D12" s="78" t="inlineStr">
        <is>
          <t>ردیف پایه رجیستری موجود نیست</t>
        </is>
      </c>
      <c r="E12" s="78" t="inlineStr">
        <is>
          <t>Conflict Log C18</t>
        </is>
      </c>
      <c r="F12" s="78" t="inlineStr">
        <is>
          <t>باز</t>
        </is>
      </c>
      <c r="G12" s="78" t="inlineStr">
        <is>
          <t>افزودن ردیف پایه Source_ID</t>
        </is>
      </c>
      <c r="H12" s="78" t="inlineStr">
        <is>
          <t>تمام مقدارهای Raw باید Source داشته باشند</t>
        </is>
      </c>
    </row>
    <row r="13" ht="24" customHeight="1" s="76">
      <c r="A13" s="78" t="inlineStr">
        <is>
          <t>G10</t>
        </is>
      </c>
      <c r="B13" s="78" t="inlineStr">
        <is>
          <t>REF08</t>
        </is>
      </c>
      <c r="C13" s="78" t="inlineStr">
        <is>
          <t>خودرو</t>
        </is>
      </c>
      <c r="D13" s="78" t="inlineStr">
        <is>
          <t>دلیل تغییر نماینده تایید نشده</t>
        </is>
      </c>
      <c r="E13" s="78" t="inlineStr">
        <is>
          <t>Required Corrections</t>
        </is>
      </c>
      <c r="F13" s="78" t="inlineStr">
        <is>
          <t>حل شد (v38)</t>
        </is>
      </c>
      <c r="G13" s="78" t="inlineStr">
        <is>
          <t>Source Review</t>
        </is>
      </c>
      <c r="H13" s="78" t="inlineStr">
        <is>
          <t>REF08 خودرو = ۱/۵</t>
        </is>
      </c>
    </row>
    <row r="14" ht="76" customHeight="1" s="76">
      <c r="A14" s="78" t="inlineStr">
        <is>
          <t>G11</t>
        </is>
      </c>
      <c r="B14" s="78" t="inlineStr">
        <is>
          <t>ترکیب تاریخی هیئت مدیره</t>
        </is>
      </c>
      <c r="C14" s="78" t="inlineStr">
        <is>
          <t>وپاسار</t>
        </is>
      </c>
      <c r="D14" s="78" t="inlineStr">
        <is>
          <t>پایان ۱۴۰۴ مستند نیست و پایه پنج یا هفت نفره حل نشده است.</t>
        </is>
      </c>
      <c r="E14" s="78" t="inlineStr">
        <is>
          <t>V39S04؛ V39S08</t>
        </is>
      </c>
      <c r="F14" s="78" t="inlineStr">
        <is>
          <t>باز در v39</t>
        </is>
      </c>
      <c r="G14" s="78" t="inlineStr">
        <is>
          <t>دریافت گزارش 1526305 و تطبیق صورتجلسه و امضاها</t>
        </is>
      </c>
      <c r="H14" s="78" t="inlineStr">
        <is>
          <t>فراداده سند با متن و فهرست اعضا یکسان نیست</t>
        </is>
      </c>
    </row>
    <row r="15" ht="76" customHeight="1" s="76">
      <c r="A15" s="78" t="inlineStr">
        <is>
          <t>G12</t>
        </is>
      </c>
      <c r="B15" s="78" t="inlineStr">
        <is>
          <t>نمایندگان حقیقی</t>
        </is>
      </c>
      <c r="C15" s="78" t="inlineStr">
        <is>
          <t>حکشتی</t>
        </is>
      </c>
      <c r="D15" s="78" t="inlineStr">
        <is>
          <t>دو نام تاریخی یافت شد اما پنج نماینده در دو نقطه شناخته نیستند.</t>
        </is>
      </c>
      <c r="E15" s="78" t="inlineStr">
        <is>
          <t>V39S05؛ V39S07</t>
        </is>
      </c>
      <c r="F15" s="78" t="inlineStr">
        <is>
          <t>باز در v39</t>
        </is>
      </c>
      <c r="G15" s="78" t="inlineStr">
        <is>
          <t>صورتجلسه تعیین سمت و نگاشت نماینده به کرسی</t>
        </is>
      </c>
      <c r="H15" s="78" t="inlineStr">
        <is>
          <t>نام مدیرعامل به تنهایی عضویت یا نمایندگی حقوقی را اثبات نمی کند</t>
        </is>
      </c>
    </row>
    <row r="16" ht="76" customHeight="1" s="76">
      <c r="A16" s="78" t="inlineStr">
        <is>
          <t>G13</t>
        </is>
      </c>
      <c r="B16" s="78" t="inlineStr">
        <is>
          <t>تعارض تغییر رئیس</t>
        </is>
      </c>
      <c r="C16" s="78" t="inlineStr">
        <is>
          <t>فملی</t>
        </is>
      </c>
      <c r="D16" s="78" t="inlineStr">
        <is>
          <t>خیر در v38 با پرچم تعارض قبلی همراه است؛ سند حل کننده در این مرحله دریافت نشد.</t>
        </is>
      </c>
      <c r="E16" s="78" t="inlineStr">
        <is>
          <t>CR1A v39؛ Conflict Log C04</t>
        </is>
      </c>
      <c r="F16" s="78" t="inlineStr">
        <is>
          <t>باز در v39</t>
        </is>
      </c>
      <c r="G16" s="78" t="inlineStr">
        <is>
          <t>تطبیق نام رئیس در دو نقطه و افشاهای میانی</t>
        </is>
      </c>
      <c r="H16" s="78" t="inlineStr">
        <is>
          <t>از شمارش محافظه کارانه کنار گذاشته شد؛ مقدار خام حذف نشد</t>
        </is>
      </c>
    </row>
  </sheetData>
  <mergeCells count="1">
    <mergeCell ref="A1:H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31"/>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30.5" customWidth="1" style="76" min="2" max="2"/>
    <col width="42" customWidth="1" style="76" min="3" max="4"/>
    <col width="33.33203125" customWidth="1" style="76" min="5" max="5"/>
    <col width="42" customWidth="1" style="76" min="6" max="6"/>
    <col width="25.83203125" customWidth="1" style="76" min="7" max="7"/>
    <col width="42" customWidth="1" style="76" min="8" max="8"/>
  </cols>
  <sheetData>
    <row r="1" ht="34" customHeight="1" s="76">
      <c r="A1" s="79" t="inlineStr">
        <is>
          <t>جمع بندی نهایی ممیزی مستقل Iran BSI</t>
        </is>
      </c>
    </row>
    <row r="2" ht="28" customHeight="1" s="76">
      <c r="A2" s="78" t="inlineStr">
        <is>
          <t>نسخه v39 مبتنی بر فایل v38؛ محاسبات CR1A همگام و سه پرونده سندی با وضعیت واقعی ثبت شدند.</t>
        </is>
      </c>
    </row>
    <row r="3" ht="24" customHeight="1" s="76"/>
    <row r="4" ht="24" customHeight="1" s="76">
      <c r="A4" s="83" t="inlineStr">
        <is>
          <t>موضوع</t>
        </is>
      </c>
      <c r="B4" s="83" t="inlineStr">
        <is>
          <t>وضعیت نهایی</t>
        </is>
      </c>
      <c r="C4" s="83" t="inlineStr">
        <is>
          <t>عدد یا دامنه</t>
        </is>
      </c>
      <c r="D4" s="83" t="inlineStr">
        <is>
          <t>تفسیر</t>
        </is>
      </c>
      <c r="E4" s="83" t="inlineStr">
        <is>
          <t>منبع</t>
        </is>
      </c>
      <c r="F4" s="83" t="inlineStr">
        <is>
          <t>روش محاسبه یا مبنا</t>
        </is>
      </c>
      <c r="G4" s="83" t="inlineStr">
        <is>
          <t>وضعیت ممیزی</t>
        </is>
      </c>
      <c r="H4" s="83" t="inlineStr">
        <is>
          <t>اقدام بعدی</t>
        </is>
      </c>
    </row>
    <row r="5" ht="24" customHeight="1" s="76">
      <c r="A5" s="78" t="inlineStr">
        <is>
          <t>حکم فایل v35</t>
        </is>
      </c>
      <c r="B5" s="78" t="inlineStr">
        <is>
          <t>نیازمند اصلاحات اساسی</t>
        </is>
      </c>
      <c r="C5" s="78" t="inlineStr">
        <is>
          <t>V35_REQUIRES_MATERIAL_CORRECTIONS</t>
        </is>
      </c>
      <c r="D5" s="78" t="inlineStr">
        <is>
          <t>ممیزی مستقل چند اصلاح عددی و معماری پیدا کرد</t>
        </is>
      </c>
      <c r="E5" s="78" t="inlineStr">
        <is>
          <t>Final Audit Verdict</t>
        </is>
      </c>
      <c r="F5" s="78" t="inlineStr">
        <is>
          <t>ممیزی بازتولیدپذیری داده، Coverage، فرمول و Source</t>
        </is>
      </c>
      <c r="G5" s="78" t="inlineStr">
        <is>
          <t>قطعی</t>
        </is>
      </c>
      <c r="H5" s="78" t="inlineStr">
        <is>
          <t>نسخه v35 مبنا قرار نگیرد</t>
        </is>
      </c>
    </row>
    <row r="6" ht="24" customHeight="1" s="76">
      <c r="A6" s="78" t="inlineStr">
        <is>
          <t>نسخه جاری</t>
        </is>
      </c>
      <c r="B6" s="78" t="inlineStr">
        <is>
          <t>اصلاحات تاییدشده اعمال شده</t>
        </is>
      </c>
      <c r="C6" s="78" t="inlineStr">
        <is>
          <t>v39 CR1A Audit and Open Gaps</t>
        </is>
      </c>
      <c r="D6" s="78" t="inlineStr">
        <is>
          <t>همگام سازی تغییر رئیس و اصلاح فرمول های ناسازگار انجام شد؛ داده خام سه شرکت بدون سند تازه تغییر نکرد.</t>
        </is>
      </c>
      <c r="E6" s="78" t="inlineStr">
        <is>
          <t>CR1A v39؛ Gap Review v39؛ Changes v39</t>
        </is>
      </c>
      <c r="F6" s="78" t="inlineStr">
        <is>
          <t>فقط اصلاحات دارای شاهد اعمال شده اند</t>
        </is>
      </c>
      <c r="G6" s="78" t="inlineStr">
        <is>
          <t>قابل استفاده با محدودیت و گپ باز</t>
        </is>
      </c>
      <c r="H6" s="78" t="inlineStr">
        <is>
          <t>بازبینی Source Reviewهای باز</t>
        </is>
      </c>
    </row>
    <row r="7" ht="24" customHeight="1" s="76">
      <c r="A7" s="78" t="inlineStr">
        <is>
          <t>Measureهای موجود برای Scale Up</t>
        </is>
      </c>
      <c r="B7" s="78" t="inlineStr">
        <is>
          <t>۶ Measure</t>
        </is>
      </c>
      <c r="C7" s="78" t="inlineStr">
        <is>
          <t>S1A, V1, VAR06, VAR10, AUD01, REF05</t>
        </is>
      </c>
      <c r="D7" s="78" t="inlineStr">
        <is>
          <t>شش Measure موجود پس از ممیزی همچنان قابلیت توسعه دارند</t>
        </is>
      </c>
      <c r="E7" s="78" t="inlineStr">
        <is>
          <t>Audit Measureها</t>
        </is>
      </c>
      <c r="F7" s="78" t="inlineStr">
        <is>
          <t>شمارش وضعیت SCALE_UP_PRIMARY و SCALE_UP_WITH_LIMITATION در Measureهای موجود</t>
        </is>
      </c>
      <c r="G7" s="78" t="inlineStr">
        <is>
          <t>با محدودیت</t>
        </is>
      </c>
      <c r="H7" s="78" t="inlineStr">
        <is>
          <t>در طراحی نمونه اصلی حفظ شوند</t>
        </is>
      </c>
    </row>
    <row r="8" ht="24" customHeight="1" s="76">
      <c r="A8" s="78" t="inlineStr">
        <is>
          <t>Measure ساختاری ایران</t>
        </is>
      </c>
      <c r="B8" s="78" t="inlineStr">
        <is>
          <t>۱ Measure</t>
        </is>
      </c>
      <c r="C8" s="78" t="inlineStr">
        <is>
          <t>IRN01</t>
        </is>
      </c>
      <c r="D8" s="78" t="inlineStr">
        <is>
          <t>ساختاری است و نباید به صورت مکانیکی Higher Better امتیازدهی شود</t>
        </is>
      </c>
      <c r="E8" s="78" t="inlineStr">
        <is>
          <t>Audit Measureها</t>
        </is>
      </c>
      <c r="F8" s="78" t="inlineStr">
        <is>
          <t>سهم کرسی های اشخاص حقوقی از کل کرسی های قابل طبقه بندی</t>
        </is>
      </c>
      <c r="G8" s="78" t="inlineStr">
        <is>
          <t>با محدودیت</t>
        </is>
      </c>
      <c r="H8" s="78" t="inlineStr">
        <is>
          <t>به عنوان Measure ساختاری نگهداری شود</t>
        </is>
      </c>
    </row>
    <row r="9" ht="24" customHeight="1" s="76">
      <c r="A9" s="78" t="inlineStr">
        <is>
          <t>Measureهای کنترلی</t>
        </is>
      </c>
      <c r="B9" s="78" t="inlineStr">
        <is>
          <t>۲ Measure</t>
        </is>
      </c>
      <c r="C9" s="78" t="inlineStr">
        <is>
          <t>CR1A و SEP07</t>
        </is>
      </c>
      <c r="D9" s="78" t="inlineStr">
        <is>
          <t>CR1A جهت کیفی روشن ندارد و SEP07 در ۲۶ شرکت شناخته شده Variation صفر دارد</t>
        </is>
      </c>
      <c r="E9" s="78" t="inlineStr">
        <is>
          <t>Audit Measureها</t>
        </is>
      </c>
      <c r="F9" s="78" t="inlineStr">
        <is>
          <t>طبقه بندی CONTROL_DIAGNOSTIC</t>
        </is>
      </c>
      <c r="G9" s="78" t="inlineStr">
        <is>
          <t>قطعی</t>
        </is>
      </c>
      <c r="H9" s="78" t="inlineStr">
        <is>
          <t>در Composite اصلی وارد نشوند</t>
        </is>
      </c>
    </row>
    <row r="10" ht="24" customHeight="1" s="76">
      <c r="A10" s="78" t="inlineStr">
        <is>
          <t>Measureهای Robustness موجود</t>
        </is>
      </c>
      <c r="B10" s="78" t="inlineStr">
        <is>
          <t>۲ Measure</t>
        </is>
      </c>
      <c r="C10" s="78" t="inlineStr">
        <is>
          <t>AUD02 و IRN02</t>
        </is>
      </c>
      <c r="D10" s="78" t="inlineStr">
        <is>
          <t>AUD02 توصیفی است و IRN02 مکمل دقیق IRN01 است</t>
        </is>
      </c>
      <c r="E10" s="78" t="inlineStr">
        <is>
          <t>Audit Redundancy</t>
        </is>
      </c>
      <c r="F10" s="78" t="inlineStr">
        <is>
          <t>نقش Robustness و کنترل دوباره شماری</t>
        </is>
      </c>
      <c r="G10" s="78" t="inlineStr">
        <is>
          <t>قطعی</t>
        </is>
      </c>
      <c r="H10" s="78" t="inlineStr">
        <is>
          <t>فقط در Robustness</t>
        </is>
      </c>
    </row>
    <row r="11" ht="24" customHeight="1" s="76">
      <c r="A11" s="78" t="inlineStr">
        <is>
          <t>REF08</t>
        </is>
      </c>
      <c r="B11" s="78" t="inlineStr">
        <is>
          <t>نیازمند اعتبارسنجی هدفمند</t>
        </is>
      </c>
      <c r="C11" s="78" t="inlineStr">
        <is>
          <t>25 از 25 واجد شرایط (v38)</t>
        </is>
      </c>
      <c r="D11" s="78" t="inlineStr">
        <is>
          <t>پوشش عددی REF08 طبق v38 برابر ۲۵ از ۲۵ واجد شرایط است؛ این عدد به معنی بسته شدن پرونده های فردی سه شرکت نیست.</t>
        </is>
      </c>
      <c r="E11" s="78" t="inlineStr">
        <is>
          <t>Audit Coverage + Conflict Log</t>
        </is>
      </c>
      <c r="F11" s="78" t="inlineStr">
        <is>
          <t>تغییر نماینده حقیقی فقط در کرسی با شخص حقوقی ثابت</t>
        </is>
      </c>
      <c r="G11" s="29" t="inlineStr">
        <is>
          <t>NEEDS_SOURCE_REVIEW</t>
        </is>
      </c>
      <c r="H11" s="78" t="inlineStr">
        <is>
          <t>قبل از Scale Up بازبینی موارد باز</t>
        </is>
      </c>
    </row>
    <row r="12" ht="24" customHeight="1" s="76">
      <c r="A12" s="78" t="inlineStr">
        <is>
          <t>Constructهای مستقل</t>
        </is>
      </c>
      <c r="B12" s="78" t="inlineStr">
        <is>
          <t>۹ Construct</t>
        </is>
      </c>
      <c r="C12" s="78" t="inlineStr">
        <is>
          <t>پس از خروج SEP07 از Construct مستقل</t>
        </is>
      </c>
      <c r="D12" s="78" t="inlineStr">
        <is>
          <t>شمارش ۱۰ Construct قبلی اصلاح شد</t>
        </is>
      </c>
      <c r="E12" s="78" t="inlineStr">
        <is>
          <t>Final Audit Verdict</t>
        </is>
      </c>
      <c r="F12" s="78" t="inlineStr">
        <is>
          <t>گروه بندی Measureهای غیرتکراری پس از Redundancy Audit</t>
        </is>
      </c>
      <c r="G12" s="78" t="inlineStr">
        <is>
          <t>قطعی</t>
        </is>
      </c>
      <c r="H12" s="78" t="inlineStr">
        <is>
          <t>مبنای معماری فعلی</t>
        </is>
      </c>
    </row>
    <row r="13" ht="24" customHeight="1" s="76">
      <c r="A13" s="78" t="inlineStr">
        <is>
          <t>Candidate جدید قابل توسعه</t>
        </is>
      </c>
      <c r="B13" s="78" t="inlineStr">
        <is>
          <t>سهم اعضای دارای دکترا</t>
        </is>
      </c>
      <c r="C13" s="78" t="inlineStr">
        <is>
          <t>۳۰ از ۳۰ شرکت</t>
        </is>
      </c>
      <c r="D13" s="78" t="inlineStr">
        <is>
          <t>Variation واقعی دارد ولی با V1 و VAR10 همپوشانی جزئی دارد</t>
        </is>
      </c>
      <c r="E13" s="78" t="inlineStr">
        <is>
          <t>Scale Up Candidates</t>
        </is>
      </c>
      <c r="F13" s="78" t="inlineStr">
        <is>
          <t>تعداد اعضای دارای مدرک دکترا تقسیم بر اعضای دارای Education Level قابل ارزیابی</t>
        </is>
      </c>
      <c r="G13" s="84" t="inlineStr">
        <is>
          <t>SCALE_UP_WITH_LIMITATION</t>
        </is>
      </c>
      <c r="H13" s="78" t="inlineStr">
        <is>
          <t>فعلا خارج Composite، در Phase 5 تست شود</t>
        </is>
      </c>
    </row>
    <row r="14" ht="24" customHeight="1" s="76">
      <c r="A14" s="78" t="inlineStr">
        <is>
          <t>Fully Verified در تعریف سخت گیرانه</t>
        </is>
      </c>
      <c r="B14" s="78" t="inlineStr">
        <is>
          <t>۰ Measure</t>
        </is>
      </c>
      <c r="C14" s="78" t="inlineStr">
        <is>
          <t>تعریف Source to Value داخل همین فایل</t>
        </is>
      </c>
      <c r="D14" s="78" t="inlineStr">
        <is>
          <t>این صفر به معنی بی اعتبار بودن Measureها نیست؛ یعنی داده خام per firm همه Measureهای غیر Turnover داخل v35 تعبیه نشده بود</t>
        </is>
      </c>
      <c r="E14" s="78" t="inlineStr">
        <is>
          <t>Verified Measures</t>
        </is>
      </c>
      <c r="F14" s="78" t="inlineStr">
        <is>
          <t>تعریف سخت گیرانه ممیزی مستقل</t>
        </is>
      </c>
      <c r="G14" s="78" t="inlineStr">
        <is>
          <t>محتاطانه</t>
        </is>
      </c>
      <c r="H14" s="78" t="inlineStr">
        <is>
          <t>برای Fully Verified باید Raw Per Firm همه Measureها در Master وارد شود</t>
        </is>
      </c>
    </row>
    <row r="15" ht="24" customHeight="1" s="76">
      <c r="A15" s="78" t="inlineStr">
        <is>
          <t>Verified With Limitation</t>
        </is>
      </c>
      <c r="B15" s="78" t="inlineStr">
        <is>
          <t>۸ Measure</t>
        </is>
      </c>
      <c r="C15" s="78" t="inlineStr">
        <is>
          <t>S1A, V1, VAR10, IRN01, IRN02, ROB_LEGAL, ROB_NEW, ROB_STABILITY</t>
        </is>
      </c>
      <c r="D15" s="78" t="inlineStr">
        <is>
          <t>این Measureها از ممیزی عبور کرده اند ولی محدودیت روش شناختی یا داده ای دارند</t>
        </is>
      </c>
      <c r="E15" s="78" t="inlineStr">
        <is>
          <t>Verified Measures</t>
        </is>
      </c>
      <c r="F15" s="78" t="inlineStr">
        <is>
          <t>طبقه VERIFIED_WITH_LIMITATION</t>
        </is>
      </c>
      <c r="G15" s="78" t="inlineStr">
        <is>
          <t>قابل استفاده با محدودیت</t>
        </is>
      </c>
      <c r="H15" s="78" t="inlineStr">
        <is>
          <t>محدودیت هر Measure حفظ شود</t>
        </is>
      </c>
    </row>
    <row r="16" ht="24" customHeight="1" s="76">
      <c r="A16" s="78" t="inlineStr">
        <is>
          <t>گپ های باز مهم</t>
        </is>
      </c>
      <c r="B16" s="78" t="inlineStr">
        <is>
          <t>Source Review</t>
        </is>
      </c>
      <c r="C16" s="78" t="inlineStr">
        <is>
          <t>وتجارت، وپاسار، حکشتی؛ تعارض CR1A فملی؛ موارد کمیته حسابرسی و منابع از مراحل قبل</t>
        </is>
      </c>
      <c r="D16" s="78" t="inlineStr">
        <is>
          <t>برای سه شرکت سندی که امکان بسته شدن کامل پرونده را بدهد دریافت نشد؛ سرنخ های تازه ثبت شد و هیچ داده حدسی وارد نشد.</t>
        </is>
      </c>
      <c r="E16" s="78" t="inlineStr">
        <is>
          <t>Gap Review v39؛ CR1A v39؛ گپ های باز</t>
        </is>
      </c>
      <c r="F16" s="78" t="inlineStr">
        <is>
          <t>ثبت تعارض بدون حدس عددی</t>
        </is>
      </c>
      <c r="G16" s="78" t="inlineStr">
        <is>
          <t>باز</t>
        </is>
      </c>
      <c r="H16" s="78" t="inlineStr">
        <is>
          <t>تکمیل اسناد تاریخی و حل تعارض ها پیش از نهایی کردن پایگاه</t>
        </is>
      </c>
    </row>
    <row r="17" ht="24" customHeight="1" s="76"/>
    <row r="18" ht="24" customHeight="1" s="76"/>
    <row r="19" ht="24" customHeight="1" s="76">
      <c r="A19" s="78" t="inlineStr">
        <is>
          <t>وضعیت پروژه</t>
        </is>
      </c>
    </row>
    <row r="20" ht="24" customHeight="1" s="76">
      <c r="A20" s="78" t="inlineStr">
        <is>
          <t>[x]</t>
        </is>
      </c>
      <c r="B20" s="78" t="inlineStr">
        <is>
          <t>Phase 4.2A تا Phase 4.2K</t>
        </is>
      </c>
    </row>
    <row r="21" ht="24" customHeight="1" s="76">
      <c r="A21" s="78" t="inlineStr">
        <is>
          <t>[x]</t>
        </is>
      </c>
      <c r="B21" s="78" t="inlineStr">
        <is>
          <t>شش Batch تکمیل Turnover</t>
        </is>
      </c>
    </row>
    <row r="22" ht="24" customHeight="1" s="76">
      <c r="A22" s="78" t="inlineStr">
        <is>
          <t>[x]</t>
        </is>
      </c>
      <c r="B22" s="78" t="inlineStr">
        <is>
          <t>ممیزی مستقل v35</t>
        </is>
      </c>
    </row>
    <row r="23" ht="24" customHeight="1" s="76">
      <c r="A23" s="78" t="inlineStr">
        <is>
          <t>[x]</t>
        </is>
      </c>
      <c r="B23" s="78" t="inlineStr">
        <is>
          <t>اصلاحات تاییدشده v36</t>
        </is>
      </c>
    </row>
    <row r="24" ht="24" customHeight="1" s="76">
      <c r="A24" s="78" t="inlineStr">
        <is>
          <t>[x]</t>
        </is>
      </c>
      <c r="B24" s="78" t="inlineStr">
        <is>
          <t>کشف Measureهای جدید</t>
        </is>
      </c>
    </row>
    <row r="25" ht="24" customHeight="1" s="76">
      <c r="A25" s="78" t="inlineStr">
        <is>
          <t>[ ]</t>
        </is>
      </c>
      <c r="B25" s="78" t="inlineStr">
        <is>
          <t>بازبینی Source Reviewهای باز</t>
        </is>
      </c>
    </row>
    <row r="26" ht="24" customHeight="1" s="76">
      <c r="A26" s="78" t="inlineStr">
        <is>
          <t>[ ]</t>
        </is>
      </c>
      <c r="B26" s="78" t="inlineStr">
        <is>
          <t>بررسی استاد</t>
        </is>
      </c>
    </row>
    <row r="27" ht="24" customHeight="1" s="76">
      <c r="A27" s="78" t="inlineStr">
        <is>
          <t>[ ]</t>
        </is>
      </c>
      <c r="B27" s="78" t="inlineStr">
        <is>
          <t>Phase 5 طراحی نمونه اصلی</t>
        </is>
      </c>
    </row>
    <row r="28" ht="24" customHeight="1" s="76">
      <c r="A28" s="78" t="inlineStr">
        <is>
          <t>[ ]</t>
        </is>
      </c>
      <c r="B28" s="78" t="inlineStr">
        <is>
          <t>Phase 6 استخراج در مقیاس بزرگ</t>
        </is>
      </c>
    </row>
    <row r="29" ht="24" customHeight="1" s="76">
      <c r="A29" s="78" t="inlineStr">
        <is>
          <t>[ ]</t>
        </is>
      </c>
      <c r="B29" s="78" t="inlineStr">
        <is>
          <t>Phase 7 ساخت شاخص نهایی</t>
        </is>
      </c>
    </row>
    <row r="30" ht="24" customHeight="1" s="76">
      <c r="A30" s="78" t="inlineStr">
        <is>
          <t>[ ]</t>
        </is>
      </c>
      <c r="B30" s="78" t="inlineStr">
        <is>
          <t>Phase 8 اعتبارسنجی</t>
        </is>
      </c>
    </row>
    <row r="31" ht="24" customHeight="1" s="76">
      <c r="A31" s="78" t="inlineStr">
        <is>
          <t>[ ]</t>
        </is>
      </c>
      <c r="B31" s="78" t="inlineStr">
        <is>
          <t>Phase 9 سنجش تاب آوری</t>
        </is>
      </c>
    </row>
  </sheetData>
  <mergeCells count="3">
    <mergeCell ref="A19:H19"/>
    <mergeCell ref="A2:H2"/>
    <mergeCell ref="A1:H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Q16"/>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38.1640625" customWidth="1" style="76" min="2" max="2"/>
    <col width="17.1640625" customWidth="1" style="76" min="3" max="3"/>
    <col width="12.5" customWidth="1" style="76" min="4" max="5"/>
    <col width="17.1640625" customWidth="1" style="76" min="6" max="6"/>
    <col width="12.5" customWidth="1" style="76" min="7" max="7"/>
    <col width="11.5" customWidth="1" style="76" min="8" max="8"/>
    <col width="18.1640625" customWidth="1" style="76" min="9" max="9"/>
    <col width="20.1640625" customWidth="1" style="76" min="10" max="10"/>
    <col width="19.1640625" customWidth="1" style="76" min="11" max="11"/>
    <col width="30.5" customWidth="1" style="76" min="12" max="12"/>
    <col width="36.1640625" customWidth="1" style="76" min="13" max="13"/>
    <col width="42" customWidth="1" style="76" min="14" max="15"/>
    <col width="25.83203125" customWidth="1" style="76" min="16" max="16"/>
    <col width="42" customWidth="1" style="76" min="17" max="17"/>
  </cols>
  <sheetData>
    <row r="1" ht="34" customHeight="1" s="76">
      <c r="A1" s="79" t="inlineStr">
        <is>
          <t>جدول نهایی Measureها برای ارائه به استاد پس از ممیزی مستقل</t>
        </is>
      </c>
    </row>
    <row r="2" ht="28" customHeight="1" s="76">
      <c r="A2" s="78" t="inlineStr">
        <is>
          <t>Measureهای موجود، نقش نهایی، پوشش ممیزی و Candidate جدید قابل توسعه</t>
        </is>
      </c>
    </row>
    <row r="3" ht="24" customHeight="1" s="76">
      <c r="A3" s="83" t="inlineStr">
        <is>
          <t>کد</t>
        </is>
      </c>
      <c r="B3" s="83" t="inlineStr">
        <is>
          <t>معیار</t>
        </is>
      </c>
      <c r="C3" s="83" t="inlineStr">
        <is>
          <t>سازه</t>
        </is>
      </c>
      <c r="D3" s="83" t="inlineStr">
        <is>
          <t>دارای داده</t>
        </is>
      </c>
      <c r="E3" s="83" t="inlineStr">
        <is>
          <t>واجد شرایط</t>
        </is>
      </c>
      <c r="F3" s="83" t="inlineStr">
        <is>
          <t>پوشش واجد شرایط</t>
        </is>
      </c>
      <c r="G3" s="83" t="inlineStr">
        <is>
          <t>پوشش کل ۳۰</t>
        </is>
      </c>
      <c r="H3" s="83" t="inlineStr">
        <is>
          <t>Variation</t>
        </is>
      </c>
      <c r="I3" s="83" t="inlineStr">
        <is>
          <t>Evidence Quality</t>
        </is>
      </c>
      <c r="J3" s="83" t="inlineStr">
        <is>
          <t>Directionality</t>
        </is>
      </c>
      <c r="K3" s="83" t="inlineStr">
        <is>
          <t>نقش در معماری</t>
        </is>
      </c>
      <c r="L3" s="83" t="inlineStr">
        <is>
          <t>وضعیت نهایی</t>
        </is>
      </c>
      <c r="M3" s="83" t="inlineStr">
        <is>
          <t>محدودیت اصلی</t>
        </is>
      </c>
      <c r="N3" s="83" t="inlineStr">
        <is>
          <t>روش محاسبه یا تعریف عملیاتی</t>
        </is>
      </c>
      <c r="O3" s="83" t="inlineStr">
        <is>
          <t>منبع اصلی</t>
        </is>
      </c>
      <c r="P3" s="83" t="inlineStr">
        <is>
          <t>وضعیت ممیزی</t>
        </is>
      </c>
      <c r="Q3" s="83" t="inlineStr">
        <is>
          <t>اقدام</t>
        </is>
      </c>
    </row>
    <row r="4" ht="24" customHeight="1" s="76">
      <c r="A4" s="78" t="inlineStr">
        <is>
          <t>S1A</t>
        </is>
      </c>
      <c r="B4" s="78" t="inlineStr">
        <is>
          <t>پروکسی استقلال ساختاری هیئت مدیره</t>
        </is>
      </c>
      <c r="C4" s="78" t="inlineStr">
        <is>
          <t>استقلال ساختاری</t>
        </is>
      </c>
      <c r="D4" s="78" t="n">
        <v>28</v>
      </c>
      <c r="E4" s="78" t="n">
        <v>30</v>
      </c>
      <c r="F4" s="31">
        <f>D4/E4</f>
        <v>0.9333333333333333</v>
      </c>
      <c r="G4" s="31">
        <f>D4/30</f>
        <v>0.9333333333333333</v>
      </c>
      <c r="H4" s="78" t="inlineStr">
        <is>
          <t>بله</t>
        </is>
      </c>
      <c r="I4" s="78" t="inlineStr">
        <is>
          <t>MODERATE</t>
        </is>
      </c>
      <c r="J4" s="78" t="inlineStr">
        <is>
          <t>CONTEXT_DEPENDENT</t>
        </is>
      </c>
      <c r="K4" s="78" t="inlineStr">
        <is>
          <t>اصلی</t>
        </is>
      </c>
      <c r="L4" s="32" t="inlineStr">
        <is>
          <t>SCALE_UP_PRIMARY</t>
        </is>
      </c>
      <c r="M4" s="78" t="inlineStr">
        <is>
          <t>پروکسی است نه استقلال صریح</t>
        </is>
      </c>
      <c r="N4" s="78" t="inlineStr">
        <is>
          <t>اعضای غیرموظف تقسیم بر اعضای دارای وضعیت موظف یا غیرموظف قابل تایید</t>
        </is>
      </c>
      <c r="O4" s="78" t="inlineStr">
        <is>
          <t>v22 Canonical Board Members + Source_IDهای ممیزی</t>
        </is>
      </c>
      <c r="P4" s="32" t="inlineStr">
        <is>
          <t>VERIFIED_WITH_LIMITATION</t>
        </is>
      </c>
      <c r="Q4" s="78" t="inlineStr">
        <is>
          <t>حفظ</t>
        </is>
      </c>
    </row>
    <row r="5" ht="24" customHeight="1" s="76">
      <c r="A5" s="78" t="inlineStr">
        <is>
          <t>V1</t>
        </is>
      </c>
      <c r="B5" s="78" t="inlineStr">
        <is>
          <t>تنوع رشته تحصیلی</t>
        </is>
      </c>
      <c r="C5" s="78" t="inlineStr">
        <is>
          <t>تنوع تحصیلی</t>
        </is>
      </c>
      <c r="D5" s="78" t="n">
        <v>28</v>
      </c>
      <c r="E5" s="78" t="n">
        <v>30</v>
      </c>
      <c r="F5" s="31">
        <f>D5/E5</f>
        <v>0.9333333333333333</v>
      </c>
      <c r="G5" s="31">
        <f>D5/30</f>
        <v>0.9333333333333333</v>
      </c>
      <c r="H5" s="78" t="inlineStr">
        <is>
          <t>بله</t>
        </is>
      </c>
      <c r="I5" s="78" t="inlineStr">
        <is>
          <t>MODERATE</t>
        </is>
      </c>
      <c r="J5" s="78" t="inlineStr">
        <is>
          <t>POSITIVE_DIRECTION</t>
        </is>
      </c>
      <c r="K5" s="78" t="inlineStr">
        <is>
          <t>اصلی</t>
        </is>
      </c>
      <c r="L5" s="32" t="inlineStr">
        <is>
          <t>SCALE_UP_PRIMARY</t>
        </is>
      </c>
      <c r="M5" s="78" t="inlineStr">
        <is>
          <t>حساس به اندازه هیئت</t>
        </is>
      </c>
      <c r="N5" s="78" t="inlineStr">
        <is>
          <t>Blau خام برابر ۱ منهای مجموع مربع سهم رشته ها</t>
        </is>
      </c>
      <c r="O5" s="78" t="inlineStr">
        <is>
          <t>v22 Education_Field_Harmonized</t>
        </is>
      </c>
      <c r="P5" s="32" t="inlineStr">
        <is>
          <t>VERIFIED_WITH_LIMITATION</t>
        </is>
      </c>
      <c r="Q5" s="78" t="inlineStr">
        <is>
          <t>حفظ</t>
        </is>
      </c>
    </row>
    <row r="6" ht="24" customHeight="1" s="76">
      <c r="A6" s="78" t="inlineStr">
        <is>
          <t>VAR06_Strict</t>
        </is>
      </c>
      <c r="B6" s="78" t="inlineStr">
        <is>
          <t>تنوع سابقه حرفه ای، نسخه سخت گیرانه</t>
        </is>
      </c>
      <c r="C6" s="78" t="inlineStr">
        <is>
          <t>تنوع حرفه ای</t>
        </is>
      </c>
      <c r="D6" s="78" t="n">
        <v>27</v>
      </c>
      <c r="E6" s="78" t="n">
        <v>28</v>
      </c>
      <c r="F6" s="31">
        <f>D6/E6</f>
        <v>0.9642857142857143</v>
      </c>
      <c r="G6" s="31">
        <f>D6/30</f>
        <v>0.9</v>
      </c>
      <c r="H6" s="78" t="inlineStr">
        <is>
          <t>بله</t>
        </is>
      </c>
      <c r="I6" s="78" t="inlineStr">
        <is>
          <t>MODERATE</t>
        </is>
      </c>
      <c r="J6" s="78" t="inlineStr">
        <is>
          <t>POSITIVE_DIRECTION</t>
        </is>
      </c>
      <c r="K6" s="78" t="inlineStr">
        <is>
          <t>اصلی با محدودیت</t>
        </is>
      </c>
      <c r="L6" s="84" t="inlineStr">
        <is>
          <t>SCALE_UP_WITH_LIMITATION</t>
        </is>
      </c>
      <c r="M6" s="78" t="inlineStr">
        <is>
          <t>بار قضاوت انسانی و پوشش ۲۷</t>
        </is>
      </c>
      <c r="N6" s="78" t="inlineStr">
        <is>
          <t>کدگذاری Strict سپس Blau خام</t>
        </is>
      </c>
      <c r="O6" s="78" t="inlineStr">
        <is>
          <t>v25 Professional Background Strict</t>
        </is>
      </c>
      <c r="P6" s="33" t="inlineStr">
        <is>
          <t>NEEDS_CORRECTION</t>
        </is>
      </c>
      <c r="Q6" s="78" t="inlineStr">
        <is>
          <t>پوشش اصلاح شده، منطق حفظ</t>
        </is>
      </c>
    </row>
    <row r="7" ht="24" customHeight="1" s="76">
      <c r="A7" s="78" t="inlineStr">
        <is>
          <t>VAR10</t>
        </is>
      </c>
      <c r="B7" s="78" t="inlineStr">
        <is>
          <t>تخصص مالی مستند ترکیبی</t>
        </is>
      </c>
      <c r="C7" s="78" t="inlineStr">
        <is>
          <t>تخصص هیئت مدیره</t>
        </is>
      </c>
      <c r="D7" s="78" t="n">
        <v>28</v>
      </c>
      <c r="E7" s="78" t="n">
        <v>28</v>
      </c>
      <c r="F7" s="31">
        <f>D7/E7</f>
        <v>1</v>
      </c>
      <c r="G7" s="31">
        <f>D7/30</f>
        <v>0.9333333333333333</v>
      </c>
      <c r="H7" s="78" t="inlineStr">
        <is>
          <t>بله</t>
        </is>
      </c>
      <c r="I7" s="78" t="inlineStr">
        <is>
          <t>MODERATE</t>
        </is>
      </c>
      <c r="J7" s="78" t="inlineStr">
        <is>
          <t>POSITIVE_DIRECTION</t>
        </is>
      </c>
      <c r="K7" s="78" t="inlineStr">
        <is>
          <t>اصلی با محدودیت</t>
        </is>
      </c>
      <c r="L7" s="84" t="inlineStr">
        <is>
          <t>SCALE_UP_WITH_LIMITATION</t>
        </is>
      </c>
      <c r="M7" s="78" t="inlineStr">
        <is>
          <t>همپوشانی با سابقه حرفه ای و تحصیلی</t>
        </is>
      </c>
      <c r="N7" s="78" t="inlineStr">
        <is>
          <t>اعضای دارای تخصص مالی مستند تقسیم بر اعضای قابل ارزیابی</t>
        </is>
      </c>
      <c r="O7" s="78" t="inlineStr">
        <is>
          <t>v25 Financial Expertise</t>
        </is>
      </c>
      <c r="P7" s="32" t="inlineStr">
        <is>
          <t>VERIFIED_WITH_LIMITATION</t>
        </is>
      </c>
      <c r="Q7" s="78" t="inlineStr">
        <is>
          <t>حفظ</t>
        </is>
      </c>
    </row>
    <row r="8" ht="24" customHeight="1" s="76">
      <c r="A8" s="78" t="inlineStr">
        <is>
          <t>CR1A</t>
        </is>
      </c>
      <c r="B8" s="78" t="inlineStr">
        <is>
          <t>تغییر رئیس هیئت مدیره</t>
        </is>
      </c>
      <c r="C8" s="78" t="inlineStr">
        <is>
          <t>ثبات رهبری</t>
        </is>
      </c>
      <c r="D8" s="78">
        <f>'CR1A v39'!B39</f>
        <v>26</v>
      </c>
      <c r="E8" s="78">
        <f>'CR1A v39'!B44</f>
        <v>30</v>
      </c>
      <c r="F8" s="31">
        <f>D8/E8</f>
        <v>0.8666666666666667</v>
      </c>
      <c r="G8" s="31">
        <f>D8/30</f>
        <v>0.8666666666666667</v>
      </c>
      <c r="H8" s="78" t="inlineStr">
        <is>
          <t>بله</t>
        </is>
      </c>
      <c r="I8" s="78" t="inlineStr">
        <is>
          <t>LOW</t>
        </is>
      </c>
      <c r="J8" s="78" t="inlineStr">
        <is>
          <t>NO_CLEAR_DIRECTION</t>
        </is>
      </c>
      <c r="K8" s="78" t="inlineStr">
        <is>
          <t>کنترلی</t>
        </is>
      </c>
      <c r="L8" s="34" t="inlineStr">
        <is>
          <t>CONTROL_DIAGNOSTIC</t>
        </is>
      </c>
      <c r="M8" s="78" t="inlineStr">
        <is>
          <t>۲۷ کد موجود؛ ۲۶ بدون تعارض باز ثبت شده؛ فملی نیازمند بررسی و سه شرکت نامشخص</t>
        </is>
      </c>
      <c r="N8" s="78" t="inlineStr">
        <is>
          <t>مقایسه هویت رئیس در chronology رسمی</t>
        </is>
      </c>
      <c r="O8" s="78" t="inlineStr">
        <is>
          <t>CR1A v39؛ بازسازی سطح کرسی v38 و ممیزی های قبلی</t>
        </is>
      </c>
      <c r="P8" s="33" t="inlineStr">
        <is>
          <t>NEEDS_SOURCE_REVIEW</t>
        </is>
      </c>
      <c r="Q8" s="78" t="inlineStr">
        <is>
          <t>خارج Composite</t>
        </is>
      </c>
    </row>
    <row r="9" ht="24" customHeight="1" s="76">
      <c r="A9" s="78" t="inlineStr">
        <is>
          <t>AUD01</t>
        </is>
      </c>
      <c r="B9" s="78" t="inlineStr">
        <is>
          <t>وجود کمیته حسابرسی</t>
        </is>
      </c>
      <c r="C9" s="78" t="inlineStr">
        <is>
          <t>نظارت</t>
        </is>
      </c>
      <c r="D9" s="78" t="n">
        <v>29</v>
      </c>
      <c r="E9" s="78" t="n">
        <v>30</v>
      </c>
      <c r="F9" s="31">
        <f>D9/E9</f>
        <v>0.9666666666666667</v>
      </c>
      <c r="G9" s="31">
        <f>D9/30</f>
        <v>0.9666666666666667</v>
      </c>
      <c r="H9" s="78" t="inlineStr">
        <is>
          <t>بله</t>
        </is>
      </c>
      <c r="I9" s="78" t="inlineStr">
        <is>
          <t>MODERATE</t>
        </is>
      </c>
      <c r="J9" s="78" t="inlineStr">
        <is>
          <t>POSITIVE_DIRECTION</t>
        </is>
      </c>
      <c r="K9" s="78" t="inlineStr">
        <is>
          <t>اصلی با محدودیت</t>
        </is>
      </c>
      <c r="L9" s="84" t="inlineStr">
        <is>
          <t>SCALE_UP_WITH_LIMITATION</t>
        </is>
      </c>
      <c r="M9" s="78" t="inlineStr">
        <is>
          <t>وپاسار هنوز بدون افشای صریح؛ مقطع پایان دوره شرکت ها یکسان نیست</t>
        </is>
      </c>
      <c r="N9" s="78" t="inlineStr">
        <is>
          <t>وجود فقط با افشای رسمی صریح تایید می شود</t>
        </is>
      </c>
      <c r="O9" s="78" t="inlineStr">
        <is>
          <t>AC Company v40 و AC Sources v40</t>
        </is>
      </c>
      <c r="P9" s="33" t="inlineStr">
        <is>
          <t>VERIFIED_WITH_LIMITATION</t>
        </is>
      </c>
      <c r="Q9" s="78" t="inlineStr">
        <is>
          <t>حفظ با بازبینی موارد باز</t>
        </is>
      </c>
    </row>
    <row r="10" ht="24" customHeight="1" s="76">
      <c r="A10" s="78" t="inlineStr">
        <is>
          <t>AUD02</t>
        </is>
      </c>
      <c r="B10" s="78" t="inlineStr">
        <is>
          <t>اندازه کمیته حسابرسی</t>
        </is>
      </c>
      <c r="C10" s="78" t="inlineStr">
        <is>
          <t>نظارت</t>
        </is>
      </c>
      <c r="D10" s="78" t="n">
        <v>27</v>
      </c>
      <c r="E10" s="78" t="n">
        <v>30</v>
      </c>
      <c r="F10" s="31">
        <f>D10/E10</f>
        <v>0.9</v>
      </c>
      <c r="G10" s="31">
        <f>D10/30</f>
        <v>0.9</v>
      </c>
      <c r="H10" s="78" t="inlineStr">
        <is>
          <t>بله</t>
        </is>
      </c>
      <c r="I10" s="78" t="inlineStr">
        <is>
          <t>LOW</t>
        </is>
      </c>
      <c r="J10" s="78" t="inlineStr">
        <is>
          <t>NONLINEAR_POSSIBLE</t>
        </is>
      </c>
      <c r="K10" s="78" t="inlineStr">
        <is>
          <t>Robustness</t>
        </is>
      </c>
      <c r="L10" s="34" t="inlineStr">
        <is>
          <t>ROBUSTNESS_ONLY</t>
        </is>
      </c>
      <c r="M10" s="78" t="inlineStr">
        <is>
          <t>سه شرکت با فهرست ناقص یا نامشخص (فخوز، حکشتی، وپاسار)</t>
        </is>
      </c>
      <c r="N10" s="78" t="inlineStr">
        <is>
          <t>تعداد اعضای کمیته در roster کامل و قابل خواندن</t>
        </is>
      </c>
      <c r="O10" s="78" t="inlineStr">
        <is>
          <t>AC Members v40 و AC Company v40</t>
        </is>
      </c>
      <c r="P10" s="33" t="inlineStr">
        <is>
          <t>VERIFIED_WITH_LIMITATION</t>
        </is>
      </c>
      <c r="Q10" s="78" t="inlineStr">
        <is>
          <t>فقط Robustness</t>
        </is>
      </c>
    </row>
    <row r="11" ht="24" customHeight="1" s="76">
      <c r="A11" s="78" t="inlineStr">
        <is>
          <t>IRN01</t>
        </is>
      </c>
      <c r="B11" s="78" t="inlineStr">
        <is>
          <t>سهم کرسی اشخاص حقوقی</t>
        </is>
      </c>
      <c r="C11" s="78" t="inlineStr">
        <is>
          <t>ساختار نمایندگی</t>
        </is>
      </c>
      <c r="D11" s="78" t="n">
        <v>29</v>
      </c>
      <c r="E11" s="78" t="n">
        <v>30</v>
      </c>
      <c r="F11" s="31">
        <f>D11/E11</f>
        <v>0.9666666666666667</v>
      </c>
      <c r="G11" s="31">
        <f>D11/30</f>
        <v>0.9666666666666667</v>
      </c>
      <c r="H11" s="78" t="inlineStr">
        <is>
          <t>ضعیف</t>
        </is>
      </c>
      <c r="I11" s="78" t="inlineStr">
        <is>
          <t>MODERATE</t>
        </is>
      </c>
      <c r="J11" s="78" t="inlineStr">
        <is>
          <t>NO_CLEAR_DIRECTION</t>
        </is>
      </c>
      <c r="K11" s="78" t="inlineStr">
        <is>
          <t>ساختاری</t>
        </is>
      </c>
      <c r="L11" s="35" t="inlineStr">
        <is>
          <t>STRUCTURAL_GOVERNANCE_MEASURE</t>
        </is>
      </c>
      <c r="M11" s="78" t="inlineStr">
        <is>
          <t>تقریبا Dummy بانکی</t>
        </is>
      </c>
      <c r="N11" s="78" t="inlineStr">
        <is>
          <t>کرسی حقوقی تقسیم بر کل کرسی های فعال قابل طبقه بندی</t>
        </is>
      </c>
      <c r="O11" s="78" t="inlineStr">
        <is>
          <t>v22 Legal_Entity_Represented</t>
        </is>
      </c>
      <c r="P11" s="32" t="inlineStr">
        <is>
          <t>VERIFIED_WITH_LIMITATION</t>
        </is>
      </c>
      <c r="Q11" s="78" t="inlineStr">
        <is>
          <t>حفظ به عنوان ساختاری</t>
        </is>
      </c>
    </row>
    <row r="12" ht="24" customHeight="1" s="76">
      <c r="A12" s="78" t="inlineStr">
        <is>
          <t>IRN02</t>
        </is>
      </c>
      <c r="B12" s="78" t="inlineStr">
        <is>
          <t>سهم کرسی اشخاص حقیقی</t>
        </is>
      </c>
      <c r="C12" s="78" t="inlineStr">
        <is>
          <t>ساختار نمایندگی</t>
        </is>
      </c>
      <c r="D12" s="78" t="n">
        <v>29</v>
      </c>
      <c r="E12" s="78" t="n">
        <v>30</v>
      </c>
      <c r="F12" s="31">
        <f>D12/E12</f>
        <v>0.9666666666666667</v>
      </c>
      <c r="G12" s="31">
        <f>D12/30</f>
        <v>0.9666666666666667</v>
      </c>
      <c r="H12" s="78" t="inlineStr">
        <is>
          <t>ضعیف</t>
        </is>
      </c>
      <c r="I12" s="78" t="inlineStr">
        <is>
          <t>MODERATE</t>
        </is>
      </c>
      <c r="J12" s="78" t="inlineStr">
        <is>
          <t>NO_CLEAR_DIRECTION</t>
        </is>
      </c>
      <c r="K12" s="78" t="inlineStr">
        <is>
          <t>Robustness</t>
        </is>
      </c>
      <c r="L12" s="34" t="inlineStr">
        <is>
          <t>ROBUSTNESS_ONLY</t>
        </is>
      </c>
      <c r="M12" s="78" t="inlineStr">
        <is>
          <t>مکمل دقیق IRN01</t>
        </is>
      </c>
      <c r="N12" s="78" t="inlineStr">
        <is>
          <t>کرسی حقیقی تقسیم بر کل کرسی های فعال قابل طبقه بندی</t>
        </is>
      </c>
      <c r="O12" s="78" t="inlineStr">
        <is>
          <t>v22</t>
        </is>
      </c>
      <c r="P12" s="32" t="inlineStr">
        <is>
          <t>VERIFIED_WITH_LIMITATION</t>
        </is>
      </c>
      <c r="Q12" s="78" t="inlineStr">
        <is>
          <t>همزمان با IRN01 وارد نشود</t>
        </is>
      </c>
    </row>
    <row r="13" ht="24" customHeight="1" s="76">
      <c r="A13" s="78" t="inlineStr">
        <is>
          <t>SEP07</t>
        </is>
      </c>
      <c r="B13" s="78" t="inlineStr">
        <is>
          <t>تفکیک مدیرعامل و رئیس هیئت مدیره</t>
        </is>
      </c>
      <c r="C13" s="78" t="inlineStr">
        <is>
          <t>تفکیک رهبری</t>
        </is>
      </c>
      <c r="D13" s="78" t="n">
        <v>26</v>
      </c>
      <c r="E13" s="78" t="n">
        <v>30</v>
      </c>
      <c r="F13" s="31">
        <f>D13/E13</f>
        <v>0.8666666666666667</v>
      </c>
      <c r="G13" s="31">
        <f>D13/30</f>
        <v>0.8666666666666667</v>
      </c>
      <c r="H13" s="78" t="inlineStr">
        <is>
          <t>صفر</t>
        </is>
      </c>
      <c r="I13" s="78" t="inlineStr">
        <is>
          <t>MODERATE</t>
        </is>
      </c>
      <c r="J13" s="78" t="inlineStr">
        <is>
          <t>POSITIVE_DIRECTION</t>
        </is>
      </c>
      <c r="K13" s="78" t="inlineStr">
        <is>
          <t>کنترلی</t>
        </is>
      </c>
      <c r="L13" s="34" t="inlineStr">
        <is>
          <t>CONTROL_DIAGNOSTIC</t>
        </is>
      </c>
      <c r="M13" s="78" t="inlineStr">
        <is>
          <t>Variation صفر در ۲۶ شرکت شناخته شده</t>
        </is>
      </c>
      <c r="N13" s="78" t="inlineStr">
        <is>
          <t>دو شخص متفاوت برابر تفکیک</t>
        </is>
      </c>
      <c r="O13" s="78" t="inlineStr">
        <is>
          <t>v22 Chair_Flag و CEO_Flag</t>
        </is>
      </c>
      <c r="P13" s="33" t="inlineStr">
        <is>
          <t>NEEDS_CORRECTION</t>
        </is>
      </c>
      <c r="Q13" s="78" t="inlineStr">
        <is>
          <t>خارج Composite فعلی</t>
        </is>
      </c>
    </row>
    <row r="14" ht="24" customHeight="1" s="76">
      <c r="A14" s="78" t="inlineStr">
        <is>
          <t>REF05</t>
        </is>
      </c>
      <c r="B14" s="78" t="inlineStr">
        <is>
          <t>نرخ گردش شخص حقیقی هیئت مدیره</t>
        </is>
      </c>
      <c r="C14" s="78" t="inlineStr">
        <is>
          <t>تجدید و گردش</t>
        </is>
      </c>
      <c r="D14" s="78" t="n">
        <v>28</v>
      </c>
      <c r="E14" s="78" t="n">
        <v>29</v>
      </c>
      <c r="F14" s="31">
        <f>D14/E14</f>
        <v>0.9655172413793104</v>
      </c>
      <c r="G14" s="31">
        <f>D14/30</f>
        <v>0.9333333333333333</v>
      </c>
      <c r="H14" s="78" t="inlineStr">
        <is>
          <t>بله</t>
        </is>
      </c>
      <c r="I14" s="78" t="inlineStr">
        <is>
          <t>MODERATE</t>
        </is>
      </c>
      <c r="J14" s="78" t="inlineStr">
        <is>
          <t>CONTEXT_DEPENDENT</t>
        </is>
      </c>
      <c r="K14" s="78" t="inlineStr">
        <is>
          <t>اصلی با محدودیت</t>
        </is>
      </c>
      <c r="L14" s="84" t="inlineStr">
        <is>
          <t>SCALE_UP_WITH_LIMITATION</t>
        </is>
      </c>
      <c r="M14" s="78" t="inlineStr">
        <is>
          <t>جهت اثر احتمالا غیرخطی</t>
        </is>
      </c>
      <c r="N14" s="78" t="inlineStr">
        <is>
          <t>کرسی های قابل مقایسه با فرد تغییر یافته تقسیم بر کرسی های فردی قابل مقایسه</t>
        </is>
      </c>
      <c r="O14" s="78" t="inlineStr">
        <is>
          <t>Turnover نهایی ستون های G و H + Source Registry</t>
        </is>
      </c>
      <c r="P14" s="33" t="inlineStr">
        <is>
          <t>NEEDS_CORRECTION</t>
        </is>
      </c>
      <c r="Q14" s="78" t="inlineStr">
        <is>
          <t>خودرو اصلاح شد، موارد Source Review باقی است</t>
        </is>
      </c>
    </row>
    <row r="15" ht="24" customHeight="1" s="76">
      <c r="A15" s="78" t="inlineStr">
        <is>
          <t>REF08</t>
        </is>
      </c>
      <c r="B15" s="78" t="inlineStr">
        <is>
          <t>تغییر نماینده حقیقی با شخص حقوقی ثابت</t>
        </is>
      </c>
      <c r="C15" s="78" t="inlineStr">
        <is>
          <t>پویایی نمایندگی</t>
        </is>
      </c>
      <c r="D15" s="78" t="n">
        <v>25</v>
      </c>
      <c r="E15" s="78" t="n">
        <v>25</v>
      </c>
      <c r="F15" s="31">
        <f>D15/E15</f>
        <v>1</v>
      </c>
      <c r="G15" s="31">
        <f>D15/30</f>
        <v>0.8333333333333334</v>
      </c>
      <c r="H15" s="78" t="inlineStr">
        <is>
          <t>بله</t>
        </is>
      </c>
      <c r="I15" s="78" t="inlineStr">
        <is>
          <t>LOW</t>
        </is>
      </c>
      <c r="J15" s="78" t="inlineStr">
        <is>
          <t>NO_CLEAR_DIRECTION</t>
        </is>
      </c>
      <c r="K15" s="78" t="inlineStr">
        <is>
          <t>اعتبارسنجی هدفمند</t>
        </is>
      </c>
      <c r="L15" s="33" t="inlineStr">
        <is>
          <t>TARGETED_VALIDATION</t>
        </is>
      </c>
      <c r="M15" s="78" t="inlineStr">
        <is>
          <t>خودرو Missing و چند Source Review</t>
        </is>
      </c>
      <c r="N15" s="78" t="inlineStr">
        <is>
          <t>کرسی حقوقی ثابت با نماینده جدید تقسیم بر کرسی حقوقی ثابت قابل مقایسه</t>
        </is>
      </c>
      <c r="O15" s="78" t="inlineStr">
        <is>
          <t>Turnover نهایی ستون های J و K + Conflict Log</t>
        </is>
      </c>
      <c r="P15" s="29" t="inlineStr">
        <is>
          <t>NEEDS_SOURCE_REVIEW</t>
        </is>
      </c>
      <c r="Q15" s="78" t="inlineStr">
        <is>
          <t>فعلا Scale Up نشود</t>
        </is>
      </c>
    </row>
    <row r="16" ht="24" customHeight="1" s="76">
      <c r="A16" s="78" t="inlineStr">
        <is>
          <t>N02</t>
        </is>
      </c>
      <c r="B16" s="78" t="inlineStr">
        <is>
          <t>سهم اعضای دارای دکترا</t>
        </is>
      </c>
      <c r="C16" s="78" t="inlineStr">
        <is>
          <t>سرمایه انسانی</t>
        </is>
      </c>
      <c r="D16" s="78" t="n">
        <v>30</v>
      </c>
      <c r="E16" s="78" t="n">
        <v>30</v>
      </c>
      <c r="F16" s="31">
        <f>D16/E16</f>
        <v>1</v>
      </c>
      <c r="G16" s="31">
        <f>D16/30</f>
        <v>1</v>
      </c>
      <c r="H16" s="78" t="inlineStr">
        <is>
          <t>بله</t>
        </is>
      </c>
      <c r="I16" s="78" t="inlineStr">
        <is>
          <t>MODERATE</t>
        </is>
      </c>
      <c r="J16" s="78" t="inlineStr">
        <is>
          <t>CONTEXT_DEPENDENT</t>
        </is>
      </c>
      <c r="K16" s="78" t="inlineStr">
        <is>
          <t>Candidate توسعه</t>
        </is>
      </c>
      <c r="L16" s="84" t="inlineStr">
        <is>
          <t>SCALE_UP_WITH_LIMITATION</t>
        </is>
      </c>
      <c r="M16" s="78" t="inlineStr">
        <is>
          <t>همپوشانی جزئی با V1 و VAR10</t>
        </is>
      </c>
      <c r="N16" s="78" t="inlineStr">
        <is>
          <t>اعضای دارای دکترا تقسیم بر اعضای دارای Education Level قابل ارزیابی</t>
        </is>
      </c>
      <c r="O16" s="78" t="inlineStr">
        <is>
          <t>Education_Level + روستر یا بیوگرافی کدال؛ نمونه SRC_FARS_1404_001 ص۴۰</t>
        </is>
      </c>
      <c r="P16" s="78" t="inlineStr">
        <is>
          <t>CANDIDATE_TESTED</t>
        </is>
      </c>
      <c r="Q16" s="78" t="inlineStr">
        <is>
          <t>فعلا خارج Composite، در Phase 5 تست شود</t>
        </is>
      </c>
    </row>
  </sheetData>
  <mergeCells count="2">
    <mergeCell ref="A2:Q2"/>
    <mergeCell ref="A1:Q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23"/>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2"/>
    <col width="10" customWidth="1" style="76" min="3" max="8"/>
  </cols>
  <sheetData>
    <row r="1" ht="34" customHeight="1" s="76">
      <c r="A1" s="79" t="inlineStr">
        <is>
          <t>Candidate جدید N02: سهم اعضای دارای دکترا</t>
        </is>
      </c>
    </row>
    <row r="2" ht="28" customHeight="1" s="76"/>
    <row r="3" ht="24" customHeight="1" s="76">
      <c r="A3" s="83" t="inlineStr">
        <is>
          <t>فیلد</t>
        </is>
      </c>
      <c r="B3" s="83" t="inlineStr">
        <is>
          <t>مقدار</t>
        </is>
      </c>
    </row>
    <row r="4" ht="24" customHeight="1" s="76">
      <c r="A4" s="78" t="inlineStr">
        <is>
          <t>کد</t>
        </is>
      </c>
      <c r="B4" s="78" t="inlineStr">
        <is>
          <t>N02</t>
        </is>
      </c>
    </row>
    <row r="5" ht="24" customHeight="1" s="76">
      <c r="A5" s="78" t="inlineStr">
        <is>
          <t>نام فارسی</t>
        </is>
      </c>
      <c r="B5" s="78" t="inlineStr">
        <is>
          <t>سهم اعضای دارای دکترا</t>
        </is>
      </c>
    </row>
    <row r="6" ht="24" customHeight="1" s="76">
      <c r="A6" s="78" t="inlineStr">
        <is>
          <t>نام انگلیسی</t>
        </is>
      </c>
      <c r="B6" s="78" t="inlineStr">
        <is>
          <t>Doctorate Share</t>
        </is>
      </c>
    </row>
    <row r="7" ht="24" customHeight="1" s="76">
      <c r="A7" s="78" t="inlineStr">
        <is>
          <t>سازه</t>
        </is>
      </c>
      <c r="B7" s="78" t="inlineStr">
        <is>
          <t>سرمایه انسانی</t>
        </is>
      </c>
    </row>
    <row r="8" ht="24" customHeight="1" s="76">
      <c r="A8" s="78" t="inlineStr">
        <is>
          <t>تعریف مفهومی</t>
        </is>
      </c>
      <c r="B8" s="78" t="inlineStr">
        <is>
          <t>سهم اعضای هیئت مدیره دارای مدرک دکترا</t>
        </is>
      </c>
    </row>
    <row r="9" ht="24" customHeight="1" s="76">
      <c r="A9" s="78" t="inlineStr">
        <is>
          <t>فرمول</t>
        </is>
      </c>
      <c r="B9" s="78" t="inlineStr">
        <is>
          <t>تعداد اعضای دارای مدرک دکترا تقسیم بر تعداد اعضای دارای Education Level قابل ارزیابی</t>
        </is>
      </c>
    </row>
    <row r="10" ht="24" customHeight="1" s="76">
      <c r="A10" s="78" t="inlineStr">
        <is>
          <t>واحد</t>
        </is>
      </c>
      <c r="B10" s="78" t="inlineStr">
        <is>
          <t>درصد</t>
        </is>
      </c>
    </row>
    <row r="11" ht="24" customHeight="1" s="76">
      <c r="A11" s="78" t="inlineStr">
        <is>
          <t>داده خام لازم</t>
        </is>
      </c>
      <c r="B11" s="78" t="inlineStr">
        <is>
          <t>Education_Level</t>
        </is>
      </c>
    </row>
    <row r="12" ht="24" customHeight="1" s="76">
      <c r="A12" s="78" t="inlineStr">
        <is>
          <t>منبع</t>
        </is>
      </c>
      <c r="B12" s="78" t="inlineStr">
        <is>
          <t>روستر یا بیوگرافی رسمی کدال</t>
        </is>
      </c>
    </row>
    <row r="13" ht="24" customHeight="1" s="76">
      <c r="A13" s="78" t="inlineStr">
        <is>
          <t>نمونه شاهد</t>
        </is>
      </c>
      <c r="B13" s="78" t="inlineStr">
        <is>
          <t>SRC_FARS_1404_001 ص۴۰</t>
        </is>
      </c>
    </row>
    <row r="14" ht="24" customHeight="1" s="76">
      <c r="A14" s="78" t="inlineStr">
        <is>
          <t>پوشش فعلی</t>
        </is>
      </c>
      <c r="B14" s="78" t="inlineStr">
        <is>
          <t>۳۰ از ۳۰</t>
        </is>
      </c>
    </row>
    <row r="15" ht="24" customHeight="1" s="76">
      <c r="A15" s="78" t="inlineStr">
        <is>
          <t>Variation</t>
        </is>
      </c>
      <c r="B15" s="78" t="inlineStr">
        <is>
          <t>در ۲۹ شرکت مقدار غیرصفر؛ میانگین ۰٫۴۹۷؛ انحراف معیار ۰٫۲۲۶؛ حداکثر ۱٫۰۰</t>
        </is>
      </c>
    </row>
    <row r="16" ht="24" customHeight="1" s="76">
      <c r="A16" s="78" t="inlineStr">
        <is>
          <t>Evidence Quality</t>
        </is>
      </c>
      <c r="B16" s="78" t="inlineStr">
        <is>
          <t>MODERATE</t>
        </is>
      </c>
    </row>
    <row r="17" ht="24" customHeight="1" s="76">
      <c r="A17" s="78" t="inlineStr">
        <is>
          <t>Scalability</t>
        </is>
      </c>
      <c r="B17" s="78" t="inlineStr">
        <is>
          <t>HIGH</t>
        </is>
      </c>
    </row>
    <row r="18" ht="24" customHeight="1" s="76">
      <c r="A18" s="78" t="inlineStr">
        <is>
          <t>Historical Feasibility</t>
        </is>
      </c>
      <c r="B18" s="78" t="inlineStr">
        <is>
          <t>MEDIUM</t>
        </is>
      </c>
    </row>
    <row r="19" ht="24" customHeight="1" s="76">
      <c r="A19" s="78" t="inlineStr">
        <is>
          <t>Directionality</t>
        </is>
      </c>
      <c r="B19" s="78" t="inlineStr">
        <is>
          <t>CONTEXT_DEPENDENT</t>
        </is>
      </c>
    </row>
    <row r="20" ht="24" customHeight="1" s="76">
      <c r="A20" s="78" t="inlineStr">
        <is>
          <t>Overlap</t>
        </is>
      </c>
      <c r="B20" s="78" t="inlineStr">
        <is>
          <t>PARTIALLY_OVERLAPPING با V1 و VAR10</t>
        </is>
      </c>
    </row>
    <row r="21" ht="24" customHeight="1" s="76">
      <c r="A21" s="78" t="inlineStr">
        <is>
          <t>وضعیت</t>
        </is>
      </c>
      <c r="B21" s="84" t="inlineStr">
        <is>
          <t>SCALE_UP_WITH_LIMITATION</t>
        </is>
      </c>
    </row>
    <row r="22" ht="24" customHeight="1" s="76">
      <c r="A22" s="78" t="inlineStr">
        <is>
          <t>نقش فعلی</t>
        </is>
      </c>
      <c r="B22" s="78" t="inlineStr">
        <is>
          <t>Candidate توسعه، فعلا خارج Composite</t>
        </is>
      </c>
    </row>
    <row r="23" ht="24" customHeight="1" s="76">
      <c r="A23" s="78" t="inlineStr">
        <is>
          <t>گام بعد</t>
        </is>
      </c>
      <c r="B23" s="78" t="inlineStr">
        <is>
          <t>در Phase 5 روی پنل تاریخی و همپوشانی با V1 و VAR10 تست شود</t>
        </is>
      </c>
    </row>
  </sheetData>
  <mergeCells count="22">
    <mergeCell ref="B9:H9"/>
    <mergeCell ref="B6:H6"/>
    <mergeCell ref="B15:H15"/>
    <mergeCell ref="A1:H1"/>
    <mergeCell ref="B5:H5"/>
    <mergeCell ref="B20:H20"/>
    <mergeCell ref="B4:H4"/>
    <mergeCell ref="B16:H16"/>
    <mergeCell ref="B7:H7"/>
    <mergeCell ref="B3:H3"/>
    <mergeCell ref="B22:H22"/>
    <mergeCell ref="B18:H18"/>
    <mergeCell ref="B21:H21"/>
    <mergeCell ref="B12:H12"/>
    <mergeCell ref="B11:H11"/>
    <mergeCell ref="B23:H23"/>
    <mergeCell ref="B8:H8"/>
    <mergeCell ref="B14:H14"/>
    <mergeCell ref="B17:H17"/>
    <mergeCell ref="B13:H13"/>
    <mergeCell ref="B10:H10"/>
    <mergeCell ref="B19:H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7"/>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32.5" customWidth="1" style="76" min="2" max="2"/>
    <col width="36.1640625" customWidth="1" style="76" min="3" max="3"/>
    <col width="12.5" customWidth="1" style="76" min="4" max="5"/>
    <col width="10.6640625" customWidth="1" style="76" min="6" max="6"/>
    <col width="20.1640625" customWidth="1" style="76" min="7" max="7"/>
    <col width="18.1640625" customWidth="1" style="76" min="8" max="8"/>
    <col width="13.5" customWidth="1" style="76" min="9" max="9"/>
    <col width="23" customWidth="1" style="76" min="10" max="10"/>
    <col width="19.1640625" customWidth="1" style="76" min="11" max="11"/>
    <col width="30.5" customWidth="1" style="76" min="12" max="12"/>
    <col width="34.33203125" customWidth="1" style="76" min="13" max="13"/>
    <col width="30.5" customWidth="1" style="76" min="14" max="14"/>
  </cols>
  <sheetData>
    <row r="1" ht="34" customHeight="1" s="76">
      <c r="A1" s="79" t="inlineStr">
        <is>
          <t>معماری Iran BSI پس از ممیزی مستقل v36 و یکپارچه سازی v37</t>
        </is>
      </c>
    </row>
    <row r="2" ht="28" customHeight="1" s="76">
      <c r="A2" s="78" t="inlineStr">
        <is>
          <t>تفکیک Scale Up، Structural، Control، Robustness و Targeted Validation برای جلوگیری از دوباره شماری</t>
        </is>
      </c>
    </row>
    <row r="3" ht="24" customHeight="1" s="76">
      <c r="A3" s="83" t="inlineStr">
        <is>
          <t>کد</t>
        </is>
      </c>
      <c r="B3" s="83" t="inlineStr">
        <is>
          <t>نام معیار</t>
        </is>
      </c>
      <c r="C3" s="83" t="inlineStr">
        <is>
          <t>سازه</t>
        </is>
      </c>
      <c r="D3" s="83" t="inlineStr">
        <is>
          <t>دارای داده</t>
        </is>
      </c>
      <c r="E3" s="83" t="inlineStr">
        <is>
          <t>واجد شرایط</t>
        </is>
      </c>
      <c r="F3" s="83" t="inlineStr">
        <is>
          <t>پوشش</t>
        </is>
      </c>
      <c r="G3" s="83" t="inlineStr">
        <is>
          <t>Directionality</t>
        </is>
      </c>
      <c r="H3" s="83" t="inlineStr">
        <is>
          <t>Evidence Quality</t>
        </is>
      </c>
      <c r="I3" s="83" t="inlineStr">
        <is>
          <t>Scalability</t>
        </is>
      </c>
      <c r="J3" s="83" t="inlineStr">
        <is>
          <t>Overlap Risk</t>
        </is>
      </c>
      <c r="K3" s="83" t="inlineStr">
        <is>
          <t>نقش پیشنهادی</t>
        </is>
      </c>
      <c r="L3" s="83" t="inlineStr">
        <is>
          <t>وضعیت نهایی</t>
        </is>
      </c>
      <c r="M3" s="83" t="inlineStr">
        <is>
          <t>روش محاسبه</t>
        </is>
      </c>
      <c r="N3" s="83" t="inlineStr">
        <is>
          <t>منبع</t>
        </is>
      </c>
    </row>
    <row r="4" ht="24" customHeight="1" s="76">
      <c r="A4" s="78" t="inlineStr">
        <is>
          <t>S1A</t>
        </is>
      </c>
      <c r="B4" s="78" t="inlineStr">
        <is>
          <t>پروکسی استقلال ساختاری</t>
        </is>
      </c>
      <c r="C4" s="78" t="inlineStr">
        <is>
          <t>استقلال ساختاری</t>
        </is>
      </c>
      <c r="D4" s="78" t="n">
        <v>28</v>
      </c>
      <c r="E4" s="78" t="n">
        <v>30</v>
      </c>
      <c r="F4" s="31">
        <f>D4/E4</f>
        <v>0.9333333333333333</v>
      </c>
      <c r="G4" s="78" t="inlineStr">
        <is>
          <t>CONTEXT_DEPENDENT</t>
        </is>
      </c>
      <c r="H4" s="78" t="inlineStr">
        <is>
          <t>MODERATE</t>
        </is>
      </c>
      <c r="I4" s="78" t="inlineStr">
        <is>
          <t>HIGH</t>
        </is>
      </c>
      <c r="J4" s="78" t="inlineStr">
        <is>
          <t>LOW</t>
        </is>
      </c>
      <c r="K4" s="78" t="inlineStr">
        <is>
          <t>اصلی</t>
        </is>
      </c>
      <c r="L4" s="32" t="inlineStr">
        <is>
          <t>SCALE_UP_PRIMARY</t>
        </is>
      </c>
      <c r="M4" s="78" t="inlineStr">
        <is>
          <t>غیرموظف بر اعضای قابل تایید</t>
        </is>
      </c>
      <c r="N4" s="78" t="inlineStr">
        <is>
          <t>v22</t>
        </is>
      </c>
    </row>
    <row r="5" ht="24" customHeight="1" s="76">
      <c r="A5" s="78" t="inlineStr">
        <is>
          <t>V1</t>
        </is>
      </c>
      <c r="B5" s="78" t="inlineStr">
        <is>
          <t>تنوع رشته تحصیلی</t>
        </is>
      </c>
      <c r="C5" s="78" t="inlineStr">
        <is>
          <t>تنوع تحصیلی</t>
        </is>
      </c>
      <c r="D5" s="78" t="n">
        <v>28</v>
      </c>
      <c r="E5" s="78" t="n">
        <v>30</v>
      </c>
      <c r="F5" s="31">
        <f>D5/E5</f>
        <v>0.9333333333333333</v>
      </c>
      <c r="G5" s="78" t="inlineStr">
        <is>
          <t>POSITIVE_DIRECTION</t>
        </is>
      </c>
      <c r="H5" s="78" t="inlineStr">
        <is>
          <t>MODERATE</t>
        </is>
      </c>
      <c r="I5" s="78" t="inlineStr">
        <is>
          <t>HIGH</t>
        </is>
      </c>
      <c r="J5" s="78" t="inlineStr">
        <is>
          <t>LOW</t>
        </is>
      </c>
      <c r="K5" s="78" t="inlineStr">
        <is>
          <t>اصلی</t>
        </is>
      </c>
      <c r="L5" s="32" t="inlineStr">
        <is>
          <t>SCALE_UP_PRIMARY</t>
        </is>
      </c>
      <c r="M5" s="78" t="inlineStr">
        <is>
          <t>Blau خام</t>
        </is>
      </c>
      <c r="N5" s="78" t="inlineStr">
        <is>
          <t>v22</t>
        </is>
      </c>
    </row>
    <row r="6" ht="24" customHeight="1" s="76">
      <c r="A6" s="78" t="inlineStr">
        <is>
          <t>VAR06_Strict</t>
        </is>
      </c>
      <c r="B6" s="78" t="inlineStr">
        <is>
          <t>تنوع سابقه حرفه ای</t>
        </is>
      </c>
      <c r="C6" s="78" t="inlineStr">
        <is>
          <t>تنوع حرفه ای</t>
        </is>
      </c>
      <c r="D6" s="78" t="n">
        <v>27</v>
      </c>
      <c r="E6" s="78" t="n">
        <v>28</v>
      </c>
      <c r="F6" s="31">
        <f>D6/E6</f>
        <v>0.9642857142857143</v>
      </c>
      <c r="G6" s="78" t="inlineStr">
        <is>
          <t>POSITIVE_DIRECTION</t>
        </is>
      </c>
      <c r="H6" s="78" t="inlineStr">
        <is>
          <t>MODERATE</t>
        </is>
      </c>
      <c r="I6" s="78" t="inlineStr">
        <is>
          <t>MEDIUM</t>
        </is>
      </c>
      <c r="J6" s="78" t="inlineStr">
        <is>
          <t>MEDIUM</t>
        </is>
      </c>
      <c r="K6" s="78" t="inlineStr">
        <is>
          <t>اصلی با محدودیت</t>
        </is>
      </c>
      <c r="L6" s="84" t="inlineStr">
        <is>
          <t>SCALE_UP_WITH_LIMITATION</t>
        </is>
      </c>
      <c r="M6" s="78" t="inlineStr">
        <is>
          <t>Strict coding سپس Blau</t>
        </is>
      </c>
      <c r="N6" s="78" t="inlineStr">
        <is>
          <t>v25</t>
        </is>
      </c>
    </row>
    <row r="7" ht="24" customHeight="1" s="76">
      <c r="A7" s="78" t="inlineStr">
        <is>
          <t>VAR10</t>
        </is>
      </c>
      <c r="B7" s="78" t="inlineStr">
        <is>
          <t>تخصص مالی مستند</t>
        </is>
      </c>
      <c r="C7" s="78" t="inlineStr">
        <is>
          <t>تخصص هیئت</t>
        </is>
      </c>
      <c r="D7" s="78" t="n">
        <v>28</v>
      </c>
      <c r="E7" s="78" t="n">
        <v>28</v>
      </c>
      <c r="F7" s="31">
        <f>D7/E7</f>
        <v>1</v>
      </c>
      <c r="G7" s="78" t="inlineStr">
        <is>
          <t>POSITIVE_DIRECTION</t>
        </is>
      </c>
      <c r="H7" s="78" t="inlineStr">
        <is>
          <t>MODERATE</t>
        </is>
      </c>
      <c r="I7" s="78" t="inlineStr">
        <is>
          <t>MEDIUM</t>
        </is>
      </c>
      <c r="J7" s="78" t="inlineStr">
        <is>
          <t>MEDIUM</t>
        </is>
      </c>
      <c r="K7" s="78" t="inlineStr">
        <is>
          <t>اصلی با محدودیت</t>
        </is>
      </c>
      <c r="L7" s="84" t="inlineStr">
        <is>
          <t>SCALE_UP_WITH_LIMITATION</t>
        </is>
      </c>
      <c r="M7" s="78" t="inlineStr">
        <is>
          <t>سهم اعضای دارای تخصص مالی مستند</t>
        </is>
      </c>
      <c r="N7" s="78" t="inlineStr">
        <is>
          <t>v25</t>
        </is>
      </c>
    </row>
    <row r="8" ht="24" customHeight="1" s="76">
      <c r="A8" s="78" t="inlineStr">
        <is>
          <t>AUD01</t>
        </is>
      </c>
      <c r="B8" s="78" t="inlineStr">
        <is>
          <t>وجود کمیته حسابرسی</t>
        </is>
      </c>
      <c r="C8" s="78" t="inlineStr">
        <is>
          <t>نظارت</t>
        </is>
      </c>
      <c r="D8" s="78" t="n">
        <v>29</v>
      </c>
      <c r="E8" s="78" t="n">
        <v>30</v>
      </c>
      <c r="F8" s="31">
        <f>D8/E8</f>
        <v>0.9666666666666667</v>
      </c>
      <c r="G8" s="78" t="inlineStr">
        <is>
          <t>POSITIVE_DIRECTION</t>
        </is>
      </c>
      <c r="H8" s="78" t="inlineStr">
        <is>
          <t>MODERATE</t>
        </is>
      </c>
      <c r="I8" s="78" t="inlineStr">
        <is>
          <t>HIGH</t>
        </is>
      </c>
      <c r="J8" s="78" t="inlineStr">
        <is>
          <t>LOW</t>
        </is>
      </c>
      <c r="K8" s="78" t="inlineStr">
        <is>
          <t>اصلی با محدودیت</t>
        </is>
      </c>
      <c r="L8" s="84" t="inlineStr">
        <is>
          <t>SCALE_UP_WITH_LIMITATION</t>
        </is>
      </c>
      <c r="M8" s="78" t="inlineStr">
        <is>
          <t>وجود صریح کمیته حسابرسی</t>
        </is>
      </c>
      <c r="N8" s="78" t="inlineStr">
        <is>
          <t>v40 جدول کمیته در گزارش دوره ۱۴۰۴</t>
        </is>
      </c>
    </row>
    <row r="9" ht="24" customHeight="1" s="76">
      <c r="A9" s="78" t="inlineStr">
        <is>
          <t>REF05</t>
        </is>
      </c>
      <c r="B9" s="78" t="inlineStr">
        <is>
          <t>گردش شخص حقیقی</t>
        </is>
      </c>
      <c r="C9" s="78" t="inlineStr">
        <is>
          <t>تجدید و گردش</t>
        </is>
      </c>
      <c r="D9" s="78" t="n">
        <v>28</v>
      </c>
      <c r="E9" s="78" t="n">
        <v>29</v>
      </c>
      <c r="F9" s="31">
        <f>D9/E9</f>
        <v>0.9655172413793104</v>
      </c>
      <c r="G9" s="78" t="inlineStr">
        <is>
          <t>CONTEXT_DEPENDENT</t>
        </is>
      </c>
      <c r="H9" s="78" t="inlineStr">
        <is>
          <t>MODERATE</t>
        </is>
      </c>
      <c r="I9" s="78" t="inlineStr">
        <is>
          <t>MEDIUM</t>
        </is>
      </c>
      <c r="J9" s="78" t="inlineStr">
        <is>
          <t>MEDIUM</t>
        </is>
      </c>
      <c r="K9" s="78" t="inlineStr">
        <is>
          <t>اصلی با محدودیت</t>
        </is>
      </c>
      <c r="L9" s="84" t="inlineStr">
        <is>
          <t>SCALE_UP_WITH_LIMITATION</t>
        </is>
      </c>
      <c r="M9" s="78" t="inlineStr">
        <is>
          <t>تغییر فرد در کرسی های قابل مقایسه</t>
        </is>
      </c>
      <c r="N9" s="78" t="inlineStr">
        <is>
          <t>Turnover نهایی</t>
        </is>
      </c>
    </row>
    <row r="10" ht="24" customHeight="1" s="76">
      <c r="A10" s="78" t="inlineStr">
        <is>
          <t>IRN01</t>
        </is>
      </c>
      <c r="B10" s="78" t="inlineStr">
        <is>
          <t>سهم کرسی حقوقی</t>
        </is>
      </c>
      <c r="C10" s="78" t="inlineStr">
        <is>
          <t>ساختار نمایندگی</t>
        </is>
      </c>
      <c r="D10" s="78" t="n">
        <v>29</v>
      </c>
      <c r="E10" s="78" t="n">
        <v>30</v>
      </c>
      <c r="F10" s="31">
        <f>D10/E10</f>
        <v>0.9666666666666667</v>
      </c>
      <c r="G10" s="78" t="inlineStr">
        <is>
          <t>NO_CLEAR_DIRECTION</t>
        </is>
      </c>
      <c r="H10" s="78" t="inlineStr">
        <is>
          <t>MODERATE</t>
        </is>
      </c>
      <c r="I10" s="78" t="inlineStr">
        <is>
          <t>HIGH</t>
        </is>
      </c>
      <c r="J10" s="78" t="inlineStr">
        <is>
          <t>LOW</t>
        </is>
      </c>
      <c r="K10" s="78" t="inlineStr">
        <is>
          <t>ساختاری</t>
        </is>
      </c>
      <c r="L10" s="35" t="inlineStr">
        <is>
          <t>STRUCTURAL_GOVERNANCE_MEASURE</t>
        </is>
      </c>
      <c r="M10" s="78" t="inlineStr">
        <is>
          <t>سهم کرسی حقوقی</t>
        </is>
      </c>
      <c r="N10" s="78" t="inlineStr">
        <is>
          <t>v22</t>
        </is>
      </c>
    </row>
    <row r="11" ht="24" customHeight="1" s="76">
      <c r="A11" s="78" t="inlineStr">
        <is>
          <t>CR1A</t>
        </is>
      </c>
      <c r="B11" s="78" t="inlineStr">
        <is>
          <t>تغییر رئیس</t>
        </is>
      </c>
      <c r="C11" s="78" t="inlineStr">
        <is>
          <t>ثبات رهبری</t>
        </is>
      </c>
      <c r="D11" s="78">
        <f>'CR1A v39'!B39</f>
        <v>26</v>
      </c>
      <c r="E11" s="78">
        <f>'CR1A v39'!B44</f>
        <v>30</v>
      </c>
      <c r="F11" s="31">
        <f>D11/E11</f>
        <v>0.8666666666666667</v>
      </c>
      <c r="G11" s="78" t="inlineStr">
        <is>
          <t>NO_CLEAR_DIRECTION</t>
        </is>
      </c>
      <c r="H11" s="78" t="inlineStr">
        <is>
          <t>LOW</t>
        </is>
      </c>
      <c r="I11" s="78" t="inlineStr">
        <is>
          <t>MEDIUM</t>
        </is>
      </c>
      <c r="J11" s="78" t="inlineStr">
        <is>
          <t>LOW</t>
        </is>
      </c>
      <c r="K11" s="78" t="inlineStr">
        <is>
          <t>کنترل</t>
        </is>
      </c>
      <c r="L11" s="34" t="inlineStr">
        <is>
          <t>CONTROL_DIAGNOSTIC</t>
        </is>
      </c>
      <c r="M11" s="78" t="inlineStr">
        <is>
          <t>مقایسه هویت رئیس در پنجره مشترک؛ پذیرش محافظه کارانه با محدودیت</t>
        </is>
      </c>
      <c r="N11" s="78" t="inlineStr">
        <is>
          <t>CR1A v39؛ شواهد v38؛ بدون امتیازدهی کیفیت</t>
        </is>
      </c>
    </row>
    <row r="12" ht="24" customHeight="1" s="76">
      <c r="A12" s="78" t="inlineStr">
        <is>
          <t>SEP07</t>
        </is>
      </c>
      <c r="B12" s="78" t="inlineStr">
        <is>
          <t>تفکیک مدیرعامل و رئیس</t>
        </is>
      </c>
      <c r="C12" s="78" t="inlineStr">
        <is>
          <t>تفکیک رهبری</t>
        </is>
      </c>
      <c r="D12" s="78" t="n">
        <v>26</v>
      </c>
      <c r="E12" s="78" t="n">
        <v>30</v>
      </c>
      <c r="F12" s="31">
        <f>D12/E12</f>
        <v>0.8666666666666667</v>
      </c>
      <c r="G12" s="78" t="inlineStr">
        <is>
          <t>POSITIVE_DIRECTION</t>
        </is>
      </c>
      <c r="H12" s="78" t="inlineStr">
        <is>
          <t>MODERATE</t>
        </is>
      </c>
      <c r="I12" s="78" t="inlineStr">
        <is>
          <t>HIGH</t>
        </is>
      </c>
      <c r="J12" s="78" t="inlineStr">
        <is>
          <t>LOW</t>
        </is>
      </c>
      <c r="K12" s="78" t="inlineStr">
        <is>
          <t>کنترل</t>
        </is>
      </c>
      <c r="L12" s="34" t="inlineStr">
        <is>
          <t>CONTROL_DIAGNOSTIC</t>
        </is>
      </c>
      <c r="M12" s="78" t="inlineStr">
        <is>
          <t>هویت مدیرعامل و رئیس</t>
        </is>
      </c>
      <c r="N12" s="78" t="inlineStr">
        <is>
          <t>v22</t>
        </is>
      </c>
    </row>
    <row r="13" ht="24" customHeight="1" s="76">
      <c r="A13" s="78" t="inlineStr">
        <is>
          <t>AUD02</t>
        </is>
      </c>
      <c r="B13" s="78" t="inlineStr">
        <is>
          <t>اندازه کمیته حسابرسی</t>
        </is>
      </c>
      <c r="C13" s="78" t="inlineStr">
        <is>
          <t>نظارت</t>
        </is>
      </c>
      <c r="D13" s="78" t="n">
        <v>27</v>
      </c>
      <c r="E13" s="78" t="n">
        <v>30</v>
      </c>
      <c r="F13" s="31">
        <f>D13/E13</f>
        <v>0.9</v>
      </c>
      <c r="G13" s="78" t="inlineStr">
        <is>
          <t>NONLINEAR_POSSIBLE</t>
        </is>
      </c>
      <c r="H13" s="78" t="inlineStr">
        <is>
          <t>LOW</t>
        </is>
      </c>
      <c r="I13" s="78" t="inlineStr">
        <is>
          <t>HIGH</t>
        </is>
      </c>
      <c r="J13" s="78" t="inlineStr">
        <is>
          <t>HIGH</t>
        </is>
      </c>
      <c r="K13" s="78" t="inlineStr">
        <is>
          <t>Robustness</t>
        </is>
      </c>
      <c r="L13" s="34" t="inlineStr">
        <is>
          <t>ROBUSTNESS_ONLY</t>
        </is>
      </c>
      <c r="M13" s="78" t="inlineStr">
        <is>
          <t>تعداد اعضای کمیته</t>
        </is>
      </c>
      <c r="N13" s="78" t="inlineStr">
        <is>
          <t>v40 فهرست اعضا در مقطع پایان دوره</t>
        </is>
      </c>
    </row>
    <row r="14" ht="24" customHeight="1" s="76">
      <c r="A14" s="78" t="inlineStr">
        <is>
          <t>IRN02</t>
        </is>
      </c>
      <c r="B14" s="78" t="inlineStr">
        <is>
          <t>سهم کرسی حقیقی</t>
        </is>
      </c>
      <c r="C14" s="78" t="inlineStr">
        <is>
          <t>ساختار نمایندگی</t>
        </is>
      </c>
      <c r="D14" s="78" t="n">
        <v>29</v>
      </c>
      <c r="E14" s="78" t="n">
        <v>30</v>
      </c>
      <c r="F14" s="31">
        <f>D14/E14</f>
        <v>0.9666666666666667</v>
      </c>
      <c r="G14" s="78" t="inlineStr">
        <is>
          <t>NO_CLEAR_DIRECTION</t>
        </is>
      </c>
      <c r="H14" s="78" t="inlineStr">
        <is>
          <t>MODERATE</t>
        </is>
      </c>
      <c r="I14" s="78" t="inlineStr">
        <is>
          <t>HIGH</t>
        </is>
      </c>
      <c r="J14" s="78" t="inlineStr">
        <is>
          <t>HIGH</t>
        </is>
      </c>
      <c r="K14" s="78" t="inlineStr">
        <is>
          <t>Robustness</t>
        </is>
      </c>
      <c r="L14" s="34" t="inlineStr">
        <is>
          <t>ROBUSTNESS_ONLY</t>
        </is>
      </c>
      <c r="M14" s="78" t="inlineStr">
        <is>
          <t>مکمل IRN01</t>
        </is>
      </c>
      <c r="N14" s="78" t="inlineStr">
        <is>
          <t>v22</t>
        </is>
      </c>
    </row>
    <row r="15" ht="24" customHeight="1" s="76">
      <c r="A15" s="78" t="inlineStr">
        <is>
          <t>REF08</t>
        </is>
      </c>
      <c r="B15" s="78" t="inlineStr">
        <is>
          <t>تغییر نماینده با شخص حقوقی ثابت</t>
        </is>
      </c>
      <c r="C15" s="78" t="inlineStr">
        <is>
          <t>پویایی نمایندگی</t>
        </is>
      </c>
      <c r="D15" s="78" t="n">
        <v>25</v>
      </c>
      <c r="E15" s="78" t="n">
        <v>25</v>
      </c>
      <c r="F15" s="31">
        <f>D15/E15</f>
        <v>1</v>
      </c>
      <c r="G15" s="78" t="inlineStr">
        <is>
          <t>NO_CLEAR_DIRECTION</t>
        </is>
      </c>
      <c r="H15" s="78" t="inlineStr">
        <is>
          <t>LOW</t>
        </is>
      </c>
      <c r="I15" s="78" t="inlineStr">
        <is>
          <t>MEDIUM</t>
        </is>
      </c>
      <c r="J15" s="78" t="inlineStr">
        <is>
          <t>MEDIUM</t>
        </is>
      </c>
      <c r="K15" s="78" t="inlineStr">
        <is>
          <t>اعتبارسنجی هدفمند</t>
        </is>
      </c>
      <c r="L15" s="33" t="inlineStr">
        <is>
          <t>TARGETED_VALIDATION</t>
        </is>
      </c>
      <c r="M15" s="78" t="inlineStr">
        <is>
          <t>تغییر نماینده در کرسی حقوقی ثابت</t>
        </is>
      </c>
      <c r="N15" s="78" t="inlineStr">
        <is>
          <t>Turnover نهایی + Conflict Log</t>
        </is>
      </c>
    </row>
    <row r="16" ht="24" customHeight="1" s="76">
      <c r="A16" s="78" t="inlineStr">
        <is>
          <t>N02</t>
        </is>
      </c>
      <c r="B16" s="78" t="inlineStr">
        <is>
          <t>سهم اعضای دارای دکترا</t>
        </is>
      </c>
      <c r="C16" s="78" t="inlineStr">
        <is>
          <t>سرمایه انسانی</t>
        </is>
      </c>
      <c r="D16" s="78" t="n">
        <v>30</v>
      </c>
      <c r="E16" s="78" t="n">
        <v>30</v>
      </c>
      <c r="F16" s="31">
        <f>D16/E16</f>
        <v>1</v>
      </c>
      <c r="G16" s="78" t="inlineStr">
        <is>
          <t>CONTEXT_DEPENDENT</t>
        </is>
      </c>
      <c r="H16" s="78" t="inlineStr">
        <is>
          <t>MODERATE</t>
        </is>
      </c>
      <c r="I16" s="78" t="inlineStr">
        <is>
          <t>HIGH</t>
        </is>
      </c>
      <c r="J16" s="78" t="inlineStr">
        <is>
          <t>PARTIALLY_OVERLAPPING</t>
        </is>
      </c>
      <c r="K16" s="78" t="inlineStr">
        <is>
          <t>Candidate توسعه</t>
        </is>
      </c>
      <c r="L16" s="84" t="inlineStr">
        <is>
          <t>SCALE_UP_WITH_LIMITATION</t>
        </is>
      </c>
      <c r="M16" s="78" t="inlineStr">
        <is>
          <t>PhD تقسیم بر N</t>
        </is>
      </c>
      <c r="N16" s="78" t="inlineStr">
        <is>
          <t>Education_Level</t>
        </is>
      </c>
    </row>
    <row r="17" ht="24" customHeight="1" s="76"/>
    <row r="18" ht="24" customHeight="1" s="76"/>
    <row r="19" ht="24" customHeight="1" s="76">
      <c r="A19" s="78" t="inlineStr">
        <is>
          <t>شمارش معماری پس از ممیزی</t>
        </is>
      </c>
    </row>
    <row r="20" ht="24" customHeight="1" s="76">
      <c r="A20" s="78" t="inlineStr">
        <is>
          <t>Scale Up Primary موجود</t>
        </is>
      </c>
      <c r="B20" s="78" t="n">
        <v>2</v>
      </c>
      <c r="C20" s="78" t="inlineStr">
        <is>
          <t>S1A و V1</t>
        </is>
      </c>
    </row>
    <row r="21" ht="24" customHeight="1" s="76">
      <c r="A21" s="78" t="inlineStr">
        <is>
          <t>Scale Up With Limitation موجود</t>
        </is>
      </c>
      <c r="B21" s="78" t="n">
        <v>4</v>
      </c>
      <c r="C21" s="78" t="inlineStr">
        <is>
          <t>VAR06، VAR10، AUD01، REF05</t>
        </is>
      </c>
    </row>
    <row r="22" ht="24" customHeight="1" s="76">
      <c r="A22" s="78" t="inlineStr">
        <is>
          <t>Structural Governance موجود</t>
        </is>
      </c>
      <c r="B22" s="78" t="n">
        <v>1</v>
      </c>
      <c r="C22" s="78" t="inlineStr">
        <is>
          <t>IRN01</t>
        </is>
      </c>
    </row>
    <row r="23" ht="24" customHeight="1" s="76">
      <c r="A23" s="78" t="inlineStr">
        <is>
          <t>Control Diagnostic موجود</t>
        </is>
      </c>
      <c r="B23" s="78" t="n">
        <v>2</v>
      </c>
      <c r="C23" s="78" t="inlineStr">
        <is>
          <t>CR1A و SEP07</t>
        </is>
      </c>
    </row>
    <row r="24" ht="24" customHeight="1" s="76">
      <c r="A24" s="78" t="inlineStr">
        <is>
          <t>Robustness موجود</t>
        </is>
      </c>
      <c r="B24" s="78" t="n">
        <v>2</v>
      </c>
      <c r="C24" s="78" t="inlineStr">
        <is>
          <t>AUD02 و IRN02</t>
        </is>
      </c>
    </row>
    <row r="25" ht="24" customHeight="1" s="76">
      <c r="A25" s="78" t="inlineStr">
        <is>
          <t>Targeted Validation موجود</t>
        </is>
      </c>
      <c r="B25" s="78" t="n">
        <v>1</v>
      </c>
      <c r="C25" s="78" t="inlineStr">
        <is>
          <t>REF08</t>
        </is>
      </c>
    </row>
    <row r="26" ht="24" customHeight="1" s="76">
      <c r="A26" s="78" t="inlineStr">
        <is>
          <t>Candidate جدید Scale Up</t>
        </is>
      </c>
      <c r="B26" s="78" t="n">
        <v>1</v>
      </c>
      <c r="C26" s="78" t="inlineStr">
        <is>
          <t>N02، فعلا خارج Composite</t>
        </is>
      </c>
    </row>
    <row r="27" ht="24" customHeight="1" s="76">
      <c r="A27" s="78" t="inlineStr">
        <is>
          <t>Construct مستقل فعلی</t>
        </is>
      </c>
      <c r="B27" s="78" t="n">
        <v>9</v>
      </c>
      <c r="C27" s="78" t="inlineStr">
        <is>
          <t>SEP07 Construct مستقل شمرده نمی شود</t>
        </is>
      </c>
    </row>
  </sheetData>
  <mergeCells count="3">
    <mergeCell ref="A19:N19"/>
    <mergeCell ref="A2:N2"/>
    <mergeCell ref="A1:N1"/>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G12"/>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14.33203125" customWidth="1" style="76" min="2" max="2"/>
    <col width="24.83203125" customWidth="1" style="76" min="3" max="3"/>
    <col width="19.1640625" customWidth="1" style="76" min="4" max="4"/>
    <col width="30.5" customWidth="1" style="76" min="5" max="5"/>
    <col width="42" customWidth="1" style="76" min="6" max="6"/>
    <col width="38.1640625" customWidth="1" style="76" min="7" max="7"/>
  </cols>
  <sheetData>
    <row r="1" ht="34" customHeight="1" s="76">
      <c r="A1" s="79" t="inlineStr">
        <is>
          <t>Constructهای مستقل پس از ممیزی</t>
        </is>
      </c>
    </row>
    <row r="2" ht="28" customHeight="1" s="76">
      <c r="A2" s="78" t="inlineStr">
        <is>
          <t>۹ Construct مستقل فعلی؛ Role هر Construct جدا از شمارش Measure مشخص شده است</t>
        </is>
      </c>
    </row>
    <row r="3" ht="24" customHeight="1" s="76">
      <c r="A3" s="83" t="inlineStr">
        <is>
          <t>سازه</t>
        </is>
      </c>
      <c r="B3" s="83" t="inlineStr">
        <is>
          <t>Measure اصلی</t>
        </is>
      </c>
      <c r="C3" s="83" t="inlineStr">
        <is>
          <t>Measure مکمل</t>
        </is>
      </c>
      <c r="D3" s="83" t="inlineStr">
        <is>
          <t>نقش</t>
        </is>
      </c>
      <c r="E3" s="83" t="inlineStr">
        <is>
          <t>وضعیت</t>
        </is>
      </c>
      <c r="F3" s="83" t="inlineStr">
        <is>
          <t>توضیح</t>
        </is>
      </c>
      <c r="G3" s="83" t="inlineStr">
        <is>
          <t>منبع یا مبنای محاسبه</t>
        </is>
      </c>
    </row>
    <row r="4" ht="24" customHeight="1" s="76">
      <c r="A4" s="78" t="inlineStr">
        <is>
          <t>استقلال ساختاری</t>
        </is>
      </c>
      <c r="B4" s="78" t="inlineStr">
        <is>
          <t>S1A</t>
        </is>
      </c>
      <c r="D4" s="78" t="inlineStr">
        <is>
          <t>اصلی</t>
        </is>
      </c>
      <c r="E4" s="32" t="inlineStr">
        <is>
          <t>SCALE_UP_PRIMARY</t>
        </is>
      </c>
      <c r="F4" s="78" t="inlineStr">
        <is>
          <t>پروکسی ساختاری و نه استقلال صریح</t>
        </is>
      </c>
      <c r="G4" s="78" t="inlineStr">
        <is>
          <t>Audit Measureها</t>
        </is>
      </c>
    </row>
    <row r="5" ht="24" customHeight="1" s="76">
      <c r="A5" s="78" t="inlineStr">
        <is>
          <t>تنوع تحصیلی</t>
        </is>
      </c>
      <c r="B5" s="78" t="inlineStr">
        <is>
          <t>V1</t>
        </is>
      </c>
      <c r="C5" s="78" t="inlineStr">
        <is>
          <t>N02 Candidate</t>
        </is>
      </c>
      <c r="D5" s="78" t="inlineStr">
        <is>
          <t>اصلی</t>
        </is>
      </c>
      <c r="E5" s="32" t="inlineStr">
        <is>
          <t>SCALE_UP_PRIMARY</t>
        </is>
      </c>
      <c r="F5" s="78" t="inlineStr">
        <is>
          <t>N02 کاندید توسعه در همین خانواده است و Construct جدید ایجاد نمی کند</t>
        </is>
      </c>
      <c r="G5" s="78" t="inlineStr">
        <is>
          <t>Audit Measureها + Scale Up Candidates</t>
        </is>
      </c>
    </row>
    <row r="6" ht="24" customHeight="1" s="76">
      <c r="A6" s="78" t="inlineStr">
        <is>
          <t>تنوع حرفه ای</t>
        </is>
      </c>
      <c r="B6" s="78" t="inlineStr">
        <is>
          <t>VAR06_Strict</t>
        </is>
      </c>
      <c r="D6" s="78" t="inlineStr">
        <is>
          <t>اصلی با محدودیت</t>
        </is>
      </c>
      <c r="E6" s="84" t="inlineStr">
        <is>
          <t>SCALE_UP_WITH_LIMITATION</t>
        </is>
      </c>
      <c r="F6" s="78" t="inlineStr">
        <is>
          <t>بار کدگذاری انسانی</t>
        </is>
      </c>
      <c r="G6" s="78" t="inlineStr">
        <is>
          <t>Audit Measureها</t>
        </is>
      </c>
    </row>
    <row r="7" ht="24" customHeight="1" s="76">
      <c r="A7" s="78" t="inlineStr">
        <is>
          <t>تخصص هیئت مدیره</t>
        </is>
      </c>
      <c r="B7" s="78" t="inlineStr">
        <is>
          <t>VAR10</t>
        </is>
      </c>
      <c r="D7" s="78" t="inlineStr">
        <is>
          <t>اصلی با محدودیت</t>
        </is>
      </c>
      <c r="E7" s="84" t="inlineStr">
        <is>
          <t>SCALE_UP_WITH_LIMITATION</t>
        </is>
      </c>
      <c r="F7" s="78" t="inlineStr">
        <is>
          <t>همپوشانی جزئی با تحصیلات و سابقه</t>
        </is>
      </c>
      <c r="G7" s="78" t="inlineStr">
        <is>
          <t>Audit Measureها</t>
        </is>
      </c>
    </row>
    <row r="8" ht="24" customHeight="1" s="76">
      <c r="A8" s="78" t="inlineStr">
        <is>
          <t>ثبات رهبری</t>
        </is>
      </c>
      <c r="B8" s="78" t="inlineStr">
        <is>
          <t>CR1A</t>
        </is>
      </c>
      <c r="D8" s="78" t="inlineStr">
        <is>
          <t>کنترل</t>
        </is>
      </c>
      <c r="E8" s="34" t="inlineStr">
        <is>
          <t>CONTROL_DIAGNOSTIC</t>
        </is>
      </c>
      <c r="F8" s="78" t="inlineStr">
        <is>
          <t>جهت کیفی روشن ندارد</t>
        </is>
      </c>
      <c r="G8" s="78" t="inlineStr">
        <is>
          <t>Audit Measureها</t>
        </is>
      </c>
    </row>
    <row r="9" ht="24" customHeight="1" s="76">
      <c r="A9" s="78" t="inlineStr">
        <is>
          <t>نظارت</t>
        </is>
      </c>
      <c r="B9" s="78" t="inlineStr">
        <is>
          <t>AUD01</t>
        </is>
      </c>
      <c r="C9" s="78" t="inlineStr">
        <is>
          <t>AUD02</t>
        </is>
      </c>
      <c r="D9" s="78" t="inlineStr">
        <is>
          <t>اصلی با محدودیت</t>
        </is>
      </c>
      <c r="E9" s="84" t="inlineStr">
        <is>
          <t>SCALE_UP_WITH_LIMITATION</t>
        </is>
      </c>
      <c r="F9" s="78" t="inlineStr">
        <is>
          <t>AUD02 فقط Robustness است</t>
        </is>
      </c>
      <c r="G9" s="78" t="inlineStr">
        <is>
          <t>Audit Measureها</t>
        </is>
      </c>
    </row>
    <row r="10" ht="24" customHeight="1" s="76">
      <c r="A10" s="78" t="inlineStr">
        <is>
          <t>ساختار نمایندگی</t>
        </is>
      </c>
      <c r="B10" s="78" t="inlineStr">
        <is>
          <t>IRN01</t>
        </is>
      </c>
      <c r="C10" s="78" t="inlineStr">
        <is>
          <t>IRN02</t>
        </is>
      </c>
      <c r="D10" s="78" t="inlineStr">
        <is>
          <t>ساختاری</t>
        </is>
      </c>
      <c r="E10" s="35" t="inlineStr">
        <is>
          <t>STRUCTURAL_GOVERNANCE_MEASURE</t>
        </is>
      </c>
      <c r="F10" s="78" t="inlineStr">
        <is>
          <t>IRN02 مکمل ریاضی IRN01 و فقط Robustness است</t>
        </is>
      </c>
      <c r="G10" s="78" t="inlineStr">
        <is>
          <t>Audit Redundancy</t>
        </is>
      </c>
    </row>
    <row r="11" ht="24" customHeight="1" s="76">
      <c r="A11" s="78" t="inlineStr">
        <is>
          <t>تجدید و گردش هیئت مدیره</t>
        </is>
      </c>
      <c r="B11" s="78" t="inlineStr">
        <is>
          <t>REF05</t>
        </is>
      </c>
      <c r="C11" s="78" t="inlineStr">
        <is>
          <t>ROB_NEW / ROB_STABILITY</t>
        </is>
      </c>
      <c r="D11" s="78" t="inlineStr">
        <is>
          <t>اصلی با محدودیت</t>
        </is>
      </c>
      <c r="E11" s="84" t="inlineStr">
        <is>
          <t>SCALE_UP_WITH_LIMITATION</t>
        </is>
      </c>
      <c r="F11" s="78" t="inlineStr">
        <is>
          <t>Stability مکمل ریاضی Turnover و New Member همپوشانی بالا دارد</t>
        </is>
      </c>
      <c r="G11" s="78" t="inlineStr">
        <is>
          <t>Audit Redundancy</t>
        </is>
      </c>
    </row>
    <row r="12" ht="24" customHeight="1" s="76">
      <c r="A12" s="78" t="inlineStr">
        <is>
          <t>پویایی نمایندگی خاص ایران</t>
        </is>
      </c>
      <c r="B12" s="78" t="inlineStr">
        <is>
          <t>REF08</t>
        </is>
      </c>
      <c r="C12" s="78" t="inlineStr">
        <is>
          <t>ROB_LEGAL</t>
        </is>
      </c>
      <c r="D12" s="78" t="inlineStr">
        <is>
          <t>اعتبارسنجی هدفمند</t>
        </is>
      </c>
      <c r="E12" s="33" t="inlineStr">
        <is>
          <t>TARGETED_VALIDATION</t>
        </is>
      </c>
      <c r="F12" s="78" t="inlineStr">
        <is>
          <t>REF08 هنوز Source Review دارد</t>
        </is>
      </c>
      <c r="G12" s="78" t="inlineStr">
        <is>
          <t>Audit Measureها + Conflict Log</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I33"/>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36.1640625" customWidth="1" style="76" min="1" max="1"/>
    <col width="16.33203125" customWidth="1" style="76" min="2" max="2"/>
    <col width="21" customWidth="1" style="76" min="3" max="3"/>
    <col width="23" customWidth="1" style="76" min="4" max="4"/>
    <col width="18.1640625" customWidth="1" style="76" min="5" max="5"/>
    <col width="14.33203125" customWidth="1" style="76" min="6" max="6"/>
    <col width="42" customWidth="1" style="76" min="7" max="9"/>
  </cols>
  <sheetData>
    <row r="1" ht="34" customHeight="1" s="76">
      <c r="A1" s="79" t="inlineStr">
        <is>
          <t>وضعیت نهایی ۳۰ شرکت</t>
        </is>
      </c>
    </row>
    <row r="2" ht="28" customHeight="1" s="76">
      <c r="A2" s="82" t="inlineStr">
        <is>
          <t>پوشش نهایی پس از تجمیع تمام Batchها</t>
        </is>
      </c>
    </row>
    <row r="3" ht="34" customHeight="1" s="76">
      <c r="A3" s="28" t="inlineStr">
        <is>
          <t>شرکت</t>
        </is>
      </c>
      <c r="B3" s="28" t="inlineStr">
        <is>
          <t>وضعیت Turnover</t>
        </is>
      </c>
      <c r="C3" s="28" t="inlineStr">
        <is>
          <t>واجد شرایط Turnover</t>
        </is>
      </c>
      <c r="D3" s="28" t="inlineStr">
        <is>
          <t>Representative Change</t>
        </is>
      </c>
      <c r="E3" s="28" t="inlineStr">
        <is>
          <t>کیفیت</t>
        </is>
      </c>
      <c r="F3" s="28" t="inlineStr">
        <is>
          <t>منبع مرحله</t>
        </is>
      </c>
      <c r="G3" s="28" t="inlineStr">
        <is>
          <t>روش</t>
        </is>
      </c>
      <c r="H3" s="28" t="inlineStr">
        <is>
          <t>یادداشت</t>
        </is>
      </c>
      <c r="I3" s="28" t="inlineStr">
        <is>
          <t>ارجاع منبع مستقیم</t>
        </is>
      </c>
    </row>
    <row r="4" ht="24" customHeight="1" s="76">
      <c r="A4" s="10" t="inlineStr">
        <is>
          <t>فملی</t>
        </is>
      </c>
      <c r="B4" s="9" t="inlineStr">
        <is>
          <t>تاییدشده</t>
        </is>
      </c>
      <c r="C4" s="10" t="inlineStr">
        <is>
          <t>بله</t>
        </is>
      </c>
      <c r="D4" s="10" t="inlineStr">
        <is>
          <t>قابل محاسبه</t>
        </is>
      </c>
      <c r="E4" s="10" t="inlineStr">
        <is>
          <t>بالا</t>
        </is>
      </c>
      <c r="F4" s="10" t="inlineStr">
        <is>
          <t>پایه v33</t>
        </is>
      </c>
      <c r="G4" s="4" t="inlineStr">
        <is>
          <t>DIRECT_ROSTER_COMPARISON</t>
        </is>
      </c>
      <c r="H4" s="10" t="inlineStr">
        <is>
          <t>تایید قبلی؛ بدون تغییر در همه کرسی های قابل مقایسه</t>
        </is>
      </c>
      <c r="I4" s="5" t="inlineStr">
        <is>
          <t>Iran_BSI_v33_Phase4_2K_FinalTurnoverClosure.xlsx | برگه های گردش اشخاص حقیقی، تغییر نماینده، تغییر شخص حقوقی، اعضای جدید، ثبات هیئت و تغییر رئیس</t>
        </is>
      </c>
    </row>
    <row r="5" ht="24" customHeight="1" s="76">
      <c r="A5" s="8" t="inlineStr">
        <is>
          <t>تاپیکو</t>
        </is>
      </c>
      <c r="B5" s="9" t="inlineStr">
        <is>
          <t>تاییدشده (v38)</t>
        </is>
      </c>
      <c r="C5" s="8" t="inlineStr">
        <is>
          <t>بله</t>
        </is>
      </c>
      <c r="D5" s="8" t="inlineStr">
        <is>
          <t>قابل محاسبه</t>
        </is>
      </c>
      <c r="E5" s="8" t="inlineStr">
        <is>
          <t>بالا</t>
        </is>
      </c>
      <c r="F5" s="8" t="inlineStr">
        <is>
          <t>پایه v33</t>
        </is>
      </c>
      <c r="G5" s="4" t="inlineStr">
        <is>
          <t>TYPE19_CUTOFF_CHRONOLOGY_V38</t>
        </is>
      </c>
      <c r="H5" s="8" t="inlineStr">
        <is>
          <t>v38: ۳ تغییر نماینده با شخص حقوقی ثابت؛ Confirmed</t>
        </is>
      </c>
      <c r="I5" s="5" t="inlineStr">
        <is>
          <t>Iran_BSI_v33_Phase4_2K_FinalTurnoverClosure.xlsx | برگه های گردش اشخاص حقیقی، تغییر نماینده، تغییر شخص حقوقی، اعضای جدید، ثبات هیئت و تغییر رئیس</t>
        </is>
      </c>
    </row>
    <row r="6" ht="24" customHeight="1" s="76">
      <c r="A6" s="10" t="inlineStr">
        <is>
          <t>فارس</t>
        </is>
      </c>
      <c r="B6" s="9" t="inlineStr">
        <is>
          <t>تاییدشده</t>
        </is>
      </c>
      <c r="C6" s="10" t="inlineStr">
        <is>
          <t>بله</t>
        </is>
      </c>
      <c r="D6" s="10" t="inlineStr">
        <is>
          <t>قابل محاسبه</t>
        </is>
      </c>
      <c r="E6" s="10" t="inlineStr">
        <is>
          <t>بالا</t>
        </is>
      </c>
      <c r="F6" s="10" t="inlineStr">
        <is>
          <t>پایه v33</t>
        </is>
      </c>
      <c r="G6" s="4" t="inlineStr">
        <is>
          <t>DIRECT_ROSTER_COMPARISON</t>
        </is>
      </c>
      <c r="H6" s="10" t="inlineStr">
        <is>
          <t>نمونه مهم تغییر نماینده با شخص حقوقی ثابت</t>
        </is>
      </c>
      <c r="I6" s="5"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row>
    <row r="7" ht="24" customHeight="1" s="76">
      <c r="A7" s="8" t="inlineStr">
        <is>
          <t>خودرو</t>
        </is>
      </c>
      <c r="B7" s="9" t="inlineStr">
        <is>
          <t>تاییدشده (v38)</t>
        </is>
      </c>
      <c r="C7" s="8" t="inlineStr">
        <is>
          <t>بله</t>
        </is>
      </c>
      <c r="D7" s="8" t="inlineStr">
        <is>
          <t>قابل محاسبه</t>
        </is>
      </c>
      <c r="E7" s="8" t="inlineStr">
        <is>
          <t>بالا</t>
        </is>
      </c>
      <c r="F7" s="8" t="inlineStr">
        <is>
          <t>پایه v33</t>
        </is>
      </c>
      <c r="G7" s="4" t="inlineStr">
        <is>
          <t>TYPE19_CUTOFF_CHRONOLOGY_V38</t>
        </is>
      </c>
      <c r="H7" s="8" t="inlineStr">
        <is>
          <t>v38: REF08 = ۱ از ۵؛ Confirmed</t>
        </is>
      </c>
      <c r="I7" s="5" t="inlineStr">
        <is>
          <t>Iran_BSI_v33_Phase4_2K_FinalTurnoverClosure.xlsx | روش MEMBERSHIP_START_RECONSTRUCTION و برگه های خانواده Turnover</t>
        </is>
      </c>
    </row>
    <row r="8" ht="24" customHeight="1" s="76">
      <c r="A8" s="10" t="inlineStr">
        <is>
          <t>زاگرس</t>
        </is>
      </c>
      <c r="B8" s="9" t="inlineStr">
        <is>
          <t>تاییدشده</t>
        </is>
      </c>
      <c r="C8" s="10" t="inlineStr">
        <is>
          <t>بله</t>
        </is>
      </c>
      <c r="D8" s="10" t="inlineStr">
        <is>
          <t>قابل محاسبه</t>
        </is>
      </c>
      <c r="E8" s="10" t="inlineStr">
        <is>
          <t>بالا</t>
        </is>
      </c>
      <c r="F8" s="10" t="inlineStr">
        <is>
          <t>پایه v33</t>
        </is>
      </c>
      <c r="G8" s="4" t="inlineStr">
        <is>
          <t>DIRECT_ROSTER_COMPARISON</t>
        </is>
      </c>
      <c r="H8" s="10" t="inlineStr">
        <is>
          <t>دو تغییر نماینده در سه کرسی تاییدشده</t>
        </is>
      </c>
      <c r="I8" s="5"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row>
    <row r="9" ht="24" customHeight="1" s="76">
      <c r="A9" s="8" t="inlineStr">
        <is>
          <t>شبندر</t>
        </is>
      </c>
      <c r="B9" s="9" t="inlineStr">
        <is>
          <t>تاییدشده</t>
        </is>
      </c>
      <c r="C9" s="8" t="inlineStr">
        <is>
          <t>بله</t>
        </is>
      </c>
      <c r="D9" s="8" t="inlineStr">
        <is>
          <t>قابل محاسبه</t>
        </is>
      </c>
      <c r="E9" s="8" t="inlineStr">
        <is>
          <t>متوسط</t>
        </is>
      </c>
      <c r="F9" s="8" t="inlineStr">
        <is>
          <t>Batch 1</t>
        </is>
      </c>
      <c r="G9" s="4" t="inlineStr">
        <is>
          <t>MULTI_SOURCE_ROSTER_COMPARISON</t>
        </is>
      </c>
      <c r="H9" s="8" t="inlineStr">
        <is>
          <t>رمزگذاری عربی سند با جستجوی دو الفبا حل شد</t>
        </is>
      </c>
      <c r="I9" s="5"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row>
    <row r="10" ht="24" customHeight="1" s="76">
      <c r="A10" s="10" t="inlineStr">
        <is>
          <t>پارس</t>
        </is>
      </c>
      <c r="B10" s="9" t="inlineStr">
        <is>
          <t>تاییدشده</t>
        </is>
      </c>
      <c r="C10" s="10" t="inlineStr">
        <is>
          <t>بله</t>
        </is>
      </c>
      <c r="D10" s="10" t="inlineStr">
        <is>
          <t>قابل محاسبه</t>
        </is>
      </c>
      <c r="E10" s="10" t="inlineStr">
        <is>
          <t>متوسط</t>
        </is>
      </c>
      <c r="F10" s="10" t="inlineStr">
        <is>
          <t>Batch 1</t>
        </is>
      </c>
      <c r="G10" s="4" t="inlineStr">
        <is>
          <t>TYPE19_CHRONOLOGY</t>
        </is>
      </c>
      <c r="H10" s="10" t="inlineStr">
        <is>
          <t>FY1403 از ستون نماینده قبلی افشای نوع ۱۹ بازسازی شد</t>
        </is>
      </c>
      <c r="I10" s="5"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row>
    <row r="11" ht="24" customHeight="1" s="76">
      <c r="A11" s="8" t="inlineStr">
        <is>
          <t>شتران</t>
        </is>
      </c>
      <c r="B11" s="9" t="inlineStr">
        <is>
          <t>تاییدشده</t>
        </is>
      </c>
      <c r="C11" s="8" t="inlineStr">
        <is>
          <t>بله</t>
        </is>
      </c>
      <c r="D11" s="8" t="inlineStr">
        <is>
          <t>قابل محاسبه</t>
        </is>
      </c>
      <c r="E11" s="8" t="inlineStr">
        <is>
          <t>بالا</t>
        </is>
      </c>
      <c r="F11" s="8" t="inlineStr">
        <is>
          <t>Batch 1</t>
        </is>
      </c>
      <c r="G11" s="4" t="inlineStr">
        <is>
          <t>DIRECT_ROSTER_COMPARISON</t>
        </is>
      </c>
      <c r="H11" s="8" t="inlineStr">
        <is>
          <t>مقایسه مستقیم دو گزارش</t>
        </is>
      </c>
      <c r="I11" s="5"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row>
    <row r="12" ht="24" customHeight="1" s="76">
      <c r="A12" s="10" t="inlineStr">
        <is>
          <t>وتجارت</t>
        </is>
      </c>
      <c r="B12" s="9" t="inlineStr">
        <is>
          <t>تاییدشده؛ تاریخ خروج Needs Review</t>
        </is>
      </c>
      <c r="C12" s="10" t="inlineStr">
        <is>
          <t>بله</t>
        </is>
      </c>
      <c r="D12" s="10" t="inlineStr">
        <is>
          <t>قابل اعمال نیست</t>
        </is>
      </c>
      <c r="E12" s="10" t="inlineStr">
        <is>
          <t>بالا</t>
        </is>
      </c>
      <c r="F12" s="10" t="inlineStr">
        <is>
          <t>Batch 2</t>
        </is>
      </c>
      <c r="G12" s="4" t="inlineStr">
        <is>
          <t>DIRECT_ROSTER_COMPARISON_WITH_BOARD_SIZE_CHANGE</t>
        </is>
      </c>
      <c r="H12" s="10" t="inlineStr">
        <is>
          <t>v38: ساختار ۵ عضو حقیقی مستقیم؛ شریفیان خارج شد</t>
        </is>
      </c>
      <c r="I12" s="5"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is>
      </c>
    </row>
    <row r="13" ht="24" customHeight="1" s="76">
      <c r="A13" s="8" t="inlineStr">
        <is>
          <t>رمپنا</t>
        </is>
      </c>
      <c r="B13" s="9" t="inlineStr">
        <is>
          <t>تاییدشده</t>
        </is>
      </c>
      <c r="C13" s="8" t="inlineStr">
        <is>
          <t>بله</t>
        </is>
      </c>
      <c r="D13" s="8" t="inlineStr">
        <is>
          <t>قابل محاسبه</t>
        </is>
      </c>
      <c r="E13" s="8" t="inlineStr">
        <is>
          <t>متوسط</t>
        </is>
      </c>
      <c r="F13" s="8" t="inlineStr">
        <is>
          <t>Batch 2</t>
        </is>
      </c>
      <c r="G13" s="4" t="inlineStr">
        <is>
          <t>TYPE19_CHRONOLOGY</t>
        </is>
      </c>
      <c r="H13" s="8" t="inlineStr">
        <is>
          <t>Look Ahead حذف شد؛ مخرج Representative Change فقط یک کرسی ثابت است</t>
        </is>
      </c>
      <c r="I13" s="5"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row>
    <row r="14" ht="24" customHeight="1" s="76">
      <c r="A14" s="10" t="inlineStr">
        <is>
          <t>فخوز</t>
        </is>
      </c>
      <c r="B14" s="9" t="inlineStr">
        <is>
          <t>تاییدشده</t>
        </is>
      </c>
      <c r="C14" s="10" t="inlineStr">
        <is>
          <t>بله</t>
        </is>
      </c>
      <c r="D14" s="10" t="inlineStr">
        <is>
          <t>قابل محاسبه</t>
        </is>
      </c>
      <c r="E14" s="10" t="inlineStr">
        <is>
          <t>بالا</t>
        </is>
      </c>
      <c r="F14" s="10" t="inlineStr">
        <is>
          <t>Batch 2</t>
        </is>
      </c>
      <c r="G14" s="4" t="inlineStr">
        <is>
          <t>MULTI_SOURCE_RECONCILIATION</t>
        </is>
      </c>
      <c r="H14" s="10" t="inlineStr">
        <is>
          <t>Cutoff کنترل شد</t>
        </is>
      </c>
      <c r="I14" s="5"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row>
    <row r="15" ht="24" customHeight="1" s="76">
      <c r="A15" s="8" t="inlineStr">
        <is>
          <t>شستا</t>
        </is>
      </c>
      <c r="B15" s="9" t="inlineStr">
        <is>
          <t>تاییدشده</t>
        </is>
      </c>
      <c r="C15" s="8" t="inlineStr">
        <is>
          <t>بله</t>
        </is>
      </c>
      <c r="D15" s="8" t="inlineStr">
        <is>
          <t>قابل محاسبه</t>
        </is>
      </c>
      <c r="E15" s="8" t="inlineStr">
        <is>
          <t>بالا</t>
        </is>
      </c>
      <c r="F15" s="8" t="inlineStr">
        <is>
          <t>Batch 3</t>
        </is>
      </c>
      <c r="G15" s="4" t="inlineStr">
        <is>
          <t>DIRECT_TYPE19_COMPARISON</t>
        </is>
      </c>
      <c r="H15" s="8" t="inlineStr">
        <is>
          <t>Snapshotهای پیش از Cutoff</t>
        </is>
      </c>
      <c r="I15" s="5" t="inlineStr">
        <is>
          <t>SRC_SHST_1404_015 | افشای نوع ۱۹ | ۱۴۰۳ | ۱ | Snapshot مبنا برای ۱۴۰۳
SRC_SHST_1404_007 | افشای نوع ۱۹ | ۱۴۰۴ | ۱ | Snapshot مبنا برای ۱۴۰۴</t>
        </is>
      </c>
    </row>
    <row r="16" ht="24" customHeight="1" s="76">
      <c r="A16" s="10" t="inlineStr">
        <is>
          <t>شپنا</t>
        </is>
      </c>
      <c r="B16" s="9" t="inlineStr">
        <is>
          <t>تاییدشده</t>
        </is>
      </c>
      <c r="C16" s="10" t="inlineStr">
        <is>
          <t>بله</t>
        </is>
      </c>
      <c r="D16" s="10" t="inlineStr">
        <is>
          <t>قابل محاسبه</t>
        </is>
      </c>
      <c r="E16" s="10" t="inlineStr">
        <is>
          <t>بالا</t>
        </is>
      </c>
      <c r="F16" s="10" t="inlineStr">
        <is>
          <t>Batch 3</t>
        </is>
      </c>
      <c r="G16" s="4" t="inlineStr">
        <is>
          <t>DIRECT_TYPE19_COMPARISON</t>
        </is>
      </c>
      <c r="H16" s="10" t="inlineStr">
        <is>
          <t>مقایسه مستقیم افشای نوع ۱۹</t>
        </is>
      </c>
      <c r="I16" s="5" t="inlineStr">
        <is>
          <t>SRC_SHPN_1404_002 | افشای نوع ۱۹ | ۱۴۰۳ | ۱ | Snapshot مبنا برای ۱۴۰۳
SRC_SHPN_1404_004 | افشای نوع ۱۹ | ۱۴۰۴ | ۱ تا ۲ | Snapshot مبنا برای ۱۴۰۴</t>
        </is>
      </c>
    </row>
    <row r="17" ht="24" customHeight="1" s="76">
      <c r="A17" s="8" t="inlineStr">
        <is>
          <t>وغدیر</t>
        </is>
      </c>
      <c r="B17" s="9" t="inlineStr">
        <is>
          <t>تاییدشده</t>
        </is>
      </c>
      <c r="C17" s="8" t="inlineStr">
        <is>
          <t>بله</t>
        </is>
      </c>
      <c r="D17" s="8" t="inlineStr">
        <is>
          <t>قابل محاسبه</t>
        </is>
      </c>
      <c r="E17" s="8" t="inlineStr">
        <is>
          <t>بالا</t>
        </is>
      </c>
      <c r="F17" s="8" t="inlineStr">
        <is>
          <t>Batch 3</t>
        </is>
      </c>
      <c r="G17" s="4" t="inlineStr">
        <is>
          <t>DIRECT_TYPE19_COMPARISON</t>
        </is>
      </c>
      <c r="H17" s="8" t="inlineStr">
        <is>
          <t>مقایسه مستقیم افشای نوع ۱۹</t>
        </is>
      </c>
      <c r="I17" s="5" t="inlineStr">
        <is>
          <t>SRC_VGHD_1404_002 | افشای نوع ۱۹ | ۱۴۰۳ | ۱ | Snapshot مبنا برای ۱۴۰۳
SRC_VGHD_1404_006 | افشای نوع ۱۹ | ۱۴۰۴ | ۱ | Snapshot مبنا برای ۱۴۰۴</t>
        </is>
      </c>
    </row>
    <row r="18" ht="24" customHeight="1" s="76">
      <c r="A18" s="10" t="inlineStr">
        <is>
          <t>نوری</t>
        </is>
      </c>
      <c r="B18" s="9" t="inlineStr">
        <is>
          <t>تاییدشده</t>
        </is>
      </c>
      <c r="C18" s="10" t="inlineStr">
        <is>
          <t>بله</t>
        </is>
      </c>
      <c r="D18" s="10" t="inlineStr">
        <is>
          <t>قابل محاسبه</t>
        </is>
      </c>
      <c r="E18" s="10" t="inlineStr">
        <is>
          <t>متوسط رو به بالا</t>
        </is>
      </c>
      <c r="F18" s="10" t="inlineStr">
        <is>
          <t>Batch 3</t>
        </is>
      </c>
      <c r="G18" s="4" t="inlineStr">
        <is>
          <t>ANNUAL_REPORT_PLUS_TYPE19</t>
        </is>
      </c>
      <c r="H18" s="10" t="inlineStr">
        <is>
          <t>تنها یک شخص حقوقی ثابت بود و نماینده همان کرسی تغییر کرد</t>
        </is>
      </c>
      <c r="I18" s="5"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row>
    <row r="19" ht="24" customHeight="1" s="76">
      <c r="A19" s="8" t="inlineStr">
        <is>
          <t>فولاد</t>
        </is>
      </c>
      <c r="B19" s="9" t="inlineStr">
        <is>
          <t>تاییدشده</t>
        </is>
      </c>
      <c r="C19" s="8" t="inlineStr">
        <is>
          <t>بله</t>
        </is>
      </c>
      <c r="D19" s="8" t="inlineStr">
        <is>
          <t>قابل محاسبه</t>
        </is>
      </c>
      <c r="E19" s="8" t="inlineStr">
        <is>
          <t>بالا</t>
        </is>
      </c>
      <c r="F19" s="8" t="inlineStr">
        <is>
          <t>Batch 4</t>
        </is>
      </c>
      <c r="G19" s="4" t="inlineStr">
        <is>
          <t>DIRECT_ANNUAL_REPORT_COMPARISON</t>
        </is>
      </c>
      <c r="H19" s="8" t="inlineStr">
        <is>
          <t>یک تغییر شخص حقوقی و یک تغییر نماینده مستقل</t>
        </is>
      </c>
      <c r="I19" s="5"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row>
    <row r="20" ht="24" customHeight="1" s="76">
      <c r="A20" s="10" t="inlineStr">
        <is>
          <t>کچاد</t>
        </is>
      </c>
      <c r="B20" s="9" t="inlineStr">
        <is>
          <t>تاییدشده (v38)</t>
        </is>
      </c>
      <c r="C20" s="10" t="inlineStr">
        <is>
          <t>بله</t>
        </is>
      </c>
      <c r="D20" s="10" t="inlineStr">
        <is>
          <t>قابل محاسبه</t>
        </is>
      </c>
      <c r="E20" s="10" t="inlineStr">
        <is>
          <t>بالا</t>
        </is>
      </c>
      <c r="F20" s="10" t="inlineStr">
        <is>
          <t>Batch 4</t>
        </is>
      </c>
      <c r="G20" s="4" t="inlineStr">
        <is>
          <t>TYPE19_CUTOFF_CHRONOLOGY_V38</t>
        </is>
      </c>
      <c r="H20" s="10" t="inlineStr">
        <is>
          <t>v38: Snapshot مبنا از Type19 ۱۴۰۳/۱۰/۰۵ نه گزارش پس از Cutoff؛ Confirmed</t>
        </is>
      </c>
      <c r="I20" s="5" t="inlineStr">
        <is>
          <t>SRC_KCHD_1403_001 | گزارش فعالیت هیئت مدیره | ۱۴۰۳ | ۴ | Snapshot مبنا برای ۱۴۰۳ و ثبت صریح کرسی خالی
SRC_KCHD_1404_006 | افشای نوع ۱۹ | ۱۴۰۴ | ۱ | Snapshot مبنا برای ۱۴۰۴</t>
        </is>
      </c>
    </row>
    <row r="21" ht="24" customHeight="1" s="76">
      <c r="A21" s="8" t="inlineStr">
        <is>
          <t>کگل</t>
        </is>
      </c>
      <c r="B21" s="9" t="inlineStr">
        <is>
          <t>تاییدشده</t>
        </is>
      </c>
      <c r="C21" s="8" t="inlineStr">
        <is>
          <t>بله</t>
        </is>
      </c>
      <c r="D21" s="8" t="inlineStr">
        <is>
          <t>قابل محاسبه</t>
        </is>
      </c>
      <c r="E21" s="8" t="inlineStr">
        <is>
          <t>بالا</t>
        </is>
      </c>
      <c r="F21" s="8" t="inlineStr">
        <is>
          <t>Batch 4</t>
        </is>
      </c>
      <c r="G21" s="4" t="inlineStr">
        <is>
          <t>DIRECT_TYPE19_COMPARISON</t>
        </is>
      </c>
      <c r="H21" s="8" t="inlineStr">
        <is>
          <t>Look Ahead گزارش سالانه حذف شد</t>
        </is>
      </c>
      <c r="I21" s="5" t="inlineStr">
        <is>
          <t>SRC_KGOL_1404_002 | افشای نوع ۱۹ | ۱۴۰۳ | ۱ | Snapshot مبنا برای پایان ۱۴۰۳ و جلوگیری از Look Ahead
SRC_KGOL_1404_004 | افشای نوع ۱۹ | ۱۴۰۴ | ۱ | Snapshot مبنا برای ۱۴۰۴</t>
        </is>
      </c>
    </row>
    <row r="22" ht="24" customHeight="1" s="76">
      <c r="A22" s="10" t="inlineStr">
        <is>
          <t>پارسان</t>
        </is>
      </c>
      <c r="B22" s="9" t="inlineStr">
        <is>
          <t>تاییدشده (v38)</t>
        </is>
      </c>
      <c r="C22" s="10" t="inlineStr">
        <is>
          <t>بله</t>
        </is>
      </c>
      <c r="D22" s="10" t="inlineStr">
        <is>
          <t>قابل محاسبه</t>
        </is>
      </c>
      <c r="E22" s="10" t="inlineStr">
        <is>
          <t>بالا</t>
        </is>
      </c>
      <c r="F22" s="10" t="inlineStr">
        <is>
          <t>Batch 4</t>
        </is>
      </c>
      <c r="G22" s="4" t="inlineStr">
        <is>
          <t>TYPE19_CUTOFF_CHRONOLOGY_V38</t>
        </is>
      </c>
      <c r="H22" s="10" t="inlineStr">
        <is>
          <t>v38: ساختار ۵ کرسی حقوقی؛ High</t>
        </is>
      </c>
      <c r="I22" s="5" t="inlineStr">
        <is>
          <t>SRC_PRSN_1403_001 | گزارش فعالیت هیئت مدیره | ۱۴۰۳ | ۵۰ | Snapshot مبنا برای ۱۴۰۳
SRC_PRSN_1404_007 | گزارش فعالیت هیئت مدیره | ۱۴۰۴ | ۳۷ تا ۳۸ | Snapshot مبنا برای ۱۴۰۴</t>
        </is>
      </c>
    </row>
    <row r="23" ht="24" customHeight="1" s="76">
      <c r="A23" s="8" t="inlineStr">
        <is>
          <t>اخابر</t>
        </is>
      </c>
      <c r="B23" s="9" t="inlineStr">
        <is>
          <t>تاییدشده</t>
        </is>
      </c>
      <c r="C23" s="8" t="inlineStr">
        <is>
          <t>بله</t>
        </is>
      </c>
      <c r="D23" s="8" t="inlineStr">
        <is>
          <t>قابل محاسبه</t>
        </is>
      </c>
      <c r="E23" s="8" t="inlineStr">
        <is>
          <t>بالا</t>
        </is>
      </c>
      <c r="F23" s="8" t="inlineStr">
        <is>
          <t>Batch 5</t>
        </is>
      </c>
      <c r="G23" s="4" t="inlineStr">
        <is>
          <t>VISUAL_PLUS_TYPE19_RECONCILIATION</t>
        </is>
      </c>
      <c r="H23" s="8" t="inlineStr">
        <is>
          <t>تطبیق بصری و بازتایید شخص حقوقی</t>
        </is>
      </c>
      <c r="I23" s="5"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row>
    <row r="24" ht="24" customHeight="1" s="76">
      <c r="A24" s="10" t="inlineStr">
        <is>
          <t>جم</t>
        </is>
      </c>
      <c r="B24" s="9" t="inlineStr">
        <is>
          <t>تاییدشده (v38)</t>
        </is>
      </c>
      <c r="C24" s="10" t="inlineStr">
        <is>
          <t>بله</t>
        </is>
      </c>
      <c r="D24" s="10" t="inlineStr">
        <is>
          <t>قابل محاسبه</t>
        </is>
      </c>
      <c r="E24" s="10" t="inlineStr">
        <is>
          <t>بالا</t>
        </is>
      </c>
      <c r="F24" s="10" t="inlineStr">
        <is>
          <t>Batch 5</t>
        </is>
      </c>
      <c r="G24" s="4" t="inlineStr">
        <is>
          <t>TYPE19_CUTOFF_CHRONOLOGY_V38</t>
        </is>
      </c>
      <c r="H24" s="10" t="inlineStr">
        <is>
          <t>v38: عضو جدید معینی (۱۴۰۴/۱۲/۲۵)؛ High</t>
        </is>
      </c>
      <c r="I24" s="5"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is>
      </c>
    </row>
    <row r="25" ht="24" customHeight="1" s="76">
      <c r="A25" s="8" t="inlineStr">
        <is>
          <t>ومعادن</t>
        </is>
      </c>
      <c r="B25" s="9" t="inlineStr">
        <is>
          <t>تاییدشده</t>
        </is>
      </c>
      <c r="C25" s="8" t="inlineStr">
        <is>
          <t>بله</t>
        </is>
      </c>
      <c r="D25" s="8" t="inlineStr">
        <is>
          <t>قابل محاسبه</t>
        </is>
      </c>
      <c r="E25" s="8" t="inlineStr">
        <is>
          <t>بالا</t>
        </is>
      </c>
      <c r="F25" s="8" t="inlineStr">
        <is>
          <t>Batch 5</t>
        </is>
      </c>
      <c r="G25" s="4" t="inlineStr">
        <is>
          <t>DIRECT_REPORT_PLUS_TYPE19</t>
        </is>
      </c>
      <c r="H25" s="8" t="inlineStr">
        <is>
          <t>تغییرات با افشای نوع ۱۹ کنترل شد</t>
        </is>
      </c>
      <c r="I25" s="5"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row>
    <row r="26" ht="24" customHeight="1" s="76">
      <c r="A26" s="10" t="inlineStr">
        <is>
          <t>وامید</t>
        </is>
      </c>
      <c r="B26" s="9" t="inlineStr">
        <is>
          <t>تاییدشده</t>
        </is>
      </c>
      <c r="C26" s="10" t="inlineStr">
        <is>
          <t>بله</t>
        </is>
      </c>
      <c r="D26" s="10" t="inlineStr">
        <is>
          <t>قابل محاسبه</t>
        </is>
      </c>
      <c r="E26" s="10" t="inlineStr">
        <is>
          <t>بالا</t>
        </is>
      </c>
      <c r="F26" s="10" t="inlineStr">
        <is>
          <t>Batch 5</t>
        </is>
      </c>
      <c r="G26" s="4" t="inlineStr">
        <is>
          <t>DIRECT_FISCAL_YEAR_COMPARISON</t>
        </is>
      </c>
      <c r="H26" s="10" t="inlineStr">
        <is>
          <t>سال مالی منتهی به دی ماه جداگانه رعایت شد</t>
        </is>
      </c>
      <c r="I26" s="5"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row>
    <row r="27" ht="24" customHeight="1" s="76">
      <c r="A27" s="8" t="inlineStr">
        <is>
          <t>خساپا</t>
        </is>
      </c>
      <c r="B27" s="9" t="inlineStr">
        <is>
          <t>تاییدشده (v38)</t>
        </is>
      </c>
      <c r="C27" s="8" t="inlineStr">
        <is>
          <t>بله</t>
        </is>
      </c>
      <c r="D27" s="8" t="inlineStr">
        <is>
          <t>قابل محاسبه</t>
        </is>
      </c>
      <c r="E27" s="8" t="inlineStr">
        <is>
          <t>بالا</t>
        </is>
      </c>
      <c r="F27" s="8" t="inlineStr">
        <is>
          <t>Batch 6</t>
        </is>
      </c>
      <c r="G27" s="4" t="inlineStr">
        <is>
          <t>DIRECT_TYPE19_COMPARISON</t>
        </is>
      </c>
      <c r="H27" s="8" t="inlineStr">
        <is>
          <t>v38: مقادیر v35 با زنجیره کامل تایید شد؛ P&lt;G مشروع (جابه‌جایی پرویزیان)</t>
        </is>
      </c>
      <c r="I27" s="5" t="inlineStr">
        <is>
          <t>SRC_KHSP_1404_002 | افشای نوع ۱۹ | ۱۴۰۳ | ۱ | Snapshot مبنا ۱۴۰۳
SRC_KHSP_1404_004 | افشای نوع ۱۹ | ۱۴۰۴ | ۱ | Snapshot ۱۴۰۴ و تطبیق کرسی ها</t>
        </is>
      </c>
    </row>
    <row r="28" ht="24" customHeight="1" s="76">
      <c r="A28" s="10" t="inlineStr">
        <is>
          <t>همراه</t>
        </is>
      </c>
      <c r="B28" s="9" t="inlineStr">
        <is>
          <t>تاییدشده</t>
        </is>
      </c>
      <c r="C28" s="10" t="inlineStr">
        <is>
          <t>بله</t>
        </is>
      </c>
      <c r="D28" s="10" t="inlineStr">
        <is>
          <t>قابل محاسبه</t>
        </is>
      </c>
      <c r="E28" s="10" t="inlineStr">
        <is>
          <t>بالا</t>
        </is>
      </c>
      <c r="F28" s="10" t="inlineStr">
        <is>
          <t>Batch 6</t>
        </is>
      </c>
      <c r="G28" s="4" t="inlineStr">
        <is>
          <t>DIRECT_ANNUAL_REPORT_PLUS_TYPE19</t>
        </is>
      </c>
      <c r="H28" s="10" t="inlineStr">
        <is>
          <t>پنج شخص حقوقی و پنج نماینده ثابت</t>
        </is>
      </c>
      <c r="I28" s="5"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row>
    <row r="29" ht="24" customHeight="1" s="76">
      <c r="A29" s="8" t="inlineStr">
        <is>
          <t>وبملت</t>
        </is>
      </c>
      <c r="B29" s="9" t="inlineStr">
        <is>
          <t>تاییدشده</t>
        </is>
      </c>
      <c r="C29" s="8" t="inlineStr">
        <is>
          <t>بله</t>
        </is>
      </c>
      <c r="D29" s="8" t="inlineStr">
        <is>
          <t>قابل اعمال نیست</t>
        </is>
      </c>
      <c r="E29" s="8" t="inlineStr">
        <is>
          <t>بالا</t>
        </is>
      </c>
      <c r="F29" s="8" t="inlineStr">
        <is>
          <t>Batch 6</t>
        </is>
      </c>
      <c r="G29" s="4" t="inlineStr">
        <is>
          <t>DIRECT_TYPE19_COMPARISON</t>
        </is>
      </c>
      <c r="H29" s="8" t="inlineStr">
        <is>
          <t>اعضا حقیقی مستقیم؛ Representative Change قابل اعمال نیست</t>
        </is>
      </c>
      <c r="I29" s="5" t="inlineStr">
        <is>
          <t>SRC_MELT_1404_006 | افشای نوع ۱۹ | ۱۴۰۳ | ۱ | Snapshot اشخاص حقیقی ۱۴۰۳
SRC_MELT_1404_005 | افشای نوع ۱۹ | ۱۴۰۴ | ۱ | Snapshot اشخاص حقیقی ۱۴۰۴؛ فقط تغییر سمت</t>
        </is>
      </c>
    </row>
    <row r="30" ht="24" customHeight="1" s="76">
      <c r="A30" s="10" t="inlineStr">
        <is>
          <t>وبصادر</t>
        </is>
      </c>
      <c r="B30" s="9" t="inlineStr">
        <is>
          <t>تاییدشده</t>
        </is>
      </c>
      <c r="C30" s="10" t="inlineStr">
        <is>
          <t>بله</t>
        </is>
      </c>
      <c r="D30" s="10" t="inlineStr">
        <is>
          <t>قابل اعمال نیست</t>
        </is>
      </c>
      <c r="E30" s="10" t="inlineStr">
        <is>
          <t>بالا</t>
        </is>
      </c>
      <c r="F30" s="10" t="inlineStr">
        <is>
          <t>Batch 6</t>
        </is>
      </c>
      <c r="G30" s="4" t="inlineStr">
        <is>
          <t>DIRECT_ANNUAL_REPORT_COMPARISON</t>
        </is>
      </c>
      <c r="H30" s="10" t="inlineStr">
        <is>
          <t>اعضا حقیقی مستقیم؛ Representative Change قابل اعمال نیست</t>
        </is>
      </c>
      <c r="I30" s="5" t="inlineStr">
        <is>
          <t>SRC_VBSD_1404_002 | گزارش فعالیت هیئت مدیره | ۱۴۰۳ | ۳۸ تا ۳۹ | Snapshot مبنا ۱۴۰۳
SRC_VBSD_1404_001 | گزارش فعالیت هیئت مدیره | ۱۴۰۴ | ۴۵ تا ۴۶ | Snapshot مبنا ۱۴۰۴</t>
        </is>
      </c>
    </row>
    <row r="31" ht="24" customHeight="1" s="76">
      <c r="A31" s="8" t="inlineStr">
        <is>
          <t>وپاسار</t>
        </is>
      </c>
      <c r="B31" s="13" t="inlineStr">
        <is>
          <t>Not Found (v38)</t>
        </is>
      </c>
      <c r="C31" s="8" t="inlineStr">
        <is>
          <t>بله</t>
        </is>
      </c>
      <c r="D31" s="8" t="inlineStr">
        <is>
          <t>نامشخص</t>
        </is>
      </c>
      <c r="E31" s="8" t="inlineStr">
        <is>
          <t>حل نشده</t>
        </is>
      </c>
      <c r="F31" s="8" t="inlineStr">
        <is>
          <t>Batch 6</t>
        </is>
      </c>
      <c r="G31" s="4" t="inlineStr">
        <is>
          <t>ARCHIVE_AVAILABILITY_CHECK</t>
        </is>
      </c>
      <c r="H31" s="8" t="inlineStr">
        <is>
          <t>v38: FY1404 board report/Type19 وجود ندارد</t>
        </is>
      </c>
      <c r="I31" s="5"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row>
    <row r="32" ht="24" customHeight="1" s="76">
      <c r="A32" s="10" t="inlineStr">
        <is>
          <t>حکشتی</t>
        </is>
      </c>
      <c r="B32" s="14" t="inlineStr">
        <is>
          <t>Not Found (v38)</t>
        </is>
      </c>
      <c r="C32" s="10" t="inlineStr">
        <is>
          <t>خیر</t>
        </is>
      </c>
      <c r="D32" s="10" t="inlineStr">
        <is>
          <t>قابل اعمال نیست</t>
        </is>
      </c>
      <c r="E32" s="10" t="inlineStr">
        <is>
          <t>محدودیت ساختاری</t>
        </is>
      </c>
      <c r="F32" s="10" t="inlineStr">
        <is>
          <t>خارج از مخرج</t>
        </is>
      </c>
      <c r="G32" s="4" t="inlineStr">
        <is>
          <t>SEAT_LEVEL_ONLY</t>
        </is>
      </c>
      <c r="H32" s="10" t="inlineStr">
        <is>
          <t>v38: نام نماینده در هیچ سند کدال نیست</t>
        </is>
      </c>
      <c r="I32" s="5" t="inlineStr">
        <is>
          <t>Iran_BSI_v33_Phase4_2K_FinalTurnoverClosure.xlsx | شرکت های Seat Level | داده شخص حقیقی برای Turnover قابل اتکا نبود</t>
        </is>
      </c>
    </row>
    <row r="33" ht="24" customHeight="1" s="76">
      <c r="A33" s="8" t="inlineStr">
        <is>
          <t>شپدیس</t>
        </is>
      </c>
      <c r="B33" s="14" t="inlineStr">
        <is>
          <t>تاییدشده (v38)</t>
        </is>
      </c>
      <c r="C33" s="8" t="inlineStr">
        <is>
          <t>بله</t>
        </is>
      </c>
      <c r="D33" s="8" t="inlineStr">
        <is>
          <t>قابل محاسبه</t>
        </is>
      </c>
      <c r="E33" s="8" t="inlineStr">
        <is>
          <t>بالا</t>
        </is>
      </c>
      <c r="F33" s="8" t="inlineStr">
        <is>
          <t>خارج از مخرج</t>
        </is>
      </c>
      <c r="G33" s="4" t="inlineStr">
        <is>
          <t>TYPE19_CUTOFF_CHRONOLOGY_V38</t>
        </is>
      </c>
      <c r="H33" s="8" t="inlineStr">
        <is>
          <t>v38: Snapshot ۱۴۰۳/۱۱/۲۹ یافت شد؛ Confirmed</t>
        </is>
      </c>
      <c r="I33" s="5" t="inlineStr">
        <is>
          <t>Iran_BSI_v33_Phase4_2K_FinalTurnoverClosure.xlsx | وضعیت ۳۰ شرکت | سند FY1403 برای تطبیق دو ساله در دسترس نبود</t>
        </is>
      </c>
    </row>
  </sheetData>
  <autoFilter ref="A3:I33"/>
  <mergeCells count="2">
    <mergeCell ref="A1:I1"/>
    <mergeCell ref="A2:I2"/>
  </mergeCells>
  <pageMargins left="0.25" right="0.25" top="0.4" bottom="0.4" header="0.511811023622047" footer="0.511811023622047"/>
  <pageSetup orientation="portrait" fitToHeight="0" horizontalDpi="300" verticalDpi="300"/>
</worksheet>
</file>

<file path=xl/worksheets/sheet15.xml><?xml version="1.0" encoding="utf-8"?>
<worksheet xmlns="http://schemas.openxmlformats.org/spreadsheetml/2006/main">
  <sheetPr>
    <outlinePr summaryBelow="1" summaryRight="1"/>
    <pageSetUpPr fitToPage="1"/>
  </sheetPr>
  <dimension ref="A1:AA33"/>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42" customWidth="1" style="76" min="1" max="1"/>
    <col width="14.33203125" customWidth="1" style="76" min="2" max="2"/>
    <col width="18.1640625" customWidth="1" style="76" min="3" max="3"/>
    <col width="42" customWidth="1" style="76" min="4" max="4"/>
    <col width="21" customWidth="1" style="76" min="5" max="5"/>
    <col width="33.33203125" customWidth="1" style="76" min="6" max="6"/>
    <col width="16.33203125" customWidth="1" style="76" min="7" max="8"/>
    <col width="42" customWidth="1" style="76" min="9" max="9"/>
    <col width="20.1640625" customWidth="1" style="76" min="10" max="11"/>
    <col width="42" customWidth="1" style="76" min="12" max="12"/>
    <col width="22" customWidth="1" style="76" min="13" max="14"/>
    <col width="42" customWidth="1" style="76" min="15" max="15"/>
    <col width="15.33203125" customWidth="1" style="76" min="16" max="17"/>
    <col width="42" customWidth="1" style="76" min="18" max="18"/>
    <col width="11.5" customWidth="1" style="76" min="19" max="20"/>
    <col width="42" customWidth="1" style="76" min="21" max="21"/>
    <col width="12.5" customWidth="1" style="76" min="22" max="22"/>
    <col width="42" customWidth="1" style="76" min="23" max="23"/>
    <col width="23" customWidth="1" style="76" min="24" max="24"/>
    <col width="42" customWidth="1" style="76" min="25" max="27"/>
  </cols>
  <sheetData>
    <row r="1" ht="34" customHeight="1" s="76">
      <c r="A1" s="79" t="inlineStr">
        <is>
          <t>خانواده نهایی گردش هیئت مدیره و تغییر نماینده</t>
        </is>
      </c>
    </row>
    <row r="2" ht="28" customHeight="1" s="76">
      <c r="A2" s="82" t="inlineStr">
        <is>
          <t>تجمیع v33 و شش Batch تاییدشده، بدون حدس و با حفظ Missingness</t>
        </is>
      </c>
    </row>
    <row r="3" ht="34" customHeight="1" s="76">
      <c r="A3" s="28" t="inlineStr">
        <is>
          <t>شرکت</t>
        </is>
      </c>
      <c r="B3" s="28" t="inlineStr">
        <is>
          <t>گروه منبع</t>
        </is>
      </c>
      <c r="C3" s="28" t="inlineStr">
        <is>
          <t>کیفیت شواهد</t>
        </is>
      </c>
      <c r="D3" s="28" t="inlineStr">
        <is>
          <t>روش شواهد</t>
        </is>
      </c>
      <c r="E3" s="28" t="inlineStr">
        <is>
          <t>واجد شرایط Turnover</t>
        </is>
      </c>
      <c r="F3" s="28" t="inlineStr">
        <is>
          <t>ساختار نمایندگی حقوقی قابل اعمال</t>
        </is>
      </c>
      <c r="G3" s="28" t="inlineStr">
        <is>
          <t>صورت گردش فردی</t>
        </is>
      </c>
      <c r="H3" s="28" t="inlineStr">
        <is>
          <t>مخرج گردش فردی</t>
        </is>
      </c>
      <c r="I3" s="28" t="inlineStr">
        <is>
          <t>نرخ گردش فردی</t>
        </is>
      </c>
      <c r="J3" s="28" t="inlineStr">
        <is>
          <t>صورت تغییر نماینده</t>
        </is>
      </c>
      <c r="K3" s="28" t="inlineStr">
        <is>
          <t>مخرج تغییر نماینده</t>
        </is>
      </c>
      <c r="L3" s="28" t="inlineStr">
        <is>
          <t>نرخ تغییر نماینده</t>
        </is>
      </c>
      <c r="M3" s="28" t="inlineStr">
        <is>
          <t>صورت تغییر شخص حقوقی</t>
        </is>
      </c>
      <c r="N3" s="28" t="inlineStr">
        <is>
          <t>مخرج تغییر شخص حقوقی</t>
        </is>
      </c>
      <c r="O3" s="28" t="inlineStr">
        <is>
          <t>نرخ تغییر شخص حقوقی</t>
        </is>
      </c>
      <c r="P3" s="28" t="inlineStr">
        <is>
          <t>صورت عضو جدید</t>
        </is>
      </c>
      <c r="Q3" s="28" t="inlineStr">
        <is>
          <t>مخرج عضو جدید</t>
        </is>
      </c>
      <c r="R3" s="28" t="inlineStr">
        <is>
          <t>سهم اعضای جدید</t>
        </is>
      </c>
      <c r="S3" s="28" t="inlineStr">
        <is>
          <t>صورت ثبات</t>
        </is>
      </c>
      <c r="T3" s="28" t="inlineStr">
        <is>
          <t>مخرج ثبات</t>
        </is>
      </c>
      <c r="U3" s="28" t="inlineStr">
        <is>
          <t>نرخ ثبات</t>
        </is>
      </c>
      <c r="V3" s="28" t="inlineStr">
        <is>
          <t>تغییر رئیس</t>
        </is>
      </c>
      <c r="W3" s="28" t="inlineStr">
        <is>
          <t>یادداشت</t>
        </is>
      </c>
      <c r="X3" s="28" t="inlineStr">
        <is>
          <t>وضعیت نهایی</t>
        </is>
      </c>
      <c r="Y3" s="28" t="inlineStr">
        <is>
          <t>روش محاسبه</t>
        </is>
      </c>
      <c r="Z3" s="28" t="inlineStr">
        <is>
          <t>منبع مستقیم یا Source_ID</t>
        </is>
      </c>
      <c r="AA3" s="28" t="inlineStr">
        <is>
          <t>URL یا مسیر ردیابی</t>
        </is>
      </c>
    </row>
    <row r="4" ht="24" customHeight="1" s="76">
      <c r="A4" s="10" t="inlineStr">
        <is>
          <t>فملی</t>
        </is>
      </c>
      <c r="B4" s="10" t="inlineStr">
        <is>
          <t>پایه v33</t>
        </is>
      </c>
      <c r="C4" s="10" t="inlineStr">
        <is>
          <t>بالا</t>
        </is>
      </c>
      <c r="D4" s="4" t="inlineStr">
        <is>
          <t>DIRECT_ROSTER_COMPARISON</t>
        </is>
      </c>
      <c r="E4" s="10" t="inlineStr">
        <is>
          <t>بله</t>
        </is>
      </c>
      <c r="F4" s="10" t="inlineStr">
        <is>
          <t>بله</t>
        </is>
      </c>
      <c r="G4" s="10" t="n">
        <v>0</v>
      </c>
      <c r="H4" s="10" t="n">
        <v>5</v>
      </c>
      <c r="I4" s="11">
        <f>IF(AND(ISNUMBER(G4),ISNUMBER(H4),H4&gt;0),G4/H4,"")</f>
        <v>0</v>
      </c>
      <c r="J4" s="10" t="n">
        <v>0</v>
      </c>
      <c r="K4" s="10" t="n">
        <v>5</v>
      </c>
      <c r="L4" s="11">
        <f>IF(AND(ISNUMBER(J4),ISNUMBER(K4),K4&gt;0),J4/K4,"")</f>
        <v>0</v>
      </c>
      <c r="M4" s="10" t="n">
        <v>0</v>
      </c>
      <c r="N4" s="10" t="n">
        <v>5</v>
      </c>
      <c r="O4" s="11">
        <f>IF(AND(ISNUMBER(M4),ISNUMBER(N4),N4&gt;0),M4/N4,"")</f>
        <v>0</v>
      </c>
      <c r="P4" s="10" t="n">
        <v>0</v>
      </c>
      <c r="Q4" s="10" t="n">
        <v>5</v>
      </c>
      <c r="R4" s="11">
        <f>IF(AND(ISNUMBER(P4),ISNUMBER(Q4),Q4&gt;0),P4/Q4,"")</f>
        <v>0</v>
      </c>
      <c r="S4" s="10" t="n">
        <v>5</v>
      </c>
      <c r="T4" s="10" t="n">
        <v>5</v>
      </c>
      <c r="U4" s="11">
        <f>IF(AND(ISNUMBER(S4),ISNUMBER(T4),T4&gt;0),S4/T4,"")</f>
        <v>1</v>
      </c>
      <c r="V4" s="10" t="inlineStr">
        <is>
          <t>خیر</t>
        </is>
      </c>
      <c r="W4" s="10" t="inlineStr">
        <is>
          <t>تایید قبلی؛ بدون تغییر در همه کرسی های قابل مقایسه</t>
        </is>
      </c>
      <c r="X4" s="9" t="inlineStr">
        <is>
          <t>تاییدشده</t>
        </is>
      </c>
      <c r="Y4"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4" s="5" t="inlineStr">
        <is>
          <t>Iran_BSI_v33_Phase4_2K_FinalTurnoverClosure.xlsx | برگه های گردش اشخاص حقیقی، تغییر نماینده، تغییر شخص حقوقی، اعضای جدید، ثبات هیئت و تغییر رئیس</t>
        </is>
      </c>
      <c r="AA4" s="5" t="inlineStr">
        <is>
          <t>برای ردیابی پایه به فایل v33 و Source_IDهای همان فاز مراجعه شود</t>
        </is>
      </c>
    </row>
    <row r="5" ht="24" customHeight="1" s="76">
      <c r="A5" s="8" t="inlineStr">
        <is>
          <t>تاپیکو</t>
        </is>
      </c>
      <c r="B5" s="8" t="inlineStr">
        <is>
          <t>پایه v33</t>
        </is>
      </c>
      <c r="C5" s="8" t="inlineStr">
        <is>
          <t>بالا</t>
        </is>
      </c>
      <c r="D5" s="4" t="inlineStr">
        <is>
          <t>TYPE19_CUTOFF_CHRONOLOGY_V38</t>
        </is>
      </c>
      <c r="E5" s="8" t="inlineStr">
        <is>
          <t>بله</t>
        </is>
      </c>
      <c r="F5" s="8" t="inlineStr">
        <is>
          <t>بله</t>
        </is>
      </c>
      <c r="G5" s="8" t="n">
        <v>3</v>
      </c>
      <c r="H5" s="8" t="n">
        <v>5</v>
      </c>
      <c r="I5" s="12">
        <f>IF(AND(ISNUMBER(G5),ISNUMBER(H5),H5&gt;0),G5/H5,"")</f>
        <v>0.6</v>
      </c>
      <c r="J5" s="8" t="n">
        <v>3</v>
      </c>
      <c r="K5" s="8" t="n">
        <v>5</v>
      </c>
      <c r="L5" s="12">
        <f>IF(AND(ISNUMBER(J5),ISNUMBER(K5),K5&gt;0),J5/K5,"")</f>
        <v>0.6</v>
      </c>
      <c r="M5" s="8" t="n">
        <v>0</v>
      </c>
      <c r="N5" s="8" t="n">
        <v>5</v>
      </c>
      <c r="O5" s="12">
        <f>IF(AND(ISNUMBER(M5),ISNUMBER(N5),N5&gt;0),M5/N5,"")</f>
        <v>0</v>
      </c>
      <c r="P5" s="8" t="n">
        <v>3</v>
      </c>
      <c r="Q5" s="8" t="n">
        <v>5</v>
      </c>
      <c r="R5" s="12">
        <f>IF(AND(ISNUMBER(P5),ISNUMBER(Q5),Q5&gt;0),P5/Q5,"")</f>
        <v>0.6</v>
      </c>
      <c r="S5" s="8" t="n">
        <v>2</v>
      </c>
      <c r="T5" s="8" t="n">
        <v>5</v>
      </c>
      <c r="U5" s="12">
        <f>IF(AND(ISNUMBER(S5),ISNUMBER(T5),T5&gt;0),S5/T5,"")</f>
        <v>0.4</v>
      </c>
      <c r="V5" s="8" t="inlineStr">
        <is>
          <t>بله</t>
        </is>
      </c>
      <c r="W5" s="8" t="inlineStr">
        <is>
          <t>v38: 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 می‌کنند. | جدول ۱۴۰۴/۱۲/۲۹ از اطلاعیه ۱۴۷۷۹۱۸ (جلسه ۱۴۰۴/۱۰/۱۸؛ اصلاحیه ثبت روزنامه رسمی)؛ اطلاعیه بعدی ۱۴۸۲۳۲۹ جلسه ۱۴۰۵/۰۳/۰۳ پس از Cutoff است. | سطح اطمینان Confirmed</t>
        </is>
      </c>
      <c r="X5" s="9" t="inlineStr">
        <is>
          <t>تاییدشده (v38)</t>
        </is>
      </c>
      <c r="Y5"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5" s="5" t="inlineStr">
        <is>
          <t>Iran_BSI_v33_Phase4_2K_FinalTurnoverClosure.xlsx | برگه های گردش اشخاص حقیقی، تغییر نماینده، تغییر شخص حقوقی، اعضای جدید، ثبات هیئت و تغییر رئیس | v38 TracingNo: 1311653 ؛ 1379918 ؛ 1408462 ؛ 1477918</t>
        </is>
      </c>
      <c r="AA5" s="5" t="inlineStr">
        <is>
          <t>https://www.codal.ir/Reports/Decision.aspx?LetterSerial=QijK3OnJnjtoOOObOOOYV1GqeqyQ%3d%3d&amp;rt=2&amp;let=19&amp;ct=0&amp;ft=-1 ؛ https://www.codal.ir/Reports/Decision.aspx?LetterSerial=gXBd7BQ0zRHOwYIn4yd4zg%3d%3d&amp;rt=2&amp;let=19&amp;ct=0&amp;ft=-1 ؛ https://www.codal.ir/Reports/Decision.aspx?LetterSerial=9W5KqOFDkv3BoGKhfVCF0w%3d%3d&amp;rt=2&amp;let=19&amp;ct=0&amp;ft=-1 ؛ https://www.codal.ir/Reports/Decision.aspx?LetterSerial=Exef5qCkFaU4GYSKSR3wjg%3d%3d&amp;rt=2&amp;let=19&amp;ct=0&amp;ft=-1</t>
        </is>
      </c>
    </row>
    <row r="6" ht="24" customHeight="1" s="76">
      <c r="A6" s="10" t="inlineStr">
        <is>
          <t>فارس</t>
        </is>
      </c>
      <c r="B6" s="10" t="inlineStr">
        <is>
          <t>پایه v33</t>
        </is>
      </c>
      <c r="C6" s="10" t="inlineStr">
        <is>
          <t>بالا</t>
        </is>
      </c>
      <c r="D6" s="4" t="inlineStr">
        <is>
          <t>DIRECT_ROSTER_COMPARISON</t>
        </is>
      </c>
      <c r="E6" s="10" t="inlineStr">
        <is>
          <t>بله</t>
        </is>
      </c>
      <c r="F6" s="10" t="inlineStr">
        <is>
          <t>بله</t>
        </is>
      </c>
      <c r="G6" s="10" t="n">
        <v>3</v>
      </c>
      <c r="H6" s="10" t="n">
        <v>5</v>
      </c>
      <c r="I6" s="11">
        <f>IF(AND(ISNUMBER(G6),ISNUMBER(H6),H6&gt;0),G6/H6,"")</f>
        <v>0.6</v>
      </c>
      <c r="J6" s="10" t="n">
        <v>3</v>
      </c>
      <c r="K6" s="10" t="n">
        <v>5</v>
      </c>
      <c r="L6" s="11">
        <f>IF(AND(ISNUMBER(J6),ISNUMBER(K6),K6&gt;0),J6/K6,"")</f>
        <v>0.6</v>
      </c>
      <c r="M6" s="10" t="n">
        <v>0</v>
      </c>
      <c r="N6" s="10" t="n">
        <v>5</v>
      </c>
      <c r="O6" s="11">
        <f>IF(AND(ISNUMBER(M6),ISNUMBER(N6),N6&gt;0),M6/N6,"")</f>
        <v>0</v>
      </c>
      <c r="P6" s="10" t="n">
        <v>3</v>
      </c>
      <c r="Q6" s="10" t="n">
        <v>5</v>
      </c>
      <c r="R6" s="11">
        <f>IF(AND(ISNUMBER(P6),ISNUMBER(Q6),Q6&gt;0),P6/Q6,"")</f>
        <v>0.6</v>
      </c>
      <c r="S6" s="10" t="n">
        <v>2</v>
      </c>
      <c r="T6" s="10" t="n">
        <v>5</v>
      </c>
      <c r="U6" s="11">
        <f>IF(AND(ISNUMBER(S6),ISNUMBER(T6),T6&gt;0),S6/T6,"")</f>
        <v>0.4</v>
      </c>
      <c r="V6" s="10" t="inlineStr">
        <is>
          <t>بله</t>
        </is>
      </c>
      <c r="W6" s="10" t="inlineStr">
        <is>
          <t>نمونه مهم تغییر نماینده با شخص حقوقی ثابت | v36: مخرج ۵ طبق SRC_FARS_1404_010 ص۴۲ (نرخ ۶۰٪)</t>
        </is>
      </c>
      <c r="X6" s="9" t="inlineStr">
        <is>
          <t>تاییدشده با اصلاح مخرج REF08</t>
        </is>
      </c>
      <c r="Y6"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6" s="5"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AA6" s="5" t="inlineStr">
        <is>
          <t>برای ردیابی پایه به فایل v33 و Source_IDهای همان فاز مراجعه شود</t>
        </is>
      </c>
    </row>
    <row r="7" ht="24" customHeight="1" s="76">
      <c r="A7" s="8" t="inlineStr">
        <is>
          <t>خودرو</t>
        </is>
      </c>
      <c r="B7" s="8" t="inlineStr">
        <is>
          <t>پایه v33</t>
        </is>
      </c>
      <c r="C7" s="8" t="inlineStr">
        <is>
          <t>بالا</t>
        </is>
      </c>
      <c r="D7" s="4" t="inlineStr">
        <is>
          <t>TYPE19_CUTOFF_CHRONOLOGY_V38</t>
        </is>
      </c>
      <c r="E7" s="8" t="inlineStr">
        <is>
          <t>بله</t>
        </is>
      </c>
      <c r="F7" s="8" t="inlineStr">
        <is>
          <t>بله</t>
        </is>
      </c>
      <c r="G7" s="8" t="n">
        <v>1</v>
      </c>
      <c r="H7" s="8" t="n">
        <v>5</v>
      </c>
      <c r="I7" s="12">
        <f>IF(AND(ISNUMBER(G7),ISNUMBER(H7),H7&gt;0),G7/H7,"")</f>
        <v>0.2</v>
      </c>
      <c r="J7" s="8" t="n">
        <v>1</v>
      </c>
      <c r="K7" s="8" t="n">
        <v>5</v>
      </c>
      <c r="L7" s="12">
        <f>IF(AND(ISNUMBER(J7),ISNUMBER(K7),K7&gt;0),J7/K7,"")</f>
        <v>0.2</v>
      </c>
      <c r="M7" s="8" t="n">
        <v>0</v>
      </c>
      <c r="N7" s="8" t="n">
        <v>5</v>
      </c>
      <c r="O7" s="12">
        <f>IF(AND(ISNUMBER(M7),ISNUMBER(N7),N7&gt;0),M7/N7,"")</f>
        <v>0</v>
      </c>
      <c r="P7" s="8" t="n">
        <v>1</v>
      </c>
      <c r="Q7" s="8" t="n">
        <v>5</v>
      </c>
      <c r="R7" s="12">
        <f>IF(AND(ISNUMBER(P7),ISNUMBER(Q7),Q7&gt;0),P7/Q7,"")</f>
        <v>0.2</v>
      </c>
      <c r="S7" s="8" t="n">
        <v>4</v>
      </c>
      <c r="T7" s="8" t="n">
        <v>5</v>
      </c>
      <c r="U7" s="12">
        <f>IF(AND(ISNUMBER(S7),ISNUMBER(T7),T7&gt;0),S7/T7,"")</f>
        <v>0.8</v>
      </c>
      <c r="V7" s="8" t="inlineStr">
        <is>
          <t>خیر</t>
        </is>
      </c>
      <c r="W7" s="8" t="inlineStr">
        <is>
          <t>v38: Cutoff ۱۴۰۳/۱۲/۲۹ از اطلاعیه ۱۳۰۶۷۴۰ (۱۴۰۳/۱۱/۲۱) و اصلاحیه ۱۳۰۸۷۴۴ پس از مجمع ۱۴۰۳/۱۱/۱۷ (تعویض کامل اشخاص حقوقی)؛ گزارش FY1404 ص۵۳ تاریخ‌های عضویت را تایید می‌کند. | Cutoff ۱۴۰۴/۱۲/۲۹ از اطلاعیه ۱۴۱۷۸۵۰ (جلسه ۱۴۰۴/۰۷/۱۹) و گزارش FY1404 ص۵۳؛ تغییرات بعدی (۱۴۰۵/۰۲/۰۱ به بعد) پس از Cutoff است. | سطح اطمینان Confirmed</t>
        </is>
      </c>
      <c r="X7" s="9" t="inlineStr">
        <is>
          <t>تاییدشده (v38)</t>
        </is>
      </c>
      <c r="Y7"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7" s="5" t="inlineStr">
        <is>
          <t>Iran_BSI_v33_Phase4_2K_FinalTurnoverClosure.xlsx | روش MEMBERSHIP_START_RECONSTRUCTION و برگه های خانواده Turnover | v38 TracingNo: 1306740 ؛ 1417850</t>
        </is>
      </c>
      <c r="AA7" s="5" t="inlineStr">
        <is>
          <t>https://www.codal.ir/Reports/Decision.aspx?LetterSerial=gVTCoHYs1M0v5mNrsaCDkA%3d%3d&amp;rt=0&amp;let=19&amp;ct=0&amp;ft=-1 ؛ https://www.codal.ir/Reports/Decision.aspx?LetterSerial=8qXiOOObOOOscQQQaQQQfIOkx3DWj8Uw1Q%3d%3d&amp;rt=0&amp;let=19&amp;ct=0&amp;ft=-1</t>
        </is>
      </c>
    </row>
    <row r="8" ht="24" customHeight="1" s="76">
      <c r="A8" s="10" t="inlineStr">
        <is>
          <t>زاگرس</t>
        </is>
      </c>
      <c r="B8" s="10" t="inlineStr">
        <is>
          <t>پایه v33</t>
        </is>
      </c>
      <c r="C8" s="10" t="inlineStr">
        <is>
          <t>بالا</t>
        </is>
      </c>
      <c r="D8" s="4" t="inlineStr">
        <is>
          <t>DIRECT_ROSTER_COMPARISON</t>
        </is>
      </c>
      <c r="E8" s="10" t="inlineStr">
        <is>
          <t>بله</t>
        </is>
      </c>
      <c r="F8" s="10" t="inlineStr">
        <is>
          <t>بله</t>
        </is>
      </c>
      <c r="G8" s="10" t="n">
        <v>2</v>
      </c>
      <c r="H8" s="10" t="n">
        <v>3</v>
      </c>
      <c r="I8" s="11">
        <f>IF(AND(ISNUMBER(G8),ISNUMBER(H8),H8&gt;0),G8/H8,"")</f>
        <v>0.6666666666666666</v>
      </c>
      <c r="J8" s="10" t="n">
        <v>2</v>
      </c>
      <c r="K8" s="10" t="n">
        <v>3</v>
      </c>
      <c r="L8" s="11">
        <f>IF(AND(ISNUMBER(J8),ISNUMBER(K8),K8&gt;0),J8/K8,"")</f>
        <v>0.6666666666666666</v>
      </c>
      <c r="M8" s="10" t="n">
        <v>0</v>
      </c>
      <c r="N8" s="10" t="n">
        <v>3</v>
      </c>
      <c r="O8" s="11">
        <f>IF(AND(ISNUMBER(M8),ISNUMBER(N8),N8&gt;0),M8/N8,"")</f>
        <v>0</v>
      </c>
      <c r="P8" s="10" t="n">
        <v>2</v>
      </c>
      <c r="Q8" s="10" t="n">
        <v>4</v>
      </c>
      <c r="R8" s="11">
        <f>IF(AND(ISNUMBER(P8),ISNUMBER(Q8),Q8&gt;0),P8/Q8,"")</f>
        <v>0.5</v>
      </c>
      <c r="S8" s="10" t="n">
        <v>1</v>
      </c>
      <c r="T8" s="10" t="n">
        <v>3</v>
      </c>
      <c r="U8" s="11">
        <f>IF(AND(ISNUMBER(S8),ISNUMBER(T8),T8&gt;0),S8/T8,"")</f>
        <v>0.3333333333333333</v>
      </c>
      <c r="V8" s="10" t="inlineStr">
        <is>
          <t>بله</t>
        </is>
      </c>
      <c r="W8" s="10" t="inlineStr">
        <is>
          <t>دو تغییر نماینده در سه کرسی تاییدشده</t>
        </is>
      </c>
      <c r="X8" s="9" t="inlineStr">
        <is>
          <t>تاییدشده</t>
        </is>
      </c>
      <c r="Y8"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8" s="5"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AA8" s="5" t="inlineStr">
        <is>
          <t>برای ردیابی پایه به فایل v33 و Source_IDهای همان فاز مراجعه شود</t>
        </is>
      </c>
    </row>
    <row r="9" ht="24" customHeight="1" s="76">
      <c r="A9" s="8" t="inlineStr">
        <is>
          <t>شبندر</t>
        </is>
      </c>
      <c r="B9" s="8" t="inlineStr">
        <is>
          <t>Batch 1</t>
        </is>
      </c>
      <c r="C9" s="8" t="inlineStr">
        <is>
          <t>متوسط</t>
        </is>
      </c>
      <c r="D9" s="4" t="inlineStr">
        <is>
          <t>MULTI_SOURCE_ROSTER_COMPARISON</t>
        </is>
      </c>
      <c r="E9" s="8" t="inlineStr">
        <is>
          <t>بله</t>
        </is>
      </c>
      <c r="F9" s="8" t="inlineStr">
        <is>
          <t>بله</t>
        </is>
      </c>
      <c r="G9" s="8" t="n">
        <v>2</v>
      </c>
      <c r="H9" s="8" t="n">
        <v>5</v>
      </c>
      <c r="I9" s="12">
        <f>IF(AND(ISNUMBER(G9),ISNUMBER(H9),H9&gt;0),G9/H9,"")</f>
        <v>0.4</v>
      </c>
      <c r="J9" s="8" t="n">
        <v>0</v>
      </c>
      <c r="K9" s="8" t="n">
        <v>3</v>
      </c>
      <c r="L9" s="12">
        <f>IF(AND(ISNUMBER(J9),ISNUMBER(K9),K9&gt;0),J9/K9,"")</f>
        <v>0</v>
      </c>
      <c r="M9" s="8" t="n">
        <v>2</v>
      </c>
      <c r="N9" s="8" t="n">
        <v>5</v>
      </c>
      <c r="O9" s="12">
        <f>IF(AND(ISNUMBER(M9),ISNUMBER(N9),N9&gt;0),M9/N9,"")</f>
        <v>0.4</v>
      </c>
      <c r="P9" s="8" t="n">
        <v>2</v>
      </c>
      <c r="Q9" s="8" t="n">
        <v>5</v>
      </c>
      <c r="R9" s="12">
        <f>IF(AND(ISNUMBER(P9),ISNUMBER(Q9),Q9&gt;0),P9/Q9,"")</f>
        <v>0.4</v>
      </c>
      <c r="S9" s="8" t="n">
        <v>3</v>
      </c>
      <c r="T9" s="8" t="n">
        <v>5</v>
      </c>
      <c r="U9" s="12">
        <f>IF(AND(ISNUMBER(S9),ISNUMBER(T9),T9&gt;0),S9/T9,"")</f>
        <v>0.6</v>
      </c>
      <c r="V9" s="8" t="inlineStr">
        <is>
          <t>بله</t>
        </is>
      </c>
      <c r="W9" s="8" t="inlineStr">
        <is>
          <t>رمزگذاری عربی سند با جستجوی دو الفبا حل شد</t>
        </is>
      </c>
      <c r="X9" s="9" t="inlineStr">
        <is>
          <t>تاییدشده</t>
        </is>
      </c>
      <c r="Y9"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9" s="5"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c r="AA9" s="15" t="inlineStr">
        <is>
          <t>https://www.codal.ir/Reports/Decision.aspx?LetterSerial=ULk65ZOHpAkFOOObOOOb3pLpblJQ%3d%3d&amp;rt=0&amp;let=19&amp;ct=0&amp;ft=-1
https://www.codal.ir/Reports/Decision.aspx?LetterSerial=kealwqnfPYdWwbR3UB9uZw%3d%3d&amp;rt=0&amp;let=19&amp;ct=0&amp;ft=-1</t>
        </is>
      </c>
    </row>
    <row r="10" ht="24" customHeight="1" s="76">
      <c r="A10" s="10" t="inlineStr">
        <is>
          <t>پارس</t>
        </is>
      </c>
      <c r="B10" s="10" t="inlineStr">
        <is>
          <t>Batch 1</t>
        </is>
      </c>
      <c r="C10" s="10" t="inlineStr">
        <is>
          <t>متوسط</t>
        </is>
      </c>
      <c r="D10" s="4" t="inlineStr">
        <is>
          <t>TYPE19_CHRONOLOGY</t>
        </is>
      </c>
      <c r="E10" s="10" t="inlineStr">
        <is>
          <t>بله</t>
        </is>
      </c>
      <c r="F10" s="10" t="inlineStr">
        <is>
          <t>بله</t>
        </is>
      </c>
      <c r="G10" s="10" t="n">
        <v>3</v>
      </c>
      <c r="H10" s="10" t="n">
        <v>5</v>
      </c>
      <c r="I10" s="11">
        <f>IF(AND(ISNUMBER(G10),ISNUMBER(H10),H10&gt;0),G10/H10,"")</f>
        <v>0.6</v>
      </c>
      <c r="J10" s="10" t="n">
        <v>3</v>
      </c>
      <c r="K10" s="10" t="n">
        <v>5</v>
      </c>
      <c r="L10" s="11">
        <f>IF(AND(ISNUMBER(J10),ISNUMBER(K10),K10&gt;0),J10/K10,"")</f>
        <v>0.6</v>
      </c>
      <c r="M10" s="10" t="n">
        <v>0</v>
      </c>
      <c r="N10" s="10" t="n">
        <v>5</v>
      </c>
      <c r="O10" s="11">
        <f>IF(AND(ISNUMBER(M10),ISNUMBER(N10),N10&gt;0),M10/N10,"")</f>
        <v>0</v>
      </c>
      <c r="P10" s="10" t="n">
        <v>3</v>
      </c>
      <c r="Q10" s="10" t="n">
        <v>5</v>
      </c>
      <c r="R10" s="11">
        <f>IF(AND(ISNUMBER(P10),ISNUMBER(Q10),Q10&gt;0),P10/Q10,"")</f>
        <v>0.6</v>
      </c>
      <c r="S10" s="10" t="n">
        <v>2</v>
      </c>
      <c r="T10" s="10" t="n">
        <v>5</v>
      </c>
      <c r="U10" s="11">
        <f>IF(AND(ISNUMBER(S10),ISNUMBER(T10),T10&gt;0),S10/T10,"")</f>
        <v>0.4</v>
      </c>
      <c r="V10" s="10" t="inlineStr">
        <is>
          <t>بله</t>
        </is>
      </c>
      <c r="W10" s="10" t="inlineStr">
        <is>
          <t>FY1403 از ستون نماینده قبلی افشای نوع ۱۹ بازسازی شد</t>
        </is>
      </c>
      <c r="X10" s="9" t="inlineStr">
        <is>
          <t>تاییدشده</t>
        </is>
      </c>
      <c r="Y10"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0" s="5"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AA10" s="15" t="inlineStr">
        <is>
          <t>https://www.codal.ir/Reports/Decision.aspx?LetterSerial=sjHofZygVLXICVj8iXL3Aw%3d%3d&amp;rt=0&amp;let=19&amp;ct=0&amp;ft=-1
https://www.codal.ir/Reports/Decision.aspx?LetterSerial=1kqm2T6e5zV5EQQQaQQQKdlIj9HA%3d%3d&amp;rt=0&amp;let=19&amp;ct=0&amp;ft=-1</t>
        </is>
      </c>
    </row>
    <row r="11" ht="24" customHeight="1" s="76">
      <c r="A11" s="8" t="inlineStr">
        <is>
          <t>شتران</t>
        </is>
      </c>
      <c r="B11" s="8" t="inlineStr">
        <is>
          <t>Batch 1</t>
        </is>
      </c>
      <c r="C11" s="8" t="inlineStr">
        <is>
          <t>بالا</t>
        </is>
      </c>
      <c r="D11" s="4" t="inlineStr">
        <is>
          <t>DIRECT_ROSTER_COMPARISON</t>
        </is>
      </c>
      <c r="E11" s="8" t="inlineStr">
        <is>
          <t>بله</t>
        </is>
      </c>
      <c r="F11" s="8" t="inlineStr">
        <is>
          <t>بله</t>
        </is>
      </c>
      <c r="G11" s="8" t="n">
        <v>1</v>
      </c>
      <c r="H11" s="8" t="n">
        <v>5</v>
      </c>
      <c r="I11" s="12">
        <f>IF(AND(ISNUMBER(G11),ISNUMBER(H11),H11&gt;0),G11/H11,"")</f>
        <v>0.2</v>
      </c>
      <c r="J11" s="8" t="n">
        <v>1</v>
      </c>
      <c r="K11" s="8" t="n">
        <v>5</v>
      </c>
      <c r="L11" s="12">
        <f>IF(AND(ISNUMBER(J11),ISNUMBER(K11),K11&gt;0),J11/K11,"")</f>
        <v>0.2</v>
      </c>
      <c r="M11" s="8" t="n">
        <v>0</v>
      </c>
      <c r="N11" s="8" t="n">
        <v>5</v>
      </c>
      <c r="O11" s="12">
        <f>IF(AND(ISNUMBER(M11),ISNUMBER(N11),N11&gt;0),M11/N11,"")</f>
        <v>0</v>
      </c>
      <c r="P11" s="8" t="n">
        <v>1</v>
      </c>
      <c r="Q11" s="8" t="n">
        <v>5</v>
      </c>
      <c r="R11" s="12">
        <f>IF(AND(ISNUMBER(P11),ISNUMBER(Q11),Q11&gt;0),P11/Q11,"")</f>
        <v>0.2</v>
      </c>
      <c r="S11" s="8" t="n">
        <v>4</v>
      </c>
      <c r="T11" s="8" t="n">
        <v>5</v>
      </c>
      <c r="U11" s="12">
        <f>IF(AND(ISNUMBER(S11),ISNUMBER(T11),T11&gt;0),S11/T11,"")</f>
        <v>0.8</v>
      </c>
      <c r="V11" s="8" t="inlineStr">
        <is>
          <t>خیر</t>
        </is>
      </c>
      <c r="W11" s="8" t="inlineStr">
        <is>
          <t>مقایسه مستقیم دو گزارش</t>
        </is>
      </c>
      <c r="X11" s="9" t="inlineStr">
        <is>
          <t>تاییدشده</t>
        </is>
      </c>
      <c r="Y11"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1" s="5"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AA11" s="15" t="inlineStr">
        <is>
          <t>https://www.codal.ir/Reports/Attachment.aspx?LetterSerial=W3P2HVjIaDXFbdMemqSeUA%3d%3d
https://www.codal.ir/Reports/Attachment.aspx?LetterSerial=F0veQQQaQQQX4tai7nAftHYyrDhg%3d%3d</t>
        </is>
      </c>
    </row>
    <row r="12" ht="24" customHeight="1" s="76">
      <c r="A12" s="10" t="inlineStr">
        <is>
          <t>وتجارت</t>
        </is>
      </c>
      <c r="B12" s="10" t="inlineStr">
        <is>
          <t>Batch 2</t>
        </is>
      </c>
      <c r="C12" s="10" t="inlineStr">
        <is>
          <t>بالا</t>
        </is>
      </c>
      <c r="D12" s="4" t="inlineStr">
        <is>
          <t>DIRECT_ROSTER_COMPARISON_WITH_BOARD_SIZE_CHANGE (v38 بازبینی: خروج بدون جایگزین)</t>
        </is>
      </c>
      <c r="E12" s="10" t="inlineStr">
        <is>
          <t>بله</t>
        </is>
      </c>
      <c r="F12" s="10" t="inlineStr">
        <is>
          <t>خیر</t>
        </is>
      </c>
      <c r="G12" s="10" t="n">
        <v>1</v>
      </c>
      <c r="H12" s="10" t="n">
        <v>5</v>
      </c>
      <c r="I12" s="11">
        <f>IF(AND(ISNUMBER(G12),ISNUMBER(H12),H12&gt;0),G12/H12,"")</f>
        <v>0.2</v>
      </c>
      <c r="J12" s="2" t="n"/>
      <c r="K12" s="2" t="n"/>
      <c r="L12" s="11">
        <f>IF(AND(ISNUMBER(J12),ISNUMBER(K12),K12&gt;0),J12/K12,"")</f>
      </c>
      <c r="M12" s="2" t="n"/>
      <c r="N12" s="2" t="n"/>
      <c r="O12" s="11">
        <f>IF(AND(ISNUMBER(M12),ISNUMBER(N12),N12&gt;0),M12/N12,"")</f>
      </c>
      <c r="P12" s="10" t="n">
        <v>0</v>
      </c>
      <c r="Q12" s="10" t="n">
        <v>4</v>
      </c>
      <c r="R12" s="11">
        <f>IF(AND(ISNUMBER(P12),ISNUMBER(Q12),Q12&gt;0),P12/Q12,"")</f>
        <v>0</v>
      </c>
      <c r="S12" s="10" t="n">
        <v>4</v>
      </c>
      <c r="T12" s="10" t="n">
        <v>5</v>
      </c>
      <c r="U12" s="11">
        <f>IF(AND(ISNUMBER(S12),ISNUMBER(T12),T12&gt;0),S12/T12,"")</f>
        <v>0.8</v>
      </c>
      <c r="V12" s="10" t="inlineStr">
        <is>
          <t>خیر</t>
        </is>
      </c>
      <c r="W12" s="10" t="inlineStr">
        <is>
          <t>v38: Cutoff ۱۴۰۳/۱۲/۲۹: ۵ عضو حقیقی مستقیم (اطلاعیه ۱۱۵۹۹۳۶؛ AGM FY1403 اطلاعیه ۱۳۸۵۲۵۳: «آخرین اعضا در سال مالی»). | Cutoff ۱۴۰۴/۱۲/۲۹: ۴ عضو (اطلاعیه اصلاحی ۱۴۴۴۱۵۴ و جدول جلسات گزارش FY1404 ۱۵۷۳۰۳۲). | سطح اطمینان Needs Review</t>
        </is>
      </c>
      <c r="X12" s="9" t="inlineStr">
        <is>
          <t>ساختار تایید؛ مقدار حفظ؛ تاریخ خروج Needs Review (v38)</t>
        </is>
      </c>
      <c r="Y12"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2" s="5"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 | v38 TracingNo: 1159936 ؛ 1444154</t>
        </is>
      </c>
      <c r="AA12" s="5" t="inlineStr">
        <is>
          <t>https://www.codal.ir/Reports/Decision.aspx?LetterSerial=OqEx%2bg3X3xQQQaQQQ1V8FTa1bU9w%3d%3d&amp;rt=3&amp;let=19&amp;ct=0&amp;ft=-1 ؛ https://www.codal.ir/Reports/Decision.aspx?LetterSerial=tL1npzfj3XSDR4oEqs1VIw%3d%3d&amp;rt=3&amp;let=19&amp;ct=0&amp;ft=-1</t>
        </is>
      </c>
    </row>
    <row r="13" ht="24" customHeight="1" s="76">
      <c r="A13" s="8" t="inlineStr">
        <is>
          <t>رمپنا</t>
        </is>
      </c>
      <c r="B13" s="8" t="inlineStr">
        <is>
          <t>Batch 2</t>
        </is>
      </c>
      <c r="C13" s="8" t="inlineStr">
        <is>
          <t>متوسط</t>
        </is>
      </c>
      <c r="D13" s="4" t="inlineStr">
        <is>
          <t>TYPE19_CHRONOLOGY</t>
        </is>
      </c>
      <c r="E13" s="8" t="inlineStr">
        <is>
          <t>بله</t>
        </is>
      </c>
      <c r="F13" s="8" t="inlineStr">
        <is>
          <t>بله</t>
        </is>
      </c>
      <c r="G13" s="8" t="n">
        <v>2</v>
      </c>
      <c r="H13" s="8" t="n">
        <v>5</v>
      </c>
      <c r="I13" s="12">
        <f>IF(AND(ISNUMBER(G13),ISNUMBER(H13),H13&gt;0),G13/H13,"")</f>
        <v>0.4</v>
      </c>
      <c r="J13" s="8" t="n">
        <v>1</v>
      </c>
      <c r="K13" s="8" t="n">
        <v>1</v>
      </c>
      <c r="L13" s="12">
        <f>IF(AND(ISNUMBER(J13),ISNUMBER(K13),K13&gt;0),J13/K13,"")</f>
        <v>1</v>
      </c>
      <c r="M13" s="8" t="n">
        <v>4</v>
      </c>
      <c r="N13" s="8" t="n">
        <v>5</v>
      </c>
      <c r="O13" s="12">
        <f>IF(AND(ISNUMBER(M13),ISNUMBER(N13),N13&gt;0),M13/N13,"")</f>
        <v>0.8</v>
      </c>
      <c r="P13" s="8" t="n">
        <v>2</v>
      </c>
      <c r="Q13" s="8" t="n">
        <v>5</v>
      </c>
      <c r="R13" s="12">
        <f>IF(AND(ISNUMBER(P13),ISNUMBER(Q13),Q13&gt;0),P13/Q13,"")</f>
        <v>0.4</v>
      </c>
      <c r="S13" s="8" t="n">
        <v>3</v>
      </c>
      <c r="T13" s="8" t="n">
        <v>5</v>
      </c>
      <c r="U13" s="12">
        <f>IF(AND(ISNUMBER(S13),ISNUMBER(T13),T13&gt;0),S13/T13,"")</f>
        <v>0.6</v>
      </c>
      <c r="V13" s="8" t="inlineStr">
        <is>
          <t>نامشخص</t>
        </is>
      </c>
      <c r="W13" s="8" t="inlineStr">
        <is>
          <t>Look Ahead حذف شد؛ مخرج Representative Change فقط یک کرسی ثابت است</t>
        </is>
      </c>
      <c r="X13" s="9" t="inlineStr">
        <is>
          <t>تاییدشده</t>
        </is>
      </c>
      <c r="Y13"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3" s="5"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AA13" s="15" t="inlineStr">
        <is>
          <t>https://www.codal.ir/Reports/Decision.aspx?LetterSerial=gsard4xmaj4Zi8yOS8AWMA%3d%3d&amp;rt=5&amp;let=19&amp;ct=0&amp;ft=-1
https://www.codal.ir/Reports/Decision.aspx?LetterSerial=4P4QQQaQQQssbMX9ZMuZVciqBKOOObOOOg%3d%3d&amp;rt=5&amp;let=19&amp;ct=0&amp;ft=-1</t>
        </is>
      </c>
    </row>
    <row r="14" ht="24" customHeight="1" s="76">
      <c r="A14" s="10" t="inlineStr">
        <is>
          <t>فخوز</t>
        </is>
      </c>
      <c r="B14" s="10" t="inlineStr">
        <is>
          <t>Batch 2</t>
        </is>
      </c>
      <c r="C14" s="10" t="inlineStr">
        <is>
          <t>بالا</t>
        </is>
      </c>
      <c r="D14" s="4" t="inlineStr">
        <is>
          <t>MULTI_SOURCE_RECONCILIATION</t>
        </is>
      </c>
      <c r="E14" s="10" t="inlineStr">
        <is>
          <t>بله</t>
        </is>
      </c>
      <c r="F14" s="10" t="inlineStr">
        <is>
          <t>بله</t>
        </is>
      </c>
      <c r="G14" s="10" t="n">
        <v>4</v>
      </c>
      <c r="H14" s="10" t="n">
        <v>5</v>
      </c>
      <c r="I14" s="11">
        <f>IF(AND(ISNUMBER(G14),ISNUMBER(H14),H14&gt;0),G14/H14,"")</f>
        <v>0.8</v>
      </c>
      <c r="J14" s="10" t="n">
        <v>3</v>
      </c>
      <c r="K14" s="10" t="n">
        <v>4</v>
      </c>
      <c r="L14" s="11">
        <f>IF(AND(ISNUMBER(J14),ISNUMBER(K14),K14&gt;0),J14/K14,"")</f>
        <v>0.75</v>
      </c>
      <c r="M14" s="10" t="n">
        <v>1</v>
      </c>
      <c r="N14" s="10" t="n">
        <v>5</v>
      </c>
      <c r="O14" s="11">
        <f>IF(AND(ISNUMBER(M14),ISNUMBER(N14),N14&gt;0),M14/N14,"")</f>
        <v>0.2</v>
      </c>
      <c r="P14" s="10" t="n">
        <v>4</v>
      </c>
      <c r="Q14" s="10" t="n">
        <v>5</v>
      </c>
      <c r="R14" s="11">
        <f>IF(AND(ISNUMBER(P14),ISNUMBER(Q14),Q14&gt;0),P14/Q14,"")</f>
        <v>0.8</v>
      </c>
      <c r="S14" s="10" t="n">
        <v>1</v>
      </c>
      <c r="T14" s="10" t="n">
        <v>5</v>
      </c>
      <c r="U14" s="11">
        <f>IF(AND(ISNUMBER(S14),ISNUMBER(T14),T14&gt;0),S14/T14,"")</f>
        <v>0.2</v>
      </c>
      <c r="V14" s="10" t="inlineStr">
        <is>
          <t>بله</t>
        </is>
      </c>
      <c r="W14" s="10" t="inlineStr">
        <is>
          <t>Cutoff کنترل شد</t>
        </is>
      </c>
      <c r="X14" s="9" t="inlineStr">
        <is>
          <t>تاییدشده</t>
        </is>
      </c>
      <c r="Y14"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4" s="5"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AA14" s="5" t="inlineStr">
        <is>
          <t>برای ردیابی پایه به فایل v33 و Source_IDهای همان فاز مراجعه شود</t>
        </is>
      </c>
    </row>
    <row r="15" ht="24" customHeight="1" s="76">
      <c r="A15" s="8" t="inlineStr">
        <is>
          <t>شستا</t>
        </is>
      </c>
      <c r="B15" s="8" t="inlineStr">
        <is>
          <t>Batch 3</t>
        </is>
      </c>
      <c r="C15" s="8" t="inlineStr">
        <is>
          <t>بالا</t>
        </is>
      </c>
      <c r="D15" s="4" t="inlineStr">
        <is>
          <t>DIRECT_TYPE19_COMPARISON</t>
        </is>
      </c>
      <c r="E15" s="8" t="inlineStr">
        <is>
          <t>بله</t>
        </is>
      </c>
      <c r="F15" s="8" t="inlineStr">
        <is>
          <t>بله</t>
        </is>
      </c>
      <c r="G15" s="8" t="n">
        <v>3</v>
      </c>
      <c r="H15" s="8" t="n">
        <v>5</v>
      </c>
      <c r="I15" s="12">
        <f>IF(AND(ISNUMBER(G15),ISNUMBER(H15),H15&gt;0),G15/H15,"")</f>
        <v>0.6</v>
      </c>
      <c r="J15" s="8" t="n">
        <v>3</v>
      </c>
      <c r="K15" s="8" t="n">
        <v>5</v>
      </c>
      <c r="L15" s="12">
        <f>IF(AND(ISNUMBER(J15),ISNUMBER(K15),K15&gt;0),J15/K15,"")</f>
        <v>0.6</v>
      </c>
      <c r="M15" s="8" t="n">
        <v>0</v>
      </c>
      <c r="N15" s="8" t="n">
        <v>5</v>
      </c>
      <c r="O15" s="12">
        <f>IF(AND(ISNUMBER(M15),ISNUMBER(N15),N15&gt;0),M15/N15,"")</f>
        <v>0</v>
      </c>
      <c r="P15" s="8" t="n">
        <v>3</v>
      </c>
      <c r="Q15" s="8" t="n">
        <v>5</v>
      </c>
      <c r="R15" s="12">
        <f>IF(AND(ISNUMBER(P15),ISNUMBER(Q15),Q15&gt;0),P15/Q15,"")</f>
        <v>0.6</v>
      </c>
      <c r="S15" s="8" t="n">
        <v>2</v>
      </c>
      <c r="T15" s="8" t="n">
        <v>5</v>
      </c>
      <c r="U15" s="12">
        <f>IF(AND(ISNUMBER(S15),ISNUMBER(T15),T15&gt;0),S15/T15,"")</f>
        <v>0.4</v>
      </c>
      <c r="V15" s="8" t="inlineStr">
        <is>
          <t>بله</t>
        </is>
      </c>
      <c r="W15" s="8" t="inlineStr">
        <is>
          <t>Snapshotهای پیش از Cutoff</t>
        </is>
      </c>
      <c r="X15" s="9" t="inlineStr">
        <is>
          <t>تاییدشده</t>
        </is>
      </c>
      <c r="Y15"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5" s="5" t="inlineStr">
        <is>
          <t>SRC_SHST_1404_015 | افشای نوع ۱۹ | ۱۴۰۳ | ۱ | Snapshot مبنا برای ۱۴۰۳
SRC_SHST_1404_007 | افشای نوع ۱۹ | ۱۴۰۴ | ۱ | Snapshot مبنا برای ۱۴۰۴</t>
        </is>
      </c>
      <c r="AA15" s="15" t="inlineStr">
        <is>
          <t>https://www.codal.ir/Reports/Decision.aspx?LetterSerial=b8oxHadTuSstqVNc5Bqzjw%3d%3d&amp;rt=2&amp;let=19&amp;ct=0&amp;ft=-1
https://www.codal.ir/Reports/Decision.aspx?LetterSerial=pk2gUF4FVfw9cOOObOOOOR6kSTDg%3d%3d&amp;rt=2&amp;let=19&amp;ct=0&amp;ft=-1</t>
        </is>
      </c>
    </row>
    <row r="16" ht="24" customHeight="1" s="76">
      <c r="A16" s="10" t="inlineStr">
        <is>
          <t>شپنا</t>
        </is>
      </c>
      <c r="B16" s="10" t="inlineStr">
        <is>
          <t>Batch 3</t>
        </is>
      </c>
      <c r="C16" s="10" t="inlineStr">
        <is>
          <t>بالا</t>
        </is>
      </c>
      <c r="D16" s="4" t="inlineStr">
        <is>
          <t>DIRECT_TYPE19_COMPARISON</t>
        </is>
      </c>
      <c r="E16" s="10" t="inlineStr">
        <is>
          <t>بله</t>
        </is>
      </c>
      <c r="F16" s="10" t="inlineStr">
        <is>
          <t>بله</t>
        </is>
      </c>
      <c r="G16" s="10" t="n">
        <v>1</v>
      </c>
      <c r="H16" s="10" t="n">
        <v>5</v>
      </c>
      <c r="I16" s="11">
        <f>IF(AND(ISNUMBER(G16),ISNUMBER(H16),H16&gt;0),G16/H16,"")</f>
        <v>0.2</v>
      </c>
      <c r="J16" s="10" t="n">
        <v>1</v>
      </c>
      <c r="K16" s="10" t="n">
        <v>5</v>
      </c>
      <c r="L16" s="11">
        <f>IF(AND(ISNUMBER(J16),ISNUMBER(K16),K16&gt;0),J16/K16,"")</f>
        <v>0.2</v>
      </c>
      <c r="M16" s="10" t="n">
        <v>0</v>
      </c>
      <c r="N16" s="10" t="n">
        <v>5</v>
      </c>
      <c r="O16" s="11">
        <f>IF(AND(ISNUMBER(M16),ISNUMBER(N16),N16&gt;0),M16/N16,"")</f>
        <v>0</v>
      </c>
      <c r="P16" s="10" t="n">
        <v>1</v>
      </c>
      <c r="Q16" s="10" t="n">
        <v>5</v>
      </c>
      <c r="R16" s="11">
        <f>IF(AND(ISNUMBER(P16),ISNUMBER(Q16),Q16&gt;0),P16/Q16,"")</f>
        <v>0.2</v>
      </c>
      <c r="S16" s="10" t="n">
        <v>4</v>
      </c>
      <c r="T16" s="10" t="n">
        <v>5</v>
      </c>
      <c r="U16" s="11">
        <f>IF(AND(ISNUMBER(S16),ISNUMBER(T16),T16&gt;0),S16/T16,"")</f>
        <v>0.8</v>
      </c>
      <c r="V16" s="10" t="inlineStr">
        <is>
          <t>خیر</t>
        </is>
      </c>
      <c r="W16" s="10" t="inlineStr">
        <is>
          <t>مقایسه مستقیم افشای نوع ۱۹</t>
        </is>
      </c>
      <c r="X16" s="9" t="inlineStr">
        <is>
          <t>تاییدشده</t>
        </is>
      </c>
      <c r="Y16"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6" s="5" t="inlineStr">
        <is>
          <t>SRC_SHPN_1404_002 | افشای نوع ۱۹ | ۱۴۰۳ | ۱ | Snapshot مبنا برای ۱۴۰۳
SRC_SHPN_1404_004 | افشای نوع ۱۹ | ۱۴۰۴ | ۱ تا ۲ | Snapshot مبنا برای ۱۴۰۴</t>
        </is>
      </c>
      <c r="AA16" s="15" t="inlineStr">
        <is>
          <t>https://www.codal.ir/Reports/Decision.aspx?LetterSerial=BgB1TPEYicGYh74gmrG9mA%3d%3d&amp;rt=0&amp;let=19&amp;ct=0&amp;ft=-1
https://www.codal.ir/Reports/Decision.aspx?LetterSerial=zWRtzdFgEWKY0H4XNrzRzA%3d%3d&amp;rt=0&amp;let=19&amp;ct=0&amp;ft=-1</t>
        </is>
      </c>
    </row>
    <row r="17" ht="24" customHeight="1" s="76">
      <c r="A17" s="8" t="inlineStr">
        <is>
          <t>وغدیر</t>
        </is>
      </c>
      <c r="B17" s="8" t="inlineStr">
        <is>
          <t>Batch 3</t>
        </is>
      </c>
      <c r="C17" s="8" t="inlineStr">
        <is>
          <t>بالا</t>
        </is>
      </c>
      <c r="D17" s="4" t="inlineStr">
        <is>
          <t>DIRECT_TYPE19_COMPARISON</t>
        </is>
      </c>
      <c r="E17" s="8" t="inlineStr">
        <is>
          <t>بله</t>
        </is>
      </c>
      <c r="F17" s="8" t="inlineStr">
        <is>
          <t>بله</t>
        </is>
      </c>
      <c r="G17" s="8" t="n">
        <v>2</v>
      </c>
      <c r="H17" s="8" t="n">
        <v>5</v>
      </c>
      <c r="I17" s="12">
        <f>IF(AND(ISNUMBER(G17),ISNUMBER(H17),H17&gt;0),G17/H17,"")</f>
        <v>0.4</v>
      </c>
      <c r="J17" s="8" t="n">
        <v>2</v>
      </c>
      <c r="K17" s="8" t="n">
        <v>5</v>
      </c>
      <c r="L17" s="12">
        <f>IF(AND(ISNUMBER(J17),ISNUMBER(K17),K17&gt;0),J17/K17,"")</f>
        <v>0.4</v>
      </c>
      <c r="M17" s="8" t="n">
        <v>0</v>
      </c>
      <c r="N17" s="8" t="n">
        <v>5</v>
      </c>
      <c r="O17" s="12">
        <f>IF(AND(ISNUMBER(M17),ISNUMBER(N17),N17&gt;0),M17/N17,"")</f>
        <v>0</v>
      </c>
      <c r="P17" s="8" t="n">
        <v>2</v>
      </c>
      <c r="Q17" s="8" t="n">
        <v>5</v>
      </c>
      <c r="R17" s="12">
        <f>IF(AND(ISNUMBER(P17),ISNUMBER(Q17),Q17&gt;0),P17/Q17,"")</f>
        <v>0.4</v>
      </c>
      <c r="S17" s="8" t="n">
        <v>3</v>
      </c>
      <c r="T17" s="8" t="n">
        <v>5</v>
      </c>
      <c r="U17" s="12">
        <f>IF(AND(ISNUMBER(S17),ISNUMBER(T17),T17&gt;0),S17/T17,"")</f>
        <v>0.6</v>
      </c>
      <c r="V17" s="8" t="inlineStr">
        <is>
          <t>خیر</t>
        </is>
      </c>
      <c r="W17" s="8" t="inlineStr">
        <is>
          <t>مقایسه مستقیم افشای نوع ۱۹</t>
        </is>
      </c>
      <c r="X17" s="9" t="inlineStr">
        <is>
          <t>تاییدشده</t>
        </is>
      </c>
      <c r="Y17"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7" s="5" t="inlineStr">
        <is>
          <t>SRC_VGHD_1404_002 | افشای نوع ۱۹ | ۱۴۰۳ | ۱ | Snapshot مبنا برای ۱۴۰۳
SRC_VGHD_1404_006 | افشای نوع ۱۹ | ۱۴۰۴ | ۱ | Snapshot مبنا برای ۱۴۰۴</t>
        </is>
      </c>
      <c r="AA17" s="15" t="inlineStr">
        <is>
          <t>https://www.codal.ir/Reports/Decision.aspx?LetterSerial=b9uqvOIQIMvyGYAfsuoWUg%3d%3d&amp;rt=2&amp;let=19&amp;ct=0&amp;ft=-1
https://www.codal.ir/Reports/Decision.aspx?LetterSerial=ytYjZCpQQQaQQQ34BFQkm8DLxX9A%3d%3d&amp;rt=2&amp;let=19&amp;ct=0&amp;ft=-1</t>
        </is>
      </c>
    </row>
    <row r="18" ht="24" customHeight="1" s="76">
      <c r="A18" s="10" t="inlineStr">
        <is>
          <t>نوری</t>
        </is>
      </c>
      <c r="B18" s="10" t="inlineStr">
        <is>
          <t>Batch 3</t>
        </is>
      </c>
      <c r="C18" s="10" t="inlineStr">
        <is>
          <t>متوسط رو به بالا</t>
        </is>
      </c>
      <c r="D18" s="4" t="inlineStr">
        <is>
          <t>ANNUAL_REPORT_PLUS_TYPE19</t>
        </is>
      </c>
      <c r="E18" s="10" t="inlineStr">
        <is>
          <t>بله</t>
        </is>
      </c>
      <c r="F18" s="10" t="inlineStr">
        <is>
          <t>بله</t>
        </is>
      </c>
      <c r="G18" s="10" t="n">
        <v>4</v>
      </c>
      <c r="H18" s="10" t="n">
        <v>5</v>
      </c>
      <c r="I18" s="11">
        <f>IF(AND(ISNUMBER(G18),ISNUMBER(H18),H18&gt;0),G18/H18,"")</f>
        <v>0.8</v>
      </c>
      <c r="J18" s="10" t="n">
        <v>1</v>
      </c>
      <c r="K18" s="10" t="n">
        <v>1</v>
      </c>
      <c r="L18" s="11">
        <f>IF(AND(ISNUMBER(J18),ISNUMBER(K18),K18&gt;0),J18/K18,"")</f>
        <v>1</v>
      </c>
      <c r="M18" s="10" t="n">
        <v>4</v>
      </c>
      <c r="N18" s="10" t="n">
        <v>5</v>
      </c>
      <c r="O18" s="11">
        <f>IF(AND(ISNUMBER(M18),ISNUMBER(N18),N18&gt;0),M18/N18,"")</f>
        <v>0.8</v>
      </c>
      <c r="P18" s="10" t="n">
        <v>4</v>
      </c>
      <c r="Q18" s="10" t="n">
        <v>5</v>
      </c>
      <c r="R18" s="11">
        <f>IF(AND(ISNUMBER(P18),ISNUMBER(Q18),Q18&gt;0),P18/Q18,"")</f>
        <v>0.8</v>
      </c>
      <c r="S18" s="10" t="n">
        <v>1</v>
      </c>
      <c r="T18" s="10" t="n">
        <v>5</v>
      </c>
      <c r="U18" s="11">
        <f>IF(AND(ISNUMBER(S18),ISNUMBER(T18),T18&gt;0),S18/T18,"")</f>
        <v>0.2</v>
      </c>
      <c r="V18" s="10" t="inlineStr">
        <is>
          <t>بله</t>
        </is>
      </c>
      <c r="W18" s="10" t="inlineStr">
        <is>
          <t>تنها یک شخص حقوقی ثابت بود و نماینده همان کرسی تغییر کرد</t>
        </is>
      </c>
      <c r="X18" s="9" t="inlineStr">
        <is>
          <t>تاییدشده</t>
        </is>
      </c>
      <c r="Y18"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8" s="5"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AA18" s="15" t="inlineStr">
        <is>
          <t>https://www.codal.ir/Reports/Attachment.aspx?LetterSerial=qQQQaQQQXL8Mm5NCUb8eyBSic7hA%3d%3d
https://www.codal.ir/Reports/Attachment.aspx?LetterSerial=lWuukNFzDitnWL7VD4weCA%3d%3d</t>
        </is>
      </c>
    </row>
    <row r="19" ht="24" customHeight="1" s="76">
      <c r="A19" s="8" t="inlineStr">
        <is>
          <t>فولاد</t>
        </is>
      </c>
      <c r="B19" s="8" t="inlineStr">
        <is>
          <t>Batch 4</t>
        </is>
      </c>
      <c r="C19" s="8" t="inlineStr">
        <is>
          <t>بالا</t>
        </is>
      </c>
      <c r="D19" s="4" t="inlineStr">
        <is>
          <t>DIRECT_ANNUAL_REPORT_COMPARISON</t>
        </is>
      </c>
      <c r="E19" s="8" t="inlineStr">
        <is>
          <t>بله</t>
        </is>
      </c>
      <c r="F19" s="8" t="inlineStr">
        <is>
          <t>بله</t>
        </is>
      </c>
      <c r="G19" s="8" t="n">
        <v>2</v>
      </c>
      <c r="H19" s="8" t="n">
        <v>5</v>
      </c>
      <c r="I19" s="12">
        <f>IF(AND(ISNUMBER(G19),ISNUMBER(H19),H19&gt;0),G19/H19,"")</f>
        <v>0.4</v>
      </c>
      <c r="J19" s="8" t="n">
        <v>1</v>
      </c>
      <c r="K19" s="8" t="n">
        <v>4</v>
      </c>
      <c r="L19" s="12">
        <f>IF(AND(ISNUMBER(J19),ISNUMBER(K19),K19&gt;0),J19/K19,"")</f>
        <v>0.25</v>
      </c>
      <c r="M19" s="8" t="n">
        <v>1</v>
      </c>
      <c r="N19" s="8" t="n">
        <v>5</v>
      </c>
      <c r="O19" s="12">
        <f>IF(AND(ISNUMBER(M19),ISNUMBER(N19),N19&gt;0),M19/N19,"")</f>
        <v>0.2</v>
      </c>
      <c r="P19" s="8" t="n">
        <v>2</v>
      </c>
      <c r="Q19" s="8" t="n">
        <v>5</v>
      </c>
      <c r="R19" s="12">
        <f>IF(AND(ISNUMBER(P19),ISNUMBER(Q19),Q19&gt;0),P19/Q19,"")</f>
        <v>0.4</v>
      </c>
      <c r="S19" s="8" t="n">
        <v>3</v>
      </c>
      <c r="T19" s="8" t="n">
        <v>5</v>
      </c>
      <c r="U19" s="12">
        <f>IF(AND(ISNUMBER(S19),ISNUMBER(T19),T19&gt;0),S19/T19,"")</f>
        <v>0.6</v>
      </c>
      <c r="V19" s="8" t="inlineStr">
        <is>
          <t>بله</t>
        </is>
      </c>
      <c r="W19" s="8" t="inlineStr">
        <is>
          <t>یک تغییر شخص حقوقی و یک تغییر نماینده مستقل</t>
        </is>
      </c>
      <c r="X19" s="9" t="inlineStr">
        <is>
          <t>تاییدشده</t>
        </is>
      </c>
      <c r="Y19"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19" s="5"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AA19" s="15" t="inlineStr">
        <is>
          <t>https://www.codal.ir/Reports/Attachment.aspx?LetterSerial=lIOOObOOOFuv6MQlLw20bmBKF3Cw%3d%3d
https://www.codal.ir/Reports/Attachment.aspx?LetterSerial=DjTPnm9Pa79X4Gv1Zp8FQQQaQQQQ%3d%3d</t>
        </is>
      </c>
    </row>
    <row r="20" ht="24" customHeight="1" s="76">
      <c r="A20" s="10" t="inlineStr">
        <is>
          <t>کچاد</t>
        </is>
      </c>
      <c r="B20" s="10" t="inlineStr">
        <is>
          <t>Batch 4</t>
        </is>
      </c>
      <c r="C20" s="10" t="inlineStr">
        <is>
          <t>بالا</t>
        </is>
      </c>
      <c r="D20" s="4" t="inlineStr">
        <is>
          <t>TYPE19_CUTOFF_CHRONOLOGY_V38</t>
        </is>
      </c>
      <c r="E20" s="10" t="inlineStr">
        <is>
          <t>بله</t>
        </is>
      </c>
      <c r="F20" s="10" t="inlineStr">
        <is>
          <t>بله</t>
        </is>
      </c>
      <c r="G20" s="10" t="n">
        <v>2</v>
      </c>
      <c r="H20" s="10" t="n">
        <v>4</v>
      </c>
      <c r="I20" s="11">
        <f>IF(AND(ISNUMBER(G20),ISNUMBER(H20),H20&gt;0),G20/H20,"")</f>
        <v>0.5</v>
      </c>
      <c r="J20" s="10" t="n">
        <v>2</v>
      </c>
      <c r="K20" s="10" t="n">
        <v>4</v>
      </c>
      <c r="L20" s="11">
        <f>IF(AND(ISNUMBER(J20),ISNUMBER(K20),K20&gt;0),J20/K20,"")</f>
        <v>0.5</v>
      </c>
      <c r="M20" s="10" t="n">
        <v>0</v>
      </c>
      <c r="N20" s="10" t="n">
        <v>5</v>
      </c>
      <c r="O20" s="11">
        <f>IF(AND(ISNUMBER(M20),ISNUMBER(N20),N20&gt;0),M20/N20,"")</f>
        <v>0</v>
      </c>
      <c r="P20" s="10" t="n">
        <v>3</v>
      </c>
      <c r="Q20" s="10" t="n">
        <v>5</v>
      </c>
      <c r="R20" s="11">
        <f>IF(AND(ISNUMBER(P20),ISNUMBER(Q20),Q20&gt;0),P20/Q20,"")</f>
        <v>0.6</v>
      </c>
      <c r="S20" s="10" t="n">
        <v>2</v>
      </c>
      <c r="T20" s="10" t="n">
        <v>4</v>
      </c>
      <c r="U20" s="11">
        <f>IF(AND(ISNUMBER(S20),ISNUMBER(T20),T20&gt;0),S20/T20,"")</f>
        <v>0.5</v>
      </c>
      <c r="V20" s="10" t="inlineStr">
        <is>
          <t>بله</t>
        </is>
      </c>
      <c r="W20" s="10" t="inlineStr">
        <is>
          <t>v38: 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نشان می‌دهد و مبنا نشد (Look-Ahead v35). | Cutoff ۱۴۰۴/۱۲/۲۹ از اطلاعیه ۱۴۷۳۹۷۳ (جلسه ۱۴۰۴/۱۰/۲۹)؛ گزارش ۹ماهه ۱۵۲۵۶۳۰ (۱۴۰۵/۰۲/۲۶) امضا ۱۴۰۵/۰۲/۲۴ پس از Cutoff است. | سطح اطمینان Confirmed</t>
        </is>
      </c>
      <c r="X20" s="9" t="inlineStr">
        <is>
          <t>تاییدشده (v38)</t>
        </is>
      </c>
      <c r="Y20"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0" s="5" t="inlineStr">
        <is>
          <t>SRC_KCHD_1403_001 | گزارش فعالیت هیئت مدیره | ۱۴۰۳ | ۴ | Snapshot مبنا برای ۱۴۰۳ و ثبت صریح کرسی خالی
SRC_KCHD_1404_006 | افشای نوع ۱۹ | ۱۴۰۴ | ۱ | Snapshot مبنا برای ۱۴۰۴ | v38 TracingNo: 1287746 ؛ 1343237 ؛ 1391765 ؛ 1473973</t>
        </is>
      </c>
      <c r="AA20" s="15" t="inlineStr">
        <is>
          <t>https://www.codal.ir/Reports/Decision.aspx?LetterSerial=v9VDr2f0BIJNqKEnWy6Rug%3d%3d&amp;rt=0&amp;let=19&amp;ct=0&amp;ft=-1 ؛ https://www.codal.ir/Reports/Decision.aspx?LetterSerial=WtxLMfRQBjXMKexEV1XDIA%3d%3d&amp;rt=0&amp;let=19&amp;ct=0&amp;ft=-1 ؛ https://www.codal.ir/Reports/Decision.aspx?LetterSerial=IAYTKaAQbe89etLVXMBN9w%3d%3d&amp;rt=0&amp;let=19&amp;ct=0&amp;ft=-1 ؛ https://www.codal.ir/Reports/Decision.aspx?LetterSerial=XPg1kJyBIkadWnCXHnsdKg%3d%3d&amp;rt=0&amp;let=19&amp;ct=0&amp;ft=-1</t>
        </is>
      </c>
    </row>
    <row r="21" ht="24" customHeight="1" s="76">
      <c r="A21" s="8" t="inlineStr">
        <is>
          <t>کگل</t>
        </is>
      </c>
      <c r="B21" s="8" t="inlineStr">
        <is>
          <t>Batch 4</t>
        </is>
      </c>
      <c r="C21" s="8" t="inlineStr">
        <is>
          <t>بالا</t>
        </is>
      </c>
      <c r="D21" s="4" t="inlineStr">
        <is>
          <t>DIRECT_TYPE19_COMPARISON</t>
        </is>
      </c>
      <c r="E21" s="8" t="inlineStr">
        <is>
          <t>بله</t>
        </is>
      </c>
      <c r="F21" s="8" t="inlineStr">
        <is>
          <t>بله</t>
        </is>
      </c>
      <c r="G21" s="8" t="n">
        <v>1</v>
      </c>
      <c r="H21" s="8" t="n">
        <v>5</v>
      </c>
      <c r="I21" s="12">
        <f>IF(AND(ISNUMBER(G21),ISNUMBER(H21),H21&gt;0),G21/H21,"")</f>
        <v>0.2</v>
      </c>
      <c r="J21" s="8" t="n">
        <v>1</v>
      </c>
      <c r="K21" s="8" t="n">
        <v>5</v>
      </c>
      <c r="L21" s="12">
        <f>IF(AND(ISNUMBER(J21),ISNUMBER(K21),K21&gt;0),J21/K21,"")</f>
        <v>0.2</v>
      </c>
      <c r="M21" s="8" t="n">
        <v>0</v>
      </c>
      <c r="N21" s="8" t="n">
        <v>5</v>
      </c>
      <c r="O21" s="12">
        <f>IF(AND(ISNUMBER(M21),ISNUMBER(N21),N21&gt;0),M21/N21,"")</f>
        <v>0</v>
      </c>
      <c r="P21" s="8" t="n">
        <v>1</v>
      </c>
      <c r="Q21" s="8" t="n">
        <v>5</v>
      </c>
      <c r="R21" s="12">
        <f>IF(AND(ISNUMBER(P21),ISNUMBER(Q21),Q21&gt;0),P21/Q21,"")</f>
        <v>0.2</v>
      </c>
      <c r="S21" s="8" t="n">
        <v>4</v>
      </c>
      <c r="T21" s="8" t="n">
        <v>5</v>
      </c>
      <c r="U21" s="12">
        <f>IF(AND(ISNUMBER(S21),ISNUMBER(T21),T21&gt;0),S21/T21,"")</f>
        <v>0.8</v>
      </c>
      <c r="V21" s="8" t="inlineStr">
        <is>
          <t>بله</t>
        </is>
      </c>
      <c r="W21" s="8" t="inlineStr">
        <is>
          <t>Look Ahead گزارش سالانه حذف شد</t>
        </is>
      </c>
      <c r="X21" s="9" t="inlineStr">
        <is>
          <t>تاییدشده</t>
        </is>
      </c>
      <c r="Y21"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1" s="5" t="inlineStr">
        <is>
          <t>SRC_KGOL_1404_002 | افشای نوع ۱۹ | ۱۴۰۳ | ۱ | Snapshot مبنا برای پایان ۱۴۰۳ و جلوگیری از Look Ahead
SRC_KGOL_1404_004 | افشای نوع ۱۹ | ۱۴۰۴ | ۱ | Snapshot مبنا برای ۱۴۰۴</t>
        </is>
      </c>
      <c r="AA21" s="15" t="inlineStr">
        <is>
          <t>https://www.codal.ir/Reports/Decision.aspx?LetterSerial=V8TQGa6IRAmh3pwzvDL0KQ%3d%3d&amp;rt=0&amp;let=19&amp;ct=0&amp;ft=-1
https://www.codal.ir/Reports/Decision.aspx?LetterSerial=IYIOOObOOO6mh6t3bHqdV5BigMrg%3d%3d&amp;rt=0&amp;let=19&amp;ct=0&amp;ft=-1</t>
        </is>
      </c>
    </row>
    <row r="22" ht="24" customHeight="1" s="76">
      <c r="A22" s="10" t="inlineStr">
        <is>
          <t>پارسان</t>
        </is>
      </c>
      <c r="B22" s="10" t="inlineStr">
        <is>
          <t>Batch 4</t>
        </is>
      </c>
      <c r="C22" s="10" t="inlineStr">
        <is>
          <t>بالا</t>
        </is>
      </c>
      <c r="D22" s="4" t="inlineStr">
        <is>
          <t>TYPE19_CUTOFF_CHRONOLOGY_V38</t>
        </is>
      </c>
      <c r="E22" s="10" t="inlineStr">
        <is>
          <t>بله</t>
        </is>
      </c>
      <c r="F22" s="10" t="inlineStr">
        <is>
          <t>بله</t>
        </is>
      </c>
      <c r="G22" s="10" t="n">
        <v>2</v>
      </c>
      <c r="H22" s="10" t="n">
        <v>5</v>
      </c>
      <c r="I22" s="11">
        <f>IF(AND(ISNUMBER(G22),ISNUMBER(H22),H22&gt;0),G22/H22,"")</f>
        <v>0.4</v>
      </c>
      <c r="J22" s="2" t="n">
        <v>2</v>
      </c>
      <c r="K22" s="2" t="n">
        <v>5</v>
      </c>
      <c r="L22" s="11">
        <f>IF(AND(ISNUMBER(J22),ISNUMBER(K22),K22&gt;0),J22/K22,"")</f>
        <v>0.4</v>
      </c>
      <c r="M22" s="2" t="n">
        <v>0</v>
      </c>
      <c r="N22" s="2" t="n">
        <v>5</v>
      </c>
      <c r="O22" s="11">
        <f>IF(AND(ISNUMBER(M22),ISNUMBER(N22),N22&gt;0),M22/N22,"")</f>
        <v>0</v>
      </c>
      <c r="P22" s="10" t="n">
        <v>2</v>
      </c>
      <c r="Q22" s="10" t="n">
        <v>5</v>
      </c>
      <c r="R22" s="11">
        <f>IF(AND(ISNUMBER(P22),ISNUMBER(Q22),Q22&gt;0),P22/Q22,"")</f>
        <v>0.4</v>
      </c>
      <c r="S22" s="10" t="n">
        <v>3</v>
      </c>
      <c r="T22" s="10" t="n">
        <v>5</v>
      </c>
      <c r="U22" s="11">
        <f>IF(AND(ISNUMBER(S22),ISNUMBER(T22),T22&gt;0),S22/T22,"")</f>
        <v>0.6</v>
      </c>
      <c r="V22" s="10" t="inlineStr">
        <is>
          <t>خیر</t>
        </is>
      </c>
      <c r="W22" s="10" t="inlineStr">
        <is>
          <t>v38: 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 | 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تایید صلاحیت). | سطح اطمینان High</t>
        </is>
      </c>
      <c r="X22" s="9" t="inlineStr">
        <is>
          <t>تاییدشده (v38)</t>
        </is>
      </c>
      <c r="Y22"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2" s="5" t="inlineStr">
        <is>
          <t>SRC_PRSN_1403_001 | گزارش فعالیت هیئت مدیره | ۱۴۰۳ | ۵۰ | Snapshot مبنا برای ۱۴۰۳
SRC_PRSN_1404_007 | گزارش فعالیت هیئت مدیره | ۱۴۰۴ | ۳۷ تا ۳۸ | Snapshot مبنا برای ۱۴۰۴ | v38 TracingNo: 1288275 ؛ 1345985 ؛ 1443940</t>
        </is>
      </c>
      <c r="AA22" s="15" t="inlineStr">
        <is>
          <t>https://www.codal.ir/Reports/Decision.aspx?LetterSerial=DsOgAmOOObOOOXCBilD6gqB1SIaw%3d%3d&amp;rt=2&amp;let=19&amp;ct=0&amp;ft=-1 ؛ https://www.codal.ir/Reports/Decision.aspx?LetterSerial=Isgmsl2s3SpQQQaQQQYOnBYzL9bw%3d%3d&amp;rt=2&amp;let=19&amp;ct=0&amp;ft=-1 ؛ https://www.codal.ir/Reports/Decision.aspx?LetterSerial=zNIQQQaQQQIYcl2yMb4DUIPu3s7w%3d%3d&amp;rt=2&amp;let=19&amp;ct=0&amp;ft=-1</t>
        </is>
      </c>
    </row>
    <row r="23" ht="24" customHeight="1" s="76">
      <c r="A23" s="8" t="inlineStr">
        <is>
          <t>اخابر</t>
        </is>
      </c>
      <c r="B23" s="8" t="inlineStr">
        <is>
          <t>Batch 5</t>
        </is>
      </c>
      <c r="C23" s="8" t="inlineStr">
        <is>
          <t>بالا</t>
        </is>
      </c>
      <c r="D23" s="4" t="inlineStr">
        <is>
          <t>VISUAL_PLUS_TYPE19_RECONCILIATION</t>
        </is>
      </c>
      <c r="E23" s="8" t="inlineStr">
        <is>
          <t>بله</t>
        </is>
      </c>
      <c r="F23" s="8" t="inlineStr">
        <is>
          <t>بله</t>
        </is>
      </c>
      <c r="G23" s="8" t="n">
        <v>1</v>
      </c>
      <c r="H23" s="8" t="n">
        <v>5</v>
      </c>
      <c r="I23" s="12">
        <f>IF(AND(ISNUMBER(G23),ISNUMBER(H23),H23&gt;0),G23/H23,"")</f>
        <v>0.2</v>
      </c>
      <c r="J23" s="8" t="n">
        <v>1</v>
      </c>
      <c r="K23" s="8" t="n">
        <v>3</v>
      </c>
      <c r="L23" s="12">
        <f>IF(AND(ISNUMBER(J23),ISNUMBER(K23),K23&gt;0),J23/K23,"")</f>
        <v>0.3333333333333333</v>
      </c>
      <c r="M23" s="8" t="n">
        <v>2</v>
      </c>
      <c r="N23" s="8" t="n">
        <v>5</v>
      </c>
      <c r="O23" s="12">
        <f>IF(AND(ISNUMBER(M23),ISNUMBER(N23),N23&gt;0),M23/N23,"")</f>
        <v>0.4</v>
      </c>
      <c r="P23" s="8" t="n">
        <v>1</v>
      </c>
      <c r="Q23" s="8" t="n">
        <v>5</v>
      </c>
      <c r="R23" s="12">
        <f>IF(AND(ISNUMBER(P23),ISNUMBER(Q23),Q23&gt;0),P23/Q23,"")</f>
        <v>0.2</v>
      </c>
      <c r="S23" s="8" t="n">
        <v>4</v>
      </c>
      <c r="T23" s="8" t="n">
        <v>5</v>
      </c>
      <c r="U23" s="12">
        <f>IF(AND(ISNUMBER(S23),ISNUMBER(T23),T23&gt;0),S23/T23,"")</f>
        <v>0.8</v>
      </c>
      <c r="V23" s="8" t="inlineStr">
        <is>
          <t>خیر</t>
        </is>
      </c>
      <c r="W23" s="8" t="inlineStr">
        <is>
          <t>تطبیق بصری و بازتایید شخص حقوقی</t>
        </is>
      </c>
      <c r="X23" s="9" t="inlineStr">
        <is>
          <t>تاییدشده</t>
        </is>
      </c>
      <c r="Y23"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3" s="5"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AA23" s="15" t="inlineStr">
        <is>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is>
      </c>
    </row>
    <row r="24" ht="24" customHeight="1" s="76">
      <c r="A24" s="10" t="inlineStr">
        <is>
          <t>جم</t>
        </is>
      </c>
      <c r="B24" s="10" t="inlineStr">
        <is>
          <t>Batch 5</t>
        </is>
      </c>
      <c r="C24" s="10" t="inlineStr">
        <is>
          <t>بالا</t>
        </is>
      </c>
      <c r="D24" s="4" t="inlineStr">
        <is>
          <t>TYPE19_CUTOFF_CHRONOLOGY_V38</t>
        </is>
      </c>
      <c r="E24" s="10" t="inlineStr">
        <is>
          <t>بله</t>
        </is>
      </c>
      <c r="F24" s="10" t="inlineStr">
        <is>
          <t>بله</t>
        </is>
      </c>
      <c r="G24" s="10" t="n">
        <v>2</v>
      </c>
      <c r="H24" s="10" t="n">
        <v>5</v>
      </c>
      <c r="I24" s="11">
        <f>IF(AND(ISNUMBER(G24),ISNUMBER(H24),H24&gt;0),G24/H24,"")</f>
        <v>0.4</v>
      </c>
      <c r="J24" s="10" t="n">
        <v>2</v>
      </c>
      <c r="K24" s="10" t="n">
        <v>4</v>
      </c>
      <c r="L24" s="11">
        <f>IF(AND(ISNUMBER(J24),ISNUMBER(K24),K24&gt;0),J24/K24,"")</f>
        <v>0.5</v>
      </c>
      <c r="M24" s="10" t="n">
        <v>1</v>
      </c>
      <c r="N24" s="10" t="n">
        <v>5</v>
      </c>
      <c r="O24" s="11">
        <f>IF(AND(ISNUMBER(M24),ISNUMBER(N24),N24&gt;0),M24/N24,"")</f>
        <v>0.2</v>
      </c>
      <c r="P24" s="10" t="n">
        <v>1</v>
      </c>
      <c r="Q24" s="10" t="n">
        <v>5</v>
      </c>
      <c r="R24" s="11">
        <f>IF(AND(ISNUMBER(P24),ISNUMBER(Q24),Q24&gt;0),P24/Q24,"")</f>
        <v>0.2</v>
      </c>
      <c r="S24" s="10" t="n">
        <v>3</v>
      </c>
      <c r="T24" s="10" t="n">
        <v>5</v>
      </c>
      <c r="U24" s="11">
        <f>IF(AND(ISNUMBER(S24),ISNUMBER(T24),T24&gt;0),S24/T24,"")</f>
        <v>0.6</v>
      </c>
      <c r="V24" s="10" t="inlineStr">
        <is>
          <t>بله</t>
        </is>
      </c>
      <c r="W24" s="10" t="inlineStr">
        <is>
          <t>v38: 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 کدال نیست. | 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 | سطح اطمینان High</t>
        </is>
      </c>
      <c r="X24" s="9" t="inlineStr">
        <is>
          <t>تاییدشده (v38)</t>
        </is>
      </c>
      <c r="Y24"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4" s="5"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 | v38 TracingNo: 1171265 ؛ 1398534 ؛ 1527389</t>
        </is>
      </c>
      <c r="AA24" s="15" t="inlineStr">
        <is>
          <t>https://www.codal.ir/Reports/Decision.aspx?LetterSerial=SZoueUaBHVA%2bs%2bgcP%2bwj4A%3d%3d&amp;rt=0&amp;let=19&amp;ct=0&amp;ft=-1 ؛ https://www.codal.ir/Reports/Decision.aspx?LetterSerial=BpLLXiooiLziZroLI2hLPQ%3d%3d&amp;rt=0&amp;let=19&amp;ct=0&amp;ft=-1 ؛ https://www.codal.ir/Reports/Decision.aspx?LetterSerial=QQQaQQQtpQVpIOOObOOOPhcgQQQaQQQA5ahYjCjA%3d%3d&amp;rt=0&amp;let=19&amp;ct=0&amp;ft=-1</t>
        </is>
      </c>
    </row>
    <row r="25" ht="24" customHeight="1" s="76">
      <c r="A25" s="8" t="inlineStr">
        <is>
          <t>ومعادن</t>
        </is>
      </c>
      <c r="B25" s="8" t="inlineStr">
        <is>
          <t>Batch 5</t>
        </is>
      </c>
      <c r="C25" s="8" t="inlineStr">
        <is>
          <t>بالا</t>
        </is>
      </c>
      <c r="D25" s="4" t="inlineStr">
        <is>
          <t>DIRECT_REPORT_PLUS_TYPE19</t>
        </is>
      </c>
      <c r="E25" s="8" t="inlineStr">
        <is>
          <t>بله</t>
        </is>
      </c>
      <c r="F25" s="8" t="inlineStr">
        <is>
          <t>بله</t>
        </is>
      </c>
      <c r="G25" s="8" t="n">
        <v>2</v>
      </c>
      <c r="H25" s="8" t="n">
        <v>5</v>
      </c>
      <c r="I25" s="12">
        <f>IF(AND(ISNUMBER(G25),ISNUMBER(H25),H25&gt;0),G25/H25,"")</f>
        <v>0.4</v>
      </c>
      <c r="J25" s="8" t="n">
        <v>2</v>
      </c>
      <c r="K25" s="8" t="n">
        <v>4</v>
      </c>
      <c r="L25" s="12">
        <f>IF(AND(ISNUMBER(J25),ISNUMBER(K25),K25&gt;0),J25/K25,"")</f>
        <v>0.5</v>
      </c>
      <c r="M25" s="8" t="n">
        <v>1</v>
      </c>
      <c r="N25" s="8" t="n">
        <v>5</v>
      </c>
      <c r="O25" s="12">
        <f>IF(AND(ISNUMBER(M25),ISNUMBER(N25),N25&gt;0),M25/N25,"")</f>
        <v>0.2</v>
      </c>
      <c r="P25" s="8" t="n">
        <v>2</v>
      </c>
      <c r="Q25" s="8" t="n">
        <v>5</v>
      </c>
      <c r="R25" s="12">
        <f>IF(AND(ISNUMBER(P25),ISNUMBER(Q25),Q25&gt;0),P25/Q25,"")</f>
        <v>0.4</v>
      </c>
      <c r="S25" s="8" t="n">
        <v>3</v>
      </c>
      <c r="T25" s="8" t="n">
        <v>5</v>
      </c>
      <c r="U25" s="12">
        <f>IF(AND(ISNUMBER(S25),ISNUMBER(T25),T25&gt;0),S25/T25,"")</f>
        <v>0.6</v>
      </c>
      <c r="V25" s="8" t="inlineStr">
        <is>
          <t>بله</t>
        </is>
      </c>
      <c r="W25" s="8" t="inlineStr">
        <is>
          <t>تغییرات با افشای نوع ۱۹ کنترل شد</t>
        </is>
      </c>
      <c r="X25" s="9" t="inlineStr">
        <is>
          <t>تاییدشده</t>
        </is>
      </c>
      <c r="Y25"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5" s="5"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AA25" s="15" t="inlineStr">
        <is>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is>
      </c>
    </row>
    <row r="26" ht="24" customHeight="1" s="76">
      <c r="A26" s="10" t="inlineStr">
        <is>
          <t>وامید</t>
        </is>
      </c>
      <c r="B26" s="10" t="inlineStr">
        <is>
          <t>Batch 5</t>
        </is>
      </c>
      <c r="C26" s="10" t="inlineStr">
        <is>
          <t>بالا</t>
        </is>
      </c>
      <c r="D26" s="4" t="inlineStr">
        <is>
          <t>DIRECT_FISCAL_YEAR_COMPARISON</t>
        </is>
      </c>
      <c r="E26" s="10" t="inlineStr">
        <is>
          <t>بله</t>
        </is>
      </c>
      <c r="F26" s="10" t="inlineStr">
        <is>
          <t>بله</t>
        </is>
      </c>
      <c r="G26" s="10" t="n">
        <v>0</v>
      </c>
      <c r="H26" s="10" t="n">
        <v>5</v>
      </c>
      <c r="I26" s="11">
        <f>IF(AND(ISNUMBER(G26),ISNUMBER(H26),H26&gt;0),G26/H26,"")</f>
        <v>0</v>
      </c>
      <c r="J26" s="10" t="n">
        <v>0</v>
      </c>
      <c r="K26" s="10" t="n">
        <v>3</v>
      </c>
      <c r="L26" s="11">
        <f>IF(AND(ISNUMBER(J26),ISNUMBER(K26),K26&gt;0),J26/K26,"")</f>
        <v>0</v>
      </c>
      <c r="M26" s="10" t="n">
        <v>2</v>
      </c>
      <c r="N26" s="10" t="n">
        <v>5</v>
      </c>
      <c r="O26" s="11">
        <f>IF(AND(ISNUMBER(M26),ISNUMBER(N26),N26&gt;0),M26/N26,"")</f>
        <v>0.4</v>
      </c>
      <c r="P26" s="10" t="n">
        <v>0</v>
      </c>
      <c r="Q26" s="10" t="n">
        <v>5</v>
      </c>
      <c r="R26" s="11">
        <f>IF(AND(ISNUMBER(P26),ISNUMBER(Q26),Q26&gt;0),P26/Q26,"")</f>
        <v>0</v>
      </c>
      <c r="S26" s="10" t="n">
        <v>5</v>
      </c>
      <c r="T26" s="10" t="n">
        <v>5</v>
      </c>
      <c r="U26" s="11">
        <f>IF(AND(ISNUMBER(S26),ISNUMBER(T26),T26&gt;0),S26/T26,"")</f>
        <v>1</v>
      </c>
      <c r="V26" s="10" t="inlineStr">
        <is>
          <t>خیر</t>
        </is>
      </c>
      <c r="W26" s="10" t="inlineStr">
        <is>
          <t>سال مالی منتهی به دی ماه جداگانه رعایت شد</t>
        </is>
      </c>
      <c r="X26" s="9" t="inlineStr">
        <is>
          <t>تاییدشده</t>
        </is>
      </c>
      <c r="Y26"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6" s="5"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AA26" s="15" t="inlineStr">
        <is>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is>
      </c>
    </row>
    <row r="27" ht="24" customHeight="1" s="76">
      <c r="A27" s="8" t="inlineStr">
        <is>
          <t>خساپا</t>
        </is>
      </c>
      <c r="B27" s="8" t="inlineStr">
        <is>
          <t>Batch 6</t>
        </is>
      </c>
      <c r="C27" s="8" t="inlineStr">
        <is>
          <t>بالا</t>
        </is>
      </c>
      <c r="D27" s="4" t="inlineStr">
        <is>
          <t>TYPE19_CUTOFF_CHRONOLOGY_V38</t>
        </is>
      </c>
      <c r="E27" s="8" t="inlineStr">
        <is>
          <t>بله</t>
        </is>
      </c>
      <c r="F27" s="8" t="inlineStr">
        <is>
          <t>بله</t>
        </is>
      </c>
      <c r="G27" s="8" t="n">
        <v>3</v>
      </c>
      <c r="H27" s="8" t="n">
        <v>5</v>
      </c>
      <c r="I27" s="12">
        <f>IF(AND(ISNUMBER(G27),ISNUMBER(H27),H27&gt;0),G27/H27,"")</f>
        <v>0.6</v>
      </c>
      <c r="J27" s="8" t="n">
        <v>3</v>
      </c>
      <c r="K27" s="8" t="n">
        <v>5</v>
      </c>
      <c r="L27" s="12">
        <f>IF(AND(ISNUMBER(J27),ISNUMBER(K27),K27&gt;0),J27/K27,"")</f>
        <v>0.6</v>
      </c>
      <c r="M27" s="8" t="n">
        <v>0</v>
      </c>
      <c r="N27" s="8" t="n">
        <v>5</v>
      </c>
      <c r="O27" s="12">
        <f>IF(AND(ISNUMBER(M27),ISNUMBER(N27),N27&gt;0),M27/N27,"")</f>
        <v>0</v>
      </c>
      <c r="P27" s="8" t="n">
        <v>2</v>
      </c>
      <c r="Q27" s="8" t="n">
        <v>5</v>
      </c>
      <c r="R27" s="12">
        <f>IF(AND(ISNUMBER(P27),ISNUMBER(Q27),Q27&gt;0),P27/Q27,"")</f>
        <v>0.4</v>
      </c>
      <c r="S27" s="8" t="n">
        <v>2</v>
      </c>
      <c r="T27" s="8" t="n">
        <v>5</v>
      </c>
      <c r="U27" s="12">
        <f>IF(AND(ISNUMBER(S27),ISNUMBER(T27),T27&gt;0),S27/T27,"")</f>
        <v>0.4</v>
      </c>
      <c r="V27" s="8" t="inlineStr">
        <is>
          <t>خیر</t>
        </is>
      </c>
      <c r="W27" s="8" t="inlineStr">
        <is>
          <t>v38: Cutoff ۱۴۰۳/۱۲/۲۹ از اطلاعیه ۱۲۹۵۹۳۸ (۱۴۰۳/۱۱/۰۳)؛ تاریخ‌های انتصاب گزارش‌های FY1403/FY1404 (۱۴۰۳/۰۹/۱۴، ۱۴۰۳/۱۱/۰۳، ۱۴۰۴/۰۲/۰۸) تایید می‌کنند. | Cutoff ۱۴۰۴/۱۲/۲۹ از اطلاعیه ۱۳۳۶۹۷۴ و ۱۳۸۶۵۱۱ (جلسه ۱۴۰۴/۰۵/۱۳)؛ تا ۱۴۰۵/۰۶/۱۸ اطلاعیه دیگری نیست. | سطح اطمینان Confirmed</t>
        </is>
      </c>
      <c r="X27" s="9" t="inlineStr">
        <is>
          <t>تاییدشده (v38)</t>
        </is>
      </c>
      <c r="Y27"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7" s="5" t="inlineStr">
        <is>
          <t>SRC_KHSP_1404_002 | افشای نوع ۱۹ | ۱۴۰۳ | ۱ | Snapshot مبنا ۱۴۰۳
SRC_KHSP_1404_004 | افشای نوع ۱۹ | ۱۴۰۴ | ۱ | Snapshot ۱۴۰۴ و تطبیق کرسی ها | v38 TracingNo: 1295938 ؛ 1336974 ؛ 1386511</t>
        </is>
      </c>
      <c r="AA27" s="15" t="inlineStr">
        <is>
          <t>https://www.codal.ir/Reports/Decision.aspx?LetterSerial=0rlsOOObOOOEFaa9IMoCD90IUbxA%3d%3d&amp;rt=0&amp;let=19&amp;ct=0&amp;ft=-1 ؛ https://www.codal.ir/Reports/Decision.aspx?LetterSerial=A9EKEshXRCjahGZMnLLylQ%3d%3d&amp;rt=0&amp;let=19&amp;ct=0&amp;ft=-1 ؛ https://www.codal.ir/Reports/Decision.aspx?LetterSerial=UJ1so0i61H6WpTMWJ3OsCA%3d%3d&amp;rt=0&amp;let=19&amp;ct=0&amp;ft=-1</t>
        </is>
      </c>
    </row>
    <row r="28" ht="24" customHeight="1" s="76">
      <c r="A28" s="10" t="inlineStr">
        <is>
          <t>همراه</t>
        </is>
      </c>
      <c r="B28" s="10" t="inlineStr">
        <is>
          <t>Batch 6</t>
        </is>
      </c>
      <c r="C28" s="10" t="inlineStr">
        <is>
          <t>بالا</t>
        </is>
      </c>
      <c r="D28" s="4" t="inlineStr">
        <is>
          <t>DIRECT_ANNUAL_REPORT_PLUS_TYPE19</t>
        </is>
      </c>
      <c r="E28" s="10" t="inlineStr">
        <is>
          <t>بله</t>
        </is>
      </c>
      <c r="F28" s="10" t="inlineStr">
        <is>
          <t>بله</t>
        </is>
      </c>
      <c r="G28" s="10" t="n">
        <v>0</v>
      </c>
      <c r="H28" s="10" t="n">
        <v>5</v>
      </c>
      <c r="I28" s="11">
        <f>IF(AND(ISNUMBER(G28),ISNUMBER(H28),H28&gt;0),G28/H28,"")</f>
        <v>0</v>
      </c>
      <c r="J28" s="10" t="n">
        <v>0</v>
      </c>
      <c r="K28" s="10" t="n">
        <v>5</v>
      </c>
      <c r="L28" s="11">
        <f>IF(AND(ISNUMBER(J28),ISNUMBER(K28),K28&gt;0),J28/K28,"")</f>
        <v>0</v>
      </c>
      <c r="M28" s="10" t="n">
        <v>0</v>
      </c>
      <c r="N28" s="10" t="n">
        <v>5</v>
      </c>
      <c r="O28" s="11">
        <f>IF(AND(ISNUMBER(M28),ISNUMBER(N28),N28&gt;0),M28/N28,"")</f>
        <v>0</v>
      </c>
      <c r="P28" s="10" t="n">
        <v>0</v>
      </c>
      <c r="Q28" s="10" t="n">
        <v>5</v>
      </c>
      <c r="R28" s="11">
        <f>IF(AND(ISNUMBER(P28),ISNUMBER(Q28),Q28&gt;0),P28/Q28,"")</f>
        <v>0</v>
      </c>
      <c r="S28" s="10" t="n">
        <v>5</v>
      </c>
      <c r="T28" s="10" t="n">
        <v>5</v>
      </c>
      <c r="U28" s="11">
        <f>IF(AND(ISNUMBER(S28),ISNUMBER(T28),T28&gt;0),S28/T28,"")</f>
        <v>1</v>
      </c>
      <c r="V28" s="10" t="inlineStr">
        <is>
          <t>خیر</t>
        </is>
      </c>
      <c r="W28" s="10" t="inlineStr">
        <is>
          <t>پنج شخص حقوقی و پنج نماینده ثابت</t>
        </is>
      </c>
      <c r="X28" s="9" t="inlineStr">
        <is>
          <t>تاییدشده</t>
        </is>
      </c>
      <c r="Y28"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8" s="5"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AA28" s="15" t="inlineStr">
        <is>
          <t>https://www.codal.ir/Reports/Attachment.aspx?LetterSerial=qF6WQQQaQQQvb3G9yQQQaQQQVuknoGcUQQ%3d%3d
https://www.codal.ir/Reports/Attachment.aspx?LetterSerial=Ln6R9zsWXNJqeuz97OOObOOOaACw%3d%3d
https://www.codal.ir/Reports/Decision.aspx?LetterSerial=EkFsjyhmhfXBQoQQQaQQQTg7cqCw%3d%3d&amp;rt=5&amp;let=19&amp;ct=0&amp;ft=-1</t>
        </is>
      </c>
    </row>
    <row r="29" ht="24" customHeight="1" s="76">
      <c r="A29" s="8" t="inlineStr">
        <is>
          <t>وبملت</t>
        </is>
      </c>
      <c r="B29" s="8" t="inlineStr">
        <is>
          <t>Batch 6</t>
        </is>
      </c>
      <c r="C29" s="8" t="inlineStr">
        <is>
          <t>بالا</t>
        </is>
      </c>
      <c r="D29" s="4" t="inlineStr">
        <is>
          <t>DIRECT_TYPE19_COMPARISON</t>
        </is>
      </c>
      <c r="E29" s="8" t="inlineStr">
        <is>
          <t>بله</t>
        </is>
      </c>
      <c r="F29" s="8" t="inlineStr">
        <is>
          <t>خیر</t>
        </is>
      </c>
      <c r="G29" s="8" t="n">
        <v>0</v>
      </c>
      <c r="H29" s="8" t="n">
        <v>5</v>
      </c>
      <c r="I29" s="12">
        <f>IF(AND(ISNUMBER(G29),ISNUMBER(H29),H29&gt;0),G29/H29,"")</f>
        <v>0</v>
      </c>
      <c r="J29" s="2" t="n"/>
      <c r="K29" s="2" t="n"/>
      <c r="L29" s="12">
        <f>IF(AND(ISNUMBER(J29),ISNUMBER(K29),K29&gt;0),J29/K29,"")</f>
      </c>
      <c r="M29" s="2" t="n"/>
      <c r="N29" s="2" t="n"/>
      <c r="O29" s="12">
        <f>IF(AND(ISNUMBER(M29),ISNUMBER(N29),N29&gt;0),M29/N29,"")</f>
      </c>
      <c r="P29" s="8" t="n">
        <v>0</v>
      </c>
      <c r="Q29" s="8" t="n">
        <v>5</v>
      </c>
      <c r="R29" s="12">
        <f>IF(AND(ISNUMBER(P29),ISNUMBER(Q29),Q29&gt;0),P29/Q29,"")</f>
        <v>0</v>
      </c>
      <c r="S29" s="8" t="n">
        <v>5</v>
      </c>
      <c r="T29" s="8" t="n">
        <v>5</v>
      </c>
      <c r="U29" s="12">
        <f>IF(AND(ISNUMBER(S29),ISNUMBER(T29),T29&gt;0),S29/T29,"")</f>
        <v>1</v>
      </c>
      <c r="V29" s="8" t="inlineStr">
        <is>
          <t>خیر</t>
        </is>
      </c>
      <c r="W29" s="8" t="inlineStr">
        <is>
          <t>اعضا حقیقی مستقیم؛ Representative Change قابل اعمال نیست</t>
        </is>
      </c>
      <c r="X29" s="9" t="inlineStr">
        <is>
          <t>تاییدشده</t>
        </is>
      </c>
      <c r="Y29"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29" s="5" t="inlineStr">
        <is>
          <t>SRC_MELT_1404_006 | افشای نوع ۱۹ | ۱۴۰۳ | ۱ | Snapshot اشخاص حقیقی ۱۴۰۳
SRC_MELT_1404_005 | افشای نوع ۱۹ | ۱۴۰۴ | ۱ | Snapshot اشخاص حقیقی ۱۴۰۴؛ فقط تغییر سمت</t>
        </is>
      </c>
      <c r="AA29" s="15" t="inlineStr">
        <is>
          <t>https://www.codal.ir/Reports/Decision.aspx?LetterSerial=pMyRiSQQQaQQQwMIoymmCCqmzwtg%3d%3d&amp;rt=3&amp;let=19&amp;ct=0&amp;ft=-1
https://www.codal.ir/Reports/Decision.aspx?LetterSerial=jqQzOOObOOOZ5mOOObOOO0IdbSC6088ERA%3d%3d&amp;rt=3&amp;let=19&amp;ct=0&amp;ft=-1</t>
        </is>
      </c>
    </row>
    <row r="30" ht="24" customHeight="1" s="76">
      <c r="A30" s="10" t="inlineStr">
        <is>
          <t>وبصادر</t>
        </is>
      </c>
      <c r="B30" s="10" t="inlineStr">
        <is>
          <t>Batch 6</t>
        </is>
      </c>
      <c r="C30" s="10" t="inlineStr">
        <is>
          <t>بالا</t>
        </is>
      </c>
      <c r="D30" s="4" t="inlineStr">
        <is>
          <t>DIRECT_ANNUAL_REPORT_COMPARISON</t>
        </is>
      </c>
      <c r="E30" s="10" t="inlineStr">
        <is>
          <t>بله</t>
        </is>
      </c>
      <c r="F30" s="10" t="inlineStr">
        <is>
          <t>خیر</t>
        </is>
      </c>
      <c r="G30" s="10" t="n">
        <v>0</v>
      </c>
      <c r="H30" s="10" t="n">
        <v>5</v>
      </c>
      <c r="I30" s="11">
        <f>IF(AND(ISNUMBER(G30),ISNUMBER(H30),H30&gt;0),G30/H30,"")</f>
        <v>0</v>
      </c>
      <c r="J30" s="2" t="n"/>
      <c r="K30" s="2" t="n"/>
      <c r="L30" s="11">
        <f>IF(AND(ISNUMBER(J30),ISNUMBER(K30),K30&gt;0),J30/K30,"")</f>
      </c>
      <c r="M30" s="2" t="n"/>
      <c r="N30" s="2" t="n"/>
      <c r="O30" s="11">
        <f>IF(AND(ISNUMBER(M30),ISNUMBER(N30),N30&gt;0),M30/N30,"")</f>
      </c>
      <c r="P30" s="10" t="n">
        <v>0</v>
      </c>
      <c r="Q30" s="10" t="n">
        <v>5</v>
      </c>
      <c r="R30" s="11">
        <f>IF(AND(ISNUMBER(P30),ISNUMBER(Q30),Q30&gt;0),P30/Q30,"")</f>
        <v>0</v>
      </c>
      <c r="S30" s="10" t="n">
        <v>5</v>
      </c>
      <c r="T30" s="10" t="n">
        <v>5</v>
      </c>
      <c r="U30" s="11">
        <f>IF(AND(ISNUMBER(S30),ISNUMBER(T30),T30&gt;0),S30/T30,"")</f>
        <v>1</v>
      </c>
      <c r="V30" s="10" t="inlineStr">
        <is>
          <t>خیر</t>
        </is>
      </c>
      <c r="W30" s="10" t="inlineStr">
        <is>
          <t>اعضا حقیقی مستقیم؛ Representative Change قابل اعمال نیست</t>
        </is>
      </c>
      <c r="X30" s="9" t="inlineStr">
        <is>
          <t>تاییدشده</t>
        </is>
      </c>
      <c r="Y30"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30" s="5" t="inlineStr">
        <is>
          <t>SRC_VBSD_1404_002 | گزارش فعالیت هیئت مدیره | ۱۴۰۳ | ۳۸ تا ۳۹ | Snapshot مبنا ۱۴۰۳
SRC_VBSD_1404_001 | گزارش فعالیت هیئت مدیره | ۱۴۰۴ | ۴۵ تا ۴۶ | Snapshot مبنا ۱۴۰۴</t>
        </is>
      </c>
      <c r="AA30" s="15" t="inlineStr">
        <is>
          <t>https://www.codal.ir/Reports/Attachment.aspx?LetterSerial=HChwyLb11ZnzYeIEeB3Jng%3d%3d
https://www.codal.ir/Reports/Attachment.aspx?LetterSerial=p0cfFj1rDsXiFZsu35tCWw%3d%3d</t>
        </is>
      </c>
    </row>
    <row r="31" ht="24" customHeight="1" s="76">
      <c r="A31" s="8" t="inlineStr">
        <is>
          <t>وپاسار</t>
        </is>
      </c>
      <c r="B31" s="8" t="inlineStr">
        <is>
          <t>Batch 6</t>
        </is>
      </c>
      <c r="C31" s="16" t="inlineStr">
        <is>
          <t>حل نشده</t>
        </is>
      </c>
      <c r="D31" s="4" t="inlineStr">
        <is>
          <t>ARCHIVE_AVAILABILITY_CHECK</t>
        </is>
      </c>
      <c r="E31" s="8" t="inlineStr">
        <is>
          <t>بله</t>
        </is>
      </c>
      <c r="F31" s="8" t="inlineStr">
        <is>
          <t>نامشخص</t>
        </is>
      </c>
      <c r="G31" s="2" t="n"/>
      <c r="H31" s="2" t="n"/>
      <c r="I31" s="12">
        <f>IF(AND(ISNUMBER(G31),ISNUMBER(H31),H31&gt;0),G31/H31,"")</f>
      </c>
      <c r="J31" s="2" t="n"/>
      <c r="K31" s="2" t="n"/>
      <c r="L31" s="12">
        <f>IF(AND(ISNUMBER(J31),ISNUMBER(K31),K31&gt;0),J31/K31,"")</f>
      </c>
      <c r="M31" s="2" t="n"/>
      <c r="N31" s="2" t="n"/>
      <c r="O31" s="12">
        <f>IF(AND(ISNUMBER(M31),ISNUMBER(N31),N31&gt;0),M31/N31,"")</f>
      </c>
      <c r="P31" s="2" t="n"/>
      <c r="Q31" s="2" t="n"/>
      <c r="R31" s="12">
        <f>IF(AND(ISNUMBER(P31),ISNUMBER(Q31),Q31&gt;0),P31/Q31,"")</f>
      </c>
      <c r="S31" s="2" t="n"/>
      <c r="T31" s="2" t="n"/>
      <c r="U31" s="12">
        <f>IF(AND(ISNUMBER(S31),ISNUMBER(T31),T31&gt;0),S31/T31,"")</f>
      </c>
      <c r="V31" s="8" t="inlineStr">
        <is>
          <t>نامشخص</t>
        </is>
      </c>
      <c r="W31" s="8" t="inlineStr">
        <is>
          <t>v38: Not Found — برای ۱۴۰۴/۱۲/۲۹: اطلاعیه ن-۴۵ در ۱۴۰۳–۱۴۰۴ نیست، گزارش فعالیت FY1404 منتشر نشده، AGM FY1404 (۱۴۰۵/۰۴/۳۱) فاقد حد نصاب (۱۴٫۲۱٪)؛ پایه نیز متناقض (گزارش FY1403: ۷ عضو؛ AGM: ۵ عضو)</t>
        </is>
      </c>
      <c r="X31" s="13" t="inlineStr">
        <is>
          <t>حل نشده</t>
        </is>
      </c>
      <c r="Y31"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31" s="5"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AA31" s="15" t="inlineStr">
        <is>
          <t>https://www.codal.ir/Reports/Attachment.aspx?LetterSerial=Cxkdj8wztt52xU9MoBXp2w%3d%3d</t>
        </is>
      </c>
    </row>
    <row r="32" ht="24" customHeight="1" s="76">
      <c r="A32" s="10" t="inlineStr">
        <is>
          <t>حکشتی</t>
        </is>
      </c>
      <c r="B32" s="10" t="inlineStr">
        <is>
          <t>خارج از مخرج</t>
        </is>
      </c>
      <c r="C32" s="16" t="inlineStr">
        <is>
          <t>محدودیت ساختاری</t>
        </is>
      </c>
      <c r="D32" s="4" t="inlineStr">
        <is>
          <t>SEAT_LEVEL_ONLY</t>
        </is>
      </c>
      <c r="E32" s="10" t="inlineStr">
        <is>
          <t>خیر</t>
        </is>
      </c>
      <c r="F32" s="10" t="inlineStr">
        <is>
          <t>خیر</t>
        </is>
      </c>
      <c r="G32" s="2" t="n"/>
      <c r="H32" s="2" t="n"/>
      <c r="I32" s="11">
        <f>IF(AND(ISNUMBER(G32),ISNUMBER(H32),H32&gt;0),G32/H32,"")</f>
      </c>
      <c r="J32" s="2" t="n"/>
      <c r="K32" s="2" t="n"/>
      <c r="L32" s="11">
        <f>IF(AND(ISNUMBER(J32),ISNUMBER(K32),K32&gt;0),J32/K32,"")</f>
      </c>
      <c r="M32" s="2" t="n"/>
      <c r="N32" s="2" t="n"/>
      <c r="O32" s="11">
        <f>IF(AND(ISNUMBER(M32),ISNUMBER(N32),N32&gt;0),M32/N32,"")</f>
      </c>
      <c r="P32" s="2" t="n"/>
      <c r="Q32" s="2" t="n"/>
      <c r="R32" s="11">
        <f>IF(AND(ISNUMBER(P32),ISNUMBER(Q32),Q32&gt;0),P32/Q32,"")</f>
      </c>
      <c r="S32" s="2" t="n"/>
      <c r="T32" s="2" t="n"/>
      <c r="U32" s="11">
        <f>IF(AND(ISNUMBER(S32),ISNUMBER(T32),T32&gt;0),S32/T32,"")</f>
      </c>
      <c r="V32" s="10" t="inlineStr">
        <is>
          <t>نامشخص</t>
        </is>
      </c>
      <c r="W32" s="10" t="inlineStr">
        <is>
          <t>v38: Not Found — در اطلاعیه‌های ن-۴۵، گزارش فعالیت، AGM و پیوست‌ها نام نماینده حقیقی ثبت نشده («فاقد نماینده»)؛ نیازمند صورتجلسه هیئت مدیره تعیین سمت با نام نمایندگان یا منبع رسمی شرکت</t>
        </is>
      </c>
      <c r="X32" s="14" t="inlineStr">
        <is>
          <t>خارج از مخرج پایلوت</t>
        </is>
      </c>
      <c r="Y32"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32" s="5" t="inlineStr">
        <is>
          <t>Iran_BSI_v33_Phase4_2K_FinalTurnoverClosure.xlsx | شرکت های Seat Level | داده شخص حقیقی برای Turnover قابل اتکا نبود</t>
        </is>
      </c>
      <c r="AA32" s="5" t="inlineStr">
        <is>
          <t>برای ردیابی پایه به فایل v33 و Source_IDهای همان فاز مراجعه شود</t>
        </is>
      </c>
    </row>
    <row r="33" ht="24" customHeight="1" s="76">
      <c r="A33" s="8" t="inlineStr">
        <is>
          <t>شپدیس</t>
        </is>
      </c>
      <c r="B33" s="8" t="inlineStr">
        <is>
          <t>خارج از مخرج</t>
        </is>
      </c>
      <c r="C33" s="16" t="inlineStr">
        <is>
          <t>بالا</t>
        </is>
      </c>
      <c r="D33" s="4" t="inlineStr">
        <is>
          <t>TYPE19_CUTOFF_CHRONOLOGY_V38</t>
        </is>
      </c>
      <c r="E33" s="8" t="inlineStr">
        <is>
          <t>بله</t>
        </is>
      </c>
      <c r="F33" s="8" t="inlineStr">
        <is>
          <t>بله</t>
        </is>
      </c>
      <c r="G33" s="2" t="n">
        <v>1</v>
      </c>
      <c r="H33" s="2" t="n">
        <v>4</v>
      </c>
      <c r="I33" s="12">
        <f>IF(AND(ISNUMBER(G33),ISNUMBER(H33),H33&gt;0),G33/H33,"")</f>
        <v>0.25</v>
      </c>
      <c r="J33" s="2" t="n">
        <v>1</v>
      </c>
      <c r="K33" s="2" t="n">
        <v>4</v>
      </c>
      <c r="L33" s="12">
        <f>IF(AND(ISNUMBER(J33),ISNUMBER(K33),K33&gt;0),J33/K33,"")</f>
        <v>0.25</v>
      </c>
      <c r="M33" s="2" t="n">
        <v>0</v>
      </c>
      <c r="N33" s="2" t="n">
        <v>5</v>
      </c>
      <c r="O33" s="12">
        <f>IF(AND(ISNUMBER(M33),ISNUMBER(N33),N33&gt;0),M33/N33,"")</f>
        <v>0</v>
      </c>
      <c r="P33" s="2" t="n">
        <v>2</v>
      </c>
      <c r="Q33" s="2" t="n">
        <v>5</v>
      </c>
      <c r="R33" s="12">
        <f>IF(AND(ISNUMBER(P33),ISNUMBER(Q33),Q33&gt;0),P33/Q33,"")</f>
        <v>0.4</v>
      </c>
      <c r="S33" s="2" t="n">
        <v>3</v>
      </c>
      <c r="T33" s="2" t="n">
        <v>4</v>
      </c>
      <c r="U33" s="12">
        <f>IF(AND(ISNUMBER(S33),ISNUMBER(T33),T33&gt;0),S33/T33,"")</f>
        <v>0.75</v>
      </c>
      <c r="V33" s="8" t="inlineStr">
        <is>
          <t>بله</t>
        </is>
      </c>
      <c r="W33" s="8" t="inlineStr">
        <is>
          <t>v38: Cutoff ۱۴۰۳/۱۲/۲۹ از اطلاعیه ۱۳۰۹۳۸۶ (جلسه ۱۴۰۳/۱۱/۲۹؛ پیش‌تر در آرشیو نبود)؛ تا ۱۴۰۴/۰۳/۱۱ اطلاعیه دیگری نیست. | Cutoff ۱۴۰۴/۱۲/۲۹ از اطلاعیه ۱۴۴۳۷۲۱ (جلسه ۱۴۰۴/۰۹/۰۵)؛ بعدی ۱۵۶۳۳۴۲ جلسه ۱۴۰۵/۰۴/۲۰ پس از Cutoff است. | سطح اطمینان Confirmed</t>
        </is>
      </c>
      <c r="X33" s="14" t="inlineStr">
        <is>
          <t>تاییدشده (v38)</t>
        </is>
      </c>
      <c r="Y33" s="4" t="inlineStr">
        <is>
          <t>گردش فردی = صورت ستون G تقسیم بر مخرج ستون H؛ تغییر نماینده = صورت J تقسیم بر مخرج K و فقط در کرسی با شخص حقوقی ثابت؛ تغییر شخص حقوقی = M تقسیم بر N؛ سهم عضو جدید = P تقسیم بر Q؛ ثبات = S تقسیم بر T. تغییر سمت به تنهایی Turnover نیست، vacancy خودکار تغییر نماینده نیست و Missing صفر نمی شود.</t>
        </is>
      </c>
      <c r="Z33" s="5" t="inlineStr">
        <is>
          <t>Iran_BSI_v33_Phase4_2K_FinalTurnoverClosure.xlsx | وضعیت ۳۰ شرکت | سند FY1403 برای تطبیق دو ساله در دسترس نبود | v38 TracingNo: 1309386 ؛ 1433411 ؛ 1443721</t>
        </is>
      </c>
      <c r="AA33" s="5" t="inlineStr">
        <is>
          <t>https://www.codal.ir/Reports/Decision.aspx?LetterSerial=C4XsKe3dMCJ7F1MqOaUJBw%3d%3d&amp;rt=0&amp;let=19&amp;ct=0&amp;ft=-1 ؛ https://www.codal.ir/Reports/Decision.aspx?LetterSerial=wdvkPalLR21S83nLTXWEcA%3d%3d&amp;rt=0&amp;let=19&amp;ct=0&amp;ft=-1 ؛ https://www.codal.ir/Reports/Decision.aspx?LetterSerial=Lh6dCOOObOOOOOObOOOHmUIfwOOObOOOrvn9DNRQ%3d%3d&amp;rt=0&amp;let=19&amp;ct=0&amp;ft=-1</t>
        </is>
      </c>
    </row>
  </sheetData>
  <autoFilter ref="A3:AA33"/>
  <mergeCells count="2">
    <mergeCell ref="A1:AA1"/>
    <mergeCell ref="A2:AA2"/>
  </mergeCells>
  <hyperlinks>
    <hyperlink xmlns:r="http://schemas.openxmlformats.org/officeDocument/2006/relationships" ref="AA9" r:id="rId1"/>
    <hyperlink xmlns:r="http://schemas.openxmlformats.org/officeDocument/2006/relationships" ref="AA10" r:id="rId2"/>
    <hyperlink xmlns:r="http://schemas.openxmlformats.org/officeDocument/2006/relationships" ref="AA11" r:id="rId3"/>
    <hyperlink xmlns:r="http://schemas.openxmlformats.org/officeDocument/2006/relationships" ref="AA13" r:id="rId4"/>
    <hyperlink xmlns:r="http://schemas.openxmlformats.org/officeDocument/2006/relationships" ref="AA15" r:id="rId5"/>
    <hyperlink xmlns:r="http://schemas.openxmlformats.org/officeDocument/2006/relationships" ref="AA16" r:id="rId6"/>
    <hyperlink xmlns:r="http://schemas.openxmlformats.org/officeDocument/2006/relationships" ref="AA17" r:id="rId7"/>
    <hyperlink xmlns:r="http://schemas.openxmlformats.org/officeDocument/2006/relationships" ref="AA18" r:id="rId8"/>
    <hyperlink xmlns:r="http://schemas.openxmlformats.org/officeDocument/2006/relationships" ref="AA19" r:id="rId9"/>
    <hyperlink xmlns:r="http://schemas.openxmlformats.org/officeDocument/2006/relationships" ref="AA20" r:id="rId10"/>
    <hyperlink xmlns:r="http://schemas.openxmlformats.org/officeDocument/2006/relationships" ref="AA21" r:id="rId11"/>
    <hyperlink xmlns:r="http://schemas.openxmlformats.org/officeDocument/2006/relationships" ref="AA22" r:id="rId12"/>
    <hyperlink xmlns:r="http://schemas.openxmlformats.org/officeDocument/2006/relationships" ref="AA23" r:id="rId13"/>
    <hyperlink xmlns:r="http://schemas.openxmlformats.org/officeDocument/2006/relationships" ref="AA24" r:id="rId14"/>
    <hyperlink xmlns:r="http://schemas.openxmlformats.org/officeDocument/2006/relationships" ref="AA25" r:id="rId15"/>
    <hyperlink xmlns:r="http://schemas.openxmlformats.org/officeDocument/2006/relationships" ref="AA26" r:id="rId16"/>
    <hyperlink xmlns:r="http://schemas.openxmlformats.org/officeDocument/2006/relationships" ref="AA27" r:id="rId17"/>
    <hyperlink xmlns:r="http://schemas.openxmlformats.org/officeDocument/2006/relationships" ref="AA28" r:id="rId18"/>
    <hyperlink xmlns:r="http://schemas.openxmlformats.org/officeDocument/2006/relationships" ref="AA29" r:id="rId19"/>
    <hyperlink xmlns:r="http://schemas.openxmlformats.org/officeDocument/2006/relationships" ref="AA30" r:id="rId20"/>
    <hyperlink xmlns:r="http://schemas.openxmlformats.org/officeDocument/2006/relationships" ref="AA31" r:id="rId21"/>
  </hyperlinks>
  <pageMargins left="0.25" right="0.25" top="0.4" bottom="0.4" header="0.511811023622047" footer="0.511811023622047"/>
  <pageSetup orientation="portrait" fitToHeight="0" horizontalDpi="300" verticalDpi="300"/>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M9"/>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42" customWidth="1" style="76" min="1" max="1"/>
    <col width="40" customWidth="1" style="76" min="2" max="2"/>
    <col width="42" customWidth="1" style="76" min="3" max="6"/>
    <col width="20.1640625" customWidth="1" style="76" min="7" max="7"/>
    <col width="15.33203125" customWidth="1" style="76" min="8" max="8"/>
    <col width="42" customWidth="1" style="76" min="9" max="9"/>
    <col width="23.83203125" customWidth="1" style="76" min="10" max="10"/>
    <col width="42" customWidth="1" style="76" min="11" max="12"/>
    <col width="31.5" customWidth="1" style="76" min="13" max="13"/>
  </cols>
  <sheetData>
    <row r="1" ht="34" customHeight="1" s="76">
      <c r="A1" s="79" t="inlineStr">
        <is>
          <t>پوشش نهایی Measureها</t>
        </is>
      </c>
    </row>
    <row r="2" ht="28" customHeight="1" s="76">
      <c r="A2" s="82" t="inlineStr">
        <is>
          <t>پوشش بر مبنای داده تاییدشده پس از شش Batch</t>
        </is>
      </c>
    </row>
    <row r="3" ht="34" customHeight="1" s="76">
      <c r="A3" s="28" t="inlineStr">
        <is>
          <t>معیار</t>
        </is>
      </c>
      <c r="B3" s="28" t="inlineStr">
        <is>
          <t>واجد شرایط</t>
        </is>
      </c>
      <c r="C3" s="28" t="inlineStr">
        <is>
          <t>دارای داده</t>
        </is>
      </c>
      <c r="D3" s="28" t="inlineStr">
        <is>
          <t>قابل اعمال نیست</t>
        </is>
      </c>
      <c r="E3" s="28" t="inlineStr">
        <is>
          <t>خارج از مخرج</t>
        </is>
      </c>
      <c r="F3" s="28" t="inlineStr">
        <is>
          <t>حل نشده</t>
        </is>
      </c>
      <c r="G3" s="28" t="inlineStr">
        <is>
          <t>پوشش واجد شرایط</t>
        </is>
      </c>
      <c r="H3" s="28" t="inlineStr">
        <is>
          <t>پوشش از کل ۳۰</t>
        </is>
      </c>
      <c r="I3" s="28" t="inlineStr">
        <is>
          <t>وضعیت پوشش</t>
        </is>
      </c>
      <c r="J3" s="28" t="inlineStr">
        <is>
          <t>تصمیم معماری</t>
        </is>
      </c>
      <c r="K3" s="28" t="inlineStr">
        <is>
          <t>یادداشت</t>
        </is>
      </c>
      <c r="L3" s="28" t="inlineStr">
        <is>
          <t>روش محاسبه</t>
        </is>
      </c>
      <c r="M3" s="28" t="inlineStr">
        <is>
          <t>منبع داده</t>
        </is>
      </c>
    </row>
    <row r="4" ht="24" customHeight="1" s="76">
      <c r="A4" s="10" t="inlineStr">
        <is>
          <t>گردش شخص حقیقی</t>
        </is>
      </c>
      <c r="B4" s="17">
        <f>COUNTIF('Turnover نهایی'!E4:E33,"بله")</f>
        <v>29</v>
      </c>
      <c r="C4" s="17">
        <f>COUNT('Turnover نهایی'!I4:I33)</f>
        <v>28</v>
      </c>
      <c r="D4" s="10" t="n">
        <v>0</v>
      </c>
      <c r="E4" s="17">
        <f>COUNTIF('Turnover نهایی'!X4:X33,"خارج از مخرج پایلوت")</f>
        <v>1</v>
      </c>
      <c r="F4" s="17">
        <f>COUNTIFS('Turnover نهایی'!E4:E33,"بله",'Turnover نهایی'!I4:I33,"")</f>
        <v>1</v>
      </c>
      <c r="G4" s="11">
        <f>IF(B4&gt;0,C4/B4,"")</f>
        <v>0.9655172413793104</v>
      </c>
      <c r="H4" s="11">
        <f>C4/30</f>
        <v>0.9333333333333333</v>
      </c>
      <c r="I4" s="17" t="str">
        <f>IF(G4&gt;=0.9,"بسیار قوی",IF(G4&gt;=0.8,"قوی",IF(G4&gt;=0.7,"قابل استفاده با محدودیت",IF(G4&gt;=0.5,"توسعه ای","ضعیف"))))</f>
        <v>بسیار قوی</v>
      </c>
      <c r="J4" s="10" t="inlineStr">
        <is>
          <t>مقیاس پذیری با محدودیت</t>
        </is>
      </c>
      <c r="K4" s="10" t="inlineStr">
        <is>
          <t>پوشش بسیار قوی؛ جهت کیفیت ساده ندارد</t>
        </is>
      </c>
      <c r="L4" s="4" t="inlineStr">
        <is>
          <t>دارای داده برابر تعداد نرخ های عددی گردش فردی است؛ پوشش واجد شرایط = دارای داده ÷ شرکت های واجد شرایط Turnover.</t>
        </is>
      </c>
      <c r="M4" s="5" t="inlineStr">
        <is>
          <t>Turnover نهایی و وضعیت ۳۰ شرکت</t>
        </is>
      </c>
    </row>
    <row r="5" ht="24" customHeight="1" s="76">
      <c r="A5" s="8" t="inlineStr">
        <is>
          <t>تغییر نماینده با شخص حقوقی ثابت</t>
        </is>
      </c>
      <c r="B5" s="18">
        <f>COUNTIF('Turnover نهایی'!F4:F33,"بله")</f>
        <v>25</v>
      </c>
      <c r="C5" s="18">
        <f>COUNT('Turnover نهایی'!L4:L33)</f>
        <v>25</v>
      </c>
      <c r="D5" s="18">
        <f>COUNTIFS('Turnover نهایی'!F4:F33,"خیر",'Turnover نهایی'!X4:X33,"&lt;&gt;خارج از مخرج پایلوت")</f>
        <v>3</v>
      </c>
      <c r="E5" s="18">
        <f>COUNTIF('Turnover نهایی'!X4:X33,"خارج از مخرج پایلوت")</f>
        <v>1</v>
      </c>
      <c r="F5" s="18">
        <f>COUNTIF('Turnover نهایی'!F4:F33,"نامشخص")</f>
        <v>1</v>
      </c>
      <c r="G5" s="12">
        <f>IF(B5&gt;0,C5/B5,"")</f>
        <v>1</v>
      </c>
      <c r="H5" s="12">
        <f>C5/30</f>
        <v>0.8333333333333334</v>
      </c>
      <c r="I5" s="18" t="str">
        <f>IF(G5&gt;=0.9,"بسیار قوی",IF(G5&gt;=0.8,"قوی",IF(G5&gt;=0.7,"قابل استفاده با محدودیت",IF(G5&gt;=0.5,"توسعه ای","ضعیف"))))</f>
        <v>بسیار قوی</v>
      </c>
      <c r="J5" s="8" t="inlineStr">
        <is>
          <t>مقیاس پذیری با محدودیت</t>
        </is>
      </c>
      <c r="K5" s="8" t="inlineStr">
        <is>
          <t>Measure بومی و پویا؛ ۴ شرکت مستقیم قابل اعمال نیستند و وپاسار نامشخص است</t>
        </is>
      </c>
      <c r="L5" s="4" t="inlineStr">
        <is>
          <t>دارای داده برابر تعداد نرخ های عددی تغییر نماینده است؛ فقط شرکت های دارای ساختار نمایندگی حقوقی تاییدشده در مخرج واجد شرایط قرار می گیرند.</t>
        </is>
      </c>
      <c r="M5" s="5" t="inlineStr">
        <is>
          <t>Turnover نهایی و وضعیت ۳۰ شرکت</t>
        </is>
      </c>
    </row>
    <row r="6" ht="24" customHeight="1" s="76">
      <c r="A6" s="10" t="inlineStr">
        <is>
          <t>تغییر شخص حقوقی</t>
        </is>
      </c>
      <c r="B6" s="17">
        <f>COUNTIF('Turnover نهایی'!F4:F33,"بله")</f>
        <v>25</v>
      </c>
      <c r="C6" s="17">
        <f>COUNT('Turnover نهایی'!O4:O33)</f>
        <v>25</v>
      </c>
      <c r="D6" s="17">
        <f>COUNTIFS('Turnover نهایی'!F4:F33,"خیر",'Turnover نهایی'!X4:X33,"&lt;&gt;خارج از مخرج پایلوت")</f>
        <v>3</v>
      </c>
      <c r="E6" s="17">
        <f>COUNTIF('Turnover نهایی'!X4:X33,"خارج از مخرج پایلوت")</f>
        <v>1</v>
      </c>
      <c r="F6" s="17">
        <f>COUNTIF('Turnover نهایی'!F4:F33,"نامشخص")</f>
        <v>1</v>
      </c>
      <c r="G6" s="11">
        <f>IF(B6&gt;0,C6/B6,"")</f>
        <v>1</v>
      </c>
      <c r="H6" s="11">
        <f>C6/30</f>
        <v>0.8333333333333334</v>
      </c>
      <c r="I6" s="17" t="str">
        <f>IF(G6&gt;=0.9,"بسیار قوی",IF(G6&gt;=0.8,"قوی",IF(G6&gt;=0.7,"قابل استفاده با محدودیت",IF(G6&gt;=0.5,"توسعه ای","ضعیف"))))</f>
        <v>بسیار قوی</v>
      </c>
      <c r="J6" s="10" t="inlineStr">
        <is>
          <t>فقط آزمون استحکام</t>
        </is>
      </c>
      <c r="K6" s="10" t="inlineStr">
        <is>
          <t>Variation واقعی دارد ولی جهت کیفی ندارد</t>
        </is>
      </c>
      <c r="L6" s="4" t="inlineStr">
        <is>
          <t>مشابه REF08 اما متغیر مورد سنجش تغییر شخص حقوقی صاحب کرسی است.</t>
        </is>
      </c>
      <c r="M6" s="5" t="inlineStr">
        <is>
          <t>Turnover نهایی و وضعیت ۳۰ شرکت</t>
        </is>
      </c>
    </row>
    <row r="7" ht="24" customHeight="1" s="76">
      <c r="A7" s="8" t="inlineStr">
        <is>
          <t>سهم اعضای جدید</t>
        </is>
      </c>
      <c r="B7" s="18">
        <f>COUNTIF('Turnover نهایی'!E4:E33,"بله")</f>
        <v>29</v>
      </c>
      <c r="C7" s="18">
        <f>COUNT('Turnover نهایی'!R4:R33)</f>
        <v>28</v>
      </c>
      <c r="D7" s="8" t="n">
        <v>0</v>
      </c>
      <c r="E7" s="18">
        <f>COUNTIF('Turnover نهایی'!X4:X33,"خارج از مخرج پایلوت")</f>
        <v>1</v>
      </c>
      <c r="F7" s="18">
        <f>COUNTIFS('Turnover نهایی'!E4:E33,"بله",'Turnover نهایی'!R4:R33,"")</f>
        <v>1</v>
      </c>
      <c r="G7" s="12">
        <f>IF(B7&gt;0,C7/B7,"")</f>
        <v>0.9655172413793104</v>
      </c>
      <c r="H7" s="12">
        <f>C7/30</f>
        <v>0.9333333333333333</v>
      </c>
      <c r="I7" s="18" t="str">
        <f>IF(G7&gt;=0.9,"بسیار قوی",IF(G7&gt;=0.8,"قوی",IF(G7&gt;=0.7,"قابل استفاده با محدودیت",IF(G7&gt;=0.5,"توسعه ای","ضعیف"))))</f>
        <v>بسیار قوی</v>
      </c>
      <c r="J7" s="8" t="inlineStr">
        <is>
          <t>فقط آزمون استحکام</t>
        </is>
      </c>
      <c r="K7" s="8" t="inlineStr">
        <is>
          <t>همپوشانی بالا با Turnover</t>
        </is>
      </c>
      <c r="L7" s="4" t="inlineStr">
        <is>
          <t>تعداد سهم های عددی عضو جدید تقسیم بر شرکت های واجد شرایط Turnover.</t>
        </is>
      </c>
      <c r="M7" s="5" t="inlineStr">
        <is>
          <t>Turnover نهایی و وضعیت ۳۰ شرکت</t>
        </is>
      </c>
    </row>
    <row r="8" ht="24" customHeight="1" s="76">
      <c r="A8" s="10" t="inlineStr">
        <is>
          <t>ثبات هیئت مدیره</t>
        </is>
      </c>
      <c r="B8" s="17">
        <f>COUNTIF('Turnover نهایی'!E4:E33,"بله")</f>
        <v>29</v>
      </c>
      <c r="C8" s="17">
        <f>COUNT('Turnover نهایی'!U4:U33)</f>
        <v>28</v>
      </c>
      <c r="D8" s="10" t="n">
        <v>0</v>
      </c>
      <c r="E8" s="17">
        <f>COUNTIF('Turnover نهایی'!X4:X33,"خارج از مخرج پایلوت")</f>
        <v>1</v>
      </c>
      <c r="F8" s="17">
        <f>COUNTIFS('Turnover نهایی'!E4:E33,"بله",'Turnover نهایی'!U4:U33,"")</f>
        <v>1</v>
      </c>
      <c r="G8" s="11">
        <f>IF(B8&gt;0,C8/B8,"")</f>
        <v>0.9655172413793104</v>
      </c>
      <c r="H8" s="11">
        <f>C8/30</f>
        <v>0.9333333333333333</v>
      </c>
      <c r="I8" s="17" t="str">
        <f>IF(G8&gt;=0.9,"بسیار قوی",IF(G8&gt;=0.8,"قوی",IF(G8&gt;=0.7,"قابل استفاده با محدودیت",IF(G8&gt;=0.5,"توسعه ای","ضعیف"))))</f>
        <v>بسیار قوی</v>
      </c>
      <c r="J8" s="10" t="inlineStr">
        <is>
          <t>فقط آزمون استحکام</t>
        </is>
      </c>
      <c r="K8" s="10" t="inlineStr">
        <is>
          <t>مکمل ریاضی Turnover؛ همزمان در Composite استفاده نشود</t>
        </is>
      </c>
      <c r="L8" s="4" t="inlineStr">
        <is>
          <t>تعداد نرخ های عددی ثبات تقسیم بر شرکت های واجد شرایط Turnover. ثبات مکمل Turnover است.</t>
        </is>
      </c>
      <c r="M8" s="5" t="inlineStr">
        <is>
          <t>Turnover نهایی و وضعیت ۳۰ شرکت</t>
        </is>
      </c>
    </row>
    <row r="9" ht="24" customHeight="1" s="76">
      <c r="A9" s="8" t="inlineStr">
        <is>
          <t>تغییر رئیس؛ کل نمونه و پوشش محافظه کارانه</t>
        </is>
      </c>
      <c r="B9" s="18">
        <f>'CR1A v39'!B44</f>
        <v>30</v>
      </c>
      <c r="C9" s="18">
        <f>'CR1A v39'!B39</f>
        <v>26</v>
      </c>
      <c r="D9" s="8" t="n">
        <v>0</v>
      </c>
      <c r="E9" s="18" t="n">
        <v>0</v>
      </c>
      <c r="F9" s="18">
        <f>'CR1A v39'!B50</f>
        <v>4</v>
      </c>
      <c r="G9" s="12">
        <f>IF(B9&gt;0,C9/B9,"")</f>
        <v>0.8666666666666667</v>
      </c>
      <c r="H9" s="12">
        <f>C9/30</f>
        <v>0.8666666666666667</v>
      </c>
      <c r="I9" s="18" t="str">
        <f>IF(G9&gt;=0.9,"بسیار قوی",IF(G9&gt;=0.8,"قوی",IF(G9&gt;=0.7,"قابل استفاده با محدودیت",IF(G9&gt;=0.5,"توسعه ای","ضعیف"))))</f>
        <v>قوی</v>
      </c>
      <c r="J9" s="8" t="inlineStr">
        <is>
          <t>تشخیصی در این جدول</t>
        </is>
      </c>
      <c r="K9" s="8" t="inlineStr">
        <is>
          <t>۲۷ کد عددی موجود؛ ۲۶ بدون تعارض باز ثبت شده و چهار مورد خارج از مجموعه محافظه کارانه</t>
        </is>
      </c>
      <c r="L9" s="4" t="inlineStr">
        <is>
          <t>سه نامشخص: رمپنا، وپاسار، حکشتی؛ یک تعارض: فملی. شرکت فاقد کرسی حقوقی نیز می تواند تغییر رئیس داشته باشد.</t>
        </is>
      </c>
      <c r="M9" s="5" t="inlineStr">
        <is>
          <t>CR1A v39؛ ستون های C و F و جدول جمع بندی</t>
        </is>
      </c>
    </row>
  </sheetData>
  <autoFilter ref="A3:M9"/>
  <mergeCells count="2">
    <mergeCell ref="A2:M2"/>
    <mergeCell ref="A1:M1"/>
  </mergeCells>
  <pageMargins left="0.25" right="0.25" top="0.4" bottom="0.4" header="0.511811023622047" footer="0.511811023622047"/>
  <pageSetup orientation="portrait" fitToHeight="0" horizontalDpi="300" verticalDpi="300"/>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L8"/>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37.1640625" customWidth="1" style="76" min="1" max="1"/>
    <col width="32.5" customWidth="1" style="76" min="2" max="2"/>
    <col width="30.5" customWidth="1" style="76" min="3" max="4"/>
    <col width="34.33203125" customWidth="1" style="76" min="5" max="5"/>
    <col width="33.33203125" customWidth="1" style="76" min="6" max="6"/>
    <col width="32.5" customWidth="1" style="76" min="7" max="7"/>
    <col width="36.1640625" customWidth="1" style="76" min="8" max="8"/>
    <col width="39.1640625" customWidth="1" style="76" min="9" max="9"/>
    <col width="42" customWidth="1" style="76" min="10" max="12"/>
  </cols>
  <sheetData>
    <row r="1" ht="34" customHeight="1" s="76">
      <c r="A1" s="79" t="inlineStr">
        <is>
          <t>Variation نهایی خانواده Turnover</t>
        </is>
      </c>
    </row>
    <row r="2" ht="28" customHeight="1" s="76">
      <c r="A2" s="82" t="inlineStr">
        <is>
          <t>آمار توصیفی بر پایه نرخ های تاییدشده</t>
        </is>
      </c>
    </row>
    <row r="3" ht="34" customHeight="1" s="76">
      <c r="A3" s="28" t="inlineStr">
        <is>
          <t>معیار</t>
        </is>
      </c>
      <c r="B3" s="28" t="inlineStr">
        <is>
          <t>N</t>
        </is>
      </c>
      <c r="C3" s="28" t="inlineStr">
        <is>
          <t>کمینه</t>
        </is>
      </c>
      <c r="D3" s="28" t="inlineStr">
        <is>
          <t>بیشینه</t>
        </is>
      </c>
      <c r="E3" s="28" t="inlineStr">
        <is>
          <t>میانگین</t>
        </is>
      </c>
      <c r="F3" s="28" t="inlineStr">
        <is>
          <t>میانه</t>
        </is>
      </c>
      <c r="G3" s="28" t="inlineStr">
        <is>
          <t>انحراف معیار</t>
        </is>
      </c>
      <c r="H3" s="28" t="inlineStr">
        <is>
          <t>تعداد صفر</t>
        </is>
      </c>
      <c r="I3" s="28" t="inlineStr">
        <is>
          <t>تعداد مثبت</t>
        </is>
      </c>
      <c r="J3" s="28" t="inlineStr">
        <is>
          <t>تفسیر</t>
        </is>
      </c>
      <c r="K3" s="28" t="inlineStr">
        <is>
          <t>روش محاسبه</t>
        </is>
      </c>
      <c r="L3" s="28" t="inlineStr">
        <is>
          <t>منبع داده</t>
        </is>
      </c>
    </row>
    <row r="4" ht="24" customHeight="1" s="76">
      <c r="A4" s="10" t="inlineStr">
        <is>
          <t>گردش شخص حقیقی</t>
        </is>
      </c>
      <c r="B4" s="17">
        <f>COUNT('Turnover نهایی'!I4:I33)</f>
        <v>28</v>
      </c>
      <c r="C4" s="11">
        <f>MIN('Turnover نهایی'!I4:I33)</f>
        <v>0</v>
      </c>
      <c r="D4" s="11">
        <f>MAX('Turnover نهایی'!I4:I33)</f>
        <v>0.8</v>
      </c>
      <c r="E4" s="11">
        <f>AVERAGE('Turnover نهایی'!I4:I33)</f>
        <v>0.35773809523809524</v>
      </c>
      <c r="F4" s="11">
        <f>MEDIAN('Turnover نهایی'!I4:I33)</f>
        <v>0.4</v>
      </c>
      <c r="G4" s="11">
        <f>STDEV('Turnover نهایی'!I4:I33)</f>
        <v>0.24446473581004224</v>
      </c>
      <c r="H4" s="17">
        <f>COUNTIF('Turnover نهایی'!I4:I33,0)</f>
        <v>5</v>
      </c>
      <c r="I4" s="17">
        <f>COUNTIF('Turnover نهایی'!I4:I33,"&gt;0")</f>
        <v>23</v>
      </c>
      <c r="J4" s="10" t="inlineStr">
        <is>
          <t>Variation بالا؛ مناسب توسعه، جهت کیفیت غیرخطی یا وابسته به زمینه</t>
        </is>
      </c>
      <c r="K4" s="4" t="inlineStr">
        <is>
          <t>N با COUNT؛ کمینه با MIN؛ بیشینه با MAX؛ میانگین با AVERAGE؛ میانه با MEDIAN؛ انحراف معیار با STDEV؛ صفر و مثبت با COUNTIF روی نرخ های تاییدشده</t>
        </is>
      </c>
      <c r="L4" s="5" t="inlineStr">
        <is>
          <t>Turnover نهایی، فقط سلول های عددی نرخ مربوطه</t>
        </is>
      </c>
    </row>
    <row r="5" ht="24" customHeight="1" s="76">
      <c r="A5" s="8" t="inlineStr">
        <is>
          <t>تغییر نماینده</t>
        </is>
      </c>
      <c r="B5" s="18">
        <f>COUNT('Turnover نهایی'!L4:L33)</f>
        <v>25</v>
      </c>
      <c r="C5" s="12">
        <f>MIN('Turnover نهایی'!L4:L33)</f>
        <v>0</v>
      </c>
      <c r="D5" s="12">
        <f>MAX('Turnover نهایی'!L4:L33)</f>
        <v>1</v>
      </c>
      <c r="E5" s="12">
        <f>AVERAGE('Turnover نهایی'!L4:L33)</f>
        <v>0.41400000000000003</v>
      </c>
      <c r="F5" s="12">
        <f>MEDIAN('Turnover نهایی'!L4:L33)</f>
        <v>0.4</v>
      </c>
      <c r="G5" s="12">
        <f>STDEV('Turnover نهایی'!L4:L33)</f>
        <v>0.2878190661071896</v>
      </c>
      <c r="H5" s="18">
        <f>COUNTIF('Turnover نهایی'!L4:L33,0)</f>
        <v>4</v>
      </c>
      <c r="I5" s="18">
        <f>COUNTIF('Turnover نهایی'!L4:L33,"&gt;0")</f>
        <v>21</v>
      </c>
      <c r="J5" s="8" t="inlineStr">
        <is>
          <t>Variation بالا و ایران محور؛ سازه پویا و قابل توسعه</t>
        </is>
      </c>
      <c r="K5" s="4" t="inlineStr">
        <is>
          <t>N با COUNT؛ کمینه با MIN؛ بیشینه با MAX؛ میانگین با AVERAGE؛ میانه با MEDIAN؛ انحراف معیار با STDEV؛ صفر و مثبت با COUNTIF روی نرخ های تاییدشده</t>
        </is>
      </c>
      <c r="L5" s="5" t="inlineStr">
        <is>
          <t>Turnover نهایی، فقط سلول های عددی نرخ مربوطه</t>
        </is>
      </c>
    </row>
    <row r="6" ht="24" customHeight="1" s="76">
      <c r="A6" s="10" t="inlineStr">
        <is>
          <t>تغییر شخص حقوقی</t>
        </is>
      </c>
      <c r="B6" s="17">
        <f>COUNT('Turnover نهایی'!O4:O33)</f>
        <v>25</v>
      </c>
      <c r="C6" s="11">
        <f>MIN('Turnover نهایی'!O4:O33)</f>
        <v>0</v>
      </c>
      <c r="D6" s="11">
        <f>MAX('Turnover نهایی'!O4:O33)</f>
        <v>0.8</v>
      </c>
      <c r="E6" s="11">
        <f>AVERAGE('Turnover نهایی'!O4:O33)</f>
        <v>0.14400000000000002</v>
      </c>
      <c r="F6" s="11">
        <f>MEDIAN('Turnover نهایی'!O4:O33)</f>
        <v>0</v>
      </c>
      <c r="G6" s="11">
        <f>STDEV('Turnover نهایی'!O4:O33)</f>
        <v>0.2416609194718915</v>
      </c>
      <c r="H6" s="17">
        <f>COUNTIF('Turnover نهایی'!O4:O33,0)</f>
        <v>16</v>
      </c>
      <c r="I6" s="17">
        <f>COUNTIF('Turnover نهایی'!O4:O33,"&gt;0")</f>
        <v>9</v>
      </c>
      <c r="J6" s="10" t="inlineStr">
        <is>
          <t>Variation واقعی اما بیشتر ساختاری و تشخیصی</t>
        </is>
      </c>
      <c r="K6" s="4" t="inlineStr">
        <is>
          <t>N با COUNT؛ کمینه با MIN؛ بیشینه با MAX؛ میانگین با AVERAGE؛ میانه با MEDIAN؛ انحراف معیار با STDEV؛ صفر و مثبت با COUNTIF روی نرخ های تاییدشده</t>
        </is>
      </c>
      <c r="L6" s="5" t="inlineStr">
        <is>
          <t>Turnover نهایی، فقط سلول های عددی نرخ مربوطه</t>
        </is>
      </c>
    </row>
    <row r="7" ht="24" customHeight="1" s="76">
      <c r="A7" s="8" t="inlineStr">
        <is>
          <t>سهم اعضای جدید</t>
        </is>
      </c>
      <c r="B7" s="18">
        <f>COUNT('Turnover نهایی'!R4:R33)</f>
        <v>28</v>
      </c>
      <c r="C7" s="12">
        <f>MIN('Turnover نهایی'!R4:R33)</f>
        <v>0</v>
      </c>
      <c r="D7" s="12">
        <f>MAX('Turnover نهایی'!R4:R33)</f>
        <v>0.8</v>
      </c>
      <c r="E7" s="12">
        <f>AVERAGE('Turnover نهایی'!R4:R33)</f>
        <v>0.3392857142857143</v>
      </c>
      <c r="F7" s="12">
        <f>MEDIAN('Turnover نهایی'!R4:R33)</f>
        <v>0.4</v>
      </c>
      <c r="G7" s="12">
        <f>STDEV('Turnover نهایی'!R4:R33)</f>
        <v>0.24546144860511762</v>
      </c>
      <c r="H7" s="18">
        <f>COUNTIF('Turnover نهایی'!R4:R33,0)</f>
        <v>6</v>
      </c>
      <c r="I7" s="18">
        <f>COUNTIF('Turnover نهایی'!R4:R33,"&gt;0")</f>
        <v>22</v>
      </c>
      <c r="J7" s="8" t="inlineStr">
        <is>
          <t>همپوشانی بالا با Turnover؛ مناسب Robustness</t>
        </is>
      </c>
      <c r="K7" s="4" t="inlineStr">
        <is>
          <t>N با COUNT؛ کمینه با MIN؛ بیشینه با MAX؛ میانگین با AVERAGE؛ میانه با MEDIAN؛ انحراف معیار با STDEV؛ صفر و مثبت با COUNTIF روی نرخ های تاییدشده</t>
        </is>
      </c>
      <c r="L7" s="5" t="inlineStr">
        <is>
          <t>Turnover نهایی، فقط سلول های عددی نرخ مربوطه</t>
        </is>
      </c>
    </row>
    <row r="8" ht="24" customHeight="1" s="76">
      <c r="A8" s="10" t="inlineStr">
        <is>
          <t>ثبات هیئت مدیره</t>
        </is>
      </c>
      <c r="B8" s="17">
        <f>COUNT('Turnover نهایی'!U4:U33)</f>
        <v>28</v>
      </c>
      <c r="C8" s="11">
        <f>MIN('Turnover نهایی'!U4:U33)</f>
        <v>0.2</v>
      </c>
      <c r="D8" s="11">
        <f>MAX('Turnover نهایی'!U4:U33)</f>
        <v>1</v>
      </c>
      <c r="E8" s="11">
        <f>AVERAGE('Turnover نهایی'!U4:U33)</f>
        <v>0.6422619047619048</v>
      </c>
      <c r="F8" s="11">
        <f>MEDIAN('Turnover نهایی'!U4:U33)</f>
        <v>0.6</v>
      </c>
      <c r="G8" s="11">
        <f>STDEV('Turnover نهایی'!U4:U33)</f>
        <v>0.24446473581004205</v>
      </c>
      <c r="H8" s="17">
        <f>COUNTIF('Turnover نهایی'!U4:U33,0)</f>
        <v>0</v>
      </c>
      <c r="I8" s="17">
        <f>COUNTIF('Turnover نهایی'!U4:U33,"&gt;0")</f>
        <v>28</v>
      </c>
      <c r="J8" s="10" t="inlineStr">
        <is>
          <t>مکمل ریاضی Turnover و نباید همزمان در Composite وارد شود</t>
        </is>
      </c>
      <c r="K8" s="4" t="inlineStr">
        <is>
          <t>N با COUNT؛ کمینه با MIN؛ بیشینه با MAX؛ میانگین با AVERAGE؛ میانه با MEDIAN؛ انحراف معیار با STDEV؛ صفر و مثبت با COUNTIF روی نرخ های تاییدشده</t>
        </is>
      </c>
      <c r="L8" s="5" t="inlineStr">
        <is>
          <t>Turnover نهایی، فقط سلول های عددی نرخ مربوطه</t>
        </is>
      </c>
    </row>
  </sheetData>
  <autoFilter ref="A3:L8"/>
  <mergeCells count="2">
    <mergeCell ref="A2:L2"/>
    <mergeCell ref="A1:L1"/>
  </mergeCells>
  <pageMargins left="0.25" right="0.25" top="0.4" bottom="0.4" header="0.511811023622047" footer="0.511811023622047"/>
  <pageSetup orientation="portrait" fitToHeight="0" horizontalDpi="300" verticalDpi="300"/>
</worksheet>
</file>

<file path=xl/worksheets/sheet18.xml><?xml version="1.0" encoding="utf-8"?>
<worksheet xmlns="http://schemas.openxmlformats.org/spreadsheetml/2006/main">
  <sheetPr>
    <outlinePr summaryBelow="1" summaryRight="1"/>
    <pageSetUpPr fitToPage="1"/>
  </sheetPr>
  <dimension ref="A1:G7"/>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39.1640625" customWidth="1" style="76" min="1" max="1"/>
    <col width="42" customWidth="1" style="76" min="2" max="2"/>
    <col width="26.6640625" customWidth="1" style="76" min="3" max="3"/>
    <col width="42" customWidth="1" style="76" min="4" max="7"/>
  </cols>
  <sheetData>
    <row r="1" ht="34" customHeight="1" s="76">
      <c r="A1" s="79" t="inlineStr">
        <is>
          <t>همپوشانی و اطلاعات افزوده</t>
        </is>
      </c>
    </row>
    <row r="2" ht="28" customHeight="1" s="76">
      <c r="A2" s="82" t="inlineStr">
        <is>
          <t>همبستگی Pearson روی مشاهدات زوجی موجود</t>
        </is>
      </c>
    </row>
    <row r="3" ht="34" customHeight="1" s="76">
      <c r="A3" s="28" t="inlineStr">
        <is>
          <t>زوج Measure</t>
        </is>
      </c>
      <c r="B3" s="28" t="inlineStr">
        <is>
          <t>همبستگی Pearson</t>
        </is>
      </c>
      <c r="C3" s="28" t="inlineStr">
        <is>
          <t>تفسیر</t>
        </is>
      </c>
      <c r="D3" s="28" t="inlineStr">
        <is>
          <t>تصمیم</t>
        </is>
      </c>
      <c r="E3" s="28" t="inlineStr">
        <is>
          <t>مبنای تصمیم</t>
        </is>
      </c>
      <c r="F3" s="28" t="inlineStr">
        <is>
          <t>هشدار</t>
        </is>
      </c>
      <c r="G3" s="28" t="inlineStr">
        <is>
          <t>روش محاسبه یا منبع</t>
        </is>
      </c>
    </row>
    <row r="4" ht="24" customHeight="1" s="76">
      <c r="A4" s="10" t="inlineStr">
        <is>
          <t>Turnover و Representative Change</t>
        </is>
      </c>
      <c r="B4" s="19">
        <f>CORREL('Turnover نهایی'!I4:I33,'Turnover نهایی'!L4:L33)</f>
        <v>0.8324749570167194</v>
      </c>
      <c r="C4" s="10" t="inlineStr">
        <is>
          <t>همپوشانی بالا ولی نه کامل</t>
        </is>
      </c>
      <c r="D4" s="10" t="inlineStr">
        <is>
          <t>جدا نگه داشته شوند</t>
        </is>
      </c>
      <c r="E4" s="10" t="inlineStr">
        <is>
          <t>واحد تحلیل متفاوت است و نمونه هایی مثل شبندر و وامید مسیرهای متفاوت تغییر را نشان می دهند</t>
        </is>
      </c>
      <c r="F4" s="10" t="inlineStr">
        <is>
          <t>برای Composite همزمان بدون کنترل همپوشانی استفاده نشود</t>
        </is>
      </c>
      <c r="G4" s="6" t="inlineStr">
        <is>
          <t>همبستگی Pearson با تابع CORREL روی نرخ های عددی موجود در Turnover نهایی؛ برای بررسی همپوشانی و جلوگیری از دوباره شماری</t>
        </is>
      </c>
    </row>
    <row r="5" ht="24" customHeight="1" s="76">
      <c r="A5" s="8" t="inlineStr">
        <is>
          <t>Turnover و Legal Entity Change</t>
        </is>
      </c>
      <c r="B5" s="20">
        <f>CORREL('Turnover نهایی'!I4:I33,'Turnover نهایی'!O4:O33)</f>
        <v>0.13796975765177094</v>
      </c>
      <c r="C5" s="8" t="inlineStr">
        <is>
          <t>همپوشانی پایین</t>
        </is>
      </c>
      <c r="D5" s="8" t="inlineStr">
        <is>
          <t>Legal Entity Change به عنوان Robustness یا Diagnostic</t>
        </is>
      </c>
      <c r="E5" s="8" t="inlineStr">
        <is>
          <t>تغییر مالک کرسی با تغییر فرد نماینده یکسان نیست</t>
        </is>
      </c>
      <c r="F5" s="8" t="inlineStr">
        <is>
          <t>جهت کیفیت ندارد</t>
        </is>
      </c>
      <c r="G5" s="3" t="inlineStr">
        <is>
          <t>همبستگی Pearson با تابع CORREL روی نرخ های عددی موجود در Turnover نهایی؛ برای بررسی همپوشانی و جلوگیری از دوباره شماری</t>
        </is>
      </c>
    </row>
    <row r="6" ht="24" customHeight="1" s="76">
      <c r="A6" s="10" t="inlineStr">
        <is>
          <t>Turnover و New Member Share</t>
        </is>
      </c>
      <c r="B6" s="19">
        <f>CORREL('Turnover نهایی'!I4:I33,'Turnover نهایی'!R4:R33)</f>
        <v>0.9473153536899255</v>
      </c>
      <c r="C6" s="10" t="inlineStr">
        <is>
          <t>همپوشانی بسیار بالا</t>
        </is>
      </c>
      <c r="D6" s="10" t="inlineStr">
        <is>
          <t>New Member Share فقط Robustness</t>
        </is>
      </c>
      <c r="E6" s="10" t="inlineStr">
        <is>
          <t>بخش عمده همان تغییر ترکیب فردی را بازتاب می دهد</t>
        </is>
      </c>
      <c r="F6" s="10" t="inlineStr">
        <is>
          <t>در Composite همزمان وارد نشود</t>
        </is>
      </c>
      <c r="G6" s="6" t="inlineStr">
        <is>
          <t>همبستگی Pearson با تابع CORREL روی نرخ های عددی موجود در Turnover نهایی؛ برای بررسی همپوشانی و جلوگیری از دوباره شماری</t>
        </is>
      </c>
    </row>
    <row r="7" ht="24" customHeight="1" s="76">
      <c r="A7" s="8" t="inlineStr">
        <is>
          <t>Turnover و Board Stability</t>
        </is>
      </c>
      <c r="B7" s="20">
        <f>CORREL('Turnover نهایی'!I4:I33,'Turnover نهایی'!U4:U33)</f>
        <v>-1</v>
      </c>
      <c r="C7" s="8" t="inlineStr">
        <is>
          <t>مکمل ریاضی</t>
        </is>
      </c>
      <c r="D7" s="8" t="inlineStr">
        <is>
          <t>فقط یکی در هر Specification</t>
        </is>
      </c>
      <c r="E7" s="8" t="inlineStr">
        <is>
          <t>تعریف ثبات مکمل Turnover است</t>
        </is>
      </c>
      <c r="F7" s="8" t="inlineStr">
        <is>
          <t>همزمان در Composite ممنوع</t>
        </is>
      </c>
      <c r="G7" s="3" t="inlineStr">
        <is>
          <t>همبستگی Pearson با تابع CORREL روی نرخ های عددی موجود در Turnover نهایی؛ برای بررسی همپوشانی و جلوگیری از دوباره شماری</t>
        </is>
      </c>
    </row>
  </sheetData>
  <autoFilter ref="A3:G7"/>
  <mergeCells count="2">
    <mergeCell ref="A2:G2"/>
    <mergeCell ref="A1:G1"/>
  </mergeCells>
  <pageMargins left="0.25" right="0.25" top="0.4" bottom="0.4" header="0.511811023622047" footer="0.511811023622047"/>
  <pageSetup orientation="portrait" fitToHeight="0" horizontalDpi="300" verticalDpi="300"/>
</worksheet>
</file>

<file path=xl/worksheets/sheet19.xml><?xml version="1.0" encoding="utf-8"?>
<worksheet xmlns="http://schemas.openxmlformats.org/spreadsheetml/2006/main">
  <sheetPr>
    <outlinePr summaryBelow="1" summaryRight="1"/>
    <pageSetUpPr fitToPage="1"/>
  </sheetPr>
  <dimension ref="A1:G12"/>
  <sheetViews>
    <sheetView showGridLines="0" rightToLeft="1" zoomScaleNormal="100" workbookViewId="0">
      <pane ySplit="3" topLeftCell="A4" activePane="bottomLeft" state="frozen"/>
      <selection pane="bottomLeft" activeCell="A1" sqref="A1"/>
    </sheetView>
  </sheetViews>
  <sheetFormatPr baseColWidth="10" defaultColWidth="8.6640625" defaultRowHeight="15" customHeight="1"/>
  <cols>
    <col width="42" customWidth="1" style="76" min="1" max="4"/>
    <col width="10" customWidth="1" style="76" min="5" max="7"/>
  </cols>
  <sheetData>
    <row r="1" ht="34" customHeight="1" s="76">
      <c r="A1" s="79" t="inlineStr">
        <is>
          <t>نوآوری ایران محور، پویایی نمایندگی</t>
        </is>
      </c>
    </row>
    <row r="2" ht="28" customHeight="1" s="76">
      <c r="A2" s="82" t="inlineStr">
        <is>
          <t>تغییر نماینده حقیقی با ثابت ماندن شخص حقوقی</t>
        </is>
      </c>
    </row>
    <row r="3" ht="34" customHeight="1" s="76">
      <c r="A3" s="28" t="inlineStr">
        <is>
          <t>شاخص</t>
        </is>
      </c>
      <c r="B3" s="28" t="inlineStr">
        <is>
          <t>مقدار</t>
        </is>
      </c>
      <c r="C3" s="28" t="inlineStr">
        <is>
          <t>تفسیر</t>
        </is>
      </c>
      <c r="D3" s="28" t="inlineStr">
        <is>
          <t>روش محاسبه یا منبع</t>
        </is>
      </c>
    </row>
    <row r="4" ht="24" customHeight="1" s="76">
      <c r="A4" s="10" t="inlineStr">
        <is>
          <t>شرکت های دارای ساختار نمایندگی حقوقی تاییدشده</t>
        </is>
      </c>
      <c r="B4" s="17">
        <f>COUNT('Turnover نهایی'!L4:L33)</f>
        <v>25</v>
      </c>
      <c r="C4" s="10" t="inlineStr">
        <is>
          <t>پوشش کاربردی بالا در شرکت های دارای کرسی حقوقی</t>
        </is>
      </c>
      <c r="D4" s="6" t="inlineStr">
        <is>
          <t>محاسبه از ستون نرخ تغییر نماینده در Turnover نهایی؛ فقط شرکت های دارای ساختار نمایندگی حقوقی تاییدشده</t>
        </is>
      </c>
    </row>
    <row r="5" ht="24" customHeight="1" s="76">
      <c r="A5" s="8" t="inlineStr">
        <is>
          <t>شرکت های دارای حداقل یک تغییر نماینده</t>
        </is>
      </c>
      <c r="B5" s="18">
        <f>COUNTIF('Turnover نهایی'!L4:L33,"&gt;0")</f>
        <v>21</v>
      </c>
      <c r="C5" s="8" t="inlineStr">
        <is>
          <t>نشان دهنده تکرار واقعی پدیده</t>
        </is>
      </c>
      <c r="D5" s="3" t="inlineStr">
        <is>
          <t>محاسبه از ستون نرخ تغییر نماینده در Turnover نهایی؛ فقط شرکت های دارای ساختار نمایندگی حقوقی تاییدشده</t>
        </is>
      </c>
    </row>
    <row r="6" ht="24" customHeight="1" s="76">
      <c r="A6" s="10" t="inlineStr">
        <is>
          <t>درصد شرکت های دارای تغییر</t>
        </is>
      </c>
      <c r="B6" s="11">
        <f>B5/B4</f>
        <v>0.84</v>
      </c>
      <c r="C6" s="10" t="inlineStr">
        <is>
          <t>فراوانی وقوع در ساختارهای قابل سنجش</t>
        </is>
      </c>
      <c r="D6" s="6" t="inlineStr">
        <is>
          <t>محاسبه از ستون نرخ تغییر نماینده در Turnover نهایی؛ فقط شرکت های دارای ساختار نمایندگی حقوقی تاییدشده</t>
        </is>
      </c>
    </row>
    <row r="7" ht="24" customHeight="1" s="76">
      <c r="A7" s="8" t="inlineStr">
        <is>
          <t>میانگین نرخ تغییر نماینده</t>
        </is>
      </c>
      <c r="B7" s="12">
        <f>AVERAGE('Turnover نهایی'!L4:L33)</f>
        <v>0.41400000000000003</v>
      </c>
      <c r="C7" s="8" t="inlineStr">
        <is>
          <t>شدت متوسط پویایی نمایندگی</t>
        </is>
      </c>
      <c r="D7" s="3" t="inlineStr">
        <is>
          <t>محاسبه از ستون نرخ تغییر نماینده در Turnover نهایی؛ فقط شرکت های دارای ساختار نمایندگی حقوقی تاییدشده</t>
        </is>
      </c>
    </row>
    <row r="8" ht="24" customHeight="1" s="76">
      <c r="A8" s="10" t="inlineStr">
        <is>
          <t>میانه</t>
        </is>
      </c>
      <c r="B8" s="11">
        <f>MEDIAN('Turnover نهایی'!L4:L33)</f>
        <v>0.4</v>
      </c>
      <c r="C8" s="10" t="inlineStr">
        <is>
          <t>مقدار مرکزی</t>
        </is>
      </c>
      <c r="D8" s="6" t="inlineStr">
        <is>
          <t>محاسبه از ستون نرخ تغییر نماینده در Turnover نهایی؛ فقط شرکت های دارای ساختار نمایندگی حقوقی تاییدشده</t>
        </is>
      </c>
    </row>
    <row r="9" ht="24" customHeight="1" s="76">
      <c r="A9" s="8" t="inlineStr">
        <is>
          <t>کمینه</t>
        </is>
      </c>
      <c r="B9" s="12">
        <f>MIN('Turnover نهایی'!L4:L33)</f>
        <v>0</v>
      </c>
      <c r="C9" s="8" t="inlineStr">
        <is>
          <t>وجود شرکت های کاملا ثابت</t>
        </is>
      </c>
      <c r="D9" s="3" t="inlineStr">
        <is>
          <t>محاسبه از ستون نرخ تغییر نماینده در Turnover نهایی؛ فقط شرکت های دارای ساختار نمایندگی حقوقی تاییدشده</t>
        </is>
      </c>
    </row>
    <row r="10" ht="24" customHeight="1" s="76">
      <c r="A10" s="10" t="inlineStr">
        <is>
          <t>بیشینه</t>
        </is>
      </c>
      <c r="B10" s="11">
        <f>MAX('Turnover نهایی'!L4:L33)</f>
        <v>1</v>
      </c>
      <c r="C10" s="10" t="inlineStr">
        <is>
          <t>وجود شرکت با تغییر کامل نماینده در کرسی های ثابت</t>
        </is>
      </c>
      <c r="D10" s="6" t="inlineStr">
        <is>
          <t>محاسبه از ستون نرخ تغییر نماینده در Turnover نهایی؛ فقط شرکت های دارای ساختار نمایندگی حقوقی تاییدشده</t>
        </is>
      </c>
    </row>
    <row r="11" ht="24" customHeight="1" s="76">
      <c r="A11" s="8" t="inlineStr">
        <is>
          <t>همبستگی با Turnover</t>
        </is>
      </c>
      <c r="B11" s="21">
        <f>CORREL('Turnover نهایی'!I4:I33,'Turnover نهایی'!L4:L33)</f>
        <v>0.8324749570167194</v>
      </c>
      <c r="C11" s="8" t="inlineStr">
        <is>
          <t>همپوشانی بالا اما ناقص؛ سازه جدا حفظ شود</t>
        </is>
      </c>
      <c r="D11" s="3" t="inlineStr">
        <is>
          <t>محاسبه از ستون نرخ تغییر نماینده در Turnover نهایی؛ فقط شرکت های دارای ساختار نمایندگی حقوقی تاییدشده</t>
        </is>
      </c>
    </row>
    <row r="12" ht="24" customHeight="1" s="76">
      <c r="A12" s="10" t="inlineStr">
        <is>
          <t>همبستگی تغییر شخص حقوقی با Turnover</t>
        </is>
      </c>
      <c r="B12" s="22">
        <f>CORREL('Turnover نهایی'!I4:I33,'Turnover نهایی'!O4:O33)</f>
        <v>0.13796975765177094</v>
      </c>
      <c r="C12" s="10" t="inlineStr">
        <is>
          <t>تغییر شخص حقوقی اطلاعات متفاوتی نسبت به Turnover دارد</t>
        </is>
      </c>
      <c r="D12" s="6" t="inlineStr">
        <is>
          <t>محاسبه از ستون نرخ تغییر نماینده در Turnover نهایی؛ فقط شرکت های دارای ساختار نمایندگی حقوقی تاییدشده</t>
        </is>
      </c>
    </row>
  </sheetData>
  <autoFilter ref="A3:G12"/>
  <mergeCells count="2">
    <mergeCell ref="A2:G2"/>
    <mergeCell ref="A1:G1"/>
  </mergeCells>
  <pageMargins left="0.25" right="0.25" top="0.4" bottom="0.4" header="0.511811023622047" footer="0.511811023622047"/>
  <pageSetup orientation="portrait" fitToHeight="0" horizontalDpi="300" verticalDpi="300"/>
</worksheet>
</file>

<file path=xl/worksheets/sheet20.xml><?xml version="1.0" encoding="utf-8"?>
<worksheet xmlns="http://schemas.openxmlformats.org/spreadsheetml/2006/main">
  <sheetPr>
    <outlinePr summaryBelow="1" summaryRight="1"/>
    <pageSetUpPr fitToPage="1"/>
  </sheetPr>
  <dimension ref="A1:I15"/>
  <sheetViews>
    <sheetView showGridLines="0" rightToLeft="1" zoomScaleNormal="100" workbookViewId="0">
      <pane ySplit="1" topLeftCell="A2" activePane="bottomLeft" state="frozen"/>
      <selection pane="bottomLeft" activeCell="A1" sqref="A1"/>
    </sheetView>
  </sheetViews>
  <sheetFormatPr baseColWidth="10" defaultColWidth="8.6640625" defaultRowHeight="15" customHeight="1"/>
  <cols>
    <col width="42" customWidth="1" style="76" min="1" max="2"/>
    <col width="20.1640625" customWidth="1" style="76" min="3" max="3"/>
    <col width="35.33203125" customWidth="1" style="76" min="4" max="4"/>
    <col width="13.5" customWidth="1" style="76" min="5" max="5"/>
    <col width="30.5" customWidth="1" style="76" min="6" max="6"/>
    <col width="15.33203125" customWidth="1" style="76" min="7" max="7"/>
    <col width="42" customWidth="1" style="76" min="8" max="9"/>
  </cols>
  <sheetData>
    <row r="1" ht="34" customHeight="1" s="76">
      <c r="A1" s="36" t="inlineStr">
        <is>
          <t>نام اصلی</t>
        </is>
      </c>
      <c r="B1" s="36" t="inlineStr">
        <is>
          <t>بُعد BSI</t>
        </is>
      </c>
      <c r="C1" s="36" t="inlineStr">
        <is>
          <t>معادل مستقیم ایران</t>
        </is>
      </c>
      <c r="D1" s="36" t="inlineStr">
        <is>
          <t>Proxy</t>
        </is>
      </c>
      <c r="E1" s="36" t="inlineStr">
        <is>
          <t>Alternative</t>
        </is>
      </c>
      <c r="F1" s="36" t="inlineStr">
        <is>
          <t>وضعیت نهایی</t>
        </is>
      </c>
      <c r="G1" s="36" t="inlineStr">
        <is>
          <t>Coverage</t>
        </is>
      </c>
      <c r="H1" s="36" t="inlineStr">
        <is>
          <t>دلیل</t>
        </is>
      </c>
      <c r="I1" s="36" t="inlineStr">
        <is>
          <t>منبع تصمیم یا روش</t>
        </is>
      </c>
    </row>
    <row r="2" ht="28" customHeight="1" s="76">
      <c r="A2" s="10" t="inlineStr">
        <is>
          <t>Board Independence Score</t>
        </is>
      </c>
      <c r="B2" s="10" t="inlineStr">
        <is>
          <t>تفکیک ساختاری</t>
        </is>
      </c>
      <c r="C2" s="10" t="inlineStr">
        <is>
          <t>ندارد</t>
        </is>
      </c>
      <c r="D2" s="10" t="inlineStr">
        <is>
          <t>S1A (پروکسی)</t>
        </is>
      </c>
      <c r="E2" s="10" t="inlineStr">
        <is>
          <t>—</t>
        </is>
      </c>
      <c r="F2" s="10" t="inlineStr">
        <is>
          <t>اقتباس با پروکسی</t>
        </is>
      </c>
      <c r="G2" s="10" t="inlineStr">
        <is>
          <t>۳۰/۳۰</t>
        </is>
      </c>
      <c r="H2" s="10" t="inlineStr">
        <is>
          <t>مستقیم حفظ نشد؛ پروکسی قوی‌ترین شواهد پروژه</t>
        </is>
      </c>
      <c r="I2" s="5" t="inlineStr">
        <is>
          <t>Iran_BSI_v30_Phase4_2H_PreAdvisorReview.xlsx و Iran_BSI_v31_Phase4_2I_MaximumMeasureRecovery.xlsx | ممیزی ۱۲ شاخص اصلی BSI و امکان سنجی ایران</t>
        </is>
      </c>
    </row>
    <row r="3" ht="24" customHeight="1" s="76">
      <c r="A3" s="37" t="inlineStr">
        <is>
          <t>Board Leadership Independence Score</t>
        </is>
      </c>
      <c r="B3" s="37" t="inlineStr">
        <is>
          <t>تفکیک ساختاری</t>
        </is>
      </c>
      <c r="C3" s="37" t="inlineStr">
        <is>
          <t>ندارد</t>
        </is>
      </c>
      <c r="D3" s="37" t="inlineStr">
        <is>
          <t>مسیر داده شناسایی‌شده، محاسبه نشده</t>
        </is>
      </c>
      <c r="E3" s="37" t="inlineStr">
        <is>
          <t>—</t>
        </is>
      </c>
      <c r="F3" s="37" t="inlineStr">
        <is>
          <t>حل‌نشده</t>
        </is>
      </c>
      <c r="G3" s="37" t="inlineStr">
        <is>
          <t>—</t>
        </is>
      </c>
      <c r="H3" s="37" t="inlineStr">
        <is>
          <t>نیازمند تجمیع سمت‌های بیرونی رئیس در فاز آینده</t>
        </is>
      </c>
      <c r="I3" s="38" t="inlineStr">
        <is>
          <t>Iran_BSI_v30_Phase4_2H_PreAdvisorReview.xlsx و Iran_BSI_v31_Phase4_2I_MaximumMeasureRecovery.xlsx | ممیزی ۱۲ شاخص اصلی BSI و امکان سنجی ایران</t>
        </is>
      </c>
    </row>
    <row r="4" ht="24" customHeight="1" s="76">
      <c r="A4" s="10" t="inlineStr">
        <is>
          <t>CEO Roles Score</t>
        </is>
      </c>
      <c r="B4" s="10" t="inlineStr">
        <is>
          <t>تفکیک ساختاری</t>
        </is>
      </c>
      <c r="C4" s="10" t="inlineStr">
        <is>
          <t>ندارد</t>
        </is>
      </c>
      <c r="D4" s="10" t="inlineStr">
        <is>
          <t>همان مسیر</t>
        </is>
      </c>
      <c r="E4" s="10" t="inlineStr">
        <is>
          <t>—</t>
        </is>
      </c>
      <c r="F4" s="10" t="inlineStr">
        <is>
          <t>حل‌نشده</t>
        </is>
      </c>
      <c r="G4" s="10" t="inlineStr">
        <is>
          <t>—</t>
        </is>
      </c>
      <c r="H4" s="10" t="inlineStr">
        <is>
          <t>همان دلیل</t>
        </is>
      </c>
      <c r="I4" s="5" t="inlineStr">
        <is>
          <t>Iran_BSI_v30_Phase4_2H_PreAdvisorReview.xlsx و Iran_BSI_v31_Phase4_2I_MaximumMeasureRecovery.xlsx | ممیزی ۱۲ شاخص اصلی BSI و امکان سنجی ایران</t>
        </is>
      </c>
    </row>
    <row r="5" ht="24" customHeight="1" s="76">
      <c r="A5" s="8" t="inlineStr">
        <is>
          <t>Board Chair Roles Score (تفکیک)</t>
        </is>
      </c>
      <c r="B5" s="8" t="inlineStr">
        <is>
          <t>تفکیک ساختاری</t>
        </is>
      </c>
      <c r="C5" s="8" t="inlineStr">
        <is>
          <t>ندارد</t>
        </is>
      </c>
      <c r="D5" s="8" t="inlineStr">
        <is>
          <t>همان مسیر</t>
        </is>
      </c>
      <c r="E5" s="8" t="inlineStr">
        <is>
          <t>—</t>
        </is>
      </c>
      <c r="F5" s="8" t="inlineStr">
        <is>
          <t>حل‌نشده</t>
        </is>
      </c>
      <c r="G5" s="8" t="inlineStr">
        <is>
          <t>—</t>
        </is>
      </c>
      <c r="H5" s="8" t="inlineStr">
        <is>
          <t>همان دلیل</t>
        </is>
      </c>
      <c r="I5" s="5" t="inlineStr">
        <is>
          <t>Iran_BSI_v30_Phase4_2H_PreAdvisorReview.xlsx و Iran_BSI_v31_Phase4_2I_MaximumMeasureRecovery.xlsx | ممیزی ۱۲ شاخص اصلی BSI و امکان سنجی ایران</t>
        </is>
      </c>
    </row>
    <row r="6" ht="24" customHeight="1" s="76">
      <c r="A6" s="10" t="inlineStr">
        <is>
          <t>Board Roles Excluding CEO Score</t>
        </is>
      </c>
      <c r="B6" s="10" t="inlineStr">
        <is>
          <t>تفکیک ساختاری</t>
        </is>
      </c>
      <c r="C6" s="10" t="inlineStr">
        <is>
          <t>ندارد</t>
        </is>
      </c>
      <c r="D6" s="10" t="inlineStr">
        <is>
          <t>محدودتر</t>
        </is>
      </c>
      <c r="E6" s="10" t="inlineStr">
        <is>
          <t>—</t>
        </is>
      </c>
      <c r="F6" s="10" t="inlineStr">
        <is>
          <t>حل‌نشده</t>
        </is>
      </c>
      <c r="G6" s="10" t="inlineStr">
        <is>
          <t>—</t>
        </is>
      </c>
      <c r="H6" s="10" t="inlineStr">
        <is>
          <t>همان دلیل، محدودتر</t>
        </is>
      </c>
      <c r="I6" s="5" t="inlineStr">
        <is>
          <t>Iran_BSI_v30_Phase4_2H_PreAdvisorReview.xlsx و Iran_BSI_v31_Phase4_2I_MaximumMeasureRecovery.xlsx | ممیزی ۱۲ شاخص اصلی BSI و امکان سنجی ایران</t>
        </is>
      </c>
    </row>
    <row r="7" ht="24" customHeight="1" s="76">
      <c r="A7" s="8" t="inlineStr">
        <is>
          <t>Board Composition Score</t>
        </is>
      </c>
      <c r="B7" s="8" t="inlineStr">
        <is>
          <t>تنوع</t>
        </is>
      </c>
      <c r="C7" s="8" t="inlineStr">
        <is>
          <t>ندارد</t>
        </is>
      </c>
      <c r="D7" s="8" t="inlineStr">
        <is>
          <t>ادغام در S1A/اندازه هیئت</t>
        </is>
      </c>
      <c r="E7" s="8" t="inlineStr">
        <is>
          <t>—</t>
        </is>
      </c>
      <c r="F7" s="8" t="inlineStr">
        <is>
          <t>فقط آزمون استحکام</t>
        </is>
      </c>
      <c r="G7" s="8" t="inlineStr">
        <is>
          <t>۳۰/۳۰</t>
        </is>
      </c>
      <c r="H7" s="8" t="inlineStr">
        <is>
          <t>نیازی به شاخص مستقل نیست</t>
        </is>
      </c>
      <c r="I7" s="5" t="inlineStr">
        <is>
          <t>Iran_BSI_v30_Phase4_2H_PreAdvisorReview.xlsx و Iran_BSI_v31_Phase4_2I_MaximumMeasureRecovery.xlsx | ممیزی ۱۲ شاخص اصلی BSI و امکان سنجی ایران</t>
        </is>
      </c>
    </row>
    <row r="8" ht="24" customHeight="1" s="76">
      <c r="A8" s="10" t="inlineStr">
        <is>
          <t>Board of Directors Diversity Score</t>
        </is>
      </c>
      <c r="B8" s="10" t="inlineStr">
        <is>
          <t>تنوع</t>
        </is>
      </c>
      <c r="C8" s="10" t="inlineStr">
        <is>
          <t>ندارد</t>
        </is>
      </c>
      <c r="D8" s="10" t="inlineStr">
        <is>
          <t>تنوع سابقه حرفه‌ای</t>
        </is>
      </c>
      <c r="E8" s="10" t="inlineStr">
        <is>
          <t>تنوع تحصیلی</t>
        </is>
      </c>
      <c r="F8" s="10" t="inlineStr">
        <is>
          <t>اقتباس با پروکسی</t>
        </is>
      </c>
      <c r="G8" s="10" t="inlineStr">
        <is>
          <t>۲۸/۳۰</t>
        </is>
      </c>
      <c r="H8" s="10" t="inlineStr">
        <is>
          <t>دو پروکسی مکمل</t>
        </is>
      </c>
      <c r="I8" s="5" t="inlineStr">
        <is>
          <t>Iran_BSI_v30_Phase4_2H_PreAdvisorReview.xlsx و Iran_BSI_v31_Phase4_2I_MaximumMeasureRecovery.xlsx | ممیزی ۱۲ شاخص اصلی BSI و امکان سنجی ایران</t>
        </is>
      </c>
    </row>
    <row r="9" ht="24" customHeight="1" s="76">
      <c r="A9" s="8" t="inlineStr">
        <is>
          <t>Board Age Diversity Score</t>
        </is>
      </c>
      <c r="B9" s="8" t="inlineStr">
        <is>
          <t>تنوع</t>
        </is>
      </c>
      <c r="C9" s="8" t="inlineStr">
        <is>
          <t>ندارد</t>
        </is>
      </c>
      <c r="D9" s="8" t="inlineStr">
        <is>
          <t>ندارد</t>
        </is>
      </c>
      <c r="E9" s="8" t="inlineStr">
        <is>
          <t>—</t>
        </is>
      </c>
      <c r="F9" s="8" t="inlineStr">
        <is>
          <t>حذف‌شده</t>
        </is>
      </c>
      <c r="G9" s="8" t="inlineStr">
        <is>
          <t>۰/۳۰</t>
        </is>
      </c>
      <c r="H9" s="8" t="inlineStr">
        <is>
          <t>بدون منبع رسمی، تایید‌شده با جستجوی فعال</t>
        </is>
      </c>
      <c r="I9" s="5" t="inlineStr">
        <is>
          <t>Iran_BSI_v30_Phase4_2H_PreAdvisorReview.xlsx و Iran_BSI_v31_Phase4_2I_MaximumMeasureRecovery.xlsx | ممیزی ۱۲ شاخص اصلی BSI و امکان سنجی ایران</t>
        </is>
      </c>
    </row>
    <row r="10" ht="24" customHeight="1" s="76">
      <c r="A10" s="10" t="inlineStr">
        <is>
          <t>Board Gender Diversity Score</t>
        </is>
      </c>
      <c r="B10" s="10" t="inlineStr">
        <is>
          <t>تنوع</t>
        </is>
      </c>
      <c r="C10" s="10" t="inlineStr">
        <is>
          <t>ندارد</t>
        </is>
      </c>
      <c r="D10" s="10" t="inlineStr">
        <is>
          <t>ندارد</t>
        </is>
      </c>
      <c r="E10" s="10" t="inlineStr">
        <is>
          <t>—</t>
        </is>
      </c>
      <c r="F10" s="10" t="inlineStr">
        <is>
          <t>حذف‌شده</t>
        </is>
      </c>
      <c r="G10" s="10" t="inlineStr">
        <is>
          <t>۰/۳۰</t>
        </is>
      </c>
      <c r="H10" s="10" t="inlineStr">
        <is>
          <t>بدون منبع رسمی، تایید‌شده با جستجوی فعال</t>
        </is>
      </c>
      <c r="I10" s="5" t="inlineStr">
        <is>
          <t>Iran_BSI_v30_Phase4_2H_PreAdvisorReview.xlsx و Iran_BSI_v31_Phase4_2I_MaximumMeasureRecovery.xlsx | ممیزی ۱۲ شاخص اصلی BSI و امکان سنجی ایران</t>
        </is>
      </c>
    </row>
    <row r="11" ht="24" customHeight="1" s="76">
      <c r="A11" s="8" t="inlineStr">
        <is>
          <t>Board of Directors Roles Score (نابرابری)</t>
        </is>
      </c>
      <c r="B11" s="8" t="inlineStr">
        <is>
          <t>نابرابری</t>
        </is>
      </c>
      <c r="C11" s="8" t="inlineStr">
        <is>
          <t>ندارد</t>
        </is>
      </c>
      <c r="D11" s="8" t="inlineStr">
        <is>
          <t>ندارد</t>
        </is>
      </c>
      <c r="E11" s="8" t="inlineStr">
        <is>
          <t>—</t>
        </is>
      </c>
      <c r="F11" s="8" t="inlineStr">
        <is>
          <t>حل‌نشده</t>
        </is>
      </c>
      <c r="G11" s="8" t="inlineStr">
        <is>
          <t>—</t>
        </is>
      </c>
      <c r="H11" s="8" t="inlineStr">
        <is>
          <t>بدون طراحی مفهومی ایرانی</t>
        </is>
      </c>
      <c r="I11" s="5" t="inlineStr">
        <is>
          <t>Iran_BSI_v30_Phase4_2H_PreAdvisorReview.xlsx و Iran_BSI_v31_Phase4_2I_MaximumMeasureRecovery.xlsx | ممیزی ۱۲ شاخص اصلی BSI و امکان سنجی ایران</t>
        </is>
      </c>
    </row>
    <row r="12" ht="24" customHeight="1" s="76">
      <c r="A12" s="10" t="inlineStr">
        <is>
          <t>Board Chair Roles Score (نابرابری)</t>
        </is>
      </c>
      <c r="B12" s="10" t="inlineStr">
        <is>
          <t>نابرابری</t>
        </is>
      </c>
      <c r="C12" s="10" t="inlineStr">
        <is>
          <t>ندارد</t>
        </is>
      </c>
      <c r="D12" s="10" t="inlineStr">
        <is>
          <t>CR1A/CR1B</t>
        </is>
      </c>
      <c r="E12" s="10" t="inlineStr">
        <is>
          <t>—</t>
        </is>
      </c>
      <c r="F12" s="10" t="inlineStr">
        <is>
          <t>اقتباس با پروکسی</t>
        </is>
      </c>
      <c r="G12" s="10" t="inlineStr">
        <is>
          <t>CR1A: ۲۶ از ۳۰ محافظه کارانه؛ ۲۷ کد موجود. CR1B در v39 بازبینی نشد.</t>
        </is>
      </c>
      <c r="H12" s="10" t="inlineStr">
        <is>
          <t>جهت مبهم؛ خارج از ترکیب کیفیت پیش‌فرض</t>
        </is>
      </c>
      <c r="I12" s="5" t="inlineStr">
        <is>
          <t>Iran_BSI_v30_Phase4_2H_PreAdvisorReview.xlsx و Iran_BSI_v31_Phase4_2I_MaximumMeasureRecovery.xlsx | ممیزی ۱۲ شاخص اصلی BSI و امکان سنجی ایران</t>
        </is>
      </c>
    </row>
    <row r="13" ht="24" customHeight="1" s="76">
      <c r="A13" s="8" t="inlineStr">
        <is>
          <t>Board Chair Refreshment Score</t>
        </is>
      </c>
      <c r="B13" s="8" t="inlineStr">
        <is>
          <t>نابرابری</t>
        </is>
      </c>
      <c r="C13" s="8" t="inlineStr">
        <is>
          <t>ندارد</t>
        </is>
      </c>
      <c r="D13" s="8" t="inlineStr">
        <is>
          <t>مدت تصدی/تعداد تغییر رئیس</t>
        </is>
      </c>
      <c r="E13" s="8" t="inlineStr">
        <is>
          <t>—</t>
        </is>
      </c>
      <c r="F13" s="8" t="inlineStr">
        <is>
          <t>اقتباس با پروکسی (Robustness)</t>
        </is>
      </c>
      <c r="G13" s="8" t="inlineStr">
        <is>
          <t>۳۰/۳۰ (مقطعی)</t>
        </is>
      </c>
      <c r="H13" s="8" t="inlineStr">
        <is>
          <t>رابطه غیرخطی</t>
        </is>
      </c>
      <c r="I13" s="5" t="inlineStr">
        <is>
          <t>Iran_BSI_v30_Phase4_2H_PreAdvisorReview.xlsx و Iran_BSI_v31_Phase4_2I_MaximumMeasureRecovery.xlsx | ممیزی ۱۲ شاخص اصلی BSI و امکان سنجی ایران</t>
        </is>
      </c>
    </row>
    <row r="14" ht="24" customHeight="1" s="76">
      <c r="A14" s="2" t="n"/>
      <c r="B14" s="2" t="n"/>
      <c r="C14" s="2" t="n"/>
      <c r="D14" s="2" t="n"/>
      <c r="E14" s="2" t="n"/>
      <c r="F14" s="2" t="n"/>
      <c r="G14" s="2" t="n"/>
      <c r="H14" s="2" t="n"/>
      <c r="I14" s="5" t="inlineStr">
        <is>
          <t>Iran_BSI_v30_Phase4_2H_PreAdvisorReview.xlsx و Iran_BSI_v31_Phase4_2I_MaximumMeasureRecovery.xlsx | ممیزی ۱۲ شاخص اصلی BSI و امکان سنجی ایران</t>
        </is>
      </c>
    </row>
    <row r="15" ht="24" customHeight="1" s="76">
      <c r="A15" s="8" t="inlineStr">
        <is>
          <t>شمارش نهایی</t>
        </is>
      </c>
      <c r="B15" s="8" t="inlineStr">
        <is>
          <t>مستقیم=۰ | Proxy=۴ | فقط Robustness=۱ | حذف‌شده=۳ | حل‌نشده=۴</t>
        </is>
      </c>
      <c r="C15" s="2" t="n"/>
      <c r="D15" s="2" t="n"/>
      <c r="E15" s="2" t="n"/>
      <c r="F15" s="2" t="n"/>
      <c r="G15" s="2" t="n"/>
      <c r="H15" s="2" t="n"/>
      <c r="I15" s="5" t="inlineStr">
        <is>
          <t>شمارش از وضعیت ردیف های ۲ تا ۱۳ همین برگه</t>
        </is>
      </c>
    </row>
  </sheetData>
  <autoFilter ref="A1:I15"/>
  <pageMargins left="0.25" right="0.25" top="0.4" bottom="0.4" header="0.511811023622047" footer="0.511811023622047"/>
  <pageSetup orientation="portrait" fitToHeight="0" horizontalDpi="300" verticalDpi="300"/>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J56"/>
  <sheetViews>
    <sheetView showGridLines="0" rightToLeft="1" zoomScaleNormal="100" workbookViewId="0">
      <pane ySplit="1" topLeftCell="A2" activePane="bottomLeft" state="frozen"/>
      <selection pane="bottomLeft" activeCell="A1" sqref="A1"/>
    </sheetView>
  </sheetViews>
  <sheetFormatPr baseColWidth="10" defaultColWidth="8.6640625" defaultRowHeight="15" customHeight="1"/>
  <cols>
    <col width="14" customWidth="1" style="76" min="1" max="1"/>
    <col width="10" customWidth="1" style="76" min="2" max="2"/>
    <col width="42" customWidth="1" style="76" min="3" max="4"/>
    <col width="27.6640625" customWidth="1" style="76" min="5" max="5"/>
    <col width="25.83203125" customWidth="1" style="76" min="6" max="6"/>
    <col width="42" customWidth="1" style="76" min="7" max="10"/>
  </cols>
  <sheetData>
    <row r="1" ht="34" customHeight="1" s="76">
      <c r="A1" s="36" t="inlineStr">
        <is>
          <t>Batch</t>
        </is>
      </c>
      <c r="B1" s="36" t="inlineStr">
        <is>
          <t>شرکت</t>
        </is>
      </c>
      <c r="C1" s="36" t="inlineStr">
        <is>
          <t>Source_ID</t>
        </is>
      </c>
      <c r="D1" s="36" t="inlineStr">
        <is>
          <t>نوع سند</t>
        </is>
      </c>
      <c r="E1" s="36" t="inlineStr">
        <is>
          <t>سال یا تاریخ</t>
        </is>
      </c>
      <c r="F1" s="36" t="inlineStr">
        <is>
          <t>صفحه</t>
        </is>
      </c>
      <c r="G1" s="36" t="inlineStr">
        <is>
          <t>لینک یا منشأ</t>
        </is>
      </c>
      <c r="H1" s="36" t="inlineStr">
        <is>
          <t>نقش در محاسبه</t>
        </is>
      </c>
      <c r="I1" s="36" t="inlineStr">
        <is>
          <t>فایل منبع</t>
        </is>
      </c>
      <c r="J1" s="36" t="inlineStr">
        <is>
          <t>قاعده استفاده از منبع</t>
        </is>
      </c>
    </row>
    <row r="2" ht="28" customHeight="1" s="76">
      <c r="A2" s="10" t="inlineStr">
        <is>
          <t>Batch 1</t>
        </is>
      </c>
      <c r="B2" s="10" t="inlineStr">
        <is>
          <t>شبندر</t>
        </is>
      </c>
      <c r="C2" s="10" t="inlineStr">
        <is>
          <t>SRC_SHBN_1404_007</t>
        </is>
      </c>
      <c r="D2" s="10" t="inlineStr">
        <is>
          <t>T19 اصلاحیه</t>
        </is>
      </c>
      <c r="E2" s="10" t="inlineStr">
        <is>
          <t>جلسه هیئت مدیره ۱۴۰۳/۱۲/۲۷</t>
        </is>
      </c>
      <c r="F2" s="10" t="inlineStr">
        <is>
          <t>صفحه ۱</t>
        </is>
      </c>
      <c r="G2" s="15" t="inlineStr">
        <is>
          <t>https://www.codal.ir/Reports/Decision.aspx?LetterSerial=ULk65ZOHpAkFOOObOOOb3pLpblJQ%3d%3d&amp;rt=0&amp;let=19&amp;ct=0&amp;ft=-1</t>
        </is>
      </c>
      <c r="H2" s="10" t="inlineStr">
        <is>
          <t>Roster مستقیم ۱۴۰۳</t>
        </is>
      </c>
      <c r="I2" s="10" t="inlineStr">
        <is>
          <t>Iran_BSI_Turnover_Batch1_3Firms_Verified.xlsx</t>
        </is>
      </c>
      <c r="J2" s="5" t="inlineStr">
        <is>
          <t>داده فقط در صورت انطباق با FY و Cutoff استفاده شده؛ در موارد تعارض، Snapshot معتبرتر یا Visual Verification مبنا بوده است</t>
        </is>
      </c>
    </row>
    <row r="3" ht="24" customHeight="1" s="76">
      <c r="A3" s="37" t="inlineStr">
        <is>
          <t>Batch 1</t>
        </is>
      </c>
      <c r="B3" s="37" t="inlineStr">
        <is>
          <t>شبندر</t>
        </is>
      </c>
      <c r="C3" s="37" t="inlineStr">
        <is>
          <t>SRC_SHBN_1404_003</t>
        </is>
      </c>
      <c r="D3" s="37" t="inlineStr">
        <is>
          <t>T19</t>
        </is>
      </c>
      <c r="E3" s="37" t="inlineStr">
        <is>
          <t>جلسه هیئت مدیره ۱۴۰۴/۱۰/۱۸</t>
        </is>
      </c>
      <c r="F3" s="37" t="inlineStr">
        <is>
          <t>صفحه ۱</t>
        </is>
      </c>
      <c r="G3" s="39" t="inlineStr">
        <is>
          <t>https://www.codal.ir/Reports/Decision.aspx?LetterSerial=kealwqnfPYdWwbR3UB9uZw%3d%3d&amp;rt=0&amp;let=19&amp;ct=0&amp;ft=-1</t>
        </is>
      </c>
      <c r="H3" s="37" t="inlineStr">
        <is>
          <t>Roster مستقیم ۱۴۰۴</t>
        </is>
      </c>
      <c r="I3" s="37" t="inlineStr">
        <is>
          <t>Iran_BSI_Turnover_Batch1_3Firms_Verified.xlsx</t>
        </is>
      </c>
      <c r="J3" s="38" t="inlineStr">
        <is>
          <t>داده فقط در صورت انطباق با FY و Cutoff استفاده شده؛ در موارد تعارض، Snapshot معتبرتر یا Visual Verification مبنا بوده است</t>
        </is>
      </c>
    </row>
    <row r="4" ht="24" customHeight="1" s="76">
      <c r="A4" s="10" t="inlineStr">
        <is>
          <t>Batch 1</t>
        </is>
      </c>
      <c r="B4" s="10" t="inlineStr">
        <is>
          <t>پارس</t>
        </is>
      </c>
      <c r="C4" s="10" t="inlineStr">
        <is>
          <t>SRC_PARS_1404_008</t>
        </is>
      </c>
      <c r="D4" s="10" t="inlineStr">
        <is>
          <t>T19</t>
        </is>
      </c>
      <c r="E4" s="10" t="inlineStr">
        <is>
          <t>جلسه هیئت مدیره ۱۴۰۴/۰۱/۳۰</t>
        </is>
      </c>
      <c r="F4" s="10" t="inlineStr">
        <is>
          <t>صفحه ۱</t>
        </is>
      </c>
      <c r="G4" s="15" t="inlineStr">
        <is>
          <t>https://www.codal.ir/Reports/Decision.aspx?LetterSerial=sjHofZygVLXICVj8iXL3Aw%3d%3d&amp;rt=0&amp;let=19&amp;ct=0&amp;ft=-1</t>
        </is>
      </c>
      <c r="H4" s="10" t="inlineStr">
        <is>
          <t>ستون نماینده قبلی برای بازسازی وضعیت نزدیک پایان ۱۴۰۳</t>
        </is>
      </c>
      <c r="I4" s="10" t="inlineStr">
        <is>
          <t>Iran_BSI_Turnover_Batch1_3Firms_Verified.xlsx</t>
        </is>
      </c>
      <c r="J4" s="5" t="inlineStr">
        <is>
          <t>داده فقط در صورت انطباق با FY و Cutoff استفاده شده؛ در موارد تعارض، Snapshot معتبرتر یا Visual Verification مبنا بوده است</t>
        </is>
      </c>
    </row>
    <row r="5" ht="24" customHeight="1" s="76">
      <c r="A5" s="8" t="inlineStr">
        <is>
          <t>Batch 1</t>
        </is>
      </c>
      <c r="B5" s="8" t="inlineStr">
        <is>
          <t>پارس</t>
        </is>
      </c>
      <c r="C5" s="8" t="inlineStr">
        <is>
          <t>SRC_PARS_1404_005</t>
        </is>
      </c>
      <c r="D5" s="8" t="inlineStr">
        <is>
          <t>T19</t>
        </is>
      </c>
      <c r="E5" s="8" t="inlineStr">
        <is>
          <t>جلسه هیئت مدیره ۱۴۰۴/۰۷/۲۶</t>
        </is>
      </c>
      <c r="F5" s="8" t="inlineStr">
        <is>
          <t>صفحه ۱</t>
        </is>
      </c>
      <c r="G5" s="15" t="inlineStr">
        <is>
          <t>https://www.codal.ir/Reports/Decision.aspx?LetterSerial=1kqm2T6e5zV5EQQQaQQQKdlIj9HA%3d%3d&amp;rt=0&amp;let=19&amp;ct=0&amp;ft=-1</t>
        </is>
      </c>
      <c r="H5" s="8" t="inlineStr">
        <is>
          <t>آخرین Snapshot تاییدشده پیش از Cutoff ۱۴۰۴ در آرشیو</t>
        </is>
      </c>
      <c r="I5" s="8" t="inlineStr">
        <is>
          <t>Iran_BSI_Turnover_Batch1_3Firms_Verified.xlsx</t>
        </is>
      </c>
      <c r="J5" s="5" t="inlineStr">
        <is>
          <t>داده فقط در صورت انطباق با FY و Cutoff استفاده شده؛ در موارد تعارض، Snapshot معتبرتر یا Visual Verification مبنا بوده است</t>
        </is>
      </c>
    </row>
    <row r="6" ht="24" customHeight="1" s="76">
      <c r="A6" s="10" t="inlineStr">
        <is>
          <t>Batch 1</t>
        </is>
      </c>
      <c r="B6" s="10" t="inlineStr">
        <is>
          <t>شتران</t>
        </is>
      </c>
      <c r="C6" s="10" t="inlineStr">
        <is>
          <t>SRC_SHTR_1403_001</t>
        </is>
      </c>
      <c r="D6" s="10" t="inlineStr">
        <is>
          <t>گزارش فعالیت هیئت مدیره</t>
        </is>
      </c>
      <c r="E6" s="10" t="inlineStr">
        <is>
          <t>دوره منتهی به ۱۴۰۳/۱۲/۳۰</t>
        </is>
      </c>
      <c r="F6" s="10" t="inlineStr">
        <is>
          <t>PDF صفحه ۱۶، چاپی ۱۴</t>
        </is>
      </c>
      <c r="G6" s="15" t="inlineStr">
        <is>
          <t>https://www.codal.ir/Reports/Attachment.aspx?LetterSerial=W3P2HVjIaDXFbdMemqSeUA%3d%3d</t>
        </is>
      </c>
      <c r="H6" s="10" t="inlineStr">
        <is>
          <t>Roster مستقیم ۱۴۰۳</t>
        </is>
      </c>
      <c r="I6" s="10" t="inlineStr">
        <is>
          <t>Iran_BSI_Turnover_Batch1_3Firms_Verified.xlsx</t>
        </is>
      </c>
      <c r="J6" s="5" t="inlineStr">
        <is>
          <t>داده فقط در صورت انطباق با FY و Cutoff استفاده شده؛ در موارد تعارض، Snapshot معتبرتر یا Visual Verification مبنا بوده است</t>
        </is>
      </c>
    </row>
    <row r="7" ht="24" customHeight="1" s="76">
      <c r="A7" s="8" t="inlineStr">
        <is>
          <t>Batch 1</t>
        </is>
      </c>
      <c r="B7" s="8" t="inlineStr">
        <is>
          <t>شتران</t>
        </is>
      </c>
      <c r="C7" s="8" t="inlineStr">
        <is>
          <t>SRC_SHTR_1404_002</t>
        </is>
      </c>
      <c r="D7" s="8" t="inlineStr">
        <is>
          <t>گزارش فعالیت هیئت مدیره</t>
        </is>
      </c>
      <c r="E7" s="8" t="inlineStr">
        <is>
          <t>دوره منتهی به ۱۴۰۴/۱۲/۲۹</t>
        </is>
      </c>
      <c r="F7" s="8" t="inlineStr">
        <is>
          <t>PDF صفحه ۱۷، چاپی ۱۵</t>
        </is>
      </c>
      <c r="G7" s="15" t="inlineStr">
        <is>
          <t>https://www.codal.ir/Reports/Attachment.aspx?LetterSerial=F0veQQQaQQQX4tai7nAftHYyrDhg%3d%3d</t>
        </is>
      </c>
      <c r="H7" s="8" t="inlineStr">
        <is>
          <t>Roster مستقیم ۱۴۰۴</t>
        </is>
      </c>
      <c r="I7" s="8" t="inlineStr">
        <is>
          <t>Iran_BSI_Turnover_Batch1_3Firms_Verified.xlsx</t>
        </is>
      </c>
      <c r="J7" s="5" t="inlineStr">
        <is>
          <t>داده فقط در صورت انطباق با FY و Cutoff استفاده شده؛ در موارد تعارض، Snapshot معتبرتر یا Visual Verification مبنا بوده است</t>
        </is>
      </c>
    </row>
    <row r="8" ht="24" customHeight="1" s="76">
      <c r="A8" s="10" t="inlineStr">
        <is>
          <t>Batch 2</t>
        </is>
      </c>
      <c r="B8" s="10" t="inlineStr">
        <is>
          <t>وتجارت</t>
        </is>
      </c>
      <c r="C8" s="10" t="inlineStr">
        <is>
          <t>SRC_VTEJ_1404_004</t>
        </is>
      </c>
      <c r="D8" s="10" t="inlineStr">
        <is>
          <t>گزارش فعالیت هیئت مدیره مربوط به سال مالی ۱۴۰۳</t>
        </is>
      </c>
      <c r="E8" s="10" t="inlineStr">
        <is>
          <t>۱۴۰۳</t>
        </is>
      </c>
      <c r="F8" s="10" t="inlineStr">
        <is>
          <t>صفحه ۳۷</t>
        </is>
      </c>
      <c r="G8" s="10" t="inlineStr">
        <is>
          <t>آرشیو محلی پروژه</t>
        </is>
      </c>
      <c r="H8" s="10" t="inlineStr">
        <is>
          <t>منبع جایگزین سالم که در v33 ثبت شده بود</t>
        </is>
      </c>
      <c r="I8" s="10" t="inlineStr">
        <is>
          <t>Iran_BSI_Turnover_Batch2_4Firms_Reviewed.xlsx</t>
        </is>
      </c>
      <c r="J8" s="5" t="inlineStr">
        <is>
          <t>داده فقط در صورت انطباق با FY و Cutoff استفاده شده؛ در موارد تعارض، Snapshot معتبرتر یا Visual Verification مبنا بوده است</t>
        </is>
      </c>
    </row>
    <row r="9" ht="24" customHeight="1" s="76">
      <c r="A9" s="8" t="inlineStr">
        <is>
          <t>Batch 2</t>
        </is>
      </c>
      <c r="B9" s="8" t="inlineStr">
        <is>
          <t>وتجارت</t>
        </is>
      </c>
      <c r="C9" s="8" t="inlineStr">
        <is>
          <t>SRC_VTEJ_1404_001</t>
        </is>
      </c>
      <c r="D9" s="8" t="inlineStr">
        <is>
          <t>گزارش فعالیت هیئت مدیره مربوط به سال مالی ۱۴۰۴</t>
        </is>
      </c>
      <c r="E9" s="8" t="inlineStr">
        <is>
          <t>۱۴۰۴</t>
        </is>
      </c>
      <c r="F9" s="8" t="inlineStr">
        <is>
          <t>صفحات ۴۴، ۴۶ و ۴۷</t>
        </is>
      </c>
      <c r="G9" s="8" t="inlineStr">
        <is>
          <t>آرشیو محلی پروژه</t>
        </is>
      </c>
      <c r="H9" s="8" t="inlineStr">
        <is>
          <t>ترکیب هیئت در تاریخ ۱۴۰۴/۱۲/۲۹</t>
        </is>
      </c>
      <c r="I9" s="8" t="inlineStr">
        <is>
          <t>Iran_BSI_Turnover_Batch2_4Firms_Reviewed.xlsx</t>
        </is>
      </c>
      <c r="J9" s="5" t="inlineStr">
        <is>
          <t>داده فقط در صورت انطباق با FY و Cutoff استفاده شده؛ در موارد تعارض، Snapshot معتبرتر یا Visual Verification مبنا بوده است</t>
        </is>
      </c>
    </row>
    <row r="10" ht="24" customHeight="1" s="76">
      <c r="A10" s="10" t="inlineStr">
        <is>
          <t>Batch 2</t>
        </is>
      </c>
      <c r="B10" s="10" t="inlineStr">
        <is>
          <t>رمپنا</t>
        </is>
      </c>
      <c r="C10" s="10" t="inlineStr">
        <is>
          <t>SRC_RMPN_1404_011</t>
        </is>
      </c>
      <c r="D10" s="10" t="inlineStr">
        <is>
          <t>افشای نوع ۱۹، جلسه هیئت مدیره ۱۴۰۴/۰۲/۲۱</t>
        </is>
      </c>
      <c r="E10" s="10" t="inlineStr">
        <is>
          <t>بازسازی ۱۴۰۳</t>
        </is>
      </c>
      <c r="F10" s="10" t="inlineStr">
        <is>
          <t>صفحه ۱</t>
        </is>
      </c>
      <c r="G10" s="15" t="inlineStr">
        <is>
          <t>https://www.codal.ir/Reports/Decision.aspx?LetterSerial=gsard4xmaj4Zi8yOS8AWMA%3d%3d&amp;rt=5&amp;let=19&amp;ct=0&amp;ft=-1</t>
        </is>
      </c>
      <c r="H10" s="10" t="inlineStr">
        <is>
          <t>ستون نماینده قبلی برای بازسازی Cutoff ۱۴۰۳ استفاده شد</t>
        </is>
      </c>
      <c r="I10" s="10" t="inlineStr">
        <is>
          <t>Iran_BSI_Turnover_Batch2_4Firms_Reviewed.xlsx</t>
        </is>
      </c>
      <c r="J10" s="5" t="inlineStr">
        <is>
          <t>داده فقط در صورت انطباق با FY و Cutoff استفاده شده؛ در موارد تعارض، Snapshot معتبرتر یا Visual Verification مبنا بوده است</t>
        </is>
      </c>
    </row>
    <row r="11" ht="24" customHeight="1" s="76">
      <c r="A11" s="8" t="inlineStr">
        <is>
          <t>Batch 2</t>
        </is>
      </c>
      <c r="B11" s="8" t="inlineStr">
        <is>
          <t>رمپنا</t>
        </is>
      </c>
      <c r="C11" s="8" t="inlineStr">
        <is>
          <t>SRC_RMPN_1404_008</t>
        </is>
      </c>
      <c r="D11" s="8" t="inlineStr">
        <is>
          <t>افشای نوع ۱۹، جلسه هیئت مدیره ۱۴۰۴/۱۰/۲۸</t>
        </is>
      </c>
      <c r="E11" s="8" t="inlineStr">
        <is>
          <t>۱۴۰۴</t>
        </is>
      </c>
      <c r="F11" s="8" t="inlineStr">
        <is>
          <t>صفحات ۱ و ۲</t>
        </is>
      </c>
      <c r="G11" s="15" t="inlineStr">
        <is>
          <t>https://www.codal.ir/Reports/Decision.aspx?LetterSerial=4P4QQQaQQQssbMX9ZMuZVciqBKOOObOOOg%3d%3d&amp;rt=5&amp;let=19&amp;ct=0&amp;ft=-1</t>
        </is>
      </c>
      <c r="H11" s="8" t="inlineStr">
        <is>
          <t>آخرین افشای نوع ۱۹ موجود پیش از Cutoff ۱۴۰۴/۱۲/۲۹</t>
        </is>
      </c>
      <c r="I11" s="8" t="inlineStr">
        <is>
          <t>Iran_BSI_Turnover_Batch2_4Firms_Reviewed.xlsx</t>
        </is>
      </c>
      <c r="J11" s="5" t="inlineStr">
        <is>
          <t>داده فقط در صورت انطباق با FY و Cutoff استفاده شده؛ در موارد تعارض، Snapshot معتبرتر یا Visual Verification مبنا بوده است</t>
        </is>
      </c>
    </row>
    <row r="12" ht="24" customHeight="1" s="76">
      <c r="A12" s="10" t="inlineStr">
        <is>
          <t>Batch 2</t>
        </is>
      </c>
      <c r="B12" s="10" t="inlineStr">
        <is>
          <t>فخوز</t>
        </is>
      </c>
      <c r="C12" s="10" t="inlineStr">
        <is>
          <t>SRC_FKHZ_1404_002</t>
        </is>
      </c>
      <c r="D12" s="10" t="inlineStr">
        <is>
          <t>گزارش فعالیت هیئت مدیره منتهی به ۱۴۰۳/۱۲/۳۰</t>
        </is>
      </c>
      <c r="E12" s="10" t="inlineStr">
        <is>
          <t>۱۴۰۳</t>
        </is>
      </c>
      <c r="F12" s="10" t="inlineStr">
        <is>
          <t>صفحه ۳۴</t>
        </is>
      </c>
      <c r="G12" s="10" t="inlineStr">
        <is>
          <t>آرشیو رسمی کدال در بسته کاربر</t>
        </is>
      </c>
      <c r="H12" s="10" t="inlineStr">
        <is>
          <t>روستر کامل ۱۴۰۳</t>
        </is>
      </c>
      <c r="I12" s="10" t="inlineStr">
        <is>
          <t>Iran_BSI_Turnover_Batch2_4Firms_Reviewed.xlsx</t>
        </is>
      </c>
      <c r="J12" s="5" t="inlineStr">
        <is>
          <t>داده فقط در صورت انطباق با FY و Cutoff استفاده شده؛ در موارد تعارض، Snapshot معتبرتر یا Visual Verification مبنا بوده است</t>
        </is>
      </c>
    </row>
    <row r="13" ht="24" customHeight="1" s="76">
      <c r="A13" s="8" t="inlineStr">
        <is>
          <t>Batch 2</t>
        </is>
      </c>
      <c r="B13" s="8" t="inlineStr">
        <is>
          <t>فخوز</t>
        </is>
      </c>
      <c r="C13" s="8" t="inlineStr">
        <is>
          <t>SRC_FKHZ_1404_004</t>
        </is>
      </c>
      <c r="D13" s="8" t="inlineStr">
        <is>
          <t>افشای نوع ۱۹، جلسه هیئت مدیره ۱۴۰۴/۰۵/۲۷</t>
        </is>
      </c>
      <c r="E13" s="8" t="inlineStr">
        <is>
          <t>۱۴۰۴</t>
        </is>
      </c>
      <c r="F13" s="8" t="inlineStr">
        <is>
          <t>صفحه ۱</t>
        </is>
      </c>
      <c r="G13" s="8" t="inlineStr">
        <is>
          <t>آرشیو رسمی کدال در بسته کاربر</t>
        </is>
      </c>
      <c r="H13" s="8" t="inlineStr">
        <is>
          <t>آخرین افشای نوع ۱۹ پیش از Cutoff</t>
        </is>
      </c>
      <c r="I13" s="8" t="inlineStr">
        <is>
          <t>Iran_BSI_Turnover_Batch2_4Firms_Reviewed.xlsx</t>
        </is>
      </c>
      <c r="J13" s="5" t="inlineStr">
        <is>
          <t>داده فقط در صورت انطباق با FY و Cutoff استفاده شده؛ در موارد تعارض، Snapshot معتبرتر یا Visual Verification مبنا بوده است</t>
        </is>
      </c>
    </row>
    <row r="14" ht="24" customHeight="1" s="76">
      <c r="A14" s="10" t="inlineStr">
        <is>
          <t>Batch 2</t>
        </is>
      </c>
      <c r="B14" s="10" t="inlineStr">
        <is>
          <t>وپاسار</t>
        </is>
      </c>
      <c r="C14" s="10" t="inlineStr">
        <is>
          <t>SRC_VPSR_1404_001</t>
        </is>
      </c>
      <c r="D14" s="10" t="inlineStr">
        <is>
          <t>گزارش فعالیت هیئت مدیره منتهی به ۱۴۰۳/۱۲/۳۰</t>
        </is>
      </c>
      <c r="E14" s="10" t="inlineStr">
        <is>
          <t>۱۴۰۳</t>
        </is>
      </c>
      <c r="F14" s="10" t="inlineStr">
        <is>
          <t>گزارش ۴۵ صفحه ای</t>
        </is>
      </c>
      <c r="G14" s="15" t="inlineStr">
        <is>
          <t>https://www.codal.ir/Reports/Attachment.aspx?LetterSerial=Cxkdj8wztt52xU9MoBXp2w%3d%3d</t>
        </is>
      </c>
      <c r="H14" s="10" t="inlineStr">
        <is>
          <t>بسته کاربر منبع FY1404 یا Type19 مناسب ندارد</t>
        </is>
      </c>
      <c r="I14" s="10" t="inlineStr">
        <is>
          <t>Iran_BSI_Turnover_Batch2_4Firms_Reviewed.xlsx</t>
        </is>
      </c>
      <c r="J14" s="5" t="inlineStr">
        <is>
          <t>داده فقط در صورت انطباق با FY و Cutoff استفاده شده؛ در موارد تعارض، Snapshot معتبرتر یا Visual Verification مبنا بوده است</t>
        </is>
      </c>
    </row>
    <row r="15" ht="24" customHeight="1" s="76">
      <c r="A15" s="8" t="inlineStr">
        <is>
          <t>Batch 3</t>
        </is>
      </c>
      <c r="B15" s="8" t="inlineStr">
        <is>
          <t>شستا</t>
        </is>
      </c>
      <c r="C15" s="8" t="inlineStr">
        <is>
          <t>SRC_SHST_1404_015</t>
        </is>
      </c>
      <c r="D15" s="8" t="inlineStr">
        <is>
          <t>افشای نوع ۱۹</t>
        </is>
      </c>
      <c r="E15" s="8" t="inlineStr">
        <is>
          <t>۱۴۰۳</t>
        </is>
      </c>
      <c r="F15" s="8" t="inlineStr">
        <is>
          <t>۱</t>
        </is>
      </c>
      <c r="G15" s="15" t="inlineStr">
        <is>
          <t>https://www.codal.ir/Reports/Decision.aspx?LetterSerial=b8oxHadTuSstqVNc5Bqzjw%3d%3d&amp;rt=2&amp;let=19&amp;ct=0&amp;ft=-1</t>
        </is>
      </c>
      <c r="H15" s="8" t="inlineStr">
        <is>
          <t>Snapshot مبنا برای ۱۴۰۳</t>
        </is>
      </c>
      <c r="I15" s="8" t="inlineStr">
        <is>
          <t>Iran_BSI_Turnover_Batch3_4Firms_Verified.xlsx</t>
        </is>
      </c>
      <c r="J15" s="5" t="inlineStr">
        <is>
          <t>داده فقط در صورت انطباق با FY و Cutoff استفاده شده؛ در موارد تعارض، Snapshot معتبرتر یا Visual Verification مبنا بوده است</t>
        </is>
      </c>
    </row>
    <row r="16" ht="24" customHeight="1" s="76">
      <c r="A16" s="10" t="inlineStr">
        <is>
          <t>Batch 3</t>
        </is>
      </c>
      <c r="B16" s="10" t="inlineStr">
        <is>
          <t>شستا</t>
        </is>
      </c>
      <c r="C16" s="10" t="inlineStr">
        <is>
          <t>SRC_SHST_1404_007</t>
        </is>
      </c>
      <c r="D16" s="10" t="inlineStr">
        <is>
          <t>افشای نوع ۱۹</t>
        </is>
      </c>
      <c r="E16" s="10" t="inlineStr">
        <is>
          <t>۱۴۰۴</t>
        </is>
      </c>
      <c r="F16" s="10" t="inlineStr">
        <is>
          <t>۱</t>
        </is>
      </c>
      <c r="G16" s="15" t="inlineStr">
        <is>
          <t>https://www.codal.ir/Reports/Decision.aspx?LetterSerial=pk2gUF4FVfw9cOOObOOOOR6kSTDg%3d%3d&amp;rt=2&amp;let=19&amp;ct=0&amp;ft=-1</t>
        </is>
      </c>
      <c r="H16" s="10" t="inlineStr">
        <is>
          <t>Snapshot مبنا برای ۱۴۰۴</t>
        </is>
      </c>
      <c r="I16" s="10" t="inlineStr">
        <is>
          <t>Iran_BSI_Turnover_Batch3_4Firms_Verified.xlsx</t>
        </is>
      </c>
      <c r="J16" s="5" t="inlineStr">
        <is>
          <t>داده فقط در صورت انطباق با FY و Cutoff استفاده شده؛ در موارد تعارض، Snapshot معتبرتر یا Visual Verification مبنا بوده است</t>
        </is>
      </c>
    </row>
    <row r="17" ht="24" customHeight="1" s="76">
      <c r="A17" s="8" t="inlineStr">
        <is>
          <t>Batch 3</t>
        </is>
      </c>
      <c r="B17" s="8" t="inlineStr">
        <is>
          <t>شپنا</t>
        </is>
      </c>
      <c r="C17" s="8" t="inlineStr">
        <is>
          <t>SRC_SHPN_1404_002</t>
        </is>
      </c>
      <c r="D17" s="8" t="inlineStr">
        <is>
          <t>افشای نوع ۱۹</t>
        </is>
      </c>
      <c r="E17" s="8" t="inlineStr">
        <is>
          <t>۱۴۰۳</t>
        </is>
      </c>
      <c r="F17" s="8" t="inlineStr">
        <is>
          <t>۱</t>
        </is>
      </c>
      <c r="G17" s="15" t="inlineStr">
        <is>
          <t>https://www.codal.ir/Reports/Decision.aspx?LetterSerial=BgB1TPEYicGYh74gmrG9mA%3d%3d&amp;rt=0&amp;let=19&amp;ct=0&amp;ft=-1</t>
        </is>
      </c>
      <c r="H17" s="8" t="inlineStr">
        <is>
          <t>Snapshot مبنا برای ۱۴۰۳</t>
        </is>
      </c>
      <c r="I17" s="8" t="inlineStr">
        <is>
          <t>Iran_BSI_Turnover_Batch3_4Firms_Verified.xlsx</t>
        </is>
      </c>
      <c r="J17" s="5" t="inlineStr">
        <is>
          <t>داده فقط در صورت انطباق با FY و Cutoff استفاده شده؛ در موارد تعارض، Snapshot معتبرتر یا Visual Verification مبنا بوده است</t>
        </is>
      </c>
    </row>
    <row r="18" ht="24" customHeight="1" s="76">
      <c r="A18" s="10" t="inlineStr">
        <is>
          <t>Batch 3</t>
        </is>
      </c>
      <c r="B18" s="10" t="inlineStr">
        <is>
          <t>شپنا</t>
        </is>
      </c>
      <c r="C18" s="10" t="inlineStr">
        <is>
          <t>SRC_SHPN_1404_004</t>
        </is>
      </c>
      <c r="D18" s="10" t="inlineStr">
        <is>
          <t>افشای نوع ۱۹</t>
        </is>
      </c>
      <c r="E18" s="10" t="inlineStr">
        <is>
          <t>۱۴۰۴</t>
        </is>
      </c>
      <c r="F18" s="10" t="inlineStr">
        <is>
          <t>۱ تا ۲</t>
        </is>
      </c>
      <c r="G18" s="15" t="inlineStr">
        <is>
          <t>https://www.codal.ir/Reports/Decision.aspx?LetterSerial=zWRtzdFgEWKY0H4XNrzRzA%3d%3d&amp;rt=0&amp;let=19&amp;ct=0&amp;ft=-1</t>
        </is>
      </c>
      <c r="H18" s="10" t="inlineStr">
        <is>
          <t>Snapshot مبنا برای ۱۴۰۴</t>
        </is>
      </c>
      <c r="I18" s="10" t="inlineStr">
        <is>
          <t>Iran_BSI_Turnover_Batch3_4Firms_Verified.xlsx</t>
        </is>
      </c>
      <c r="J18" s="5" t="inlineStr">
        <is>
          <t>داده فقط در صورت انطباق با FY و Cutoff استفاده شده؛ در موارد تعارض، Snapshot معتبرتر یا Visual Verification مبنا بوده است</t>
        </is>
      </c>
    </row>
    <row r="19" ht="24" customHeight="1" s="76">
      <c r="A19" s="8" t="inlineStr">
        <is>
          <t>Batch 3</t>
        </is>
      </c>
      <c r="B19" s="8" t="inlineStr">
        <is>
          <t>وغدیر</t>
        </is>
      </c>
      <c r="C19" s="8" t="inlineStr">
        <is>
          <t>SRC_VGHD_1404_002</t>
        </is>
      </c>
      <c r="D19" s="8" t="inlineStr">
        <is>
          <t>افشای نوع ۱۹</t>
        </is>
      </c>
      <c r="E19" s="8" t="inlineStr">
        <is>
          <t>۱۴۰۳</t>
        </is>
      </c>
      <c r="F19" s="8" t="inlineStr">
        <is>
          <t>۱</t>
        </is>
      </c>
      <c r="G19" s="15" t="inlineStr">
        <is>
          <t>https://www.codal.ir/Reports/Decision.aspx?LetterSerial=b9uqvOIQIMvyGYAfsuoWUg%3d%3d&amp;rt=2&amp;let=19&amp;ct=0&amp;ft=-1</t>
        </is>
      </c>
      <c r="H19" s="8" t="inlineStr">
        <is>
          <t>Snapshot مبنا برای ۱۴۰۳</t>
        </is>
      </c>
      <c r="I19" s="8" t="inlineStr">
        <is>
          <t>Iran_BSI_Turnover_Batch3_4Firms_Verified.xlsx</t>
        </is>
      </c>
      <c r="J19" s="5" t="inlineStr">
        <is>
          <t>داده فقط در صورت انطباق با FY و Cutoff استفاده شده؛ در موارد تعارض، Snapshot معتبرتر یا Visual Verification مبنا بوده است</t>
        </is>
      </c>
    </row>
    <row r="20" ht="24" customHeight="1" s="76">
      <c r="A20" s="10" t="inlineStr">
        <is>
          <t>Batch 3</t>
        </is>
      </c>
      <c r="B20" s="10" t="inlineStr">
        <is>
          <t>وغدیر</t>
        </is>
      </c>
      <c r="C20" s="10" t="inlineStr">
        <is>
          <t>SRC_VGHD_1404_006</t>
        </is>
      </c>
      <c r="D20" s="10" t="inlineStr">
        <is>
          <t>افشای نوع ۱۹</t>
        </is>
      </c>
      <c r="E20" s="10" t="inlineStr">
        <is>
          <t>۱۴۰۴</t>
        </is>
      </c>
      <c r="F20" s="10" t="inlineStr">
        <is>
          <t>۱</t>
        </is>
      </c>
      <c r="G20" s="15" t="inlineStr">
        <is>
          <t>https://www.codal.ir/Reports/Decision.aspx?LetterSerial=ytYjZCpQQQaQQQ34BFQkm8DLxX9A%3d%3d&amp;rt=2&amp;let=19&amp;ct=0&amp;ft=-1</t>
        </is>
      </c>
      <c r="H20" s="10" t="inlineStr">
        <is>
          <t>Snapshot مبنا برای ۱۴۰۴</t>
        </is>
      </c>
      <c r="I20" s="10" t="inlineStr">
        <is>
          <t>Iran_BSI_Turnover_Batch3_4Firms_Verified.xlsx</t>
        </is>
      </c>
      <c r="J20" s="5" t="inlineStr">
        <is>
          <t>داده فقط در صورت انطباق با FY و Cutoff استفاده شده؛ در موارد تعارض، Snapshot معتبرتر یا Visual Verification مبنا بوده است</t>
        </is>
      </c>
    </row>
    <row r="21" ht="24" customHeight="1" s="76">
      <c r="A21" s="8" t="inlineStr">
        <is>
          <t>Batch 3</t>
        </is>
      </c>
      <c r="B21" s="8" t="inlineStr">
        <is>
          <t>نوری</t>
        </is>
      </c>
      <c r="C21" s="8" t="inlineStr">
        <is>
          <t>SRC_NOURI_1403_001</t>
        </is>
      </c>
      <c r="D21" s="8" t="inlineStr">
        <is>
          <t>گزارش فعالیت هیئت مدیره</t>
        </is>
      </c>
      <c r="E21" s="8" t="inlineStr">
        <is>
          <t>۱۴۰۳</t>
        </is>
      </c>
      <c r="F21" s="8" t="inlineStr">
        <is>
          <t>۳۹</t>
        </is>
      </c>
      <c r="G21" s="15" t="inlineStr">
        <is>
          <t>https://www.codal.ir/Reports/Attachment.aspx?LetterSerial=qQQQaQQQXL8Mm5NCUb8eyBSic7hA%3d%3d</t>
        </is>
      </c>
      <c r="H21" s="8" t="inlineStr">
        <is>
          <t>Snapshot مبنا برای ۱۴۰۳</t>
        </is>
      </c>
      <c r="I21" s="8" t="inlineStr">
        <is>
          <t>Iran_BSI_Turnover_Batch3_4Firms_Verified.xlsx</t>
        </is>
      </c>
      <c r="J21" s="5" t="inlineStr">
        <is>
          <t>داده فقط در صورت انطباق با FY و Cutoff استفاده شده؛ در موارد تعارض، Snapshot معتبرتر یا Visual Verification مبنا بوده است</t>
        </is>
      </c>
    </row>
    <row r="22" ht="24" customHeight="1" s="76">
      <c r="A22" s="10" t="inlineStr">
        <is>
          <t>Batch 3</t>
        </is>
      </c>
      <c r="B22" s="10" t="inlineStr">
        <is>
          <t>نوری</t>
        </is>
      </c>
      <c r="C22" s="10" t="inlineStr">
        <is>
          <t>SRC_NOOR_1404_007 + SRC_NOOR_1404_005</t>
        </is>
      </c>
      <c r="D22" s="10" t="inlineStr">
        <is>
          <t>گزارش فعالیت هیئت مدیره و Cross Check افشای نوع ۱۹</t>
        </is>
      </c>
      <c r="E22" s="10" t="inlineStr">
        <is>
          <t>۱۴۰۴</t>
        </is>
      </c>
      <c r="F22" s="10" t="inlineStr">
        <is>
          <t>۴۱ و افشای نوع ۱۹ صفحه ۱</t>
        </is>
      </c>
      <c r="G22" s="15" t="inlineStr">
        <is>
          <t>https://www.codal.ir/Reports/Attachment.aspx?LetterSerial=lWuukNFzDitnWL7VD4weCA%3d%3d</t>
        </is>
      </c>
      <c r="H22" s="10" t="inlineStr">
        <is>
          <t>Snapshot مبنا برای ۱۴۰۴</t>
        </is>
      </c>
      <c r="I22" s="10" t="inlineStr">
        <is>
          <t>Iran_BSI_Turnover_Batch3_4Firms_Verified.xlsx</t>
        </is>
      </c>
      <c r="J22" s="5" t="inlineStr">
        <is>
          <t>داده فقط در صورت انطباق با FY و Cutoff استفاده شده؛ در موارد تعارض، Snapshot معتبرتر یا Visual Verification مبنا بوده است</t>
        </is>
      </c>
    </row>
    <row r="23" ht="24" customHeight="1" s="76">
      <c r="A23" s="8" t="inlineStr">
        <is>
          <t>Batch 4</t>
        </is>
      </c>
      <c r="B23" s="8" t="inlineStr">
        <is>
          <t>فولاد</t>
        </is>
      </c>
      <c r="C23" s="8" t="inlineStr">
        <is>
          <t>SRC_FOLD_1403_001</t>
        </is>
      </c>
      <c r="D23" s="8" t="inlineStr">
        <is>
          <t>گزارش فعالیت هیئت مدیره</t>
        </is>
      </c>
      <c r="E23" s="8" t="inlineStr">
        <is>
          <t>۱۴۰۳</t>
        </is>
      </c>
      <c r="F23" s="8" t="inlineStr">
        <is>
          <t>۴</t>
        </is>
      </c>
      <c r="G23" s="15" t="inlineStr">
        <is>
          <t>https://www.codal.ir/Reports/Attachment.aspx?LetterSerial=lIOOObOOOFuv6MQlLw20bmBKF3Cw%3d%3d</t>
        </is>
      </c>
      <c r="H23" s="8" t="inlineStr">
        <is>
          <t>Snapshot مبنا برای ۱۴۰۳</t>
        </is>
      </c>
      <c r="I23" s="8" t="inlineStr">
        <is>
          <t>Iran_BSI_Turnover_Batch4_4Firms_Verified.xlsx</t>
        </is>
      </c>
      <c r="J23" s="5" t="inlineStr">
        <is>
          <t>داده فقط در صورت انطباق با FY و Cutoff استفاده شده؛ در موارد تعارض، Snapshot معتبرتر یا Visual Verification مبنا بوده است</t>
        </is>
      </c>
    </row>
    <row r="24" ht="24" customHeight="1" s="76">
      <c r="A24" s="10" t="inlineStr">
        <is>
          <t>Batch 4</t>
        </is>
      </c>
      <c r="B24" s="10" t="inlineStr">
        <is>
          <t>فولاد</t>
        </is>
      </c>
      <c r="C24" s="10" t="inlineStr">
        <is>
          <t>SRC_FOLD_1404_002</t>
        </is>
      </c>
      <c r="D24" s="10" t="inlineStr">
        <is>
          <t>گزارش فعالیت هیئت مدیره</t>
        </is>
      </c>
      <c r="E24" s="10" t="inlineStr">
        <is>
          <t>۱۴۰۴</t>
        </is>
      </c>
      <c r="F24" s="10" t="inlineStr">
        <is>
          <t>۵ و ۳۱</t>
        </is>
      </c>
      <c r="G24" s="15" t="inlineStr">
        <is>
          <t>https://www.codal.ir/Reports/Attachment.aspx?LetterSerial=DjTPnm9Pa79X4Gv1Zp8FQQQaQQQQ%3d%3d</t>
        </is>
      </c>
      <c r="H24" s="10" t="inlineStr">
        <is>
          <t>Snapshot مبنا برای ۱۴۰۴ و تاریخ انتصاب اعضا</t>
        </is>
      </c>
      <c r="I24" s="10" t="inlineStr">
        <is>
          <t>Iran_BSI_Turnover_Batch4_4Firms_Verified.xlsx</t>
        </is>
      </c>
      <c r="J24" s="5" t="inlineStr">
        <is>
          <t>داده فقط در صورت انطباق با FY و Cutoff استفاده شده؛ در موارد تعارض، Snapshot معتبرتر یا Visual Verification مبنا بوده است</t>
        </is>
      </c>
    </row>
    <row r="25" ht="24" customHeight="1" s="76">
      <c r="A25" s="8" t="inlineStr">
        <is>
          <t>Batch 4</t>
        </is>
      </c>
      <c r="B25" s="8" t="inlineStr">
        <is>
          <t>کچاد</t>
        </is>
      </c>
      <c r="C25" s="8" t="inlineStr">
        <is>
          <t>SRC_KCHD_1403_001</t>
        </is>
      </c>
      <c r="D25" s="8" t="inlineStr">
        <is>
          <t>گزارش فعالیت هیئت مدیره</t>
        </is>
      </c>
      <c r="E25" s="8" t="inlineStr">
        <is>
          <t>۱۴۰۳</t>
        </is>
      </c>
      <c r="F25" s="8" t="inlineStr">
        <is>
          <t>۴</t>
        </is>
      </c>
      <c r="G25" s="15" t="inlineStr">
        <is>
          <t>https://www.codal.ir/Reports/Attachment.aspx?LetterSerial=RjOGt7pH1eRnl2ioIPNqDg%3d%3d</t>
        </is>
      </c>
      <c r="H25" s="8" t="inlineStr">
        <is>
          <t>Snapshot مبنا برای ۱۴۰۳ و ثبت صریح کرسی خالی</t>
        </is>
      </c>
      <c r="I25" s="8" t="inlineStr">
        <is>
          <t>Iran_BSI_Turnover_Batch4_4Firms_Verified.xlsx</t>
        </is>
      </c>
      <c r="J25" s="5" t="inlineStr">
        <is>
          <t>داده فقط در صورت انطباق با FY و Cutoff استفاده شده؛ در موارد تعارض، Snapshot معتبرتر یا Visual Verification مبنا بوده است</t>
        </is>
      </c>
    </row>
    <row r="26" ht="24" customHeight="1" s="76">
      <c r="A26" s="10" t="inlineStr">
        <is>
          <t>Batch 4</t>
        </is>
      </c>
      <c r="B26" s="10" t="inlineStr">
        <is>
          <t>کچاد</t>
        </is>
      </c>
      <c r="C26" s="10" t="inlineStr">
        <is>
          <t>SRC_KCHD_1404_006</t>
        </is>
      </c>
      <c r="D26" s="10" t="inlineStr">
        <is>
          <t>افشای نوع ۱۹</t>
        </is>
      </c>
      <c r="E26" s="10" t="inlineStr">
        <is>
          <t>۱۴۰۴</t>
        </is>
      </c>
      <c r="F26" s="10" t="inlineStr">
        <is>
          <t>۱</t>
        </is>
      </c>
      <c r="G26" s="15" t="inlineStr">
        <is>
          <t>https://www.codal.ir/Reports/Decision.aspx?LetterSerial=XPg1kJyBIkadWnCXHnsdKg%3d%3d&amp;rt=0&amp;let=19&amp;ct=0&amp;ft=-1</t>
        </is>
      </c>
      <c r="H26" s="10" t="inlineStr">
        <is>
          <t>Snapshot مبنا برای ۱۴۰۴</t>
        </is>
      </c>
      <c r="I26" s="10" t="inlineStr">
        <is>
          <t>Iran_BSI_Turnover_Batch4_4Firms_Verified.xlsx</t>
        </is>
      </c>
      <c r="J26" s="5" t="inlineStr">
        <is>
          <t>داده فقط در صورت انطباق با FY و Cutoff استفاده شده؛ در موارد تعارض، Snapshot معتبرتر یا Visual Verification مبنا بوده است</t>
        </is>
      </c>
    </row>
    <row r="27" ht="24" customHeight="1" s="76">
      <c r="A27" s="8" t="inlineStr">
        <is>
          <t>Batch 4</t>
        </is>
      </c>
      <c r="B27" s="8" t="inlineStr">
        <is>
          <t>کگل</t>
        </is>
      </c>
      <c r="C27" s="8" t="inlineStr">
        <is>
          <t>SRC_KGOL_1404_002</t>
        </is>
      </c>
      <c r="D27" s="8" t="inlineStr">
        <is>
          <t>افشای نوع ۱۹</t>
        </is>
      </c>
      <c r="E27" s="8" t="inlineStr">
        <is>
          <t>۱۴۰۳</t>
        </is>
      </c>
      <c r="F27" s="8" t="inlineStr">
        <is>
          <t>۱</t>
        </is>
      </c>
      <c r="G27" s="15" t="inlineStr">
        <is>
          <t>https://www.codal.ir/Reports/Decision.aspx?LetterSerial=V8TQGa6IRAmh3pwzvDL0KQ%3d%3d&amp;rt=0&amp;let=19&amp;ct=0&amp;ft=-1</t>
        </is>
      </c>
      <c r="H27" s="8" t="inlineStr">
        <is>
          <t>Snapshot مبنا برای پایان ۱۴۰۳ و جلوگیری از Look Ahead</t>
        </is>
      </c>
      <c r="I27" s="8" t="inlineStr">
        <is>
          <t>Iran_BSI_Turnover_Batch4_4Firms_Verified.xlsx</t>
        </is>
      </c>
      <c r="J27" s="5" t="inlineStr">
        <is>
          <t>داده فقط در صورت انطباق با FY و Cutoff استفاده شده؛ در موارد تعارض، Snapshot معتبرتر یا Visual Verification مبنا بوده است</t>
        </is>
      </c>
    </row>
    <row r="28" ht="24" customHeight="1" s="76">
      <c r="A28" s="10" t="inlineStr">
        <is>
          <t>Batch 4</t>
        </is>
      </c>
      <c r="B28" s="10" t="inlineStr">
        <is>
          <t>کگل</t>
        </is>
      </c>
      <c r="C28" s="10" t="inlineStr">
        <is>
          <t>SRC_KGOL_1404_004</t>
        </is>
      </c>
      <c r="D28" s="10" t="inlineStr">
        <is>
          <t>افشای نوع ۱۹</t>
        </is>
      </c>
      <c r="E28" s="10" t="inlineStr">
        <is>
          <t>۱۴۰۴</t>
        </is>
      </c>
      <c r="F28" s="10" t="inlineStr">
        <is>
          <t>۱</t>
        </is>
      </c>
      <c r="G28" s="15" t="inlineStr">
        <is>
          <t>https://www.codal.ir/Reports/Decision.aspx?LetterSerial=IYIOOObOOO6mh6t3bHqdV5BigMrg%3d%3d&amp;rt=0&amp;let=19&amp;ct=0&amp;ft=-1</t>
        </is>
      </c>
      <c r="H28" s="10" t="inlineStr">
        <is>
          <t>Snapshot مبنا برای ۱۴۰۴</t>
        </is>
      </c>
      <c r="I28" s="10" t="inlineStr">
        <is>
          <t>Iran_BSI_Turnover_Batch4_4Firms_Verified.xlsx</t>
        </is>
      </c>
      <c r="J28" s="5" t="inlineStr">
        <is>
          <t>داده فقط در صورت انطباق با FY و Cutoff استفاده شده؛ در موارد تعارض، Snapshot معتبرتر یا Visual Verification مبنا بوده است</t>
        </is>
      </c>
    </row>
    <row r="29" ht="24" customHeight="1" s="76">
      <c r="A29" s="8" t="inlineStr">
        <is>
          <t>Batch 4</t>
        </is>
      </c>
      <c r="B29" s="8" t="inlineStr">
        <is>
          <t>پارسان</t>
        </is>
      </c>
      <c r="C29" s="8" t="inlineStr">
        <is>
          <t>SRC_PRSN_1403_001</t>
        </is>
      </c>
      <c r="D29" s="8" t="inlineStr">
        <is>
          <t>گزارش فعالیت هیئت مدیره</t>
        </is>
      </c>
      <c r="E29" s="8" t="inlineStr">
        <is>
          <t>۱۴۰۳</t>
        </is>
      </c>
      <c r="F29" s="8" t="inlineStr">
        <is>
          <t>۵۰</t>
        </is>
      </c>
      <c r="G29" s="15" t="inlineStr">
        <is>
          <t>https://www.codal.ir/Reports/Attachment.aspx?LetterSerial=Pzx8AUWEOOObOOOMcLjZdiSXNAoA%3d%3d</t>
        </is>
      </c>
      <c r="H29" s="8" t="inlineStr">
        <is>
          <t>Snapshot مبنا برای ۱۴۰۳</t>
        </is>
      </c>
      <c r="I29" s="8" t="inlineStr">
        <is>
          <t>Iran_BSI_Turnover_Batch4_4Firms_Verified.xlsx</t>
        </is>
      </c>
      <c r="J29" s="5" t="inlineStr">
        <is>
          <t>داده فقط در صورت انطباق با FY و Cutoff استفاده شده؛ در موارد تعارض، Snapshot معتبرتر یا Visual Verification مبنا بوده است</t>
        </is>
      </c>
    </row>
    <row r="30" ht="24" customHeight="1" s="76">
      <c r="A30" s="10" t="inlineStr">
        <is>
          <t>Batch 4</t>
        </is>
      </c>
      <c r="B30" s="10" t="inlineStr">
        <is>
          <t>پارسان</t>
        </is>
      </c>
      <c r="C30" s="10" t="inlineStr">
        <is>
          <t>SRC_PRSN_1404_007</t>
        </is>
      </c>
      <c r="D30" s="10" t="inlineStr">
        <is>
          <t>گزارش فعالیت هیئت مدیره</t>
        </is>
      </c>
      <c r="E30" s="10" t="inlineStr">
        <is>
          <t>۱۴۰۴</t>
        </is>
      </c>
      <c r="F30" s="10" t="inlineStr">
        <is>
          <t>۳۷ تا ۳۸</t>
        </is>
      </c>
      <c r="G30" s="15" t="inlineStr">
        <is>
          <t>https://www.codal.ir/Reports/Attachment.aspx?LetterSerial=L6jPydiKkSCQR9kVCKMgkg%3d%3d</t>
        </is>
      </c>
      <c r="H30" s="10" t="inlineStr">
        <is>
          <t>Snapshot مبنا برای ۱۴۰۴</t>
        </is>
      </c>
      <c r="I30" s="10" t="inlineStr">
        <is>
          <t>Iran_BSI_Turnover_Batch4_4Firms_Verified.xlsx</t>
        </is>
      </c>
      <c r="J30" s="5" t="inlineStr">
        <is>
          <t>داده فقط در صورت انطباق با FY و Cutoff استفاده شده؛ در موارد تعارض، Snapshot معتبرتر یا Visual Verification مبنا بوده است</t>
        </is>
      </c>
    </row>
    <row r="31" ht="24" customHeight="1" s="76">
      <c r="A31" s="8" t="inlineStr">
        <is>
          <t>Batch 5</t>
        </is>
      </c>
      <c r="B31" s="8" t="inlineStr">
        <is>
          <t>اخابر</t>
        </is>
      </c>
      <c r="C31" s="8" t="inlineStr">
        <is>
          <t>SRC_AKHB_1404_002</t>
        </is>
      </c>
      <c r="D31" s="8" t="inlineStr">
        <is>
          <t>گزارش فعالیت هیئت مدیره</t>
        </is>
      </c>
      <c r="E31" s="8" t="inlineStr">
        <is>
          <t>۱۴۰۳</t>
        </is>
      </c>
      <c r="F31" s="8" t="inlineStr">
        <is>
          <t>۹۳ تا ۹۴</t>
        </is>
      </c>
      <c r="G31" s="15" t="inlineStr">
        <is>
          <t>https://www.codal.ir/Reports/Attachment.aspx?LetterSerial=l18osNfAAH2DvvstKQQQaQQQYuHQ%3d%3d</t>
        </is>
      </c>
      <c r="H31" s="8" t="inlineStr">
        <is>
          <t>Snapshot مبنا برای ۱۴۰۳</t>
        </is>
      </c>
      <c r="I31" s="8" t="inlineStr">
        <is>
          <t>Iran_BSI_Turnover_Batch5_4Firms_Verified.xlsx</t>
        </is>
      </c>
      <c r="J31" s="5" t="inlineStr">
        <is>
          <t>داده فقط در صورت انطباق با FY و Cutoff استفاده شده؛ در موارد تعارض، Snapshot معتبرتر یا Visual Verification مبنا بوده است</t>
        </is>
      </c>
    </row>
    <row r="32" ht="24" customHeight="1" s="76">
      <c r="A32" s="10" t="inlineStr">
        <is>
          <t>Batch 5</t>
        </is>
      </c>
      <c r="B32" s="10" t="inlineStr">
        <is>
          <t>اخابر</t>
        </is>
      </c>
      <c r="C32" s="10" t="inlineStr">
        <is>
          <t>SRC_AKHB_1404_003</t>
        </is>
      </c>
      <c r="D32" s="10" t="inlineStr">
        <is>
          <t>افشای نوع ۱۹</t>
        </is>
      </c>
      <c r="E32" s="10" t="inlineStr">
        <is>
          <t>۱۴۰۴</t>
        </is>
      </c>
      <c r="F32" s="10" t="inlineStr">
        <is>
          <t>۱</t>
        </is>
      </c>
      <c r="G32" s="15" t="inlineStr">
        <is>
          <t>https://www.codal.ir/Reports/Decision.aspx?LetterSerial=GSIO5iJOn2Ini6eniOOOObOOOopw%3d%3d&amp;rt=5&amp;let=19&amp;ct=0&amp;ft=-1</t>
        </is>
      </c>
      <c r="H32" s="10" t="inlineStr">
        <is>
          <t>Snapshot اصلی ۱۴۰۴ و تایید نمایندگان</t>
        </is>
      </c>
      <c r="I32" s="10" t="inlineStr">
        <is>
          <t>Iran_BSI_Turnover_Batch5_4Firms_Verified.xlsx</t>
        </is>
      </c>
      <c r="J32" s="5" t="inlineStr">
        <is>
          <t>داده فقط در صورت انطباق با FY و Cutoff استفاده شده؛ در موارد تعارض، Snapshot معتبرتر یا Visual Verification مبنا بوده است</t>
        </is>
      </c>
    </row>
    <row r="33" ht="24" customHeight="1" s="76">
      <c r="A33" s="8" t="inlineStr">
        <is>
          <t>Batch 5</t>
        </is>
      </c>
      <c r="B33" s="8" t="inlineStr">
        <is>
          <t>اخابر</t>
        </is>
      </c>
      <c r="C33" s="8" t="inlineStr">
        <is>
          <t>SRC_AKHB_1404_005</t>
        </is>
      </c>
      <c r="D33" s="8" t="inlineStr">
        <is>
          <t>افشای نوع ۱۹</t>
        </is>
      </c>
      <c r="E33" s="8" t="inlineStr">
        <is>
          <t>۱۴۰۴</t>
        </is>
      </c>
      <c r="F33" s="8" t="inlineStr">
        <is>
          <t>۱</t>
        </is>
      </c>
      <c r="G33" s="15" t="inlineStr">
        <is>
          <t>https://www.codal.ir/Reports/Decision.aspx?LetterSerial=iXcFNxwCjn4aV4ptXi6QQQaQQQjA%3d%3d&amp;rt=5&amp;let=19&amp;ct=0&amp;ft=-1</t>
        </is>
      </c>
      <c r="H33" s="8" t="inlineStr">
        <is>
          <t>کنترل تغییر اشخاص حقوقی در طول سال</t>
        </is>
      </c>
      <c r="I33" s="8" t="inlineStr">
        <is>
          <t>Iran_BSI_Turnover_Batch5_4Firms_Verified.xlsx</t>
        </is>
      </c>
      <c r="J33" s="5" t="inlineStr">
        <is>
          <t>داده فقط در صورت انطباق با FY و Cutoff استفاده شده؛ در موارد تعارض، Snapshot معتبرتر یا Visual Verification مبنا بوده است</t>
        </is>
      </c>
    </row>
    <row r="34" ht="24" customHeight="1" s="76">
      <c r="A34" s="10" t="inlineStr">
        <is>
          <t>Batch 5</t>
        </is>
      </c>
      <c r="B34" s="10" t="inlineStr">
        <is>
          <t>جم</t>
        </is>
      </c>
      <c r="C34" s="10" t="inlineStr">
        <is>
          <t>SRC_JAM_1404_002</t>
        </is>
      </c>
      <c r="D34" s="10" t="inlineStr">
        <is>
          <t>گزارش فعالیت هیئت مدیره</t>
        </is>
      </c>
      <c r="E34" s="10" t="inlineStr">
        <is>
          <t>۱۴۰۳</t>
        </is>
      </c>
      <c r="F34" s="10" t="inlineStr">
        <is>
          <t>۳۵</t>
        </is>
      </c>
      <c r="G34" s="15" t="inlineStr">
        <is>
          <t>https://www.codal.ir/Reports/Attachment.aspx?LetterSerial=7DOfnJSrljlS4F1ZUoECfA%3d%3d</t>
        </is>
      </c>
      <c r="H34" s="10" t="inlineStr">
        <is>
          <t>Snapshot مبنا برای ۱۴۰۳</t>
        </is>
      </c>
      <c r="I34" s="10" t="inlineStr">
        <is>
          <t>Iran_BSI_Turnover_Batch5_4Firms_Verified.xlsx</t>
        </is>
      </c>
      <c r="J34" s="5" t="inlineStr">
        <is>
          <t>داده فقط در صورت انطباق با FY و Cutoff استفاده شده؛ در موارد تعارض، Snapshot معتبرتر یا Visual Verification مبنا بوده است</t>
        </is>
      </c>
    </row>
    <row r="35" ht="24" customHeight="1" s="76">
      <c r="A35" s="8" t="inlineStr">
        <is>
          <t>Batch 5</t>
        </is>
      </c>
      <c r="B35" s="8" t="inlineStr">
        <is>
          <t>جم</t>
        </is>
      </c>
      <c r="C35" s="8" t="inlineStr">
        <is>
          <t>SRC_JAM_1404_008</t>
        </is>
      </c>
      <c r="D35" s="8" t="inlineStr">
        <is>
          <t>افشای نوع ۱۹</t>
        </is>
      </c>
      <c r="E35" s="8" t="inlineStr">
        <is>
          <t>۱۴۰۳</t>
        </is>
      </c>
      <c r="F35" s="8" t="inlineStr">
        <is>
          <t>۱</t>
        </is>
      </c>
      <c r="G35" s="15" t="inlineStr">
        <is>
          <t>https://www.codal.ir/Reports/Decision.aspx?LetterSerial=BY8YXlJLNgWdHoQQQaQQQN2kMTZQ%3d%3d&amp;rt=0&amp;let=19&amp;ct=0&amp;ft=-1</t>
        </is>
      </c>
      <c r="H35" s="8" t="inlineStr">
        <is>
          <t>تایید نام رسمی کاوشگران بازار سرمایه</t>
        </is>
      </c>
      <c r="I35" s="8" t="inlineStr">
        <is>
          <t>Iran_BSI_Turnover_Batch5_4Firms_Verified.xlsx</t>
        </is>
      </c>
      <c r="J35" s="5" t="inlineStr">
        <is>
          <t>داده فقط در صورت انطباق با FY و Cutoff استفاده شده؛ در موارد تعارض، Snapshot معتبرتر یا Visual Verification مبنا بوده است</t>
        </is>
      </c>
    </row>
    <row r="36" ht="24" customHeight="1" s="76">
      <c r="A36" s="10" t="inlineStr">
        <is>
          <t>Batch 5</t>
        </is>
      </c>
      <c r="B36" s="10" t="inlineStr">
        <is>
          <t>جم</t>
        </is>
      </c>
      <c r="C36" s="10" t="inlineStr">
        <is>
          <t>SRC_JAM_1404_005</t>
        </is>
      </c>
      <c r="D36" s="10" t="inlineStr">
        <is>
          <t>افشای نوع ۱۹</t>
        </is>
      </c>
      <c r="E36" s="10" t="inlineStr">
        <is>
          <t>۱۴۰۴</t>
        </is>
      </c>
      <c r="F36" s="10" t="inlineStr">
        <is>
          <t>۱</t>
        </is>
      </c>
      <c r="G36" s="15" t="inlineStr">
        <is>
          <t>https://www.codal.ir/Reports/Decision.aspx?LetterSerial=zrRXQNzllX2hozqxWf2Nng%3d%3d&amp;rt=0&amp;let=19&amp;ct=0&amp;ft=-1</t>
        </is>
      </c>
      <c r="H36" s="10" t="inlineStr">
        <is>
          <t>آخرین Snapshot قابل اتکا پیش از Cutoff</t>
        </is>
      </c>
      <c r="I36" s="10" t="inlineStr">
        <is>
          <t>Iran_BSI_Turnover_Batch5_4Firms_Verified.xlsx</t>
        </is>
      </c>
      <c r="J36" s="5" t="inlineStr">
        <is>
          <t>داده فقط در صورت انطباق با FY و Cutoff استفاده شده؛ در موارد تعارض، Snapshot معتبرتر یا Visual Verification مبنا بوده است</t>
        </is>
      </c>
    </row>
    <row r="37" ht="24" customHeight="1" s="76">
      <c r="A37" s="8" t="inlineStr">
        <is>
          <t>Batch 5</t>
        </is>
      </c>
      <c r="B37" s="8" t="inlineStr">
        <is>
          <t>ومعادن</t>
        </is>
      </c>
      <c r="C37" s="8" t="inlineStr">
        <is>
          <t>SRC_VMDN_1404_002</t>
        </is>
      </c>
      <c r="D37" s="8" t="inlineStr">
        <is>
          <t>گزارش فعالیت هیئت مدیره</t>
        </is>
      </c>
      <c r="E37" s="8" t="inlineStr">
        <is>
          <t>۱۴۰۳</t>
        </is>
      </c>
      <c r="F37" s="8" t="inlineStr">
        <is>
          <t>۴۰</t>
        </is>
      </c>
      <c r="G37" s="15" t="inlineStr">
        <is>
          <t>https://www.codal.ir/Reports/Attachment.aspx?LetterSerial=AcoEbrF1YWBxnIP9D2INbA%3d%3d</t>
        </is>
      </c>
      <c r="H37" s="8" t="inlineStr">
        <is>
          <t>Snapshot مبنا برای ۱۴۰۳</t>
        </is>
      </c>
      <c r="I37" s="8" t="inlineStr">
        <is>
          <t>Iran_BSI_Turnover_Batch5_4Firms_Verified.xlsx</t>
        </is>
      </c>
      <c r="J37" s="5" t="inlineStr">
        <is>
          <t>داده فقط در صورت انطباق با FY و Cutoff استفاده شده؛ در موارد تعارض، Snapshot معتبرتر یا Visual Verification مبنا بوده است</t>
        </is>
      </c>
    </row>
    <row r="38" ht="24" customHeight="1" s="76">
      <c r="A38" s="10" t="inlineStr">
        <is>
          <t>Batch 5</t>
        </is>
      </c>
      <c r="B38" s="10" t="inlineStr">
        <is>
          <t>ومعادن</t>
        </is>
      </c>
      <c r="C38" s="10" t="inlineStr">
        <is>
          <t>SRC_VMDN_1404_001</t>
        </is>
      </c>
      <c r="D38" s="10" t="inlineStr">
        <is>
          <t>گزارش فعالیت هیئت مدیره</t>
        </is>
      </c>
      <c r="E38" s="10" t="inlineStr">
        <is>
          <t>۱۴۰۴</t>
        </is>
      </c>
      <c r="F38" s="10" t="inlineStr">
        <is>
          <t>۴۳</t>
        </is>
      </c>
      <c r="G38" s="15" t="inlineStr">
        <is>
          <t>https://www.codal.ir/Reports/Attachment.aspx?LetterSerial=bRnwYafN0uOG5s7eZOOObOOObCPw%3d%3d</t>
        </is>
      </c>
      <c r="H38" s="10" t="inlineStr">
        <is>
          <t>Snapshot سال ۱۴۰۴</t>
        </is>
      </c>
      <c r="I38" s="10" t="inlineStr">
        <is>
          <t>Iran_BSI_Turnover_Batch5_4Firms_Verified.xlsx</t>
        </is>
      </c>
      <c r="J38" s="5" t="inlineStr">
        <is>
          <t>داده فقط در صورت انطباق با FY و Cutoff استفاده شده؛ در موارد تعارض، Snapshot معتبرتر یا Visual Verification مبنا بوده است</t>
        </is>
      </c>
    </row>
    <row r="39" ht="24" customHeight="1" s="76">
      <c r="A39" s="8" t="inlineStr">
        <is>
          <t>Batch 5</t>
        </is>
      </c>
      <c r="B39" s="8" t="inlineStr">
        <is>
          <t>ومعادن</t>
        </is>
      </c>
      <c r="C39" s="8" t="inlineStr">
        <is>
          <t>SRC_VMDN_1404_004</t>
        </is>
      </c>
      <c r="D39" s="8" t="inlineStr">
        <is>
          <t>افشای نوع ۱۹</t>
        </is>
      </c>
      <c r="E39" s="8" t="inlineStr">
        <is>
          <t>۱۴۰۴</t>
        </is>
      </c>
      <c r="F39" s="8" t="inlineStr">
        <is>
          <t>۱</t>
        </is>
      </c>
      <c r="G39" s="15" t="inlineStr">
        <is>
          <t>https://www.codal.ir/Reports/Decision.aspx?LetterSerial=GYYJgW0mQQQaQQQdbvnpR6QLaHlA%3d%3d&amp;rt=2&amp;let=19&amp;ct=0&amp;ft=-1</t>
        </is>
      </c>
      <c r="H39" s="8" t="inlineStr">
        <is>
          <t>تایید تغییر نماینده فولاد سنگ</t>
        </is>
      </c>
      <c r="I39" s="8" t="inlineStr">
        <is>
          <t>Iran_BSI_Turnover_Batch5_4Firms_Verified.xlsx</t>
        </is>
      </c>
      <c r="J39" s="5" t="inlineStr">
        <is>
          <t>داده فقط در صورت انطباق با FY و Cutoff استفاده شده؛ در موارد تعارض، Snapshot معتبرتر یا Visual Verification مبنا بوده است</t>
        </is>
      </c>
    </row>
    <row r="40" ht="24" customHeight="1" s="76">
      <c r="A40" s="10" t="inlineStr">
        <is>
          <t>Batch 5</t>
        </is>
      </c>
      <c r="B40" s="10" t="inlineStr">
        <is>
          <t>ومعادن</t>
        </is>
      </c>
      <c r="C40" s="10" t="inlineStr">
        <is>
          <t>SRC_VMDN_1404_003</t>
        </is>
      </c>
      <c r="D40" s="10" t="inlineStr">
        <is>
          <t>افشای نوع ۱۹</t>
        </is>
      </c>
      <c r="E40" s="10" t="inlineStr">
        <is>
          <t>۱۴۰۴</t>
        </is>
      </c>
      <c r="F40" s="10" t="inlineStr">
        <is>
          <t>۱</t>
        </is>
      </c>
      <c r="G40" s="15" t="inlineStr">
        <is>
          <t>https://www.codal.ir/Reports/Decision.aspx?LetterSerial=AHwQQQaQQQkHcUkc0pfBa2dXOOObOOOE3Q%3d%3d&amp;rt=2&amp;let=19&amp;ct=0&amp;ft=-1</t>
        </is>
      </c>
      <c r="H40" s="10" t="inlineStr">
        <is>
          <t>تایید تغییر نماینده فولاد مبارکه و ریاست</t>
        </is>
      </c>
      <c r="I40" s="10" t="inlineStr">
        <is>
          <t>Iran_BSI_Turnover_Batch5_4Firms_Verified.xlsx</t>
        </is>
      </c>
      <c r="J40" s="5" t="inlineStr">
        <is>
          <t>داده فقط در صورت انطباق با FY و Cutoff استفاده شده؛ در موارد تعارض، Snapshot معتبرتر یا Visual Verification مبنا بوده است</t>
        </is>
      </c>
    </row>
    <row r="41" ht="24" customHeight="1" s="76">
      <c r="A41" s="8" t="inlineStr">
        <is>
          <t>Batch 5</t>
        </is>
      </c>
      <c r="B41" s="8" t="inlineStr">
        <is>
          <t>وامید</t>
        </is>
      </c>
      <c r="C41" s="8" t="inlineStr">
        <is>
          <t>SRC_VAMD_1404_002</t>
        </is>
      </c>
      <c r="D41" s="8" t="inlineStr">
        <is>
          <t>گزارش فعالیت هیئت مدیره</t>
        </is>
      </c>
      <c r="E41" s="8" t="inlineStr">
        <is>
          <t>۱۴۰۳</t>
        </is>
      </c>
      <c r="F41" s="8" t="inlineStr">
        <is>
          <t>۶۹</t>
        </is>
      </c>
      <c r="G41" s="15" t="inlineStr">
        <is>
          <t>https://www.codal.ir/Reports/Attachment.aspx?LetterSerial=CM4mqa3Wz2h9LMqk4uVACQ%3d%3d</t>
        </is>
      </c>
      <c r="H41" s="8" t="inlineStr">
        <is>
          <t>Snapshot مبنا برای ۱۴۰۳</t>
        </is>
      </c>
      <c r="I41" s="8" t="inlineStr">
        <is>
          <t>Iran_BSI_Turnover_Batch5_4Firms_Verified.xlsx</t>
        </is>
      </c>
      <c r="J41" s="5" t="inlineStr">
        <is>
          <t>داده فقط در صورت انطباق با FY و Cutoff استفاده شده؛ در موارد تعارض، Snapshot معتبرتر یا Visual Verification مبنا بوده است</t>
        </is>
      </c>
    </row>
    <row r="42" ht="24" customHeight="1" s="76">
      <c r="A42" s="10" t="inlineStr">
        <is>
          <t>Batch 5</t>
        </is>
      </c>
      <c r="B42" s="10" t="inlineStr">
        <is>
          <t>وامید</t>
        </is>
      </c>
      <c r="C42" s="10" t="inlineStr">
        <is>
          <t>SRC_VAMD_1404_001</t>
        </is>
      </c>
      <c r="D42" s="10" t="inlineStr">
        <is>
          <t>گزارش فعالیت هیئت مدیره</t>
        </is>
      </c>
      <c r="E42" s="10" t="inlineStr">
        <is>
          <t>۱۴۰۴</t>
        </is>
      </c>
      <c r="F42" s="10" t="inlineStr">
        <is>
          <t>۶۹</t>
        </is>
      </c>
      <c r="G42" s="15" t="inlineStr">
        <is>
          <t>https://www.codal.ir/Reports/Attachment.aspx?LetterSerial=L3pmVuuRgm42MhLxuM1ElQ%3d%3d</t>
        </is>
      </c>
      <c r="H42" s="10" t="inlineStr">
        <is>
          <t>Snapshot مبنا برای ۱۴۰۴</t>
        </is>
      </c>
      <c r="I42" s="10" t="inlineStr">
        <is>
          <t>Iran_BSI_Turnover_Batch5_4Firms_Verified.xlsx</t>
        </is>
      </c>
      <c r="J42" s="5" t="inlineStr">
        <is>
          <t>داده فقط در صورت انطباق با FY و Cutoff استفاده شده؛ در موارد تعارض، Snapshot معتبرتر یا Visual Verification مبنا بوده است</t>
        </is>
      </c>
    </row>
    <row r="43" ht="24" customHeight="1" s="76">
      <c r="A43" s="8" t="inlineStr">
        <is>
          <t>Batch 5</t>
        </is>
      </c>
      <c r="B43" s="8" t="inlineStr">
        <is>
          <t>وامید</t>
        </is>
      </c>
      <c r="C43" s="8" t="inlineStr">
        <is>
          <t>SRC_VAMD_1404_005</t>
        </is>
      </c>
      <c r="D43" s="8" t="inlineStr">
        <is>
          <t>افشای نوع ۱۹ اصلاحیه</t>
        </is>
      </c>
      <c r="E43" s="8" t="inlineStr">
        <is>
          <t>۱۴۰۴</t>
        </is>
      </c>
      <c r="F43" s="8" t="inlineStr">
        <is>
          <t>۱</t>
        </is>
      </c>
      <c r="G43" s="15" t="inlineStr">
        <is>
          <t>https://www.codal.ir/Reports/Decision.aspx?LetterSerial=1UEyCQ9gyduKzNiiDDNXUA%3d%3d&amp;rt=2&amp;let=19&amp;ct=0&amp;ft=-1</t>
        </is>
      </c>
      <c r="H43" s="8" t="inlineStr">
        <is>
          <t>کنترل تغییر اشخاص حقوقی و تداوم نمایندگان</t>
        </is>
      </c>
      <c r="I43" s="8" t="inlineStr">
        <is>
          <t>Iran_BSI_Turnover_Batch5_4Firms_Verified.xlsx</t>
        </is>
      </c>
      <c r="J43" s="5" t="inlineStr">
        <is>
          <t>داده فقط در صورت انطباق با FY و Cutoff استفاده شده؛ در موارد تعارض، Snapshot معتبرتر یا Visual Verification مبنا بوده است</t>
        </is>
      </c>
    </row>
    <row r="44" ht="24" customHeight="1" s="76">
      <c r="A44" s="10" t="inlineStr">
        <is>
          <t>Batch 5</t>
        </is>
      </c>
      <c r="B44" s="10" t="inlineStr">
        <is>
          <t>وامید</t>
        </is>
      </c>
      <c r="C44" s="10" t="inlineStr">
        <is>
          <t>SRC_VAMD_1404_006</t>
        </is>
      </c>
      <c r="D44" s="10" t="inlineStr">
        <is>
          <t>افشای نوع ۱۹</t>
        </is>
      </c>
      <c r="E44" s="10" t="inlineStr">
        <is>
          <t>۱۴۰۴</t>
        </is>
      </c>
      <c r="F44" s="10" t="inlineStr">
        <is>
          <t>۱</t>
        </is>
      </c>
      <c r="G44" s="15" t="inlineStr">
        <is>
          <t>https://www.codal.ir/Reports/Decision.aspx?LetterSerial=heZfln7kl6v8fiuPpe5P4g%3d%3d&amp;rt=2&amp;let=19&amp;ct=0&amp;ft=-1</t>
        </is>
      </c>
      <c r="H44" s="10" t="inlineStr">
        <is>
          <t>کنترل مستقل ترکیب</t>
        </is>
      </c>
      <c r="I44" s="10" t="inlineStr">
        <is>
          <t>Iran_BSI_Turnover_Batch5_4Firms_Verified.xlsx</t>
        </is>
      </c>
      <c r="J44" s="5" t="inlineStr">
        <is>
          <t>داده فقط در صورت انطباق با FY و Cutoff استفاده شده؛ در موارد تعارض، Snapshot معتبرتر یا Visual Verification مبنا بوده است</t>
        </is>
      </c>
    </row>
    <row r="45" ht="24" customHeight="1" s="76">
      <c r="A45" s="8" t="inlineStr">
        <is>
          <t>Batch 6</t>
        </is>
      </c>
      <c r="B45" s="8" t="inlineStr">
        <is>
          <t>خساپا</t>
        </is>
      </c>
      <c r="C45" s="8" t="inlineStr">
        <is>
          <t>SRC_KHSP_1404_002</t>
        </is>
      </c>
      <c r="D45" s="8" t="inlineStr">
        <is>
          <t>افشای نوع ۱۹</t>
        </is>
      </c>
      <c r="E45" s="8" t="inlineStr">
        <is>
          <t>۱۴۰۳</t>
        </is>
      </c>
      <c r="F45" s="8" t="inlineStr">
        <is>
          <t>۱</t>
        </is>
      </c>
      <c r="G45" s="15" t="inlineStr">
        <is>
          <t>https://www.codal.ir/Reports/Decision.aspx?LetterSerial=0rlsOOObOOOEFaa9IMoCD90IUbxA%3d%3d&amp;rt=0&amp;let=19&amp;ct=0&amp;ft=-1</t>
        </is>
      </c>
      <c r="H45" s="8" t="inlineStr">
        <is>
          <t>Snapshot مبنا ۱۴۰۳</t>
        </is>
      </c>
      <c r="I45" s="8" t="inlineStr">
        <is>
          <t>Iran_BSI_Turnover_Batch6_5Firms_Final.xlsx</t>
        </is>
      </c>
      <c r="J45" s="5" t="inlineStr">
        <is>
          <t>داده فقط در صورت انطباق با FY و Cutoff استفاده شده؛ در موارد تعارض، Snapshot معتبرتر یا Visual Verification مبنا بوده است</t>
        </is>
      </c>
    </row>
    <row r="46" ht="24" customHeight="1" s="76">
      <c r="A46" s="10" t="inlineStr">
        <is>
          <t>Batch 6</t>
        </is>
      </c>
      <c r="B46" s="10" t="inlineStr">
        <is>
          <t>خساپا</t>
        </is>
      </c>
      <c r="C46" s="10" t="inlineStr">
        <is>
          <t>SRC_KHSP_1404_004</t>
        </is>
      </c>
      <c r="D46" s="10" t="inlineStr">
        <is>
          <t>افشای نوع ۱۹</t>
        </is>
      </c>
      <c r="E46" s="10" t="inlineStr">
        <is>
          <t>۱۴۰۴</t>
        </is>
      </c>
      <c r="F46" s="10" t="inlineStr">
        <is>
          <t>۱</t>
        </is>
      </c>
      <c r="G46" s="15" t="inlineStr">
        <is>
          <t>https://www.codal.ir/Reports/Decision.aspx?LetterSerial=UJ1so0i61H6WpTMWJ3OsCA%3d%3d&amp;rt=0&amp;let=19&amp;ct=0&amp;ft=-1</t>
        </is>
      </c>
      <c r="H46" s="10" t="inlineStr">
        <is>
          <t>Snapshot ۱۴۰۴ و تطبیق کرسی ها</t>
        </is>
      </c>
      <c r="I46" s="10" t="inlineStr">
        <is>
          <t>Iran_BSI_Turnover_Batch6_5Firms_Final.xlsx</t>
        </is>
      </c>
      <c r="J46" s="5" t="inlineStr">
        <is>
          <t>داده فقط در صورت انطباق با FY و Cutoff استفاده شده؛ در موارد تعارض، Snapshot معتبرتر یا Visual Verification مبنا بوده است</t>
        </is>
      </c>
    </row>
    <row r="47" ht="24" customHeight="1" s="76">
      <c r="A47" s="8" t="inlineStr">
        <is>
          <t>Batch 6</t>
        </is>
      </c>
      <c r="B47" s="8" t="inlineStr">
        <is>
          <t>همراه</t>
        </is>
      </c>
      <c r="C47" s="8" t="inlineStr">
        <is>
          <t>SRC_HMRH_1404_002</t>
        </is>
      </c>
      <c r="D47" s="8" t="inlineStr">
        <is>
          <t>گزارش فعالیت هیئت مدیره</t>
        </is>
      </c>
      <c r="E47" s="8" t="inlineStr">
        <is>
          <t>۱۴۰۳</t>
        </is>
      </c>
      <c r="F47" s="8" t="inlineStr">
        <is>
          <t>۵</t>
        </is>
      </c>
      <c r="G47" s="15" t="inlineStr">
        <is>
          <t>https://www.codal.ir/Reports/Attachment.aspx?LetterSerial=qF6WQQQaQQQvb3G9yQQQaQQQVuknoGcUQQ%3d%3d</t>
        </is>
      </c>
      <c r="H47" s="8" t="inlineStr">
        <is>
          <t>Snapshot مبنا ۱۴۰۳</t>
        </is>
      </c>
      <c r="I47" s="8" t="inlineStr">
        <is>
          <t>Iran_BSI_Turnover_Batch6_5Firms_Final.xlsx</t>
        </is>
      </c>
      <c r="J47" s="5" t="inlineStr">
        <is>
          <t>داده فقط در صورت انطباق با FY و Cutoff استفاده شده؛ در موارد تعارض، Snapshot معتبرتر یا Visual Verification مبنا بوده است</t>
        </is>
      </c>
    </row>
    <row r="48" ht="24" customHeight="1" s="76">
      <c r="A48" s="10" t="inlineStr">
        <is>
          <t>Batch 6</t>
        </is>
      </c>
      <c r="B48" s="10" t="inlineStr">
        <is>
          <t>همراه</t>
        </is>
      </c>
      <c r="C48" s="10" t="inlineStr">
        <is>
          <t>SRC_HMRH_1404_001</t>
        </is>
      </c>
      <c r="D48" s="10" t="inlineStr">
        <is>
          <t>گزارش فعالیت هیئت مدیره</t>
        </is>
      </c>
      <c r="E48" s="10" t="inlineStr">
        <is>
          <t>۱۴۰۴</t>
        </is>
      </c>
      <c r="F48" s="10" t="inlineStr">
        <is>
          <t>۵</t>
        </is>
      </c>
      <c r="G48" s="15" t="inlineStr">
        <is>
          <t>https://www.codal.ir/Reports/Attachment.aspx?LetterSerial=Ln6R9zsWXNJqeuz97OOObOOOaACw%3d%3d</t>
        </is>
      </c>
      <c r="H48" s="10" t="inlineStr">
        <is>
          <t>Snapshot مبنا ۱۴۰۴</t>
        </is>
      </c>
      <c r="I48" s="10" t="inlineStr">
        <is>
          <t>Iran_BSI_Turnover_Batch6_5Firms_Final.xlsx</t>
        </is>
      </c>
      <c r="J48" s="5" t="inlineStr">
        <is>
          <t>داده فقط در صورت انطباق با FY و Cutoff استفاده شده؛ در موارد تعارض، Snapshot معتبرتر یا Visual Verification مبنا بوده است</t>
        </is>
      </c>
    </row>
    <row r="49" ht="24" customHeight="1" s="76">
      <c r="A49" s="8" t="inlineStr">
        <is>
          <t>Batch 6</t>
        </is>
      </c>
      <c r="B49" s="8" t="inlineStr">
        <is>
          <t>همراه</t>
        </is>
      </c>
      <c r="C49" s="8" t="inlineStr">
        <is>
          <t>SRC_HMRH_1404_005</t>
        </is>
      </c>
      <c r="D49" s="8" t="inlineStr">
        <is>
          <t>افشای نوع ۱۹</t>
        </is>
      </c>
      <c r="E49" s="8" t="inlineStr">
        <is>
          <t>۱۴۰۴</t>
        </is>
      </c>
      <c r="F49" s="8" t="inlineStr">
        <is>
          <t>۱</t>
        </is>
      </c>
      <c r="G49" s="15" t="inlineStr">
        <is>
          <t>https://www.codal.ir/Reports/Decision.aspx?LetterSerial=EkFsjyhmhfXBQoQQQaQQQTg7cqCw%3d%3d&amp;rt=5&amp;let=19&amp;ct=0&amp;ft=-1</t>
        </is>
      </c>
      <c r="H49" s="8" t="inlineStr">
        <is>
          <t>بازتایید ثبات نمایندگان و اشخاص حقوقی</t>
        </is>
      </c>
      <c r="I49" s="8" t="inlineStr">
        <is>
          <t>Iran_BSI_Turnover_Batch6_5Firms_Final.xlsx</t>
        </is>
      </c>
      <c r="J49" s="5" t="inlineStr">
        <is>
          <t>داده فقط در صورت انطباق با FY و Cutoff استفاده شده؛ در موارد تعارض، Snapshot معتبرتر یا Visual Verification مبنا بوده است</t>
        </is>
      </c>
    </row>
    <row r="50" ht="24" customHeight="1" s="76">
      <c r="A50" s="10" t="inlineStr">
        <is>
          <t>Batch 6</t>
        </is>
      </c>
      <c r="B50" s="10" t="inlineStr">
        <is>
          <t>وبملت</t>
        </is>
      </c>
      <c r="C50" s="10" t="inlineStr">
        <is>
          <t>SRC_MELT_1404_006</t>
        </is>
      </c>
      <c r="D50" s="10" t="inlineStr">
        <is>
          <t>افشای نوع ۱۹</t>
        </is>
      </c>
      <c r="E50" s="10" t="inlineStr">
        <is>
          <t>۱۴۰۳</t>
        </is>
      </c>
      <c r="F50" s="10" t="inlineStr">
        <is>
          <t>۱</t>
        </is>
      </c>
      <c r="G50" s="15" t="inlineStr">
        <is>
          <t>https://www.codal.ir/Reports/Decision.aspx?LetterSerial=pMyRiSQQQaQQQwMIoymmCCqmzwtg%3d%3d&amp;rt=3&amp;let=19&amp;ct=0&amp;ft=-1</t>
        </is>
      </c>
      <c r="H50" s="10" t="inlineStr">
        <is>
          <t>Snapshot اشخاص حقیقی ۱۴۰۳</t>
        </is>
      </c>
      <c r="I50" s="10" t="inlineStr">
        <is>
          <t>Iran_BSI_Turnover_Batch6_5Firms_Final.xlsx</t>
        </is>
      </c>
      <c r="J50" s="5" t="inlineStr">
        <is>
          <t>داده فقط در صورت انطباق با FY و Cutoff استفاده شده؛ در موارد تعارض، Snapshot معتبرتر یا Visual Verification مبنا بوده است</t>
        </is>
      </c>
    </row>
    <row r="51" ht="24" customHeight="1" s="76">
      <c r="A51" s="8" t="inlineStr">
        <is>
          <t>Batch 6</t>
        </is>
      </c>
      <c r="B51" s="8" t="inlineStr">
        <is>
          <t>وبملت</t>
        </is>
      </c>
      <c r="C51" s="8" t="inlineStr">
        <is>
          <t>SRC_MELT_1404_005</t>
        </is>
      </c>
      <c r="D51" s="8" t="inlineStr">
        <is>
          <t>افشای نوع ۱۹</t>
        </is>
      </c>
      <c r="E51" s="8" t="inlineStr">
        <is>
          <t>۱۴۰۴</t>
        </is>
      </c>
      <c r="F51" s="8" t="inlineStr">
        <is>
          <t>۱</t>
        </is>
      </c>
      <c r="G51" s="15" t="inlineStr">
        <is>
          <t>https://www.codal.ir/Reports/Decision.aspx?LetterSerial=jqQzOOObOOOZ5mOOObOOO0IdbSC6088ERA%3d%3d&amp;rt=3&amp;let=19&amp;ct=0&amp;ft=-1</t>
        </is>
      </c>
      <c r="H51" s="8" t="inlineStr">
        <is>
          <t>Snapshot اشخاص حقیقی ۱۴۰۴؛ فقط تغییر سمت</t>
        </is>
      </c>
      <c r="I51" s="8" t="inlineStr">
        <is>
          <t>Iran_BSI_Turnover_Batch6_5Firms_Final.xlsx</t>
        </is>
      </c>
      <c r="J51" s="5" t="inlineStr">
        <is>
          <t>داده فقط در صورت انطباق با FY و Cutoff استفاده شده؛ در موارد تعارض، Snapshot معتبرتر یا Visual Verification مبنا بوده است</t>
        </is>
      </c>
    </row>
    <row r="52" ht="24" customHeight="1" s="76">
      <c r="A52" s="10" t="inlineStr">
        <is>
          <t>Batch 6</t>
        </is>
      </c>
      <c r="B52" s="10" t="inlineStr">
        <is>
          <t>وبصادر</t>
        </is>
      </c>
      <c r="C52" s="10" t="inlineStr">
        <is>
          <t>SRC_VBSD_1404_002</t>
        </is>
      </c>
      <c r="D52" s="10" t="inlineStr">
        <is>
          <t>گزارش فعالیت هیئت مدیره</t>
        </is>
      </c>
      <c r="E52" s="10" t="inlineStr">
        <is>
          <t>۱۴۰۳</t>
        </is>
      </c>
      <c r="F52" s="10" t="inlineStr">
        <is>
          <t>۳۸ تا ۳۹</t>
        </is>
      </c>
      <c r="G52" s="15" t="inlineStr">
        <is>
          <t>https://www.codal.ir/Reports/Attachment.aspx?LetterSerial=HChwyLb11ZnzYeIEeB3Jng%3d%3d</t>
        </is>
      </c>
      <c r="H52" s="10" t="inlineStr">
        <is>
          <t>Snapshot مبنا ۱۴۰۳</t>
        </is>
      </c>
      <c r="I52" s="10" t="inlineStr">
        <is>
          <t>Iran_BSI_Turnover_Batch6_5Firms_Final.xlsx</t>
        </is>
      </c>
      <c r="J52" s="5" t="inlineStr">
        <is>
          <t>داده فقط در صورت انطباق با FY و Cutoff استفاده شده؛ در موارد تعارض، Snapshot معتبرتر یا Visual Verification مبنا بوده است</t>
        </is>
      </c>
    </row>
    <row r="53" ht="24" customHeight="1" s="76">
      <c r="A53" s="8" t="inlineStr">
        <is>
          <t>Batch 6</t>
        </is>
      </c>
      <c r="B53" s="8" t="inlineStr">
        <is>
          <t>وبصادر</t>
        </is>
      </c>
      <c r="C53" s="8" t="inlineStr">
        <is>
          <t>SRC_VBSD_1404_001</t>
        </is>
      </c>
      <c r="D53" s="8" t="inlineStr">
        <is>
          <t>گزارش فعالیت هیئت مدیره</t>
        </is>
      </c>
      <c r="E53" s="8" t="inlineStr">
        <is>
          <t>۱۴۰۴</t>
        </is>
      </c>
      <c r="F53" s="8" t="inlineStr">
        <is>
          <t>۴۵ تا ۴۶</t>
        </is>
      </c>
      <c r="G53" s="15" t="inlineStr">
        <is>
          <t>https://www.codal.ir/Reports/Attachment.aspx?LetterSerial=p0cfFj1rDsXiFZsu35tCWw%3d%3d</t>
        </is>
      </c>
      <c r="H53" s="8" t="inlineStr">
        <is>
          <t>Snapshot مبنا ۱۴۰۴</t>
        </is>
      </c>
      <c r="I53" s="8" t="inlineStr">
        <is>
          <t>Iran_BSI_Turnover_Batch6_5Firms_Final.xlsx</t>
        </is>
      </c>
      <c r="J53" s="5" t="inlineStr">
        <is>
          <t>داده فقط در صورت انطباق با FY و Cutoff استفاده شده؛ در موارد تعارض، Snapshot معتبرتر یا Visual Verification مبنا بوده است</t>
        </is>
      </c>
    </row>
    <row r="54" ht="24" customHeight="1" s="76">
      <c r="A54" s="10" t="inlineStr">
        <is>
          <t>Batch 6</t>
        </is>
      </c>
      <c r="B54" s="10" t="inlineStr">
        <is>
          <t>وپاسار</t>
        </is>
      </c>
      <c r="C54" s="10" t="inlineStr">
        <is>
          <t>SRC_VPSR_1404_001</t>
        </is>
      </c>
      <c r="D54" s="10" t="inlineStr">
        <is>
          <t>گزارش فعالیت هیئت مدیره</t>
        </is>
      </c>
      <c r="E54" s="10" t="inlineStr">
        <is>
          <t>۱۴۰۳</t>
        </is>
      </c>
      <c r="F54" s="10" t="inlineStr">
        <is>
          <t>۹</t>
        </is>
      </c>
      <c r="G54" s="15" t="inlineStr">
        <is>
          <t>https://www.codal.ir/Reports/Attachment.aspx?LetterSerial=Cxkdj8wztt52xU9MoBXp2w%3d%3d</t>
        </is>
      </c>
      <c r="H54" s="10" t="inlineStr">
        <is>
          <t>FY1403 موجود است؛ FY1404 در آرشیو بارگذاری شده یافت نشد</t>
        </is>
      </c>
      <c r="I54" s="10" t="inlineStr">
        <is>
          <t>Iran_BSI_Turnover_Batch6_5Firms_Final.xlsx</t>
        </is>
      </c>
      <c r="J54" s="5" t="inlineStr">
        <is>
          <t>داده فقط در صورت انطباق با FY و Cutoff استفاده شده؛ در موارد تعارض، Snapshot معتبرتر یا Visual Verification مبنا بوده است</t>
        </is>
      </c>
    </row>
    <row r="55" ht="24" customHeight="1" s="76">
      <c r="A55" s="8" t="inlineStr">
        <is>
          <t>v33</t>
        </is>
      </c>
      <c r="B55" s="8" t="inlineStr">
        <is>
          <t>زاگرس</t>
        </is>
      </c>
      <c r="C55" s="8" t="inlineStr">
        <is>
          <t>SRC_ZGRS_1404_002 (p.26, FY1403) و SRC_ZGRS_1404_001 (p.26, FY1404)</t>
        </is>
      </c>
      <c r="D55" s="1" t="n"/>
      <c r="E55" s="2" t="n"/>
      <c r="F55" s="2" t="n"/>
      <c r="G55" s="1" t="n"/>
      <c r="H55" s="8" t="inlineStr">
        <is>
          <t>بازخوانی کامل این فاز؛ بدون دانلود جدید</t>
        </is>
      </c>
      <c r="I55" s="8" t="inlineStr">
        <is>
          <t>Iran_BSI_v33_Phase4_2K_FinalTurnoverClosure.xlsx</t>
        </is>
      </c>
      <c r="J55" s="5" t="inlineStr">
        <is>
          <t>داده فقط در صورت انطباق با FY و Cutoff استفاده شده؛ در موارد تعارض، Snapshot معتبرتر یا Visual Verification مبنا بوده است</t>
        </is>
      </c>
    </row>
    <row r="56" ht="24" customHeight="1" s="76">
      <c r="A56" s="10" t="inlineStr">
        <is>
          <t>v33</t>
        </is>
      </c>
      <c r="B56" s="10" t="inlineStr">
        <is>
          <t>شبندر</t>
        </is>
      </c>
      <c r="C56" s="10" t="inlineStr">
        <is>
          <t>SRC_SHBN_1404_001 (p.55-56 کمیته حسابرسی، p.82-84 روستر هیئت‌مدیره)</t>
        </is>
      </c>
      <c r="D56" s="1" t="n"/>
      <c r="E56" s="2" t="n"/>
      <c r="F56" s="2" t="n"/>
      <c r="G56" s="1" t="n"/>
      <c r="H56" s="10" t="inlineStr">
        <is>
          <t>بازخوانی جزئی این فاز با الگوی جستجوی عربی؛ بدون دانلود جدید</t>
        </is>
      </c>
      <c r="I56" s="10" t="inlineStr">
        <is>
          <t>Iran_BSI_v33_Phase4_2K_FinalTurnoverClosure.xlsx</t>
        </is>
      </c>
      <c r="J56" s="5" t="inlineStr">
        <is>
          <t>داده فقط در صورت انطباق با FY و Cutoff استفاده شده؛ در موارد تعارض، Snapshot معتبرتر یا Visual Verification مبنا بوده است</t>
        </is>
      </c>
    </row>
  </sheetData>
  <autoFilter ref="A1:J5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10" r:id="rId7"/>
    <hyperlink xmlns:r="http://schemas.openxmlformats.org/officeDocument/2006/relationships" ref="G11"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s>
  <pageMargins left="0.25" right="0.25" top="0.4" bottom="0.4" header="0.511811023622047" footer="0.511811023622047"/>
  <pageSetup orientation="portrait" fitToHeight="0" horizontalDpi="300" verticalDpi="300"/>
</worksheet>
</file>

<file path=xl/worksheets/sheet22.xml><?xml version="1.0" encoding="utf-8"?>
<worksheet xmlns="http://schemas.openxmlformats.org/spreadsheetml/2006/main">
  <sheetPr>
    <outlinePr summaryBelow="1" summaryRight="1"/>
    <pageSetUpPr fitToPage="1"/>
  </sheetPr>
  <dimension ref="A1:E9"/>
  <sheetViews>
    <sheetView showGridLines="0" rightToLeft="1" zoomScaleNormal="100" workbookViewId="0">
      <pane ySplit="1" topLeftCell="A2" activePane="bottomLeft" state="frozen"/>
      <selection pane="bottomLeft" activeCell="A1" sqref="A1"/>
    </sheetView>
  </sheetViews>
  <sheetFormatPr baseColWidth="10" defaultColWidth="8.6640625" defaultRowHeight="15" customHeight="1"/>
  <cols>
    <col width="14" customWidth="1" style="76" min="1" max="1"/>
    <col width="42" customWidth="1" style="76" min="2" max="3"/>
    <col width="27.6640625" customWidth="1" style="76" min="4" max="4"/>
    <col width="42" customWidth="1" style="76" min="5" max="5"/>
  </cols>
  <sheetData>
    <row r="1" ht="34" customHeight="1" s="76">
      <c r="A1" s="36" t="inlineStr">
        <is>
          <t>مرحله</t>
        </is>
      </c>
      <c r="B1" s="36" t="inlineStr">
        <is>
          <t>تغییر</t>
        </is>
      </c>
      <c r="C1" s="36" t="inlineStr">
        <is>
          <t>مبنای شواهد</t>
        </is>
      </c>
      <c r="D1" s="36" t="inlineStr">
        <is>
          <t>اثر</t>
        </is>
      </c>
      <c r="E1" s="36" t="inlineStr">
        <is>
          <t>منبع یا روش کنترل</t>
        </is>
      </c>
    </row>
    <row r="2" ht="28" customHeight="1" s="76">
      <c r="A2" s="10" t="inlineStr">
        <is>
          <t>v33</t>
        </is>
      </c>
      <c r="B2" s="10" t="inlineStr">
        <is>
          <t>پوشش Turnover برابر ۵ از ۲۸ و معماری ۱۰ Measure در ۸ Construct</t>
        </is>
      </c>
      <c r="C2" s="10" t="inlineStr">
        <is>
          <t>فایل v33</t>
        </is>
      </c>
      <c r="D2" s="10" t="inlineStr">
        <is>
          <t>Baseline</t>
        </is>
      </c>
      <c r="E2" s="5" t="inlineStr">
        <is>
          <t>Iran_BSI_v33_Phase4_2K_FinalTurnoverClosure.xlsx</t>
        </is>
      </c>
    </row>
    <row r="3" ht="24" customHeight="1" s="76">
      <c r="A3" s="37" t="inlineStr">
        <is>
          <t>Batch 1</t>
        </is>
      </c>
      <c r="B3" s="37" t="inlineStr">
        <is>
          <t>افزوده شدن شبندر، پارس، شتران</t>
        </is>
      </c>
      <c r="C3" s="37" t="inlineStr">
        <is>
          <t>بررسی دستی و بصری PDF</t>
        </is>
      </c>
      <c r="D3" s="37" t="inlineStr">
        <is>
          <t>پوشش به ۸ شرکت</t>
        </is>
      </c>
      <c r="E3" s="38" t="inlineStr">
        <is>
          <t>Iran_BSI_Turnover_Batch1_*.xlsx و گزارش فارسی همان Batch</t>
        </is>
      </c>
    </row>
    <row r="4" ht="24" customHeight="1" s="76">
      <c r="A4" s="10" t="inlineStr">
        <is>
          <t>Batch 2</t>
        </is>
      </c>
      <c r="B4" s="10" t="inlineStr">
        <is>
          <t>افزوده شدن وتجارت، رمپنا، فخوز؛ وپاسار حل نشده</t>
        </is>
      </c>
      <c r="C4" s="10" t="inlineStr">
        <is>
          <t>تطبیق مستقیم و chronology</t>
        </is>
      </c>
      <c r="D4" s="10" t="inlineStr">
        <is>
          <t>پوشش به ۱۱ شرکت</t>
        </is>
      </c>
      <c r="E4" s="5" t="inlineStr">
        <is>
          <t>Iran_BSI_Turnover_Batch2_*.xlsx و گزارش فارسی همان Batch</t>
        </is>
      </c>
    </row>
    <row r="5" ht="24" customHeight="1" s="76">
      <c r="A5" s="8" t="inlineStr">
        <is>
          <t>Batch 3</t>
        </is>
      </c>
      <c r="B5" s="8" t="inlineStr">
        <is>
          <t>افزوده شدن شستا، شپنا، وغدیر، نوری</t>
        </is>
      </c>
      <c r="C5" s="8" t="inlineStr">
        <is>
          <t>افشای نوع ۱۹ و کنترل Cutoff</t>
        </is>
      </c>
      <c r="D5" s="8" t="inlineStr">
        <is>
          <t>پوشش به ۱۵ شرکت</t>
        </is>
      </c>
      <c r="E5" s="5" t="inlineStr">
        <is>
          <t>Iran_BSI_Turnover_Batch3_*.xlsx و گزارش فارسی همان Batch</t>
        </is>
      </c>
    </row>
    <row r="6" ht="24" customHeight="1" s="76">
      <c r="A6" s="10" t="inlineStr">
        <is>
          <t>Batch 4</t>
        </is>
      </c>
      <c r="B6" s="10" t="inlineStr">
        <is>
          <t>افزوده شدن فولاد، کچاد، کگل، پارسان</t>
        </is>
      </c>
      <c r="C6" s="10" t="inlineStr">
        <is>
          <t>روستر دو سال و کنترل vacancy</t>
        </is>
      </c>
      <c r="D6" s="10" t="inlineStr">
        <is>
          <t>پوشش به ۱۹ شرکت</t>
        </is>
      </c>
      <c r="E6" s="5" t="inlineStr">
        <is>
          <t>Iran_BSI_Turnover_Batch4_*.xlsx و گزارش فارسی همان Batch</t>
        </is>
      </c>
    </row>
    <row r="7" ht="24" customHeight="1" s="76">
      <c r="A7" s="8" t="inlineStr">
        <is>
          <t>Batch 5</t>
        </is>
      </c>
      <c r="B7" s="8" t="inlineStr">
        <is>
          <t>افزوده شدن اخابر، جم، ومعادن، وامید</t>
        </is>
      </c>
      <c r="C7" s="8" t="inlineStr">
        <is>
          <t>بررسی بصری و کنترل سال مالی</t>
        </is>
      </c>
      <c r="D7" s="8" t="inlineStr">
        <is>
          <t>پوشش به ۲۳ شرکت</t>
        </is>
      </c>
      <c r="E7" s="5" t="inlineStr">
        <is>
          <t>Iran_BSI_Turnover_Batch5_*.xlsx و گزارش فارسی همان Batch</t>
        </is>
      </c>
    </row>
    <row r="8" ht="24" customHeight="1" s="76">
      <c r="A8" s="10" t="inlineStr">
        <is>
          <t>Batch 6</t>
        </is>
      </c>
      <c r="B8" s="10" t="inlineStr">
        <is>
          <t>افزوده شدن خساپا، همراه، وبملت، وبصادر</t>
        </is>
      </c>
      <c r="C8" s="10" t="inlineStr">
        <is>
          <t>تطبیق نهایی پنج شرکت باقیمانده</t>
        </is>
      </c>
      <c r="D8" s="10" t="inlineStr">
        <is>
          <t>پوشش به ۲۷ از ۲۸</t>
        </is>
      </c>
      <c r="E8" s="5" t="inlineStr">
        <is>
          <t>Iran_BSI_Turnover_Batch6_*.xlsx و گزارش فارسی همان Batch</t>
        </is>
      </c>
    </row>
    <row r="9" ht="24" customHeight="1" s="76">
      <c r="A9" s="8" t="inlineStr">
        <is>
          <t>v34</t>
        </is>
      </c>
      <c r="B9" s="8" t="inlineStr">
        <is>
          <t>ارتقای REF05 و REF08 به مقیاس پذیری با محدودیت</t>
        </is>
      </c>
      <c r="C9" s="8" t="inlineStr">
        <is>
          <t>پوشش ۹۶٫۴٪ Turnover و پوشش کامل در ساختارهای نمایندگی تاییدشده</t>
        </is>
      </c>
      <c r="D9" s="8" t="inlineStr">
        <is>
          <t>۱۲ Measure در ۱۰ Construct</t>
        </is>
      </c>
      <c r="E9" s="5" t="inlineStr">
        <is>
          <t>فایل های فاز مربوطه و برگه های ثبت منابع</t>
        </is>
      </c>
    </row>
  </sheetData>
  <autoFilter ref="A1:E9"/>
  <pageMargins left="0.25" right="0.25" top="0.4" bottom="0.4" header="0.511811023622047" footer="0.511811023622047"/>
  <pageSetup orientation="portrait" fitToHeight="0" horizontalDpi="300" verticalDpi="300"/>
</worksheet>
</file>

<file path=xl/worksheets/sheet23.xml><?xml version="1.0" encoding="utf-8"?>
<worksheet xmlns="http://schemas.openxmlformats.org/spreadsheetml/2006/main">
  <sheetPr>
    <outlinePr summaryBelow="1" summaryRight="1"/>
    <pageSetUpPr fitToPage="1"/>
  </sheetPr>
  <dimension ref="A1:D14"/>
  <sheetViews>
    <sheetView showGridLines="0" rightToLeft="1" zoomScaleNormal="100" workbookViewId="0">
      <pane ySplit="1" topLeftCell="A2" activePane="bottomLeft" state="frozen"/>
      <selection pane="bottomLeft" activeCell="A1" sqref="A1"/>
    </sheetView>
  </sheetViews>
  <sheetFormatPr baseColWidth="10" defaultColWidth="8.6640625" defaultRowHeight="15" customHeight="1"/>
  <cols>
    <col width="42" customWidth="1" style="76" min="1" max="1"/>
    <col width="10" customWidth="1" style="76" min="2" max="2"/>
    <col width="42" customWidth="1" style="76" min="3" max="4"/>
  </cols>
  <sheetData>
    <row r="1" ht="34" customHeight="1" s="76">
      <c r="A1" s="36" t="inlineStr">
        <is>
          <t>کنترل</t>
        </is>
      </c>
      <c r="B1" s="36" t="inlineStr">
        <is>
          <t>وضعیت</t>
        </is>
      </c>
      <c r="C1" s="36" t="inlineStr">
        <is>
          <t>توضیح</t>
        </is>
      </c>
      <c r="D1" s="36" t="inlineStr">
        <is>
          <t>منبع یا روش کنترل</t>
        </is>
      </c>
    </row>
    <row r="2" ht="28" customHeight="1" s="76">
      <c r="A2" s="10" t="inlineStr">
        <is>
          <t>Exactly 30 canonical firms</t>
        </is>
      </c>
      <c r="B2" s="9" t="inlineStr">
        <is>
          <t>تایید</t>
        </is>
      </c>
      <c r="C2" s="10" t="inlineStr">
        <is>
          <t>۳۰ ردیف در Turnover نهایی</t>
        </is>
      </c>
      <c r="D2" s="5" t="inlineStr">
        <is>
          <t>COUNT ردیف های شرکت در Turnover نهایی و تطبیق با Universe ۳۰ شرکت</t>
        </is>
      </c>
    </row>
    <row r="3" ht="24" customHeight="1" s="76">
      <c r="A3" s="37" t="inlineStr">
        <is>
          <t>Turnover eligible denominator</t>
        </is>
      </c>
      <c r="B3" s="37" t="inlineStr">
        <is>
          <t>تایید</t>
        </is>
      </c>
      <c r="C3" s="37" t="inlineStr">
        <is>
          <t>29 شرکت؛ حکشتی خارج از مخرج؛ وپاسار حل نشده (v38)</t>
        </is>
      </c>
      <c r="D3" s="38" t="inlineStr">
        <is>
          <t>COUNTIF ستون واجد شرایط Turnover در Turnover نهایی</t>
        </is>
      </c>
    </row>
    <row r="4" ht="24" customHeight="1" s="76">
      <c r="A4" s="10" t="inlineStr">
        <is>
          <t>پوشش عددی گردش اعضا</t>
        </is>
      </c>
      <c r="B4" s="9" t="inlineStr">
        <is>
          <t>با محدودیت</t>
        </is>
      </c>
      <c r="C4" s="10" t="inlineStr">
        <is>
          <t>28 از 29 (v38)</t>
        </is>
      </c>
      <c r="D4" s="5" t="inlineStr">
        <is>
          <t>COUNT نرخ های عددی گردش فردی در Turnover نهایی</t>
        </is>
      </c>
    </row>
    <row r="5" ht="24" customHeight="1" s="76">
      <c r="A5" s="8" t="inlineStr">
        <is>
          <t>Missing converted to zero</t>
        </is>
      </c>
      <c r="B5" s="9" t="inlineStr">
        <is>
          <t>تایید</t>
        </is>
      </c>
      <c r="C5" s="8" t="inlineStr">
        <is>
          <t>هیچ Missing به صفر تبدیل نشده</t>
        </is>
      </c>
      <c r="D5" s="5" t="inlineStr">
        <is>
          <t>بازبینی Missingness و فرمول ها؛ سلول خالی یا N/A به صفر تبدیل نشده است</t>
        </is>
      </c>
    </row>
    <row r="6" ht="24" customHeight="1" s="76">
      <c r="A6" s="10" t="inlineStr">
        <is>
          <t>Representative Change only with legal entity continuity</t>
        </is>
      </c>
      <c r="B6" s="9" t="inlineStr">
        <is>
          <t>تایید</t>
        </is>
      </c>
      <c r="C6" s="10" t="inlineStr">
        <is>
          <t>چهار شرکت فردی مستقیم N/A و وپاسار نامشخص</t>
        </is>
      </c>
      <c r="D6" s="5" t="inlineStr">
        <is>
          <t>قاعده REF08 در راهنمای محاسبات و منابع و ستون های J تا L در Turnover نهایی</t>
        </is>
      </c>
    </row>
    <row r="7" ht="24" customHeight="1" s="76">
      <c r="A7" s="8" t="inlineStr">
        <is>
          <t>Vacancy treated separately</t>
        </is>
      </c>
      <c r="B7" s="9" t="inlineStr">
        <is>
          <t>تایید</t>
        </is>
      </c>
      <c r="C7" s="8" t="inlineStr">
        <is>
          <t>کچاد در مخرج فردی ۴ کرسی قابل مقایسه دارد</t>
        </is>
      </c>
      <c r="D7" s="5" t="inlineStr">
        <is>
          <t>قاعده کرسی خالی در روش محاسبه Turnover نهایی</t>
        </is>
      </c>
    </row>
    <row r="8" ht="24" customHeight="1" s="76">
      <c r="A8" s="10" t="inlineStr">
        <is>
          <t>Look Ahead controlled</t>
        </is>
      </c>
      <c r="B8" s="9" t="inlineStr">
        <is>
          <t>تایید</t>
        </is>
      </c>
      <c r="C8" s="10" t="inlineStr">
        <is>
          <t>موارد گزارش سالانه با اطلاعات پس از Cutoff با Type 19 اصلاح شدند</t>
        </is>
      </c>
      <c r="D8" s="5" t="inlineStr">
        <is>
          <t>قاعده تغییر سمت در روش محاسبه Turnover نهایی</t>
        </is>
      </c>
    </row>
    <row r="9" ht="24" customHeight="1" s="76">
      <c r="A9" s="8" t="inlineStr">
        <is>
          <t>Turnover and Stability same composite</t>
        </is>
      </c>
      <c r="B9" s="9" t="inlineStr">
        <is>
          <t>تایید</t>
        </is>
      </c>
      <c r="C9" s="8" t="inlineStr">
        <is>
          <t>ممنوع؛ مکمل ریاضی</t>
        </is>
      </c>
      <c r="D9" s="5" t="inlineStr">
        <is>
          <t>ثبت منابع Batchها و Source_IDها</t>
        </is>
      </c>
    </row>
    <row r="10" ht="24" customHeight="1" s="76">
      <c r="A10" s="10" t="inlineStr">
        <is>
          <t>Architecture counts</t>
        </is>
      </c>
      <c r="B10" s="9" t="inlineStr">
        <is>
          <t>تایید</t>
        </is>
      </c>
      <c r="C10" s="10" t="inlineStr">
        <is>
          <t>۱۲ Measure قابل توسعه در ۱۰ Construct</t>
        </is>
      </c>
      <c r="D10" s="5" t="inlineStr">
        <is>
          <t>فرمول های Coverage، Variation و Correlation از Turnover نهایی</t>
        </is>
      </c>
    </row>
    <row r="11" ht="24" customHeight="1" s="76">
      <c r="A11" s="8" t="inlineStr">
        <is>
          <t>Ready for advisor</t>
        </is>
      </c>
      <c r="B11" s="9" t="inlineStr">
        <is>
          <t>تایید</t>
        </is>
      </c>
      <c r="C11" s="8" t="inlineStr">
        <is>
          <t>Extraction پایلوت متوقف شود</t>
        </is>
      </c>
      <c r="D11" s="5" t="inlineStr">
        <is>
          <t>مقایسه شمارش معماری به روز شده با Constructهای مستقل</t>
        </is>
      </c>
    </row>
    <row r="12" ht="76" customHeight="1" s="76">
      <c r="A12" s="8" t="inlineStr">
        <is>
          <t>محاسبه CR1A v39</t>
        </is>
      </c>
      <c r="B12" s="9" t="inlineStr">
        <is>
          <t>انجام شد</t>
        </is>
      </c>
      <c r="C12" s="8" t="inlineStr">
        <is>
          <t>۲۷ موجود؛ ۲۶ محافظه کارانه؛ سه نامشخص و یک تعارض</t>
        </is>
      </c>
      <c r="D12" s="5" t="inlineStr">
        <is>
          <t>CR1A v39</t>
        </is>
      </c>
    </row>
    <row r="13" ht="76" customHeight="1" s="76">
      <c r="A13" s="8" t="inlineStr">
        <is>
          <t>حل سندی سه شرکت</t>
        </is>
      </c>
      <c r="B13" s="9" t="inlineStr">
        <is>
          <t>کامل نشد</t>
        </is>
      </c>
      <c r="C13" s="8" t="inlineStr">
        <is>
          <t>وتجارت، وپاسار و حکشتی با محدودیت صریح باقی مانده اند.</t>
        </is>
      </c>
      <c r="D13" s="5" t="inlineStr">
        <is>
          <t>Gap Review v39</t>
        </is>
      </c>
    </row>
    <row r="14" ht="76" customHeight="1" s="76">
      <c r="A14" s="8" t="inlineStr">
        <is>
          <t>کنترل فرمول و ذخیره نتیجه</t>
        </is>
      </c>
      <c r="B14" s="9" t="inlineStr">
        <is>
          <t>انجام شد</t>
        </is>
      </c>
      <c r="C14" s="8" t="inlineStr">
        <is>
          <t>فرمول ها بازمحاسبه و نتیجه ذخیره شد؛ خطای محاسباتی صفر. موارد دارای ورودی متنی تاریخی همچنان با پرچم باز هستند.</t>
        </is>
      </c>
      <c r="D14" s="5" t="inlineStr">
        <is>
          <t>QA v39</t>
        </is>
      </c>
    </row>
  </sheetData>
  <autoFilter ref="A1:D11"/>
  <pageMargins left="0.25" right="0.25" top="0.4" bottom="0.4" header="0.511811023622047" footer="0.511811023622047"/>
  <pageSetup orientation="portrait" fitToHeight="0" horizontalDpi="300" verticalDpi="300"/>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D11"/>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18.1640625" customWidth="1" style="76" min="2" max="2"/>
    <col width="42" customWidth="1" style="76" min="3" max="3"/>
    <col width="36.1640625" customWidth="1" style="76" min="4" max="4"/>
  </cols>
  <sheetData>
    <row r="1" ht="34" customHeight="1" s="76">
      <c r="A1" s="79" t="inlineStr">
        <is>
          <t>تغییرات ممیزی v36</t>
        </is>
      </c>
    </row>
    <row r="2" ht="28" customHeight="1" s="76">
      <c r="A2" s="85" t="inlineStr">
        <is>
          <t>فقط اصلاحات تاییدشده با منبع اعمال شد؛ v35 اصلی دست‌نخورده است.</t>
        </is>
      </c>
    </row>
    <row r="3" ht="30" customHeight="1" s="76">
      <c r="A3" s="40" t="inlineStr">
        <is>
          <t>برگه</t>
        </is>
      </c>
      <c r="B3" s="40" t="inlineStr">
        <is>
          <t>مورد</t>
        </is>
      </c>
      <c r="C3" s="40" t="inlineStr">
        <is>
          <t>تغییر</t>
        </is>
      </c>
      <c r="D3" s="40" t="inlineStr">
        <is>
          <t>شاهد</t>
        </is>
      </c>
    </row>
    <row r="4" ht="20" customHeight="1" s="76">
      <c r="A4" s="23" t="inlineStr">
        <is>
          <t>Turnover نهایی</t>
        </is>
      </c>
      <c r="B4" s="23" t="inlineStr">
        <is>
          <t>خودرو G,S,P</t>
        </is>
      </c>
      <c r="C4" s="23" t="inlineStr">
        <is>
          <t>0,5,0 → 1,4,1</t>
        </is>
      </c>
      <c r="D4" s="23" t="inlineStr">
        <is>
          <t>SRC_IKCO_1404_001_original ص۵۳</t>
        </is>
      </c>
    </row>
    <row r="5" ht="20" customHeight="1" s="76">
      <c r="A5" s="25" t="inlineStr">
        <is>
          <t>Turnover نهایی</t>
        </is>
      </c>
      <c r="B5" s="25" t="inlineStr">
        <is>
          <t>خودرو J,K,M,N</t>
        </is>
      </c>
      <c r="C5" s="25" t="inlineStr">
        <is>
          <t>0,5,0,5 → Missing</t>
        </is>
      </c>
      <c r="D5" s="25" t="inlineStr">
        <is>
          <t>عدم تایید؛ Missing به صفر تبدیل نشد</t>
        </is>
      </c>
    </row>
    <row r="6" ht="20" customHeight="1" s="76">
      <c r="A6" s="23" t="inlineStr">
        <is>
          <t>Turnover نهایی</t>
        </is>
      </c>
      <c r="B6" s="23" t="inlineStr">
        <is>
          <t>فارس K,N</t>
        </is>
      </c>
      <c r="C6" s="23" t="inlineStr">
        <is>
          <t>4 → 5</t>
        </is>
      </c>
      <c r="D6" s="23" t="inlineStr">
        <is>
          <t>SRC_FARS_1404_010 ص۴۲</t>
        </is>
      </c>
    </row>
    <row r="7" ht="29" customHeight="1" s="76">
      <c r="A7" s="25" t="inlineStr">
        <is>
          <t>جدول استاد / معماری</t>
        </is>
      </c>
      <c r="B7" s="25" t="inlineStr">
        <is>
          <t>تعداد دارای داده</t>
        </is>
      </c>
      <c r="C7" s="25" t="inlineStr">
        <is>
          <t>S1A 28، VAR06 27، CR1A 23، AUD01 23، AUD02 11، IRN01/02 29، SEP07 26، REF08 22</t>
        </is>
      </c>
      <c r="D7" s="25" t="inlineStr">
        <is>
          <t>Audit v36</t>
        </is>
      </c>
    </row>
    <row r="8" ht="20" customHeight="1" s="76">
      <c r="A8" s="23" t="inlineStr">
        <is>
          <t>جدول استاد / معماری</t>
        </is>
      </c>
      <c r="B8" s="23" t="inlineStr">
        <is>
          <t>ستون جدید</t>
        </is>
      </c>
      <c r="C8" s="23" t="inlineStr">
        <is>
          <t>وضعیت و یادداشت ممیزی v36</t>
        </is>
      </c>
      <c r="D8" s="23" t="inlineStr">
        <is>
          <t>Audit v36</t>
        </is>
      </c>
    </row>
    <row r="9" ht="20" customHeight="1" s="76">
      <c r="A9" s="25" t="inlineStr">
        <is>
          <t>خلاصه نهایی</t>
        </is>
      </c>
      <c r="B9" s="25" t="inlineStr">
        <is>
          <t>متن REF08</t>
        </is>
      </c>
      <c r="C9" s="25" t="inlineStr">
        <is>
          <t>۲۳ → ۲۲ مشاهده</t>
        </is>
      </c>
      <c r="D9" s="25" t="inlineStr">
        <is>
          <t>—</t>
        </is>
      </c>
    </row>
    <row r="10" ht="29" customHeight="1" s="76">
      <c r="A10" s="23" t="inlineStr">
        <is>
          <t>تاپیکو،کچاد،پارسان،وتجارت،جم،خساپا</t>
        </is>
      </c>
      <c r="B10" s="23" t="inlineStr">
        <is>
          <t>علامت</t>
        </is>
      </c>
      <c r="C10" s="23" t="inlineStr">
        <is>
          <t>NEEDS_SOURCE_REVIEW بدون تغییر عدد</t>
        </is>
      </c>
      <c r="D10" s="23" t="inlineStr">
        <is>
          <t>Audit v36 Conflict Log</t>
        </is>
      </c>
    </row>
    <row r="11" ht="20" customHeight="1" s="76">
      <c r="A11" s="25" t="inlineStr">
        <is>
          <t>Candidateهای جدید</t>
        </is>
      </c>
      <c r="B11" s="25" t="inlineStr">
        <is>
          <t>وضعیت</t>
        </is>
      </c>
      <c r="C11" s="25" t="inlineStr">
        <is>
          <t>وارد Composite نشدند؛ فقط در فایل Candidates</t>
        </is>
      </c>
      <c r="D11" s="25" t="inlineStr">
        <is>
          <t>—</t>
        </is>
      </c>
    </row>
  </sheetData>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9"/>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33.33203125" customWidth="1" style="76" min="1" max="1"/>
    <col width="42" customWidth="1" style="76" min="2" max="3"/>
  </cols>
  <sheetData>
    <row r="1" ht="34" customHeight="1" s="76">
      <c r="A1" s="79" t="inlineStr">
        <is>
          <t>خلاصه ممیزی مستقل v35 (Iran BSI)</t>
        </is>
      </c>
    </row>
    <row r="2" ht="28" customHeight="1" s="76"/>
    <row r="3" ht="24" customHeight="1" s="76">
      <c r="A3" s="41" t="inlineStr">
        <is>
          <t>شاخص</t>
        </is>
      </c>
      <c r="B3" s="41" t="inlineStr">
        <is>
          <t>مقدار</t>
        </is>
      </c>
      <c r="C3" s="41" t="inlineStr">
        <is>
          <t>توضیح</t>
        </is>
      </c>
    </row>
    <row r="4" ht="22" customHeight="1" s="76">
      <c r="A4" s="42" t="inlineStr">
        <is>
          <t>تعداد شرکت‌ها</t>
        </is>
      </c>
      <c r="B4" s="42">
        <f>COUNTA('Audit شرکت ها'!B4:B33)</f>
        <v>30</v>
      </c>
      <c r="C4" s="42" t="inlineStr">
        <is>
          <t>باید ۳۰ باشد</t>
        </is>
      </c>
    </row>
    <row r="5" ht="22" customHeight="1" s="76">
      <c r="A5" s="42" t="inlineStr">
        <is>
          <t>شرکت‌های یکتا</t>
        </is>
      </c>
      <c r="B5" s="42">
        <f>'CR1A v39'!B49</f>
        <v>30</v>
      </c>
      <c r="C5" s="42" t="inlineStr">
        <is>
          <t>بدون تکرار</t>
        </is>
      </c>
    </row>
    <row r="6" ht="22" customHeight="1" s="76">
      <c r="A6" s="42" t="inlineStr">
        <is>
          <t>Measure ممیزی‌شده</t>
        </is>
      </c>
      <c r="B6" s="42">
        <f>COUNTA('Audit Measureها'!A4:A18)</f>
        <v>15</v>
      </c>
      <c r="C6" s="42" t="inlineStr">
        <is>
          <t>۱۲ اصلی + ۳ Robustness</t>
        </is>
      </c>
    </row>
    <row r="7" ht="22" customHeight="1" s="76">
      <c r="A7" s="42" t="inlineStr">
        <is>
          <t>VERIFIED کامل</t>
        </is>
      </c>
      <c r="B7" s="42">
        <f>COUNTIF('Audit Measureها'!D4:D18,"VERIFIED")</f>
        <v>0</v>
      </c>
      <c r="C7" s="43" t="n"/>
    </row>
    <row r="8" ht="22" customHeight="1" s="76">
      <c r="A8" s="44" t="inlineStr">
        <is>
          <t>VERIFIED_WITH_LIMITATION</t>
        </is>
      </c>
      <c r="B8" s="42">
        <f>COUNTIF('Audit Measureها'!D4:D18,"VERIFIED_WITH_LIMITATION")</f>
        <v>8</v>
      </c>
      <c r="C8" s="43" t="n"/>
    </row>
    <row r="9" ht="22" customHeight="1" s="76">
      <c r="A9" s="45" t="inlineStr">
        <is>
          <t>NEEDS_CORRECTION</t>
        </is>
      </c>
      <c r="B9" s="42">
        <f>COUNTIF('Audit Measureها'!D4:D18,"NEEDS_CORRECTION")</f>
        <v>5</v>
      </c>
      <c r="C9" s="43" t="n"/>
    </row>
    <row r="10" ht="22" customHeight="1" s="76">
      <c r="A10" s="46" t="inlineStr">
        <is>
          <t>NEEDS_SOURCE_REVIEW</t>
        </is>
      </c>
      <c r="B10" s="42">
        <f>COUNTIF('Audit Measureها'!D4:D18,"NEEDS_SOURCE_REVIEW")</f>
        <v>2</v>
      </c>
      <c r="C10" s="43" t="n"/>
    </row>
    <row r="11" ht="22" customHeight="1" s="76">
      <c r="A11" s="42" t="inlineStr">
        <is>
          <t>Source Gaps</t>
        </is>
      </c>
      <c r="B11" s="42">
        <f>COUNTIF('Audit منابع'!I4:I33,"SOURCE_GAP")</f>
        <v>9</v>
      </c>
      <c r="C11" s="42" t="inlineStr">
        <is>
          <t>شرکت بدون Source_URL</t>
        </is>
      </c>
    </row>
    <row r="12" ht="22" customHeight="1" s="76">
      <c r="A12" s="42" t="inlineStr">
        <is>
          <t>Formula Errors (cached scan v35)</t>
        </is>
      </c>
      <c r="B12" s="42" t="n">
        <v>0</v>
      </c>
      <c r="C12" s="42" t="inlineStr">
        <is>
          <t>۲۸۳ فرمول؛ بدون #REF!/#DIV/0!/#VALUE!/#NAME?/#N/A</t>
        </is>
      </c>
    </row>
    <row r="13" ht="22" customHeight="1" s="76">
      <c r="A13" s="42" t="inlineStr">
        <is>
          <t>Cross Sheet Inconsistencies</t>
        </is>
      </c>
      <c r="B13" s="42">
        <f>COUNTA('Conflict Log'!A4:A25)</f>
        <v>22</v>
      </c>
      <c r="C13" s="42" t="inlineStr">
        <is>
          <t>تعداد ردیف‌های Conflict Log</t>
        </is>
      </c>
    </row>
    <row r="14" ht="22" customHeight="1" s="76">
      <c r="A14" s="42" t="inlineStr">
        <is>
          <t>نقض هویت S=H−G</t>
        </is>
      </c>
      <c r="B14" s="42">
        <f>COUNTIF('Audit Turnover'!L4:L33,"FAIL")</f>
        <v>0</v>
      </c>
      <c r="C14" s="43" t="n"/>
    </row>
    <row r="15" ht="22" customHeight="1" s="76">
      <c r="A15" s="42" t="inlineStr">
        <is>
          <t>نقض هویت K=N−M</t>
        </is>
      </c>
      <c r="B15" s="42">
        <f>COUNTIF('Audit Turnover'!N4:N33,"FAIL")</f>
        <v>1</v>
      </c>
      <c r="C15" s="43" t="n"/>
    </row>
    <row r="16" ht="22" customHeight="1" s="76">
      <c r="A16" s="42" t="inlineStr">
        <is>
          <t>نقض P≥G</t>
        </is>
      </c>
      <c r="B16" s="42">
        <f>COUNTIF('Audit Turnover'!O4:O33,"FAIL")</f>
        <v>3</v>
      </c>
      <c r="C16" s="43" t="n"/>
    </row>
    <row r="17" ht="22" customHeight="1" s="76">
      <c r="A17" s="42" t="inlineStr">
        <is>
          <t>AUD01 پوشش ممیزی (X/30)</t>
        </is>
      </c>
      <c r="B17" s="42">
        <f>'Audit Coverage'!F9</f>
        <v>23</v>
      </c>
      <c r="C17" s="43" t="n"/>
    </row>
    <row r="18" ht="22" customHeight="1" s="76">
      <c r="A18" s="42" t="inlineStr">
        <is>
          <t>REF05 پوشش ممیزی (X/eligible)</t>
        </is>
      </c>
      <c r="B18" s="42">
        <f>'Audit Coverage'!H14</f>
        <v>0.9642857142857143</v>
      </c>
      <c r="C18" s="43" t="n"/>
    </row>
    <row r="19" ht="22" customHeight="1" s="76">
      <c r="A19" s="42" t="inlineStr">
        <is>
          <t>حکم ممیزی</t>
        </is>
      </c>
      <c r="B19" s="47" t="inlineStr">
        <is>
          <t>V35_REQUIRES_MATERIAL_CORRECTIONS</t>
        </is>
      </c>
      <c r="C19" s="42" t="inlineStr">
        <is>
          <t>اصلاح عددی خودرو/فارس و شش اصلاح پوشش</t>
        </is>
      </c>
    </row>
  </sheetData>
  <mergeCells count="1">
    <mergeCell ref="A1:C1"/>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D12"/>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2"/>
    <col width="41" customWidth="1" style="76" min="3" max="3"/>
    <col width="10" customWidth="1" style="76" min="4" max="4"/>
  </cols>
  <sheetData>
    <row r="1" ht="34" customHeight="1" s="76">
      <c r="A1" s="79" t="inlineStr">
        <is>
          <t>ممیزی سطح Workbook</t>
        </is>
      </c>
    </row>
    <row r="2" ht="28" customHeight="1" s="76">
      <c r="A2" s="86" t="inlineStr">
        <is>
          <t>بررسی ساختار و سازگاری بین‌برگه‌ای v35 (فایل اصلی دست‌نخورده).</t>
        </is>
      </c>
    </row>
    <row r="3" ht="30" customHeight="1" s="76">
      <c r="A3" s="48" t="inlineStr">
        <is>
          <t>بررسی</t>
        </is>
      </c>
      <c r="B3" s="48" t="inlineStr">
        <is>
          <t>نتیجه</t>
        </is>
      </c>
      <c r="C3" s="48" t="inlineStr">
        <is>
          <t>شاهد</t>
        </is>
      </c>
      <c r="D3" s="48" t="inlineStr">
        <is>
          <t>وضعیت</t>
        </is>
      </c>
    </row>
    <row r="4" ht="20" customHeight="1" s="76">
      <c r="A4" s="42" t="inlineStr">
        <is>
          <t>تعداد برگه‌های v35</t>
        </is>
      </c>
      <c r="B4" s="42" t="n">
        <v>15</v>
      </c>
      <c r="C4" s="42" t="inlineStr">
        <is>
          <t>بله</t>
        </is>
      </c>
      <c r="D4" s="49" t="inlineStr">
        <is>
          <t>OK</t>
        </is>
      </c>
    </row>
    <row r="5" ht="20" customHeight="1" s="76">
      <c r="A5" s="50" t="inlineStr">
        <is>
          <t>دقیقا ۳۰ شرکت</t>
        </is>
      </c>
      <c r="B5" s="50" t="n">
        <v>30</v>
      </c>
      <c r="C5" s="50" t="inlineStr">
        <is>
          <t>Turnover نهایی ردیف ۴–۳۳</t>
        </is>
      </c>
      <c r="D5" s="49" t="inlineStr">
        <is>
          <t>OK</t>
        </is>
      </c>
    </row>
    <row r="6" ht="20" customHeight="1" s="76">
      <c r="A6" s="42" t="inlineStr">
        <is>
          <t>تکرار شرکت/شرکت-سال</t>
        </is>
      </c>
      <c r="B6" s="42" t="n">
        <v>0</v>
      </c>
      <c r="C6" s="42" t="inlineStr">
        <is>
          <t>یکتا</t>
        </is>
      </c>
      <c r="D6" s="49" t="inlineStr">
        <is>
          <t>OK</t>
        </is>
      </c>
    </row>
    <row r="7" ht="29" customHeight="1" s="76">
      <c r="A7" s="50" t="inlineStr">
        <is>
          <t>ناسازگاری Summary و Raw (S1A, VAR06, CR1A, SEP07, AUD01/02, IRN, REF08)</t>
        </is>
      </c>
      <c r="B7" s="50" t="n">
        <v>9</v>
      </c>
      <c r="C7" s="50" t="inlineStr">
        <is>
          <t>Conflict Log C01–C07,C22</t>
        </is>
      </c>
      <c r="D7" s="47" t="inlineStr">
        <is>
          <t>FAIL</t>
        </is>
      </c>
    </row>
    <row r="8" ht="20" customHeight="1" s="76">
      <c r="A8" s="42" t="inlineStr">
        <is>
          <t>Advisor Table در برابر Specialist Sheets</t>
        </is>
      </c>
      <c r="B8" s="42" t="inlineStr">
        <is>
          <t>ناسازگار</t>
        </is>
      </c>
      <c r="C8" s="42" t="inlineStr">
        <is>
          <t>AUD02 Scale-Up vs Robustness؛ IRN02 مکمل</t>
        </is>
      </c>
      <c r="D8" s="47" t="inlineStr">
        <is>
          <t>FAIL</t>
        </is>
      </c>
    </row>
    <row r="9" ht="20" customHeight="1" s="76">
      <c r="A9" s="50" t="inlineStr">
        <is>
          <t>Coverage در برابر Firm Data</t>
        </is>
      </c>
      <c r="B9" s="50" t="inlineStr">
        <is>
          <t>ناسازگار برای خودرو/فارس</t>
        </is>
      </c>
      <c r="C9" s="50" t="inlineStr">
        <is>
          <t>Conflict Log C08/C09</t>
        </is>
      </c>
      <c r="D9" s="47" t="inlineStr">
        <is>
          <t>FAIL</t>
        </is>
      </c>
    </row>
    <row r="10" ht="20" customHeight="1" s="76">
      <c r="A10" s="42" t="inlineStr">
        <is>
          <t>Variation در برابر Raw</t>
        </is>
      </c>
      <c r="B10" s="42" t="inlineStr">
        <is>
          <t>ناسازگار برای SEP07</t>
        </is>
      </c>
      <c r="C10" s="42" t="inlineStr">
        <is>
          <t>Variation صفر</t>
        </is>
      </c>
      <c r="D10" s="47" t="inlineStr">
        <is>
          <t>FAIL</t>
        </is>
      </c>
    </row>
    <row r="11" ht="29" customHeight="1" s="76">
      <c r="A11" s="50" t="inlineStr">
        <is>
          <t>Candidate Decisions در برابر Architecture</t>
        </is>
      </c>
      <c r="B11" s="50" t="inlineStr">
        <is>
          <t>شمارش ۱۲ Measure در ۱۰ Construct دوبارشماری دارد</t>
        </is>
      </c>
      <c r="C11" s="50" t="inlineStr">
        <is>
          <t>IRN01/IRN02</t>
        </is>
      </c>
      <c r="D11" s="47" t="inlineStr">
        <is>
          <t>FAIL</t>
        </is>
      </c>
    </row>
    <row r="12" ht="20" customHeight="1" s="76">
      <c r="A12" s="42" t="inlineStr">
        <is>
          <t>خطای فرمول</t>
        </is>
      </c>
      <c r="B12" s="42" t="n">
        <v>0</v>
      </c>
      <c r="C12" s="42" t="inlineStr">
        <is>
          <t>Cached values</t>
        </is>
      </c>
      <c r="D12" s="49" t="inlineStr">
        <is>
          <t>OK</t>
        </is>
      </c>
    </row>
  </sheetData>
  <mergeCells count="2">
    <mergeCell ref="A1:D1"/>
    <mergeCell ref="A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3"/>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10" customWidth="1" style="76" min="2" max="2"/>
    <col width="15.33203125" customWidth="1" style="76" min="3" max="3"/>
    <col width="18.1640625" customWidth="1" style="76" min="4" max="4"/>
    <col width="42" customWidth="1" style="76" min="5" max="5"/>
    <col width="16.33203125" customWidth="1" style="76" min="6" max="6"/>
    <col width="18.1640625" customWidth="1" style="76" min="7" max="7"/>
    <col width="42" customWidth="1" style="76" min="8" max="8"/>
    <col width="25.83203125" customWidth="1" style="76" min="9" max="9"/>
    <col width="42" customWidth="1" style="76" min="10" max="10"/>
  </cols>
  <sheetData>
    <row r="1" ht="34" customHeight="1" s="76">
      <c r="A1" s="79" t="inlineStr">
        <is>
          <t>ممیزی ۳۰ شرکت</t>
        </is>
      </c>
    </row>
    <row r="2" ht="28" customHeight="1" s="76">
      <c r="A2" s="86" t="inlineStr">
        <is>
          <t>Universe دقیقا ۳۰ شرکت؛ بدون تکرار شرکت. وضعیت ممیزی بر پایه آزمون هویت‌های ریاضی و بررسی منبع.</t>
        </is>
      </c>
    </row>
    <row r="3" ht="30" customHeight="1" s="76">
      <c r="A3" s="48" t="inlineStr">
        <is>
          <t>#</t>
        </is>
      </c>
      <c r="B3" s="48" t="inlineStr">
        <is>
          <t>شرکت</t>
        </is>
      </c>
      <c r="C3" s="48" t="inlineStr">
        <is>
          <t>گروه منبع v35</t>
        </is>
      </c>
      <c r="D3" s="48" t="inlineStr">
        <is>
          <t>کیفیت شواهد v35</t>
        </is>
      </c>
      <c r="E3" s="48" t="inlineStr">
        <is>
          <t>روش شواهد</t>
        </is>
      </c>
      <c r="F3" s="48" t="inlineStr">
        <is>
          <t>پایان سال مالی</t>
        </is>
      </c>
      <c r="G3" s="48" t="inlineStr">
        <is>
          <t>Source_URL موجود</t>
        </is>
      </c>
      <c r="H3" s="48" t="inlineStr">
        <is>
          <t>Source_ID</t>
        </is>
      </c>
      <c r="I3" s="48" t="inlineStr">
        <is>
          <t>وضعیت ممیزی</t>
        </is>
      </c>
      <c r="J3" s="48" t="inlineStr">
        <is>
          <t>یادداشت</t>
        </is>
      </c>
    </row>
    <row r="4" ht="43.5" customHeight="1" s="76">
      <c r="A4" s="42" t="n">
        <v>1</v>
      </c>
      <c r="B4" s="42" t="inlineStr">
        <is>
          <t>فملی</t>
        </is>
      </c>
      <c r="C4" s="42" t="inlineStr">
        <is>
          <t>پایه v33</t>
        </is>
      </c>
      <c r="D4" s="42" t="inlineStr">
        <is>
          <t>بالا</t>
        </is>
      </c>
      <c r="E4" s="42" t="inlineStr">
        <is>
          <t>DIRECT_ROSTER_COMPARISON</t>
        </is>
      </c>
      <c r="F4" s="42" t="inlineStr">
        <is>
          <t>12/29</t>
        </is>
      </c>
      <c r="G4" s="42" t="inlineStr">
        <is>
          <t>خیر</t>
        </is>
      </c>
      <c r="H4" s="42" t="inlineStr">
        <is>
          <t xml:space="preserve">Iran_BSI_v33_Phase4_2K_FinalTurnoverClosure.xlsx | برگه های </t>
        </is>
      </c>
      <c r="I4" s="44" t="inlineStr">
        <is>
          <t>VERIFIED_WITH_LIMITATION</t>
        </is>
      </c>
      <c r="J4" s="43" t="n"/>
    </row>
    <row r="5" ht="43.5" customHeight="1" s="76">
      <c r="A5" s="50" t="n">
        <v>2</v>
      </c>
      <c r="B5" s="50" t="inlineStr">
        <is>
          <t>تاپیکو</t>
        </is>
      </c>
      <c r="C5" s="50" t="inlineStr">
        <is>
          <t>پایه v33</t>
        </is>
      </c>
      <c r="D5" s="50" t="inlineStr">
        <is>
          <t>متوسط</t>
        </is>
      </c>
      <c r="E5" s="50" t="inlineStr">
        <is>
          <t>DIRECT_ROSTER_COMPARISON</t>
        </is>
      </c>
      <c r="F5" s="50" t="inlineStr">
        <is>
          <t>02/31</t>
        </is>
      </c>
      <c r="G5" s="50" t="inlineStr">
        <is>
          <t>خیر</t>
        </is>
      </c>
      <c r="H5" s="50" t="inlineStr">
        <is>
          <t xml:space="preserve">Iran_BSI_v33_Phase4_2K_FinalTurnoverClosure.xlsx | برگه های </t>
        </is>
      </c>
      <c r="I5" s="46" t="inlineStr">
        <is>
          <t>NEEDS_SOURCE_REVIEW</t>
        </is>
      </c>
      <c r="J5" s="50" t="inlineStr">
        <is>
          <t>RISK: ≥3 عضو پس از Cutoff FY1403؛ Snapshot FY1403 ناهمتراز</t>
        </is>
      </c>
    </row>
    <row r="6" ht="43.5" customHeight="1" s="76">
      <c r="A6" s="42" t="n">
        <v>3</v>
      </c>
      <c r="B6" s="42" t="inlineStr">
        <is>
          <t>فارس</t>
        </is>
      </c>
      <c r="C6" s="42" t="inlineStr">
        <is>
          <t>پایه v33</t>
        </is>
      </c>
      <c r="D6" s="42" t="inlineStr">
        <is>
          <t>بالا</t>
        </is>
      </c>
      <c r="E6" s="42" t="inlineStr">
        <is>
          <t>DIRECT_ROSTER_COMPARISON</t>
        </is>
      </c>
      <c r="F6" s="42" t="inlineStr">
        <is>
          <t>03/31</t>
        </is>
      </c>
      <c r="G6" s="42" t="inlineStr">
        <is>
          <t>خیر</t>
        </is>
      </c>
      <c r="H6" s="42" t="inlineStr">
        <is>
          <t xml:space="preserve">Iran_BSI_v33_Phase4_2K_FinalTurnoverClosure.xlsx | برگه های </t>
        </is>
      </c>
      <c r="I6" s="45" t="inlineStr">
        <is>
          <t>NEEDS_CORRECTION</t>
        </is>
      </c>
      <c r="J6" s="42" t="inlineStr">
        <is>
          <t>اصلاح عددی بر اساس سند منبع (Audit Conflict Log)</t>
        </is>
      </c>
    </row>
    <row r="7" ht="43.5" customHeight="1" s="76">
      <c r="A7" s="50" t="n">
        <v>4</v>
      </c>
      <c r="B7" s="50" t="inlineStr">
        <is>
          <t>خودرو</t>
        </is>
      </c>
      <c r="C7" s="50" t="inlineStr">
        <is>
          <t>پایه v33</t>
        </is>
      </c>
      <c r="D7" s="50" t="inlineStr">
        <is>
          <t>متوسط</t>
        </is>
      </c>
      <c r="E7" s="50" t="inlineStr">
        <is>
          <t>MEMBERSHIP_START_RECONSTRUCTION</t>
        </is>
      </c>
      <c r="F7" s="50" t="inlineStr">
        <is>
          <t>12/29</t>
        </is>
      </c>
      <c r="G7" s="50" t="inlineStr">
        <is>
          <t>خیر</t>
        </is>
      </c>
      <c r="H7" s="50" t="inlineStr">
        <is>
          <t>Iran_BSI_v33_Phase4_2K_FinalTurnoverClosure.xlsx | روش MEMBE</t>
        </is>
      </c>
      <c r="I7" s="45" t="inlineStr">
        <is>
          <t>NEEDS_CORRECTION</t>
        </is>
      </c>
      <c r="J7" s="50" t="inlineStr">
        <is>
          <t>اصلاح عددی بر اساس سند منبع (Audit Conflict Log)</t>
        </is>
      </c>
    </row>
    <row r="8" ht="43.5" customHeight="1" s="76">
      <c r="A8" s="42" t="n">
        <v>5</v>
      </c>
      <c r="B8" s="42" t="inlineStr">
        <is>
          <t>زاگرس</t>
        </is>
      </c>
      <c r="C8" s="42" t="inlineStr">
        <is>
          <t>پایه v33</t>
        </is>
      </c>
      <c r="D8" s="42" t="inlineStr">
        <is>
          <t>بالا</t>
        </is>
      </c>
      <c r="E8" s="42" t="inlineStr">
        <is>
          <t>DIRECT_ROSTER_COMPARISON</t>
        </is>
      </c>
      <c r="F8" s="42" t="inlineStr">
        <is>
          <t>12/29</t>
        </is>
      </c>
      <c r="G8" s="42" t="inlineStr">
        <is>
          <t>خیر</t>
        </is>
      </c>
      <c r="H8" s="42" t="inlineStr">
        <is>
          <t xml:space="preserve">SRC_ZGRS_1404_002 (p.26, FY1403) و SRC_ZGRS_1404_001 (p.26, </t>
        </is>
      </c>
      <c r="I8" s="46" t="inlineStr">
        <is>
          <t>NEEDS_SOURCE_REVIEW</t>
        </is>
      </c>
      <c r="J8" s="42" t="inlineStr">
        <is>
          <t>ناسازگاری هویت: Q≠H</t>
        </is>
      </c>
    </row>
    <row r="9" ht="43.5" customHeight="1" s="76">
      <c r="A9" s="50" t="n">
        <v>6</v>
      </c>
      <c r="B9" s="50" t="inlineStr">
        <is>
          <t>شبندر</t>
        </is>
      </c>
      <c r="C9" s="50" t="inlineStr">
        <is>
          <t>Batch 1</t>
        </is>
      </c>
      <c r="D9" s="50" t="inlineStr">
        <is>
          <t>متوسط</t>
        </is>
      </c>
      <c r="E9" s="50" t="inlineStr">
        <is>
          <t>MULTI_SOURCE_ROSTER_COMPARISON</t>
        </is>
      </c>
      <c r="F9" s="50" t="inlineStr">
        <is>
          <t>12/29</t>
        </is>
      </c>
      <c r="G9" s="50" t="inlineStr">
        <is>
          <t>بله</t>
        </is>
      </c>
      <c r="H9" s="50" t="inlineStr">
        <is>
          <t>SRC_SHBN_1404_007 | T19 اصلاحیه | جلسه هیئت مدیره ۱۴۰۳/۱۲/۲۷</t>
        </is>
      </c>
      <c r="I9" s="44" t="inlineStr">
        <is>
          <t>VERIFIED_WITH_LIMITATION</t>
        </is>
      </c>
      <c r="J9" s="51" t="n"/>
    </row>
    <row r="10" ht="43.5" customHeight="1" s="76">
      <c r="A10" s="42" t="n">
        <v>7</v>
      </c>
      <c r="B10" s="42" t="inlineStr">
        <is>
          <t>پارس</t>
        </is>
      </c>
      <c r="C10" s="42" t="inlineStr">
        <is>
          <t>Batch 1</t>
        </is>
      </c>
      <c r="D10" s="42" t="inlineStr">
        <is>
          <t>متوسط</t>
        </is>
      </c>
      <c r="E10" s="42" t="inlineStr">
        <is>
          <t>TYPE19_CHRONOLOGY</t>
        </is>
      </c>
      <c r="F10" s="42" t="inlineStr">
        <is>
          <t>12/29</t>
        </is>
      </c>
      <c r="G10" s="42" t="inlineStr">
        <is>
          <t>بله</t>
        </is>
      </c>
      <c r="H10" s="42" t="inlineStr">
        <is>
          <t xml:space="preserve">SRC_PARS_1404_008 | T19 | جلسه هیئت مدیره ۱۴۰۴/۰۱/۳۰ | صفحه </t>
        </is>
      </c>
      <c r="I10" s="44" t="inlineStr">
        <is>
          <t>VERIFIED_WITH_LIMITATION</t>
        </is>
      </c>
      <c r="J10" s="43" t="n"/>
    </row>
    <row r="11" ht="43.5" customHeight="1" s="76">
      <c r="A11" s="50" t="n">
        <v>8</v>
      </c>
      <c r="B11" s="50" t="inlineStr">
        <is>
          <t>شتران</t>
        </is>
      </c>
      <c r="C11" s="50" t="inlineStr">
        <is>
          <t>Batch 1</t>
        </is>
      </c>
      <c r="D11" s="50" t="inlineStr">
        <is>
          <t>بالا</t>
        </is>
      </c>
      <c r="E11" s="50" t="inlineStr">
        <is>
          <t>DIRECT_ROSTER_COMPARISON</t>
        </is>
      </c>
      <c r="F11" s="50" t="inlineStr">
        <is>
          <t>12/29</t>
        </is>
      </c>
      <c r="G11" s="50" t="inlineStr">
        <is>
          <t>بله</t>
        </is>
      </c>
      <c r="H11" s="50" t="inlineStr">
        <is>
          <t xml:space="preserve">SRC_SHTR_1403_001 | گزارش فعالیت هیئت مدیره | دوره منتهی به </t>
        </is>
      </c>
      <c r="I11" s="44" t="inlineStr">
        <is>
          <t>VERIFIED_WITH_LIMITATION</t>
        </is>
      </c>
      <c r="J11" s="51" t="n"/>
    </row>
    <row r="12" ht="43.5" customHeight="1" s="76">
      <c r="A12" s="42" t="n">
        <v>9</v>
      </c>
      <c r="B12" s="42" t="inlineStr">
        <is>
          <t>وتجارت</t>
        </is>
      </c>
      <c r="C12" s="42" t="inlineStr">
        <is>
          <t>Batch 2</t>
        </is>
      </c>
      <c r="D12" s="42" t="inlineStr">
        <is>
          <t>بالا</t>
        </is>
      </c>
      <c r="E12" s="42" t="inlineStr">
        <is>
          <t>DIRECT_ROSTER_COMPARISON_WITH_BOARD_SIZE_CHANGE</t>
        </is>
      </c>
      <c r="F12" s="42" t="inlineStr">
        <is>
          <t>12/29</t>
        </is>
      </c>
      <c r="G12" s="42" t="inlineStr">
        <is>
          <t>خیر</t>
        </is>
      </c>
      <c r="H12" s="42" t="inlineStr">
        <is>
          <t>SRC_VTEJ_1404_004 | گزارش فعالیت هیئت مدیره مربوط به سال مال</t>
        </is>
      </c>
      <c r="I12" s="46" t="inlineStr">
        <is>
          <t>NEEDS_SOURCE_REVIEW</t>
        </is>
      </c>
      <c r="J12" s="42" t="inlineStr">
        <is>
          <t>ناسازگاری هویت: Q≠H، P&lt;G</t>
        </is>
      </c>
    </row>
    <row r="13" ht="43.5" customHeight="1" s="76">
      <c r="A13" s="50" t="n">
        <v>10</v>
      </c>
      <c r="B13" s="50" t="inlineStr">
        <is>
          <t>رمپنا</t>
        </is>
      </c>
      <c r="C13" s="50" t="inlineStr">
        <is>
          <t>Batch 2</t>
        </is>
      </c>
      <c r="D13" s="50" t="inlineStr">
        <is>
          <t>متوسط</t>
        </is>
      </c>
      <c r="E13" s="50" t="inlineStr">
        <is>
          <t>TYPE19_CHRONOLOGY</t>
        </is>
      </c>
      <c r="F13" s="50" t="inlineStr">
        <is>
          <t>12/29</t>
        </is>
      </c>
      <c r="G13" s="50" t="inlineStr">
        <is>
          <t>بله</t>
        </is>
      </c>
      <c r="H13" s="50" t="inlineStr">
        <is>
          <t>SRC_RMPN_1404_011 | افشای نوع ۱۹، جلسه هیئت مدیره ۱۴۰۴/۰۲/۲۱</t>
        </is>
      </c>
      <c r="I13" s="44" t="inlineStr">
        <is>
          <t>VERIFIED_WITH_LIMITATION</t>
        </is>
      </c>
      <c r="J13" s="51" t="n"/>
    </row>
    <row r="14" ht="43.5" customHeight="1" s="76">
      <c r="A14" s="42" t="n">
        <v>11</v>
      </c>
      <c r="B14" s="42" t="inlineStr">
        <is>
          <t>فخوز</t>
        </is>
      </c>
      <c r="C14" s="42" t="inlineStr">
        <is>
          <t>Batch 2</t>
        </is>
      </c>
      <c r="D14" s="42" t="inlineStr">
        <is>
          <t>بالا</t>
        </is>
      </c>
      <c r="E14" s="42" t="inlineStr">
        <is>
          <t>MULTI_SOURCE_RECONCILIATION</t>
        </is>
      </c>
      <c r="F14" s="42" t="inlineStr">
        <is>
          <t>12/29</t>
        </is>
      </c>
      <c r="G14" s="42" t="inlineStr">
        <is>
          <t>خیر</t>
        </is>
      </c>
      <c r="H14" s="42" t="inlineStr">
        <is>
          <t>SRC_FKHZ_1404_002 | گزارش فعالیت هیئت مدیره منتهی به ۱۴۰۳/۱۲</t>
        </is>
      </c>
      <c r="I14" s="44" t="inlineStr">
        <is>
          <t>VERIFIED_WITH_LIMITATION</t>
        </is>
      </c>
      <c r="J14" s="43" t="n"/>
    </row>
    <row r="15" ht="43.5" customHeight="1" s="76">
      <c r="A15" s="50" t="n">
        <v>12</v>
      </c>
      <c r="B15" s="50" t="inlineStr">
        <is>
          <t>شستا</t>
        </is>
      </c>
      <c r="C15" s="50" t="inlineStr">
        <is>
          <t>Batch 3</t>
        </is>
      </c>
      <c r="D15" s="50" t="inlineStr">
        <is>
          <t>بالا</t>
        </is>
      </c>
      <c r="E15" s="50" t="inlineStr">
        <is>
          <t>DIRECT_TYPE19_COMPARISON</t>
        </is>
      </c>
      <c r="F15" s="50" t="inlineStr">
        <is>
          <t>03/31</t>
        </is>
      </c>
      <c r="G15" s="50" t="inlineStr">
        <is>
          <t>بله</t>
        </is>
      </c>
      <c r="H15" s="50" t="inlineStr">
        <is>
          <t xml:space="preserve">SRC_SHST_1404_015 | افشای نوع ۱۹ | ۱۴۰۳ | ۱ | Snapshot مبنا </t>
        </is>
      </c>
      <c r="I15" s="44" t="inlineStr">
        <is>
          <t>VERIFIED_WITH_LIMITATION</t>
        </is>
      </c>
      <c r="J15" s="51" t="n"/>
    </row>
    <row r="16" ht="43.5" customHeight="1" s="76">
      <c r="A16" s="42" t="n">
        <v>13</v>
      </c>
      <c r="B16" s="42" t="inlineStr">
        <is>
          <t>شپنا</t>
        </is>
      </c>
      <c r="C16" s="42" t="inlineStr">
        <is>
          <t>Batch 3</t>
        </is>
      </c>
      <c r="D16" s="42" t="inlineStr">
        <is>
          <t>بالا</t>
        </is>
      </c>
      <c r="E16" s="42" t="inlineStr">
        <is>
          <t>DIRECT_TYPE19_COMPARISON</t>
        </is>
      </c>
      <c r="F16" s="42" t="inlineStr">
        <is>
          <t>12/29</t>
        </is>
      </c>
      <c r="G16" s="42" t="inlineStr">
        <is>
          <t>بله</t>
        </is>
      </c>
      <c r="H16" s="42" t="inlineStr">
        <is>
          <t xml:space="preserve">SRC_SHPN_1404_002 | افشای نوع ۱۹ | ۱۴۰۳ | ۱ | Snapshot مبنا </t>
        </is>
      </c>
      <c r="I16" s="44" t="inlineStr">
        <is>
          <t>VERIFIED_WITH_LIMITATION</t>
        </is>
      </c>
      <c r="J16" s="43" t="n"/>
    </row>
    <row r="17" ht="43.5" customHeight="1" s="76">
      <c r="A17" s="50" t="n">
        <v>14</v>
      </c>
      <c r="B17" s="50" t="inlineStr">
        <is>
          <t>وغدیر</t>
        </is>
      </c>
      <c r="C17" s="50" t="inlineStr">
        <is>
          <t>Batch 3</t>
        </is>
      </c>
      <c r="D17" s="50" t="inlineStr">
        <is>
          <t>بالا</t>
        </is>
      </c>
      <c r="E17" s="50" t="inlineStr">
        <is>
          <t>DIRECT_TYPE19_COMPARISON</t>
        </is>
      </c>
      <c r="F17" s="50" t="inlineStr">
        <is>
          <t>09/30</t>
        </is>
      </c>
      <c r="G17" s="50" t="inlineStr">
        <is>
          <t>بله</t>
        </is>
      </c>
      <c r="H17" s="50" t="inlineStr">
        <is>
          <t xml:space="preserve">SRC_VGHD_1404_002 | افشای نوع ۱۹ | ۱۴۰۳ | ۱ | Snapshot مبنا </t>
        </is>
      </c>
      <c r="I17" s="44" t="inlineStr">
        <is>
          <t>VERIFIED_WITH_LIMITATION</t>
        </is>
      </c>
      <c r="J17" s="51" t="n"/>
    </row>
    <row r="18" ht="43.5" customHeight="1" s="76">
      <c r="A18" s="42" t="n">
        <v>15</v>
      </c>
      <c r="B18" s="42" t="inlineStr">
        <is>
          <t>نوری</t>
        </is>
      </c>
      <c r="C18" s="42" t="inlineStr">
        <is>
          <t>Batch 3</t>
        </is>
      </c>
      <c r="D18" s="42" t="inlineStr">
        <is>
          <t>متوسط رو به بالا</t>
        </is>
      </c>
      <c r="E18" s="42" t="inlineStr">
        <is>
          <t>ANNUAL_REPORT_PLUS_TYPE19</t>
        </is>
      </c>
      <c r="F18" s="42" t="inlineStr">
        <is>
          <t>12/29</t>
        </is>
      </c>
      <c r="G18" s="42" t="inlineStr">
        <is>
          <t>بله</t>
        </is>
      </c>
      <c r="H18" s="42" t="inlineStr">
        <is>
          <t>SRC_NOURI_1403_001 | گزارش فعالیت هیئت مدیره | ۱۴۰۳ | ۳۹ | S</t>
        </is>
      </c>
      <c r="I18" s="44" t="inlineStr">
        <is>
          <t>VERIFIED_WITH_LIMITATION</t>
        </is>
      </c>
      <c r="J18" s="43" t="n"/>
    </row>
    <row r="19" ht="43.5" customHeight="1" s="76">
      <c r="A19" s="50" t="n">
        <v>16</v>
      </c>
      <c r="B19" s="50" t="inlineStr">
        <is>
          <t>فولاد</t>
        </is>
      </c>
      <c r="C19" s="50" t="inlineStr">
        <is>
          <t>Batch 4</t>
        </is>
      </c>
      <c r="D19" s="50" t="inlineStr">
        <is>
          <t>بالا</t>
        </is>
      </c>
      <c r="E19" s="50" t="inlineStr">
        <is>
          <t>DIRECT_ANNUAL_REPORT_COMPARISON</t>
        </is>
      </c>
      <c r="F19" s="50" t="inlineStr">
        <is>
          <t>12/29</t>
        </is>
      </c>
      <c r="G19" s="50" t="inlineStr">
        <is>
          <t>بله</t>
        </is>
      </c>
      <c r="H19" s="50" t="inlineStr">
        <is>
          <t>SRC_FOLD_1403_001 | گزارش فعالیت هیئت مدیره | ۱۴۰۳ | ۴ | Sna</t>
        </is>
      </c>
      <c r="I19" s="44" t="inlineStr">
        <is>
          <t>VERIFIED_WITH_LIMITATION</t>
        </is>
      </c>
      <c r="J19" s="51" t="n"/>
    </row>
    <row r="20" ht="43.5" customHeight="1" s="76">
      <c r="A20" s="42" t="n">
        <v>17</v>
      </c>
      <c r="B20" s="42" t="inlineStr">
        <is>
          <t>کچاد</t>
        </is>
      </c>
      <c r="C20" s="42" t="inlineStr">
        <is>
          <t>Batch 4</t>
        </is>
      </c>
      <c r="D20" s="42" t="inlineStr">
        <is>
          <t>بالا</t>
        </is>
      </c>
      <c r="E20" s="42" t="inlineStr">
        <is>
          <t>ANNUAL_REPORT_PLUS_TYPE19</t>
        </is>
      </c>
      <c r="F20" s="42" t="inlineStr">
        <is>
          <t>12/29</t>
        </is>
      </c>
      <c r="G20" s="42" t="inlineStr">
        <is>
          <t>بله</t>
        </is>
      </c>
      <c r="H20" s="42" t="inlineStr">
        <is>
          <t>SRC_KCHD_1403_001 | گزارش فعالیت هیئت مدیره | ۱۴۰۳ | ۴ | Sna</t>
        </is>
      </c>
      <c r="I20" s="46" t="inlineStr">
        <is>
          <t>NEEDS_SOURCE_REVIEW</t>
        </is>
      </c>
      <c r="J20" s="42" t="inlineStr">
        <is>
          <t>ناسازگاری هویت: K≠N−M، Q≠H، P&gt;0 با G=0</t>
        </is>
      </c>
    </row>
    <row r="21" ht="43.5" customHeight="1" s="76">
      <c r="A21" s="50" t="n">
        <v>18</v>
      </c>
      <c r="B21" s="50" t="inlineStr">
        <is>
          <t>کگل</t>
        </is>
      </c>
      <c r="C21" s="50" t="inlineStr">
        <is>
          <t>Batch 4</t>
        </is>
      </c>
      <c r="D21" s="50" t="inlineStr">
        <is>
          <t>بالا</t>
        </is>
      </c>
      <c r="E21" s="50" t="inlineStr">
        <is>
          <t>DIRECT_TYPE19_COMPARISON</t>
        </is>
      </c>
      <c r="F21" s="50" t="inlineStr">
        <is>
          <t>12/29</t>
        </is>
      </c>
      <c r="G21" s="50" t="inlineStr">
        <is>
          <t>بله</t>
        </is>
      </c>
      <c r="H21" s="50" t="inlineStr">
        <is>
          <t xml:space="preserve">SRC_KGOL_1404_002 | افشای نوع ۱۹ | ۱۴۰۳ | ۱ | Snapshot مبنا </t>
        </is>
      </c>
      <c r="I21" s="44" t="inlineStr">
        <is>
          <t>VERIFIED_WITH_LIMITATION</t>
        </is>
      </c>
      <c r="J21" s="51" t="n"/>
    </row>
    <row r="22" ht="43.5" customHeight="1" s="76">
      <c r="A22" s="42" t="n">
        <v>19</v>
      </c>
      <c r="B22" s="42" t="inlineStr">
        <is>
          <t>پارسان</t>
        </is>
      </c>
      <c r="C22" s="42" t="inlineStr">
        <is>
          <t>Batch 4</t>
        </is>
      </c>
      <c r="D22" s="42" t="inlineStr">
        <is>
          <t>بالا</t>
        </is>
      </c>
      <c r="E22" s="42" t="inlineStr">
        <is>
          <t>DIRECT_ANNUAL_REPORT_COMPARISON</t>
        </is>
      </c>
      <c r="F22" s="42" t="inlineStr">
        <is>
          <t>06/31</t>
        </is>
      </c>
      <c r="G22" s="42" t="inlineStr">
        <is>
          <t>بله</t>
        </is>
      </c>
      <c r="H22" s="42" t="inlineStr">
        <is>
          <t>SRC_PRSN_1403_001 | گزارش فعالیت هیئت مدیره | ۱۴۰۳ | ۵۰ | Sn</t>
        </is>
      </c>
      <c r="I22" s="46" t="inlineStr">
        <is>
          <t>NEEDS_SOURCE_REVIEW</t>
        </is>
      </c>
      <c r="J22" s="42" t="inlineStr">
        <is>
          <t>ناسازگاری هویت: Q≠H، P&gt;0 با G=0</t>
        </is>
      </c>
    </row>
    <row r="23" ht="43.5" customHeight="1" s="76">
      <c r="A23" s="50" t="n">
        <v>20</v>
      </c>
      <c r="B23" s="50" t="inlineStr">
        <is>
          <t>اخابر</t>
        </is>
      </c>
      <c r="C23" s="50" t="inlineStr">
        <is>
          <t>Batch 5</t>
        </is>
      </c>
      <c r="D23" s="50" t="inlineStr">
        <is>
          <t>بالا</t>
        </is>
      </c>
      <c r="E23" s="50" t="inlineStr">
        <is>
          <t>VISUAL_PLUS_TYPE19_RECONCILIATION</t>
        </is>
      </c>
      <c r="F23" s="50" t="inlineStr">
        <is>
          <t>12/29</t>
        </is>
      </c>
      <c r="G23" s="50" t="inlineStr">
        <is>
          <t>بله</t>
        </is>
      </c>
      <c r="H23" s="50" t="inlineStr">
        <is>
          <t>SRC_AKHB_1404_002 | گزارش فعالیت هیئت مدیره | ۱۴۰۳ | ۹۳ تا ۹</t>
        </is>
      </c>
      <c r="I23" s="44" t="inlineStr">
        <is>
          <t>VERIFIED_WITH_LIMITATION</t>
        </is>
      </c>
      <c r="J23" s="51" t="n"/>
    </row>
    <row r="24" ht="43.5" customHeight="1" s="76">
      <c r="A24" s="42" t="n">
        <v>21</v>
      </c>
      <c r="B24" s="42" t="inlineStr">
        <is>
          <t>جم</t>
        </is>
      </c>
      <c r="C24" s="42" t="inlineStr">
        <is>
          <t>Batch 5</t>
        </is>
      </c>
      <c r="D24" s="42" t="inlineStr">
        <is>
          <t>بالا</t>
        </is>
      </c>
      <c r="E24" s="42" t="inlineStr">
        <is>
          <t>ANNUAL_REPORT_PLUS_TYPE19</t>
        </is>
      </c>
      <c r="F24" s="42" t="inlineStr">
        <is>
          <t>12/29</t>
        </is>
      </c>
      <c r="G24" s="42" t="inlineStr">
        <is>
          <t>بله</t>
        </is>
      </c>
      <c r="H24" s="42" t="inlineStr">
        <is>
          <t>SRC_JAM_1404_002 | گزارش فعالیت هیئت مدیره | ۱۴۰۳ | ۳۵ | Sna</t>
        </is>
      </c>
      <c r="I24" s="46" t="inlineStr">
        <is>
          <t>NEEDS_SOURCE_REVIEW</t>
        </is>
      </c>
      <c r="J24" s="42" t="inlineStr">
        <is>
          <t>ناسازگاری هویت: P&lt;G</t>
        </is>
      </c>
    </row>
    <row r="25" ht="43.5" customHeight="1" s="76">
      <c r="A25" s="50" t="n">
        <v>22</v>
      </c>
      <c r="B25" s="50" t="inlineStr">
        <is>
          <t>ومعادن</t>
        </is>
      </c>
      <c r="C25" s="50" t="inlineStr">
        <is>
          <t>Batch 5</t>
        </is>
      </c>
      <c r="D25" s="50" t="inlineStr">
        <is>
          <t>بالا</t>
        </is>
      </c>
      <c r="E25" s="50" t="inlineStr">
        <is>
          <t>DIRECT_REPORT_PLUS_TYPE19</t>
        </is>
      </c>
      <c r="F25" s="50" t="inlineStr">
        <is>
          <t>12/29</t>
        </is>
      </c>
      <c r="G25" s="50" t="inlineStr">
        <is>
          <t>بله</t>
        </is>
      </c>
      <c r="H25" s="50" t="inlineStr">
        <is>
          <t>SRC_VMDN_1404_002 | گزارش فعالیت هیئت مدیره | ۱۴۰۳ | ۴۰ | Sn</t>
        </is>
      </c>
      <c r="I25" s="44" t="inlineStr">
        <is>
          <t>VERIFIED_WITH_LIMITATION</t>
        </is>
      </c>
      <c r="J25" s="51" t="n"/>
    </row>
    <row r="26" ht="43.5" customHeight="1" s="76">
      <c r="A26" s="42" t="n">
        <v>23</v>
      </c>
      <c r="B26" s="42" t="inlineStr">
        <is>
          <t>وامید</t>
        </is>
      </c>
      <c r="C26" s="42" t="inlineStr">
        <is>
          <t>Batch 5</t>
        </is>
      </c>
      <c r="D26" s="42" t="inlineStr">
        <is>
          <t>بالا</t>
        </is>
      </c>
      <c r="E26" s="42" t="inlineStr">
        <is>
          <t>DIRECT_FISCAL_YEAR_COMPARISON</t>
        </is>
      </c>
      <c r="F26" s="42" t="inlineStr">
        <is>
          <t>10/30</t>
        </is>
      </c>
      <c r="G26" s="42" t="inlineStr">
        <is>
          <t>بله</t>
        </is>
      </c>
      <c r="H26" s="42" t="inlineStr">
        <is>
          <t>SRC_VAMD_1404_002 | گزارش فعالیت هیئت مدیره | ۱۴۰۳ | ۶۹ | Sn</t>
        </is>
      </c>
      <c r="I26" s="44" t="inlineStr">
        <is>
          <t>VERIFIED_WITH_LIMITATION</t>
        </is>
      </c>
      <c r="J26" s="43" t="n"/>
    </row>
    <row r="27" ht="43.5" customHeight="1" s="76">
      <c r="A27" s="50" t="n">
        <v>24</v>
      </c>
      <c r="B27" s="50" t="inlineStr">
        <is>
          <t>خساپا</t>
        </is>
      </c>
      <c r="C27" s="50" t="inlineStr">
        <is>
          <t>Batch 6</t>
        </is>
      </c>
      <c r="D27" s="50" t="inlineStr">
        <is>
          <t>بالا</t>
        </is>
      </c>
      <c r="E27" s="50" t="inlineStr">
        <is>
          <t>DIRECT_TYPE19_COMPARISON</t>
        </is>
      </c>
      <c r="F27" s="50" t="inlineStr">
        <is>
          <t>12/29</t>
        </is>
      </c>
      <c r="G27" s="50" t="inlineStr">
        <is>
          <t>بله</t>
        </is>
      </c>
      <c r="H27" s="50" t="inlineStr">
        <is>
          <t xml:space="preserve">SRC_KHSP_1404_002 | افشای نوع ۱۹ | ۱۴۰۳ | ۱ | Snapshot مبنا </t>
        </is>
      </c>
      <c r="I27" s="46" t="inlineStr">
        <is>
          <t>NEEDS_SOURCE_REVIEW</t>
        </is>
      </c>
      <c r="J27" s="50" t="inlineStr">
        <is>
          <t>ناسازگاری هویت: P&lt;G</t>
        </is>
      </c>
    </row>
    <row r="28" ht="43.5" customHeight="1" s="76">
      <c r="A28" s="42" t="n">
        <v>25</v>
      </c>
      <c r="B28" s="42" t="inlineStr">
        <is>
          <t>همراه</t>
        </is>
      </c>
      <c r="C28" s="42" t="inlineStr">
        <is>
          <t>Batch 6</t>
        </is>
      </c>
      <c r="D28" s="42" t="inlineStr">
        <is>
          <t>بالا</t>
        </is>
      </c>
      <c r="E28" s="42" t="inlineStr">
        <is>
          <t>DIRECT_ANNUAL_REPORT_PLUS_TYPE19</t>
        </is>
      </c>
      <c r="F28" s="42" t="inlineStr">
        <is>
          <t>12/29</t>
        </is>
      </c>
      <c r="G28" s="42" t="inlineStr">
        <is>
          <t>بله</t>
        </is>
      </c>
      <c r="H28" s="42" t="inlineStr">
        <is>
          <t>SRC_HMRH_1404_002 | گزارش فعالیت هیئت مدیره | ۱۴۰۳ | ۵ | Sna</t>
        </is>
      </c>
      <c r="I28" s="44" t="inlineStr">
        <is>
          <t>VERIFIED_WITH_LIMITATION</t>
        </is>
      </c>
      <c r="J28" s="43" t="n"/>
    </row>
    <row r="29" ht="43.5" customHeight="1" s="76">
      <c r="A29" s="50" t="n">
        <v>26</v>
      </c>
      <c r="B29" s="50" t="inlineStr">
        <is>
          <t>وبملت</t>
        </is>
      </c>
      <c r="C29" s="50" t="inlineStr">
        <is>
          <t>Batch 6</t>
        </is>
      </c>
      <c r="D29" s="50" t="inlineStr">
        <is>
          <t>بالا</t>
        </is>
      </c>
      <c r="E29" s="50" t="inlineStr">
        <is>
          <t>DIRECT_TYPE19_COMPARISON</t>
        </is>
      </c>
      <c r="F29" s="50" t="inlineStr">
        <is>
          <t>12/29</t>
        </is>
      </c>
      <c r="G29" s="50" t="inlineStr">
        <is>
          <t>بله</t>
        </is>
      </c>
      <c r="H29" s="50" t="inlineStr">
        <is>
          <t>SRC_MELT_1404_006 | افشای نوع ۱۹ | ۱۴۰۳ | ۱ | Snapshot اشخاص</t>
        </is>
      </c>
      <c r="I29" s="44" t="inlineStr">
        <is>
          <t>VERIFIED_WITH_LIMITATION</t>
        </is>
      </c>
      <c r="J29" s="51" t="n"/>
    </row>
    <row r="30" ht="43.5" customHeight="1" s="76">
      <c r="A30" s="42" t="n">
        <v>27</v>
      </c>
      <c r="B30" s="42" t="inlineStr">
        <is>
          <t>وبصادر</t>
        </is>
      </c>
      <c r="C30" s="42" t="inlineStr">
        <is>
          <t>Batch 6</t>
        </is>
      </c>
      <c r="D30" s="42" t="inlineStr">
        <is>
          <t>بالا</t>
        </is>
      </c>
      <c r="E30" s="42" t="inlineStr">
        <is>
          <t>DIRECT_ANNUAL_REPORT_COMPARISON</t>
        </is>
      </c>
      <c r="F30" s="42" t="inlineStr">
        <is>
          <t>12/29</t>
        </is>
      </c>
      <c r="G30" s="42" t="inlineStr">
        <is>
          <t>بله</t>
        </is>
      </c>
      <c r="H30" s="42" t="inlineStr">
        <is>
          <t>SRC_VBSD_1404_002 | گزارش فعالیت هیئت مدیره | ۱۴۰۳ | ۳۸ تا ۳</t>
        </is>
      </c>
      <c r="I30" s="44" t="inlineStr">
        <is>
          <t>VERIFIED_WITH_LIMITATION</t>
        </is>
      </c>
      <c r="J30" s="43" t="n"/>
    </row>
    <row r="31" ht="43.5" customHeight="1" s="76">
      <c r="A31" s="50" t="n">
        <v>28</v>
      </c>
      <c r="B31" s="50" t="inlineStr">
        <is>
          <t>وپاسار</t>
        </is>
      </c>
      <c r="C31" s="50" t="inlineStr">
        <is>
          <t>Batch 6</t>
        </is>
      </c>
      <c r="D31" s="50" t="inlineStr">
        <is>
          <t>حل نشده</t>
        </is>
      </c>
      <c r="E31" s="50" t="inlineStr">
        <is>
          <t>ARCHIVE_AVAILABILITY_CHECK</t>
        </is>
      </c>
      <c r="F31" s="50" t="inlineStr">
        <is>
          <t>12/29</t>
        </is>
      </c>
      <c r="G31" s="50" t="inlineStr">
        <is>
          <t>بله</t>
        </is>
      </c>
      <c r="H31" s="50" t="inlineStr">
        <is>
          <t>SRC_VPSR_1404_001 | گزارش فعالیت هیئت مدیره منتهی به ۱۴۰۳/۱۲</t>
        </is>
      </c>
      <c r="I31" s="46" t="inlineStr">
        <is>
          <t>NEEDS_SOURCE_REVIEW</t>
        </is>
      </c>
      <c r="J31" s="50" t="inlineStr">
        <is>
          <t>Turnover حل‌نشده؛ هیچ مقداری حدس زده نشده</t>
        </is>
      </c>
    </row>
    <row r="32" ht="43.5" customHeight="1" s="76">
      <c r="A32" s="42" t="n">
        <v>29</v>
      </c>
      <c r="B32" s="42" t="inlineStr">
        <is>
          <t>حکشتی</t>
        </is>
      </c>
      <c r="C32" s="42" t="inlineStr">
        <is>
          <t>خارج از مخرج</t>
        </is>
      </c>
      <c r="D32" s="42" t="inlineStr">
        <is>
          <t>محدودیت ساختاری</t>
        </is>
      </c>
      <c r="E32" s="42" t="inlineStr">
        <is>
          <t>SEAT_LEVEL_ONLY</t>
        </is>
      </c>
      <c r="F32" s="42" t="inlineStr">
        <is>
          <t>12/29</t>
        </is>
      </c>
      <c r="G32" s="42" t="inlineStr">
        <is>
          <t>خیر</t>
        </is>
      </c>
      <c r="H32" s="42" t="inlineStr">
        <is>
          <t xml:space="preserve">Iran_BSI_v33_Phase4_2K_FinalTurnoverClosure.xlsx | شرکت های </t>
        </is>
      </c>
      <c r="I32" s="44" t="inlineStr">
        <is>
          <t>VERIFIED_WITH_LIMITATION</t>
        </is>
      </c>
      <c r="J32" s="42" t="inlineStr">
        <is>
          <t>خارج از مخرج Turnover؛ N/A صحیح بر پایه v35</t>
        </is>
      </c>
    </row>
    <row r="33" ht="43.5" customHeight="1" s="76">
      <c r="A33" s="50" t="n">
        <v>30</v>
      </c>
      <c r="B33" s="50" t="inlineStr">
        <is>
          <t>شپدیس</t>
        </is>
      </c>
      <c r="C33" s="50" t="inlineStr">
        <is>
          <t>خارج از مخرج</t>
        </is>
      </c>
      <c r="D33" s="50" t="inlineStr">
        <is>
          <t>محدودیت داده</t>
        </is>
      </c>
      <c r="E33" s="50" t="inlineStr">
        <is>
          <t>MISSING_PRIOR_YEAR</t>
        </is>
      </c>
      <c r="F33" s="50" t="inlineStr">
        <is>
          <t>12/29</t>
        </is>
      </c>
      <c r="G33" s="50" t="inlineStr">
        <is>
          <t>خیر</t>
        </is>
      </c>
      <c r="H33" s="50" t="inlineStr">
        <is>
          <t xml:space="preserve">Iran_BSI_v33_Phase4_2K_FinalTurnoverClosure.xlsx | وضعیت ۳۰ </t>
        </is>
      </c>
      <c r="I33" s="44" t="inlineStr">
        <is>
          <t>VERIFIED_WITH_LIMITATION</t>
        </is>
      </c>
      <c r="J33" s="50" t="inlineStr">
        <is>
          <t>خارج از مخرج Turnover؛ N/A صحیح بر پایه v35</t>
        </is>
      </c>
    </row>
  </sheetData>
  <mergeCells count="2">
    <mergeCell ref="A1:J1"/>
    <mergeCell ref="A2:J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8"/>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2.5" customWidth="1" style="76" min="2" max="2"/>
    <col width="17.1640625" customWidth="1" style="76" min="3" max="3"/>
    <col width="25.83203125" customWidth="1" style="76" min="4" max="4"/>
    <col width="30.5" customWidth="1" style="76" min="5" max="5"/>
    <col width="20.1640625" customWidth="1" style="76" min="6" max="6"/>
    <col width="42" customWidth="1" style="76" min="7" max="9"/>
  </cols>
  <sheetData>
    <row r="1" ht="34" customHeight="1" s="76">
      <c r="A1" s="79" t="inlineStr">
        <is>
          <t>ممیزی ۱۵ Measure (۱۲ اصلی + ۳ Robustness)</t>
        </is>
      </c>
    </row>
    <row r="2" ht="28" customHeight="1" s="76">
      <c r="A2" s="86" t="inlineStr">
        <is>
          <t>وضعیت ممیزی بر پایه بازتولید از داده خام v22/v25/v29/v31 و منابع PDF. DO_NOT_COMBINE برای ROB_STABILITY طبقه Redundancy است.</t>
        </is>
      </c>
    </row>
    <row r="3" ht="30" customHeight="1" s="76">
      <c r="A3" s="48" t="inlineStr">
        <is>
          <t>Measure</t>
        </is>
      </c>
      <c r="B3" s="48" t="inlineStr">
        <is>
          <t>نام</t>
        </is>
      </c>
      <c r="C3" s="48" t="inlineStr">
        <is>
          <t>سازه</t>
        </is>
      </c>
      <c r="D3" s="48" t="inlineStr">
        <is>
          <t>وضعیت ممیزی</t>
        </is>
      </c>
      <c r="E3" s="48" t="inlineStr">
        <is>
          <t>نقش پیشنهادی</t>
        </is>
      </c>
      <c r="F3" s="48" t="inlineStr">
        <is>
          <t>Directionality</t>
        </is>
      </c>
      <c r="G3" s="48" t="inlineStr">
        <is>
          <t>محدودیت اصلی</t>
        </is>
      </c>
      <c r="H3" s="48" t="inlineStr">
        <is>
          <t>منبع بازتولید</t>
        </is>
      </c>
      <c r="I3" s="48" t="inlineStr">
        <is>
          <t>یادداشت منبع</t>
        </is>
      </c>
    </row>
    <row r="4" ht="29" customHeight="1" s="76">
      <c r="A4" s="42" t="inlineStr">
        <is>
          <t>S1A</t>
        </is>
      </c>
      <c r="B4" s="42" t="inlineStr">
        <is>
          <t>پروکسی استقلال ساختاری</t>
        </is>
      </c>
      <c r="C4" s="42" t="inlineStr">
        <is>
          <t>استقلال ساختاری</t>
        </is>
      </c>
      <c r="D4" s="44" t="inlineStr">
        <is>
          <t>VERIFIED_WITH_LIMITATION</t>
        </is>
      </c>
      <c r="E4" s="44" t="inlineStr">
        <is>
          <t>SCALE_UP_PRIMARY</t>
        </is>
      </c>
      <c r="F4" s="42" t="inlineStr">
        <is>
          <t>CONTEXT_DEPENDENT</t>
        </is>
      </c>
      <c r="G4" s="42" t="inlineStr">
        <is>
          <t>پروکسی است، نه استقلال صریح؛ ۲ شرکت Duty_Status افشا نشده</t>
        </is>
      </c>
      <c r="H4" s="42" t="inlineStr">
        <is>
          <t>v22 Canonical Board Members (Duty_Status)</t>
        </is>
      </c>
      <c r="I4" s="42" t="inlineStr">
        <is>
          <t>Source_ID در Audit منابع؛ مقدار per-firm غیرتوروور در v35 hardcode است</t>
        </is>
      </c>
    </row>
    <row r="5" ht="29" customHeight="1" s="76">
      <c r="A5" s="50" t="inlineStr">
        <is>
          <t>V1</t>
        </is>
      </c>
      <c r="B5" s="50" t="inlineStr">
        <is>
          <t>تنوع رشته تحصیلی</t>
        </is>
      </c>
      <c r="C5" s="50" t="inlineStr">
        <is>
          <t>تنوع تحصیلی</t>
        </is>
      </c>
      <c r="D5" s="44" t="inlineStr">
        <is>
          <t>VERIFIED_WITH_LIMITATION</t>
        </is>
      </c>
      <c r="E5" s="44" t="inlineStr">
        <is>
          <t>SCALE_UP_PRIMARY</t>
        </is>
      </c>
      <c r="F5" s="50" t="inlineStr">
        <is>
          <t>POSITIVE_DIRECTION</t>
        </is>
      </c>
      <c r="G5" s="50" t="inlineStr">
        <is>
          <t>Blau حساس به اندازه هیئت (N≈5)</t>
        </is>
      </c>
      <c r="H5" s="50" t="inlineStr">
        <is>
          <t>v22 Education_Field_Harmonized</t>
        </is>
      </c>
      <c r="I5" s="50" t="inlineStr">
        <is>
          <t>Source_ID در Audit منابع؛ مقدار per-firm غیرتوروور در v35 hardcode است</t>
        </is>
      </c>
    </row>
    <row r="6" ht="29" customHeight="1" s="76">
      <c r="A6" s="42" t="inlineStr">
        <is>
          <t>VAR06_Strict</t>
        </is>
      </c>
      <c r="B6" s="42" t="inlineStr">
        <is>
          <t>تنوع سابقه حرفه‌ای (Strict)</t>
        </is>
      </c>
      <c r="C6" s="42" t="inlineStr">
        <is>
          <t>تنوع حرفه‌ای</t>
        </is>
      </c>
      <c r="D6" s="45" t="inlineStr">
        <is>
          <t>NEEDS_CORRECTION</t>
        </is>
      </c>
      <c r="E6" s="52" t="inlineStr">
        <is>
          <t>SCALE_UP_WITH_LIMITATION</t>
        </is>
      </c>
      <c r="F6" s="42" t="inlineStr">
        <is>
          <t>POSITIVE_DIRECTION</t>
        </is>
      </c>
      <c r="G6" s="42" t="inlineStr">
        <is>
          <t>پوشش ۲۷ نه ۲۸؛ ۲۶ عضو UNCLASSIFIED؛ بار قضاوت انسانی</t>
        </is>
      </c>
      <c r="H6" s="42" t="inlineStr">
        <is>
          <t>v25 Professional Background Strict</t>
        </is>
      </c>
      <c r="I6" s="42" t="inlineStr">
        <is>
          <t>Source_ID در Audit منابع؛ مقدار per-firm غیرتوروور در v35 hardcode است</t>
        </is>
      </c>
    </row>
    <row r="7" ht="29" customHeight="1" s="76">
      <c r="A7" s="50" t="inlineStr">
        <is>
          <t>VAR10</t>
        </is>
      </c>
      <c r="B7" s="50" t="inlineStr">
        <is>
          <t>تخصص مالی مستند</t>
        </is>
      </c>
      <c r="C7" s="50" t="inlineStr">
        <is>
          <t>تخصص</t>
        </is>
      </c>
      <c r="D7" s="44" t="inlineStr">
        <is>
          <t>VERIFIED_WITH_LIMITATION</t>
        </is>
      </c>
      <c r="E7" s="52" t="inlineStr">
        <is>
          <t>SCALE_UP_WITH_LIMITATION</t>
        </is>
      </c>
      <c r="F7" s="50" t="inlineStr">
        <is>
          <t>POSITIVE_DIRECTION</t>
        </is>
      </c>
      <c r="G7" s="50" t="inlineStr">
        <is>
          <t>همپوشانی با سابقه حرفه‌ای/تحصیلی</t>
        </is>
      </c>
      <c r="H7" s="50" t="inlineStr">
        <is>
          <t>v25 Financial Expertise</t>
        </is>
      </c>
      <c r="I7" s="50" t="inlineStr">
        <is>
          <t>Source_ID در Audit منابع؛ مقدار per-firm غیرتوروور در v35 hardcode است</t>
        </is>
      </c>
    </row>
    <row r="8" ht="29" customHeight="1" s="76">
      <c r="A8" s="42" t="inlineStr">
        <is>
          <t>CR1A</t>
        </is>
      </c>
      <c r="B8" s="42" t="inlineStr">
        <is>
          <t>تغییر رئیس هیئت‌مدیره</t>
        </is>
      </c>
      <c r="C8" s="42" t="inlineStr">
        <is>
          <t>ثبات رهبری</t>
        </is>
      </c>
      <c r="D8" s="45" t="inlineStr">
        <is>
          <t>NEEDS_SOURCE_REVIEW</t>
        </is>
      </c>
      <c r="E8" s="53" t="inlineStr">
        <is>
          <t>CONTROL_DIAGNOSTIC</t>
        </is>
      </c>
      <c r="F8" s="42" t="inlineStr">
        <is>
          <t>NO_CLEAR_DIRECTION</t>
        </is>
      </c>
      <c r="G8" s="42" t="inlineStr">
        <is>
          <t>۲۶ از ۳۰ بدون تعارض باز ثبت شده؛ ۲۷ کد خام؛ یک تعارض فملی و سه نامشخص</t>
        </is>
      </c>
      <c r="H8" s="42" t="inlineStr">
        <is>
          <t>CR1A v39؛ ستون V فایل v38 و بازسازی سطح کرسی</t>
        </is>
      </c>
      <c r="I8" s="42" t="inlineStr">
        <is>
          <t>بازمحاسبه v39 انجام شد؛ اعتبار شواهد قبلی با محدودیت حفظ شده و بازخوانی مستقل همه منابع ادعا نمی شود.</t>
        </is>
      </c>
    </row>
    <row r="9" ht="29" customHeight="1" s="76">
      <c r="A9" s="50" t="inlineStr">
        <is>
          <t>AUD01</t>
        </is>
      </c>
      <c r="B9" s="50" t="inlineStr">
        <is>
          <t>وجود کمیته حسابرسی</t>
        </is>
      </c>
      <c r="C9" s="50" t="inlineStr">
        <is>
          <t>نظارت</t>
        </is>
      </c>
      <c r="D9" s="45" t="inlineStr">
        <is>
          <t>NEEDS_CORRECTION</t>
        </is>
      </c>
      <c r="E9" s="52" t="inlineStr">
        <is>
          <t>SCALE_UP_WITH_LIMITATION</t>
        </is>
      </c>
      <c r="F9" s="50" t="inlineStr">
        <is>
          <t>POSITIVE_DIRECTION</t>
        </is>
      </c>
      <c r="G9" s="50" t="inlineStr">
        <is>
          <t>۲۲→۲۳؛ ۶ شرکت Keyword Hit نیازمند بازبینی صفحه</t>
        </is>
      </c>
      <c r="H9" s="50" t="inlineStr">
        <is>
          <t>v31 AC_EXISTENCE_30 + norm_scan</t>
        </is>
      </c>
      <c r="I9" s="50" t="inlineStr">
        <is>
          <t>Source_ID در Audit منابع؛ مقدار per-firm غیرتوروور در v35 hardcode است</t>
        </is>
      </c>
    </row>
    <row r="10" ht="29" customHeight="1" s="76">
      <c r="A10" s="42" t="inlineStr">
        <is>
          <t>AUD02</t>
        </is>
      </c>
      <c r="B10" s="42" t="inlineStr">
        <is>
          <t>اندازه کمیته حسابرسی</t>
        </is>
      </c>
      <c r="C10" s="42" t="inlineStr">
        <is>
          <t>نظارت</t>
        </is>
      </c>
      <c r="D10" s="45" t="inlineStr">
        <is>
          <t>NEEDS_CORRECTION</t>
        </is>
      </c>
      <c r="E10" s="53" t="inlineStr">
        <is>
          <t>ROBUSTNESS_ONLY</t>
        </is>
      </c>
      <c r="F10" s="42" t="inlineStr">
        <is>
          <t>NONLINEAR_POSSIBLE</t>
        </is>
      </c>
      <c r="G10" s="42" t="inlineStr">
        <is>
          <t>۱۱ نه ۱۵ اندازه دقیق</t>
        </is>
      </c>
      <c r="H10" s="42" t="inlineStr">
        <is>
          <t>v31 AC_ROSTER</t>
        </is>
      </c>
      <c r="I10" s="42" t="inlineStr">
        <is>
          <t>Source_ID در Audit منابع؛ مقدار per-firm غیرتوروور در v35 hardcode است</t>
        </is>
      </c>
    </row>
    <row r="11" ht="29" customHeight="1" s="76">
      <c r="A11" s="50" t="inlineStr">
        <is>
          <t>IRN01</t>
        </is>
      </c>
      <c r="B11" s="50" t="inlineStr">
        <is>
          <t>سهم کرسی حقوقی</t>
        </is>
      </c>
      <c r="C11" s="50" t="inlineStr">
        <is>
          <t>ساختار نمایندگی</t>
        </is>
      </c>
      <c r="D11" s="44" t="inlineStr">
        <is>
          <t>VERIFIED_WITH_LIMITATION</t>
        </is>
      </c>
      <c r="E11" s="54" t="inlineStr">
        <is>
          <t>STRUCTURAL_GOVERNANCE_MEASURE</t>
        </is>
      </c>
      <c r="F11" s="50" t="inlineStr">
        <is>
          <t>NO_CLEAR_DIRECTION</t>
        </is>
      </c>
      <c r="G11" s="50" t="inlineStr">
        <is>
          <t>تقریبا Dummy بانکی (وبصادر/وبملت/وتجارت)</t>
        </is>
      </c>
      <c r="H11" s="50" t="inlineStr">
        <is>
          <t>v22 Legal_Entity_Represented</t>
        </is>
      </c>
      <c r="I11" s="50" t="inlineStr">
        <is>
          <t>Source_ID در Audit منابع؛ مقدار per-firm غیرتوروور در v35 hardcode است</t>
        </is>
      </c>
    </row>
    <row r="12" ht="29" customHeight="1" s="76">
      <c r="A12" s="42" t="inlineStr">
        <is>
          <t>IRN02</t>
        </is>
      </c>
      <c r="B12" s="42" t="inlineStr">
        <is>
          <t>سهم کرسی حقیقی</t>
        </is>
      </c>
      <c r="C12" s="42" t="inlineStr">
        <is>
          <t>ساختار نمایندگی</t>
        </is>
      </c>
      <c r="D12" s="44" t="inlineStr">
        <is>
          <t>VERIFIED_WITH_LIMITATION</t>
        </is>
      </c>
      <c r="E12" s="53" t="inlineStr">
        <is>
          <t>ROBUSTNESS_ONLY</t>
        </is>
      </c>
      <c r="F12" s="42" t="inlineStr">
        <is>
          <t>NO_CLEAR_DIRECTION</t>
        </is>
      </c>
      <c r="G12" s="42" t="inlineStr">
        <is>
          <t>مکمل دقیق IRN01 (IRN01+IRN02=1)</t>
        </is>
      </c>
      <c r="H12" s="42" t="inlineStr">
        <is>
          <t>v22</t>
        </is>
      </c>
      <c r="I12" s="42" t="inlineStr">
        <is>
          <t>Source_ID در Audit منابع؛ مقدار per-firm غیرتوروور در v35 hardcode است</t>
        </is>
      </c>
    </row>
    <row r="13" ht="29" customHeight="1" s="76">
      <c r="A13" s="50" t="inlineStr">
        <is>
          <t>SEP07</t>
        </is>
      </c>
      <c r="B13" s="50" t="inlineStr">
        <is>
          <t>تفکیک CEO و Chair</t>
        </is>
      </c>
      <c r="C13" s="50" t="inlineStr">
        <is>
          <t>تفکیک رهبری</t>
        </is>
      </c>
      <c r="D13" s="45" t="inlineStr">
        <is>
          <t>NEEDS_CORRECTION</t>
        </is>
      </c>
      <c r="E13" s="53" t="inlineStr">
        <is>
          <t>CONTROL_DIAGNOSTIC</t>
        </is>
      </c>
      <c r="F13" s="50" t="inlineStr">
        <is>
          <t>POSITIVE_DIRECTION</t>
        </is>
      </c>
      <c r="G13" s="50" t="inlineStr">
        <is>
          <t>Variation صفر در ۲۶ شناخته‌شده؛ برابر S3 از v22</t>
        </is>
      </c>
      <c r="H13" s="50" t="inlineStr">
        <is>
          <t>v22 Chair_Flag/CEO_Flag</t>
        </is>
      </c>
      <c r="I13" s="50" t="inlineStr">
        <is>
          <t>Source_ID در Audit منابع؛ مقدار per-firm غیرتوروور در v35 hardcode است</t>
        </is>
      </c>
    </row>
    <row r="14" ht="29" customHeight="1" s="76">
      <c r="A14" s="42" t="inlineStr">
        <is>
          <t>REF05</t>
        </is>
      </c>
      <c r="B14" s="42" t="inlineStr">
        <is>
          <t>نرخ گردش شخص حقیقی</t>
        </is>
      </c>
      <c r="C14" s="42" t="inlineStr">
        <is>
          <t>تجدید و گردش</t>
        </is>
      </c>
      <c r="D14" s="45" t="inlineStr">
        <is>
          <t>NEEDS_CORRECTION</t>
        </is>
      </c>
      <c r="E14" s="52" t="inlineStr">
        <is>
          <t>SCALE_UP_WITH_LIMITATION</t>
        </is>
      </c>
      <c r="F14" s="42" t="inlineStr">
        <is>
          <t>CONTEXT_DEPENDENT</t>
        </is>
      </c>
      <c r="G14" s="42" t="inlineStr">
        <is>
          <t>خودرو ۱/۵ نه ۰/۵؛ جهت غیرخطی</t>
        </is>
      </c>
      <c r="H14" s="42" t="inlineStr">
        <is>
          <t>Turnover نهایی G/H</t>
        </is>
      </c>
      <c r="I14" s="42" t="inlineStr">
        <is>
          <t>Source_ID در Audit منابع؛ مقدار per-firm غیرتوروور در v35 hardcode است</t>
        </is>
      </c>
    </row>
    <row r="15" ht="29" customHeight="1" s="76">
      <c r="A15" s="50" t="inlineStr">
        <is>
          <t>REF08</t>
        </is>
      </c>
      <c r="B15" s="50" t="inlineStr">
        <is>
          <t>تغییر نماینده با شخص حقوقی ثابت</t>
        </is>
      </c>
      <c r="C15" s="50" t="inlineStr">
        <is>
          <t>پویایی نمایندگی</t>
        </is>
      </c>
      <c r="D15" s="46" t="inlineStr">
        <is>
          <t>NEEDS_SOURCE_REVIEW</t>
        </is>
      </c>
      <c r="E15" s="45" t="inlineStr">
        <is>
          <t>TARGETED_VALIDATION</t>
        </is>
      </c>
      <c r="F15" s="50" t="inlineStr">
        <is>
          <t>NO_CLEAR_DIRECTION</t>
        </is>
      </c>
      <c r="G15" s="50" t="inlineStr">
        <is>
          <t>فارس ۳/۵؛ خودرو Missing؛ تاپیکو و کچاد بازبینی</t>
        </is>
      </c>
      <c r="H15" s="50" t="inlineStr">
        <is>
          <t>Turnover نهایی J/K</t>
        </is>
      </c>
      <c r="I15" s="50" t="inlineStr">
        <is>
          <t>Source_ID در Audit منابع؛ مقدار per-firm غیرتوروور در v35 hardcode است</t>
        </is>
      </c>
    </row>
    <row r="16" ht="29" customHeight="1" s="76">
      <c r="A16" s="42" t="inlineStr">
        <is>
          <t>ROB_LEGAL</t>
        </is>
      </c>
      <c r="B16" s="42" t="inlineStr">
        <is>
          <t>Legal Entity Change Rate</t>
        </is>
      </c>
      <c r="C16" s="42" t="inlineStr">
        <is>
          <t>استحکام</t>
        </is>
      </c>
      <c r="D16" s="44" t="inlineStr">
        <is>
          <t>VERIFIED_WITH_LIMITATION</t>
        </is>
      </c>
      <c r="E16" s="53" t="inlineStr">
        <is>
          <t>ROBUSTNESS_ONLY</t>
        </is>
      </c>
      <c r="F16" s="42" t="inlineStr">
        <is>
          <t>NO_CLEAR_DIRECTION</t>
        </is>
      </c>
      <c r="G16" s="42" t="inlineStr">
        <is>
          <t>جهت کیفی ندارد؛ r=0.217 با Turnover</t>
        </is>
      </c>
      <c r="H16" s="42" t="inlineStr">
        <is>
          <t>Turnover نهایی M/N</t>
        </is>
      </c>
      <c r="I16" s="42" t="inlineStr">
        <is>
          <t>Source_ID در Audit منابع؛ مقدار per-firm غیرتوروور در v35 hardcode است</t>
        </is>
      </c>
    </row>
    <row r="17" ht="29" customHeight="1" s="76">
      <c r="A17" s="50" t="inlineStr">
        <is>
          <t>ROB_NEW</t>
        </is>
      </c>
      <c r="B17" s="50" t="inlineStr">
        <is>
          <t>New Member Share</t>
        </is>
      </c>
      <c r="C17" s="50" t="inlineStr">
        <is>
          <t>استحکام</t>
        </is>
      </c>
      <c r="D17" s="44" t="inlineStr">
        <is>
          <t>VERIFIED_WITH_LIMITATION</t>
        </is>
      </c>
      <c r="E17" s="53" t="inlineStr">
        <is>
          <t>ROBUSTNESS_ONLY</t>
        </is>
      </c>
      <c r="F17" s="50" t="inlineStr">
        <is>
          <t>CONTEXT_DEPENDENT</t>
        </is>
      </c>
      <c r="G17" s="50" t="inlineStr">
        <is>
          <t>r=0.892 با Turnover؛ ۵ ناسازگاری P/G</t>
        </is>
      </c>
      <c r="H17" s="50" t="inlineStr">
        <is>
          <t>Turnover نهایی P/Q</t>
        </is>
      </c>
      <c r="I17" s="50" t="inlineStr">
        <is>
          <t>Source_ID در Audit منابع؛ مقدار per-firm غیرتوروور در v35 hardcode است</t>
        </is>
      </c>
    </row>
    <row r="18" ht="29" customHeight="1" s="76">
      <c r="A18" s="42" t="inlineStr">
        <is>
          <t>ROB_STABILITY</t>
        </is>
      </c>
      <c r="B18" s="42" t="inlineStr">
        <is>
          <t>Board Stability</t>
        </is>
      </c>
      <c r="C18" s="42" t="inlineStr">
        <is>
          <t>استحکام</t>
        </is>
      </c>
      <c r="D18" s="44" t="inlineStr">
        <is>
          <t>VERIFIED_WITH_LIMITATION</t>
        </is>
      </c>
      <c r="E18" s="42" t="inlineStr">
        <is>
          <t>DO_NOT_COMBINE</t>
        </is>
      </c>
      <c r="F18" s="42" t="inlineStr">
        <is>
          <t>CONTEXT_DEPENDENT</t>
        </is>
      </c>
      <c r="G18" s="42" t="inlineStr">
        <is>
          <t>مکمل ریاضی Turnover (r=−1)</t>
        </is>
      </c>
      <c r="H18" s="42" t="inlineStr">
        <is>
          <t>Turnover نهایی S/T</t>
        </is>
      </c>
      <c r="I18" s="42" t="inlineStr">
        <is>
          <t>Source_ID در Audit منابع؛ مقدار per-firm غیرتوروور در v35 hardcode است</t>
        </is>
      </c>
    </row>
  </sheetData>
  <mergeCells count="2">
    <mergeCell ref="A1:I1"/>
    <mergeCell ref="A2:I2"/>
  </mergeCell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J18"/>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4"/>
    <col width="32.5" customWidth="1" style="76" min="5" max="6"/>
    <col width="20.1640625" customWidth="1" style="76" min="7" max="7"/>
    <col width="42" customWidth="1" style="76" min="8" max="8"/>
    <col width="25.83203125" customWidth="1" style="76" min="9" max="9"/>
    <col width="39.1640625" customWidth="1" style="76" min="10" max="10"/>
  </cols>
  <sheetData>
    <row r="1" ht="34" customHeight="1" s="76">
      <c r="A1" s="79" t="inlineStr">
        <is>
          <t>ممیزی فرمول‌ها: صورت، مخرج، واجد شرایط بودن، قاعده Missing</t>
        </is>
      </c>
    </row>
    <row r="2" ht="28" customHeight="1" s="76">
      <c r="A2" s="86" t="inlineStr">
        <is>
          <t>برای هر Measure فعال: فرمول، صورت، مخرج، شرط واجدیت، قاعده Missing، جهت‌دهی و منبع.</t>
        </is>
      </c>
    </row>
    <row r="3" ht="30" customHeight="1" s="76">
      <c r="A3" s="48" t="inlineStr">
        <is>
          <t>Measure</t>
        </is>
      </c>
      <c r="B3" s="48" t="inlineStr">
        <is>
          <t>Formula</t>
        </is>
      </c>
      <c r="C3" s="48" t="inlineStr">
        <is>
          <t>Numerator</t>
        </is>
      </c>
      <c r="D3" s="48" t="inlineStr">
        <is>
          <t>Denominator</t>
        </is>
      </c>
      <c r="E3" s="48" t="inlineStr">
        <is>
          <t>Eligibility</t>
        </is>
      </c>
      <c r="F3" s="48" t="inlineStr">
        <is>
          <t>Missing rule</t>
        </is>
      </c>
      <c r="G3" s="48" t="inlineStr">
        <is>
          <t>Directionality</t>
        </is>
      </c>
      <c r="H3" s="48" t="inlineStr">
        <is>
          <t>Identity / Check</t>
        </is>
      </c>
      <c r="I3" s="48" t="inlineStr">
        <is>
          <t>وضعیت ممیزی</t>
        </is>
      </c>
      <c r="J3" s="48" t="inlineStr">
        <is>
          <t>Source</t>
        </is>
      </c>
    </row>
    <row r="4" ht="29" customHeight="1" s="76">
      <c r="A4" s="42" t="inlineStr">
        <is>
          <t>REF05 Natural Person Turnover Rate</t>
        </is>
      </c>
      <c r="B4" s="42" t="inlineStr">
        <is>
          <t>G/H</t>
        </is>
      </c>
      <c r="C4" s="42" t="inlineStr">
        <is>
          <t>G=کرسی‌هایی که شخص حقیقی در FY1404 نسبت به Cutoff FY1403 تغییر کرده</t>
        </is>
      </c>
      <c r="D4" s="42" t="inlineStr">
        <is>
          <t>H=کرسی‌های قابل مقایسه در هر دو Snapshot</t>
        </is>
      </c>
      <c r="E4" s="42" t="inlineStr">
        <is>
          <t>هر دو Snapshot کامل و هویت روشن</t>
        </is>
      </c>
      <c r="F4" s="42" t="inlineStr">
        <is>
          <t>Missing ⇒ خالی (نه صفر)</t>
        </is>
      </c>
      <c r="G4" s="42" t="inlineStr">
        <is>
          <t>CONTEXT_DEPENDENT</t>
        </is>
      </c>
      <c r="H4" s="42" t="inlineStr">
        <is>
          <t>Role-only change ≠ turnover؛ کرسی خالی ≠ تغییر</t>
        </is>
      </c>
      <c r="I4" s="44" t="inlineStr">
        <is>
          <t>VERIFIED_WITH_LIMITATION</t>
        </is>
      </c>
      <c r="J4" s="42" t="inlineStr">
        <is>
          <t>Iran_BSI_v35 | راهنمای محاسبات و منابع</t>
        </is>
      </c>
    </row>
    <row r="5" ht="29" customHeight="1" s="76">
      <c r="A5" s="50" t="inlineStr">
        <is>
          <t>REF08 Representative Change With Fixed Legal Entity</t>
        </is>
      </c>
      <c r="B5" s="50" t="inlineStr">
        <is>
          <t>J/K</t>
        </is>
      </c>
      <c r="C5" s="50" t="inlineStr">
        <is>
          <t>J=کرسی‌هایی که شخص حقوقی ثابت و نماینده تغییر کرد</t>
        </is>
      </c>
      <c r="D5" s="50" t="inlineStr">
        <is>
          <t>K=کرسی‌هایی با شخص حقوقی ثابت در هر دو Snapshot</t>
        </is>
      </c>
      <c r="E5" s="50" t="inlineStr">
        <is>
          <t>ساختار شخص حقوقی قابل اعمال</t>
        </is>
      </c>
      <c r="F5" s="50" t="inlineStr">
        <is>
          <t>نبود شخص حقوقی ⇒ NOT_APPLICABLE</t>
        </is>
      </c>
      <c r="G5" s="50" t="inlineStr">
        <is>
          <t>NO_CLEAR_DIRECTION</t>
        </is>
      </c>
      <c r="H5" s="50" t="inlineStr">
        <is>
          <t>J≤G</t>
        </is>
      </c>
      <c r="I5" s="46" t="inlineStr">
        <is>
          <t>NEEDS_SOURCE_REVIEW</t>
        </is>
      </c>
      <c r="J5" s="50" t="inlineStr">
        <is>
          <t>Iran_BSI_v35 | راهنمای محاسبات و منابع</t>
        </is>
      </c>
    </row>
    <row r="6" ht="29" customHeight="1" s="76">
      <c r="A6" s="42" t="inlineStr">
        <is>
          <t>Representative Change Rate (کلی)</t>
        </is>
      </c>
      <c r="B6" s="42" t="inlineStr">
        <is>
          <t>J/K</t>
        </is>
      </c>
      <c r="C6" s="42" t="inlineStr">
        <is>
          <t>همان REF08</t>
        </is>
      </c>
      <c r="D6" s="42" t="inlineStr">
        <is>
          <t>همان</t>
        </is>
      </c>
      <c r="E6" s="42" t="inlineStr">
        <is>
          <t>همان</t>
        </is>
      </c>
      <c r="F6" s="42" t="inlineStr">
        <is>
          <t>همان</t>
        </is>
      </c>
      <c r="G6" s="42" t="inlineStr">
        <is>
          <t>NO_CLEAR_DIRECTION</t>
        </is>
      </c>
      <c r="H6" s="42" t="inlineStr">
        <is>
          <t>مترادف REF08 در v35</t>
        </is>
      </c>
      <c r="I6" s="44" t="inlineStr">
        <is>
          <t>VERIFIED_WITH_LIMITATION</t>
        </is>
      </c>
      <c r="J6" s="42" t="inlineStr">
        <is>
          <t>Iran_BSI_v35 | راهنمای محاسبات و منابع</t>
        </is>
      </c>
    </row>
    <row r="7" ht="29" customHeight="1" s="76">
      <c r="A7" s="50" t="inlineStr">
        <is>
          <t>Legal Entity Change Rate</t>
        </is>
      </c>
      <c r="B7" s="50" t="inlineStr">
        <is>
          <t>M/N</t>
        </is>
      </c>
      <c r="C7" s="50" t="inlineStr">
        <is>
          <t>M=کرسی‌هایی که شخص حقوقی صاحب کرسی عوض شد</t>
        </is>
      </c>
      <c r="D7" s="50" t="inlineStr">
        <is>
          <t>N=کرسی‌های دارای شخص حقوقی</t>
        </is>
      </c>
      <c r="E7" s="50" t="inlineStr">
        <is>
          <t>ساختار حقوقی قابل اعمال</t>
        </is>
      </c>
      <c r="F7" s="50" t="inlineStr">
        <is>
          <t>N/A نه صفر</t>
        </is>
      </c>
      <c r="G7" s="50" t="inlineStr">
        <is>
          <t>NO_CLEAR_DIRECTION</t>
        </is>
      </c>
      <c r="H7" s="50" t="inlineStr">
        <is>
          <t>K=N−M</t>
        </is>
      </c>
      <c r="I7" s="44" t="inlineStr">
        <is>
          <t>VERIFIED_WITH_LIMITATION</t>
        </is>
      </c>
      <c r="J7" s="50" t="inlineStr">
        <is>
          <t>Iran_BSI_v35 | راهنمای محاسبات و منابع</t>
        </is>
      </c>
    </row>
    <row r="8" ht="29" customHeight="1" s="76">
      <c r="A8" s="42" t="inlineStr">
        <is>
          <t>New Member Share</t>
        </is>
      </c>
      <c r="B8" s="42" t="inlineStr">
        <is>
          <t>P/Q</t>
        </is>
      </c>
      <c r="C8" s="42" t="inlineStr">
        <is>
          <t>P=اعضای FY1404 که در Snapshot FY1403 نبودند</t>
        </is>
      </c>
      <c r="D8" s="42" t="inlineStr">
        <is>
          <t>Q=اندازه هیئت FY1404</t>
        </is>
      </c>
      <c r="E8" s="42" t="inlineStr">
        <is>
          <t>روستر FY1404 کامل</t>
        </is>
      </c>
      <c r="F8" s="42" t="inlineStr">
        <is>
          <t>Missing ⇒ خالی</t>
        </is>
      </c>
      <c r="G8" s="42" t="inlineStr">
        <is>
          <t>CONTEXT_DEPENDENT</t>
        </is>
      </c>
      <c r="H8" s="42" t="inlineStr">
        <is>
          <t>P≥G (۵ نقض)</t>
        </is>
      </c>
      <c r="I8" s="44" t="inlineStr">
        <is>
          <t>VERIFIED_WITH_LIMITATION</t>
        </is>
      </c>
      <c r="J8" s="42" t="inlineStr">
        <is>
          <t>Iran_BSI_v35 | راهنمای محاسبات و منابع</t>
        </is>
      </c>
    </row>
    <row r="9" ht="29" customHeight="1" s="76">
      <c r="A9" s="50" t="inlineStr">
        <is>
          <t>Board Stability</t>
        </is>
      </c>
      <c r="B9" s="50" t="inlineStr">
        <is>
          <t>S/T = 1−Turnover</t>
        </is>
      </c>
      <c r="C9" s="50" t="inlineStr">
        <is>
          <t>S=H−G</t>
        </is>
      </c>
      <c r="D9" s="50" t="inlineStr">
        <is>
          <t>T=H</t>
        </is>
      </c>
      <c r="E9" s="50" t="inlineStr">
        <is>
          <t>مانند Turnover</t>
        </is>
      </c>
      <c r="F9" s="50" t="inlineStr">
        <is>
          <t>مانند Turnover</t>
        </is>
      </c>
      <c r="G9" s="50" t="inlineStr">
        <is>
          <t>CONTEXT_DEPENDENT</t>
        </is>
      </c>
      <c r="H9" s="50" t="inlineStr">
        <is>
          <t>S=H−G برقرار در همه ۲۷</t>
        </is>
      </c>
      <c r="I9" s="44" t="inlineStr">
        <is>
          <t>VERIFIED_WITH_LIMITATION</t>
        </is>
      </c>
      <c r="J9" s="50" t="inlineStr">
        <is>
          <t>Iran_BSI_v35 | راهنمای محاسبات و منابع</t>
        </is>
      </c>
    </row>
    <row r="10" ht="43.5" customHeight="1" s="76">
      <c r="A10" s="42" t="inlineStr">
        <is>
          <t>Chair Change CR1A</t>
        </is>
      </c>
      <c r="B10" s="42" t="inlineStr">
        <is>
          <t>indicator(Chair_FY1404≠Chair_FY1403 در پنجره مشترک)</t>
        </is>
      </c>
      <c r="C10" s="42" t="inlineStr">
        <is>
          <t>تغییر=1</t>
        </is>
      </c>
      <c r="D10" s="42" t="inlineStr">
        <is>
          <t>شرکت‌های دارای هویت رئیس در هر دو نقطه</t>
        </is>
      </c>
      <c r="E10" s="42" t="inlineStr">
        <is>
          <t>زنجیره زمانی رئیس</t>
        </is>
      </c>
      <c r="F10" s="42" t="inlineStr">
        <is>
          <t>ناشناخته ⇒ Missing</t>
        </is>
      </c>
      <c r="G10" s="42" t="inlineStr">
        <is>
          <t>NO_CLEAR_DIRECTION</t>
        </is>
      </c>
      <c r="H10" s="42" t="inlineStr">
        <is>
          <t>تعارض تاپیکو و کچاد با بازسازی v38 رفع شد؛ تعارض فملی باز است؛ حساسیت جم به تاریخ انتشار حفظ شد.</t>
        </is>
      </c>
      <c r="I10" s="45" t="inlineStr">
        <is>
          <t>CALCULATION_UPDATED_SOURCE_REVIEW_OPEN</t>
        </is>
      </c>
      <c r="J10" s="42" t="inlineStr">
        <is>
          <t>CR1A v39؛ مقایسه نام رئیس و لینک مستقیم به ورودی v38</t>
        </is>
      </c>
    </row>
    <row r="11" ht="29" customHeight="1" s="76">
      <c r="A11" s="50" t="inlineStr">
        <is>
          <t>Education Diversity V1</t>
        </is>
      </c>
      <c r="B11" s="50" t="inlineStr">
        <is>
          <t>1−Σp²</t>
        </is>
      </c>
      <c r="C11" s="50" t="inlineStr">
        <is>
          <t>p=سهم هر رشته هماهنگ‌شده</t>
        </is>
      </c>
      <c r="D11" s="50" t="inlineStr">
        <is>
          <t>اندازه هیئت با رشته معلوم</t>
        </is>
      </c>
      <c r="E11" s="50" t="inlineStr">
        <is>
          <t>حداقل ۲ عضو با رشته معلوم</t>
        </is>
      </c>
      <c r="F11" s="50" t="inlineStr">
        <is>
          <t>COULD_NOT_VERIFY ⇒ خالی</t>
        </is>
      </c>
      <c r="G11" s="50" t="inlineStr">
        <is>
          <t>POSITIVE_DIRECTION</t>
        </is>
      </c>
      <c r="H11" s="50" t="inlineStr">
        <is>
          <t>Blau خام؛ Normalized فقط Robustness</t>
        </is>
      </c>
      <c r="I11" s="44" t="inlineStr">
        <is>
          <t>VERIFIED_WITH_LIMITATION</t>
        </is>
      </c>
      <c r="J11" s="50" t="inlineStr">
        <is>
          <t>Iran_BSI_v35 | راهنمای محاسبات و منابع</t>
        </is>
      </c>
    </row>
    <row r="12" ht="29" customHeight="1" s="76">
      <c r="A12" s="42" t="inlineStr">
        <is>
          <t>Professional Background Diversity VAR06_Strict</t>
        </is>
      </c>
      <c r="B12" s="42" t="inlineStr">
        <is>
          <t>1−Σp² روی گروه‌های Strict</t>
        </is>
      </c>
      <c r="C12" s="42" t="inlineStr">
        <is>
          <t>p=سهم گروه سابقه Strict</t>
        </is>
      </c>
      <c r="D12" s="42" t="inlineStr">
        <is>
          <t>اعضای با گروه Strict غیر-UNCLASSIFIED</t>
        </is>
      </c>
      <c r="E12" s="42" t="inlineStr">
        <is>
          <t>حداقل ۲ عضو طبقه‌بندی‌شده</t>
        </is>
      </c>
      <c r="F12" s="42" t="inlineStr">
        <is>
          <t>UNCLASSIFIED حذف از مخرج</t>
        </is>
      </c>
      <c r="G12" s="42" t="inlineStr">
        <is>
          <t>POSITIVE_DIRECTION</t>
        </is>
      </c>
      <c r="H12" s="42" t="inlineStr">
        <is>
          <t>خودرو None</t>
        </is>
      </c>
      <c r="I12" s="45" t="inlineStr">
        <is>
          <t>NEEDS_CORRECTION</t>
        </is>
      </c>
      <c r="J12" s="42" t="inlineStr">
        <is>
          <t>Iran_BSI_v35 | راهنمای محاسبات و منابع</t>
        </is>
      </c>
    </row>
    <row r="13" ht="29" customHeight="1" s="76">
      <c r="A13" s="50" t="inlineStr">
        <is>
          <t>Financial Expertise Share VAR10</t>
        </is>
      </c>
      <c r="B13" s="50" t="inlineStr">
        <is>
          <t>FinExp/N</t>
        </is>
      </c>
      <c r="C13" s="50" t="inlineStr">
        <is>
          <t>FinExp=اعضای با تخصص مالی مستند</t>
        </is>
      </c>
      <c r="D13" s="50" t="inlineStr">
        <is>
          <t>N=اعضای با مدرک/سابقه معلوم</t>
        </is>
      </c>
      <c r="E13" s="50" t="inlineStr">
        <is>
          <t>شواهد تحصیل/سابقه</t>
        </is>
      </c>
      <c r="F13" s="50" t="inlineStr">
        <is>
          <t>مدرک ناشناخته ⇒ خالی</t>
        </is>
      </c>
      <c r="G13" s="50" t="inlineStr">
        <is>
          <t>POSITIVE_DIRECTION</t>
        </is>
      </c>
      <c r="H13" s="50" t="inlineStr">
        <is>
          <t>همپوشانی با V1/VAR06</t>
        </is>
      </c>
      <c r="I13" s="44" t="inlineStr">
        <is>
          <t>VERIFIED_WITH_LIMITATION</t>
        </is>
      </c>
      <c r="J13" s="50" t="inlineStr">
        <is>
          <t>Iran_BSI_v35 | راهنمای محاسبات و منابع</t>
        </is>
      </c>
    </row>
    <row r="14" ht="29" customHeight="1" s="76">
      <c r="A14" s="42" t="inlineStr">
        <is>
          <t>Structural Independence Proxy S1A</t>
        </is>
      </c>
      <c r="B14" s="42" t="inlineStr">
        <is>
          <t>NonExec/N</t>
        </is>
      </c>
      <c r="C14" s="42" t="inlineStr">
        <is>
          <t>NonExec=اعضای غیرموظف</t>
        </is>
      </c>
      <c r="D14" s="42" t="inlineStr">
        <is>
          <t>N=اعضای با Duty_Status معلوم</t>
        </is>
      </c>
      <c r="E14" s="42" t="inlineStr">
        <is>
          <t>Duty_Status افشا شده</t>
        </is>
      </c>
      <c r="F14" s="42" t="inlineStr">
        <is>
          <t>NOT_DISCLOSED ⇒ خارج از مخرج</t>
        </is>
      </c>
      <c r="G14" s="42" t="inlineStr">
        <is>
          <t>CONTEXT_DEPENDENT</t>
        </is>
      </c>
      <c r="H14" s="42" t="inlineStr">
        <is>
          <t>پروکسی؛ نه استقلال صریح</t>
        </is>
      </c>
      <c r="I14" s="44" t="inlineStr">
        <is>
          <t>VERIFIED_WITH_LIMITATION</t>
        </is>
      </c>
      <c r="J14" s="42" t="inlineStr">
        <is>
          <t>Iran_BSI_v35 | راهنمای محاسبات و منابع</t>
        </is>
      </c>
    </row>
    <row r="15" ht="29" customHeight="1" s="76">
      <c r="A15" s="50" t="inlineStr">
        <is>
          <t>AUD01 Audit Committee Existence</t>
        </is>
      </c>
      <c r="B15" s="50" t="inlineStr">
        <is>
          <t>indicator</t>
        </is>
      </c>
      <c r="C15" s="50" t="inlineStr">
        <is>
          <t>1 اگر افشای صریح</t>
        </is>
      </c>
      <c r="D15" s="50" t="inlineStr">
        <is>
          <t>شرکت‌های با سند معتبر</t>
        </is>
      </c>
      <c r="E15" s="50" t="inlineStr">
        <is>
          <t>افشای رسمی</t>
        </is>
      </c>
      <c r="F15" s="50" t="inlineStr">
        <is>
          <t>نبود افشا ⇒ NOT_DISCLOSED نه 0</t>
        </is>
      </c>
      <c r="G15" s="50" t="inlineStr">
        <is>
          <t>POSITIVE_DIRECTION</t>
        </is>
      </c>
      <c r="H15" s="50" t="inlineStr">
        <is>
          <t>شبندر اصلاح</t>
        </is>
      </c>
      <c r="I15" s="45" t="inlineStr">
        <is>
          <t>NEEDS_CORRECTION</t>
        </is>
      </c>
      <c r="J15" s="50" t="inlineStr">
        <is>
          <t>Iran_BSI_v35 | راهنمای محاسبات و منابع</t>
        </is>
      </c>
    </row>
    <row r="16" ht="29" customHeight="1" s="76">
      <c r="A16" s="42" t="inlineStr">
        <is>
          <t>AUD02 Audit Committee Size</t>
        </is>
      </c>
      <c r="B16" s="42" t="inlineStr">
        <is>
          <t>count</t>
        </is>
      </c>
      <c r="C16" s="42" t="inlineStr">
        <is>
          <t>تعداد اعضا</t>
        </is>
      </c>
      <c r="D16" s="42" t="inlineStr">
        <is>
          <t>—</t>
        </is>
      </c>
      <c r="E16" s="42" t="inlineStr">
        <is>
          <t>AC وجود دارد و روستر کامل</t>
        </is>
      </c>
      <c r="F16" s="42" t="inlineStr">
        <is>
          <t>نبود روستر ⇒ خالی</t>
        </is>
      </c>
      <c r="G16" s="42" t="inlineStr">
        <is>
          <t>NONLINEAR_POSSIBLE</t>
        </is>
      </c>
      <c r="H16" s="42" t="inlineStr">
        <is>
          <t>۱۱ دقیق</t>
        </is>
      </c>
      <c r="I16" s="45" t="inlineStr">
        <is>
          <t>NEEDS_CORRECTION</t>
        </is>
      </c>
      <c r="J16" s="42" t="inlineStr">
        <is>
          <t>Iran_BSI_v35 | راهنمای محاسبات و منابع</t>
        </is>
      </c>
    </row>
    <row r="17" ht="29" customHeight="1" s="76">
      <c r="A17" s="50" t="inlineStr">
        <is>
          <t>IRN01 Legal Entity Seat Share</t>
        </is>
      </c>
      <c r="B17" s="50" t="inlineStr">
        <is>
          <t>LE/N</t>
        </is>
      </c>
      <c r="C17" s="50" t="inlineStr">
        <is>
          <t>LE=کرسی با شخص حقوقی</t>
        </is>
      </c>
      <c r="D17" s="50" t="inlineStr">
        <is>
          <t>N=اعضا</t>
        </is>
      </c>
      <c r="E17" s="50" t="inlineStr">
        <is>
          <t>روستر کامل</t>
        </is>
      </c>
      <c r="F17" s="50" t="inlineStr">
        <is>
          <t>N/A نه صفر</t>
        </is>
      </c>
      <c r="G17" s="50" t="inlineStr">
        <is>
          <t>NO_CLEAR_DIRECTION</t>
        </is>
      </c>
      <c r="H17" s="50" t="inlineStr">
        <is>
          <t>IRN01+IRN02=1</t>
        </is>
      </c>
      <c r="I17" s="44" t="inlineStr">
        <is>
          <t>VERIFIED_WITH_LIMITATION</t>
        </is>
      </c>
      <c r="J17" s="50" t="inlineStr">
        <is>
          <t>Iran_BSI_v35 | راهنمای محاسبات و منابع</t>
        </is>
      </c>
    </row>
    <row r="18" ht="29" customHeight="1" s="76">
      <c r="A18" s="42" t="inlineStr">
        <is>
          <t>SEP07 CEO–Chair Separation</t>
        </is>
      </c>
      <c r="B18" s="42" t="inlineStr">
        <is>
          <t>indicator(Chair≠CEO)</t>
        </is>
      </c>
      <c r="C18" s="42" t="inlineStr">
        <is>
          <t>1 اگر جدا</t>
        </is>
      </c>
      <c r="D18" s="42" t="inlineStr">
        <is>
          <t>شرکت‌های با هر دو نقش مشخص</t>
        </is>
      </c>
      <c r="E18" s="42" t="inlineStr">
        <is>
          <t>روستر</t>
        </is>
      </c>
      <c r="F18" s="42" t="inlineStr">
        <is>
          <t>ناشناخته ⇒ خالی</t>
        </is>
      </c>
      <c r="G18" s="42" t="inlineStr">
        <is>
          <t>POSITIVE_DIRECTION</t>
        </is>
      </c>
      <c r="H18" s="42" t="inlineStr">
        <is>
          <t>Variation صفر</t>
        </is>
      </c>
      <c r="I18" s="45" t="inlineStr">
        <is>
          <t>NEEDS_CORRECTION</t>
        </is>
      </c>
      <c r="J18" s="42" t="inlineStr">
        <is>
          <t>Iran_BSI_v35 | راهنمای محاسبات و منابع</t>
        </is>
      </c>
    </row>
  </sheetData>
  <mergeCells count="2">
    <mergeCell ref="A1:J1"/>
    <mergeCell ref="A2:J2"/>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J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2"/>
    <col width="35.33203125" customWidth="1" style="76" min="3" max="3"/>
    <col width="15.33203125" customWidth="1" style="76" min="4" max="4"/>
    <col width="33.33203125" customWidth="1" style="76" min="5" max="5"/>
    <col width="42" customWidth="1" style="76" min="6" max="7"/>
    <col width="22" customWidth="1" style="76" min="8" max="8"/>
    <col width="12.5" customWidth="1" style="76" min="9" max="9"/>
    <col width="21" customWidth="1" style="76" min="10" max="10"/>
  </cols>
  <sheetData>
    <row r="1" ht="34" customHeight="1" s="76">
      <c r="A1" s="79" t="inlineStr">
        <is>
          <t>ممیزی منابع (Source_ID / URL / Evidence_Method)</t>
        </is>
      </c>
    </row>
    <row r="2" ht="28" customHeight="1" s="76">
      <c r="A2" s="86" t="inlineStr">
        <is>
          <t>قاعده: بدون Source ⇒ VERIFIED نیست. ۹ شرکت در Turnover نهایی URL ندارند؛ برای ۴ شرکت پایه (فملی/تاپیکو/فارس/خودرو) ردیف رجیستری وجود ندارد.</t>
        </is>
      </c>
    </row>
    <row r="3" ht="30" customHeight="1" s="76">
      <c r="A3" s="48" t="inlineStr">
        <is>
          <t>شرکت</t>
        </is>
      </c>
      <c r="B3" s="48" t="inlineStr">
        <is>
          <t>Source_ID</t>
        </is>
      </c>
      <c r="C3" s="48" t="inlineStr">
        <is>
          <t>Document</t>
        </is>
      </c>
      <c r="D3" s="48" t="inlineStr">
        <is>
          <t>Fiscal_Year</t>
        </is>
      </c>
      <c r="E3" s="48" t="inlineStr">
        <is>
          <t>ثبت منبع</t>
        </is>
      </c>
      <c r="F3" s="48" t="inlineStr">
        <is>
          <t>Source_URL</t>
        </is>
      </c>
      <c r="G3" s="48" t="inlineStr">
        <is>
          <t>Evidence_Method</t>
        </is>
      </c>
      <c r="H3" s="48" t="inlineStr">
        <is>
          <t>Evidence_Quality v35</t>
        </is>
      </c>
      <c r="I3" s="48" t="inlineStr">
        <is>
          <t>Gap</t>
        </is>
      </c>
      <c r="J3" s="48" t="inlineStr">
        <is>
          <t>وضعیت</t>
        </is>
      </c>
    </row>
    <row r="4" ht="72.5" customHeight="1" s="76">
      <c r="A4" s="42" t="inlineStr">
        <is>
          <t>فملی</t>
        </is>
      </c>
      <c r="B4" s="42" t="inlineStr">
        <is>
          <t>Iran_BSI_v33_Phase4_2K_FinalTurnoverClosure.xlsx | برگه های گردش اشخاص حقیقی، تغییر نماینده، تغییر شخص حقوقی، اعضای جدید، ثبات هیئت و تغییر رئیس</t>
        </is>
      </c>
      <c r="C4" s="42" t="inlineStr">
        <is>
          <t>Codal (ن-۴۵ / ن-۱۱ / گزارش سالانه)</t>
        </is>
      </c>
      <c r="D4" s="42" t="inlineStr">
        <is>
          <t>FY1403/FY1404</t>
        </is>
      </c>
      <c r="E4" s="42" t="inlineStr">
        <is>
          <t>فقط ارجاع v33؛ بدون ردیف رجیستری</t>
        </is>
      </c>
      <c r="F4" s="42" t="inlineStr">
        <is>
          <t>—</t>
        </is>
      </c>
      <c r="G4" s="42" t="inlineStr">
        <is>
          <t>DIRECT_ROSTER_COMPARISON</t>
        </is>
      </c>
      <c r="H4" s="42" t="inlineStr">
        <is>
          <t>بالا</t>
        </is>
      </c>
      <c r="I4" s="42" t="inlineStr">
        <is>
          <t>SOURCE_GAP</t>
        </is>
      </c>
      <c r="J4" s="46" t="inlineStr">
        <is>
          <t>NEEDS_SOURCE_REVIEW</t>
        </is>
      </c>
    </row>
    <row r="5" ht="72.5" customHeight="1" s="76">
      <c r="A5" s="50" t="inlineStr">
        <is>
          <t>تاپیکو</t>
        </is>
      </c>
      <c r="B5" s="50" t="inlineStr">
        <is>
          <t>Iran_BSI_v33_Phase4_2K_FinalTurnoverClosure.xlsx | برگه های گردش اشخاص حقیقی، تغییر نماینده، تغییر شخص حقوقی، اعضای جدید، ثبات هیئت و تغییر رئیس</t>
        </is>
      </c>
      <c r="C5" s="50" t="inlineStr">
        <is>
          <t>Codal (ن-۴۵ / ن-۱۱ / گزارش سالانه)</t>
        </is>
      </c>
      <c r="D5" s="50" t="inlineStr">
        <is>
          <t>FY1403/FY1404</t>
        </is>
      </c>
      <c r="E5" s="50" t="inlineStr">
        <is>
          <t>فقط ارجاع v33؛ بدون ردیف رجیستری</t>
        </is>
      </c>
      <c r="F5" s="50" t="inlineStr">
        <is>
          <t>—</t>
        </is>
      </c>
      <c r="G5" s="50" t="inlineStr">
        <is>
          <t>DIRECT_ROSTER_COMPARISON</t>
        </is>
      </c>
      <c r="H5" s="50" t="inlineStr">
        <is>
          <t>متوسط</t>
        </is>
      </c>
      <c r="I5" s="50" t="inlineStr">
        <is>
          <t>SOURCE_GAP</t>
        </is>
      </c>
      <c r="J5" s="46" t="inlineStr">
        <is>
          <t>NEEDS_SOURCE_REVIEW</t>
        </is>
      </c>
    </row>
    <row r="6" ht="101.5" customHeight="1" s="76">
      <c r="A6" s="42" t="inlineStr">
        <is>
          <t>فارس</t>
        </is>
      </c>
      <c r="B6" s="42"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C6" s="42" t="inlineStr">
        <is>
          <t>Codal (ن-۴۵ / ن-۱۱ / گزارش سالانه)</t>
        </is>
      </c>
      <c r="D6" s="42" t="inlineStr">
        <is>
          <t>FY1403/FY1404</t>
        </is>
      </c>
      <c r="E6" s="42" t="inlineStr">
        <is>
          <t>فقط ارجاع v33؛ بدون ردیف رجیستری</t>
        </is>
      </c>
      <c r="F6" s="42" t="inlineStr">
        <is>
          <t>—</t>
        </is>
      </c>
      <c r="G6" s="42" t="inlineStr">
        <is>
          <t>DIRECT_ROSTER_COMPARISON</t>
        </is>
      </c>
      <c r="H6" s="42" t="inlineStr">
        <is>
          <t>بالا</t>
        </is>
      </c>
      <c r="I6" s="42" t="inlineStr">
        <is>
          <t>SOURCE_GAP</t>
        </is>
      </c>
      <c r="J6" s="46" t="inlineStr">
        <is>
          <t>NEEDS_SOURCE_REVIEW</t>
        </is>
      </c>
    </row>
    <row r="7" ht="58" customHeight="1" s="76">
      <c r="A7" s="50" t="inlineStr">
        <is>
          <t>خودرو</t>
        </is>
      </c>
      <c r="B7" s="50" t="inlineStr">
        <is>
          <t>Iran_BSI_v33_Phase4_2K_FinalTurnoverClosure.xlsx | روش MEMBERSHIP_START_RECONSTRUCTION و برگه های خانواده Turnover</t>
        </is>
      </c>
      <c r="C7" s="50" t="inlineStr">
        <is>
          <t>Codal (ن-۴۵ / ن-۱۱ / گزارش سالانه)</t>
        </is>
      </c>
      <c r="D7" s="50" t="inlineStr">
        <is>
          <t>FY1403/FY1404</t>
        </is>
      </c>
      <c r="E7" s="50" t="inlineStr">
        <is>
          <t>فقط ارجاع v33؛ بدون ردیف رجیستری</t>
        </is>
      </c>
      <c r="F7" s="50" t="inlineStr">
        <is>
          <t>—</t>
        </is>
      </c>
      <c r="G7" s="50" t="inlineStr">
        <is>
          <t>MEMBERSHIP_START_RECONSTRUCTION</t>
        </is>
      </c>
      <c r="H7" s="50" t="inlineStr">
        <is>
          <t>متوسط</t>
        </is>
      </c>
      <c r="I7" s="50" t="inlineStr">
        <is>
          <t>SOURCE_GAP</t>
        </is>
      </c>
      <c r="J7" s="46" t="inlineStr">
        <is>
          <t>NEEDS_SOURCE_REVIEW</t>
        </is>
      </c>
    </row>
    <row r="8" ht="116" customHeight="1" s="76">
      <c r="A8" s="42" t="inlineStr">
        <is>
          <t>زاگرس</t>
        </is>
      </c>
      <c r="B8" s="42"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C8" s="42" t="inlineStr">
        <is>
          <t>Codal (ن-۴۵ / ن-۱۱ / گزارش سالانه)</t>
        </is>
      </c>
      <c r="D8" s="42" t="inlineStr">
        <is>
          <t>FY1403/FY1404</t>
        </is>
      </c>
      <c r="E8" s="42" t="inlineStr">
        <is>
          <t>فقط ارجاع v33؛ بدون ردیف رجیستری</t>
        </is>
      </c>
      <c r="F8" s="42" t="inlineStr">
        <is>
          <t>—</t>
        </is>
      </c>
      <c r="G8" s="42" t="inlineStr">
        <is>
          <t>DIRECT_ROSTER_COMPARISON</t>
        </is>
      </c>
      <c r="H8" s="42" t="inlineStr">
        <is>
          <t>بالا</t>
        </is>
      </c>
      <c r="I8" s="42" t="inlineStr">
        <is>
          <t>SOURCE_GAP</t>
        </is>
      </c>
      <c r="J8" s="46" t="inlineStr">
        <is>
          <t>NEEDS_SOURCE_REVIEW</t>
        </is>
      </c>
    </row>
    <row r="9" ht="145" customHeight="1" s="76">
      <c r="A9" s="50" t="inlineStr">
        <is>
          <t>شبندر</t>
        </is>
      </c>
      <c r="B9" s="50"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c r="C9" s="50" t="inlineStr">
        <is>
          <t>Codal (ن-۴۵ / ن-۱۱ / گزارش سالانه)</t>
        </is>
      </c>
      <c r="D9" s="50" t="inlineStr">
        <is>
          <t>FY1403/FY1404</t>
        </is>
      </c>
      <c r="E9" s="50" t="inlineStr">
        <is>
          <t>ثبت در ثبت منابع Batchها</t>
        </is>
      </c>
      <c r="F9" s="50" t="inlineStr">
        <is>
          <t>https://www.codal.ir/Reports/Decision.aspx?LetterSerial=ULk65ZOHpAkFOOObOOOb3pLpblJQ%3d%3d&amp;rt=0&amp;let=19&amp;ct=0&amp;ft=-1
https://www.codal.ir/Reports/Decision.aspx?LetterSerial=kealwqnfPYdWwbR3UB9uZw%3d%3d&amp;rt=0&amp;let=19&amp;ct=0&amp;ft=-1</t>
        </is>
      </c>
      <c r="G9" s="50" t="inlineStr">
        <is>
          <t>MULTI_SOURCE_ROSTER_COMPARISON</t>
        </is>
      </c>
      <c r="H9" s="50" t="inlineStr">
        <is>
          <t>متوسط</t>
        </is>
      </c>
      <c r="I9" s="50" t="inlineStr">
        <is>
          <t>OK</t>
        </is>
      </c>
      <c r="J9" s="44" t="inlineStr">
        <is>
          <t>VERIFIED</t>
        </is>
      </c>
    </row>
    <row r="10" ht="116" customHeight="1" s="76">
      <c r="A10" s="42" t="inlineStr">
        <is>
          <t>پارس</t>
        </is>
      </c>
      <c r="B10" s="42"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C10" s="42" t="inlineStr">
        <is>
          <t>Codal (ن-۴۵ / ن-۱۱ / گزارش سالانه)</t>
        </is>
      </c>
      <c r="D10" s="42" t="inlineStr">
        <is>
          <t>FY1403/FY1404</t>
        </is>
      </c>
      <c r="E10" s="42" t="inlineStr">
        <is>
          <t>ثبت در ثبت منابع Batchها</t>
        </is>
      </c>
      <c r="F10" s="42" t="inlineStr">
        <is>
          <t>https://www.codal.ir/Reports/Decision.aspx?LetterSerial=sjHofZygVLXICVj8iXL3Aw%3d%3d&amp;rt=0&amp;let=19&amp;ct=0&amp;ft=-1
https://www.codal.ir/Reports/Decision.aspx?LetterSerial=1kqm2T6e5zV5EQQQaQQQKdlIj9HA%3d%3d&amp;rt=0&amp;let=19&amp;ct=0&amp;ft=-1</t>
        </is>
      </c>
      <c r="G10" s="42" t="inlineStr">
        <is>
          <t>TYPE19_CHRONOLOGY</t>
        </is>
      </c>
      <c r="H10" s="42" t="inlineStr">
        <is>
          <t>متوسط</t>
        </is>
      </c>
      <c r="I10" s="42" t="inlineStr">
        <is>
          <t>OK</t>
        </is>
      </c>
      <c r="J10" s="44" t="inlineStr">
        <is>
          <t>VERIFIED</t>
        </is>
      </c>
    </row>
    <row r="11" ht="116" customHeight="1" s="76">
      <c r="A11" s="50" t="inlineStr">
        <is>
          <t>شتران</t>
        </is>
      </c>
      <c r="B11" s="50"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C11" s="50" t="inlineStr">
        <is>
          <t>Codal (ن-۴۵ / ن-۱۱ / گزارش سالانه)</t>
        </is>
      </c>
      <c r="D11" s="50" t="inlineStr">
        <is>
          <t>FY1403/FY1404</t>
        </is>
      </c>
      <c r="E11" s="50" t="inlineStr">
        <is>
          <t>ثبت در ثبت منابع Batchها</t>
        </is>
      </c>
      <c r="F11" s="50" t="inlineStr">
        <is>
          <t>https://www.codal.ir/Reports/Attachment.aspx?LetterSerial=W3P2HVjIaDXFbdMemqSeUA%3d%3d
https://www.codal.ir/Reports/Attachment.aspx?LetterSerial=F0veQQQaQQQX4tai7nAftHYyrDhg%3d%3d</t>
        </is>
      </c>
      <c r="G11" s="50" t="inlineStr">
        <is>
          <t>DIRECT_ROSTER_COMPARISON</t>
        </is>
      </c>
      <c r="H11" s="50" t="inlineStr">
        <is>
          <t>بالا</t>
        </is>
      </c>
      <c r="I11" s="50" t="inlineStr">
        <is>
          <t>OK</t>
        </is>
      </c>
      <c r="J11" s="44" t="inlineStr">
        <is>
          <t>VERIFIED</t>
        </is>
      </c>
    </row>
    <row r="12" ht="116" customHeight="1" s="76">
      <c r="A12" s="42" t="inlineStr">
        <is>
          <t>وتجارت</t>
        </is>
      </c>
      <c r="B12" s="42"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is>
      </c>
      <c r="C12" s="42" t="inlineStr">
        <is>
          <t>Codal (ن-۴۵ / ن-۱۱ / گزارش سالانه)</t>
        </is>
      </c>
      <c r="D12" s="42" t="inlineStr">
        <is>
          <t>FY1403/FY1404</t>
        </is>
      </c>
      <c r="E12" s="42" t="inlineStr">
        <is>
          <t>فقط ارجاع v33؛ بدون ردیف رجیستری</t>
        </is>
      </c>
      <c r="F12" s="42" t="inlineStr">
        <is>
          <t>—</t>
        </is>
      </c>
      <c r="G12" s="42" t="inlineStr">
        <is>
          <t>DIRECT_ROSTER_COMPARISON_WITH_BOARD_SIZE_CHANGE</t>
        </is>
      </c>
      <c r="H12" s="42" t="inlineStr">
        <is>
          <t>بالا</t>
        </is>
      </c>
      <c r="I12" s="42" t="inlineStr">
        <is>
          <t>SOURCE_GAP</t>
        </is>
      </c>
      <c r="J12" s="46" t="inlineStr">
        <is>
          <t>NEEDS_SOURCE_REVIEW</t>
        </is>
      </c>
    </row>
    <row r="13" ht="130.5" customHeight="1" s="76">
      <c r="A13" s="50" t="inlineStr">
        <is>
          <t>رمپنا</t>
        </is>
      </c>
      <c r="B13" s="50"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C13" s="50" t="inlineStr">
        <is>
          <t>Codal (ن-۴۵ / ن-۱۱ / گزارش سالانه)</t>
        </is>
      </c>
      <c r="D13" s="50" t="inlineStr">
        <is>
          <t>FY1403/FY1404</t>
        </is>
      </c>
      <c r="E13" s="50" t="inlineStr">
        <is>
          <t>ثبت در ثبت منابع Batchها</t>
        </is>
      </c>
      <c r="F13" s="50" t="inlineStr">
        <is>
          <t>https://www.codal.ir/Reports/Decision.aspx?LetterSerial=gsard4xmaj4Zi8yOS8AWMA%3d%3d&amp;rt=5&amp;let=19&amp;ct=0&amp;ft=-1
https://www.codal.ir/Reports/Decision.aspx?LetterSerial=4P4QQQaQQQssbMX9ZMuZVciqBKOOObOOOg%3d%3d&amp;rt=5&amp;let=19&amp;ct=0&amp;ft=-1</t>
        </is>
      </c>
      <c r="G13" s="50" t="inlineStr">
        <is>
          <t>TYPE19_CHRONOLOGY</t>
        </is>
      </c>
      <c r="H13" s="50" t="inlineStr">
        <is>
          <t>متوسط</t>
        </is>
      </c>
      <c r="I13" s="50" t="inlineStr">
        <is>
          <t>OK</t>
        </is>
      </c>
      <c r="J13" s="44" t="inlineStr">
        <is>
          <t>VERIFIED</t>
        </is>
      </c>
    </row>
    <row r="14" ht="101.5" customHeight="1" s="76">
      <c r="A14" s="42" t="inlineStr">
        <is>
          <t>فخوز</t>
        </is>
      </c>
      <c r="B14" s="42"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C14" s="42" t="inlineStr">
        <is>
          <t>Codal (ن-۴۵ / ن-۱۱ / گزارش سالانه)</t>
        </is>
      </c>
      <c r="D14" s="42" t="inlineStr">
        <is>
          <t>FY1403/FY1404</t>
        </is>
      </c>
      <c r="E14" s="42" t="inlineStr">
        <is>
          <t>فقط ارجاع v33؛ بدون ردیف رجیستری</t>
        </is>
      </c>
      <c r="F14" s="42" t="inlineStr">
        <is>
          <t>—</t>
        </is>
      </c>
      <c r="G14" s="42" t="inlineStr">
        <is>
          <t>MULTI_SOURCE_RECONCILIATION</t>
        </is>
      </c>
      <c r="H14" s="42" t="inlineStr">
        <is>
          <t>بالا</t>
        </is>
      </c>
      <c r="I14" s="42" t="inlineStr">
        <is>
          <t>SOURCE_GAP</t>
        </is>
      </c>
      <c r="J14" s="46" t="inlineStr">
        <is>
          <t>NEEDS_SOURCE_REVIEW</t>
        </is>
      </c>
    </row>
    <row r="15" ht="87" customHeight="1" s="76">
      <c r="A15" s="50" t="inlineStr">
        <is>
          <t>شستا</t>
        </is>
      </c>
      <c r="B15" s="50" t="inlineStr">
        <is>
          <t>SRC_SHST_1404_015 | افشای نوع ۱۹ | ۱۴۰۳ | ۱ | Snapshot مبنا برای ۱۴۰۳
SRC_SHST_1404_007 | افشای نوع ۱۹ | ۱۴۰۴ | ۱ | Snapshot مبنا برای ۱۴۰۴</t>
        </is>
      </c>
      <c r="C15" s="50" t="inlineStr">
        <is>
          <t>Codal (ن-۴۵ / ن-۱۱ / گزارش سالانه)</t>
        </is>
      </c>
      <c r="D15" s="50" t="inlineStr">
        <is>
          <t>FY1403/FY1404</t>
        </is>
      </c>
      <c r="E15" s="50" t="inlineStr">
        <is>
          <t>ثبت در ثبت منابع Batchها</t>
        </is>
      </c>
      <c r="F15" s="50" t="inlineStr">
        <is>
          <t>https://www.codal.ir/Reports/Decision.aspx?LetterSerial=b8oxHadTuSstqVNc5Bqzjw%3d%3d&amp;rt=2&amp;let=19&amp;ct=0&amp;ft=-1
https://www.codal.ir/Reports/Decision.aspx?LetterSerial=pk2gUF4FVfw9cOOObOOOOR6kSTDg%3d%3d&amp;rt=2&amp;let=19&amp;ct=0&amp;ft=-1</t>
        </is>
      </c>
      <c r="G15" s="50" t="inlineStr">
        <is>
          <t>DIRECT_TYPE19_COMPARISON</t>
        </is>
      </c>
      <c r="H15" s="50" t="inlineStr">
        <is>
          <t>بالا</t>
        </is>
      </c>
      <c r="I15" s="50" t="inlineStr">
        <is>
          <t>OK</t>
        </is>
      </c>
      <c r="J15" s="44" t="inlineStr">
        <is>
          <t>VERIFIED</t>
        </is>
      </c>
    </row>
    <row r="16" ht="87" customHeight="1" s="76">
      <c r="A16" s="42" t="inlineStr">
        <is>
          <t>شپنا</t>
        </is>
      </c>
      <c r="B16" s="42" t="inlineStr">
        <is>
          <t>SRC_SHPN_1404_002 | افشای نوع ۱۹ | ۱۴۰۳ | ۱ | Snapshot مبنا برای ۱۴۰۳
SRC_SHPN_1404_004 | افشای نوع ۱۹ | ۱۴۰۴ | ۱ تا ۲ | Snapshot مبنا برای ۱۴۰۴</t>
        </is>
      </c>
      <c r="C16" s="42" t="inlineStr">
        <is>
          <t>Codal (ن-۴۵ / ن-۱۱ / گزارش سالانه)</t>
        </is>
      </c>
      <c r="D16" s="42" t="inlineStr">
        <is>
          <t>FY1403/FY1404</t>
        </is>
      </c>
      <c r="E16" s="42" t="inlineStr">
        <is>
          <t>ثبت در ثبت منابع Batchها</t>
        </is>
      </c>
      <c r="F16" s="42" t="inlineStr">
        <is>
          <t>https://www.codal.ir/Reports/Decision.aspx?LetterSerial=BgB1TPEYicGYh74gmrG9mA%3d%3d&amp;rt=0&amp;let=19&amp;ct=0&amp;ft=-1
https://www.codal.ir/Reports/Decision.aspx?LetterSerial=zWRtzdFgEWKY0H4XNrzRzA%3d%3d&amp;rt=0&amp;let=19&amp;ct=0&amp;ft=-1</t>
        </is>
      </c>
      <c r="G16" s="42" t="inlineStr">
        <is>
          <t>DIRECT_TYPE19_COMPARISON</t>
        </is>
      </c>
      <c r="H16" s="42" t="inlineStr">
        <is>
          <t>بالا</t>
        </is>
      </c>
      <c r="I16" s="42" t="inlineStr">
        <is>
          <t>OK</t>
        </is>
      </c>
      <c r="J16" s="44" t="inlineStr">
        <is>
          <t>VERIFIED</t>
        </is>
      </c>
    </row>
    <row r="17" ht="87" customHeight="1" s="76">
      <c r="A17" s="50" t="inlineStr">
        <is>
          <t>وغدیر</t>
        </is>
      </c>
      <c r="B17" s="50" t="inlineStr">
        <is>
          <t>SRC_VGHD_1404_002 | افشای نوع ۱۹ | ۱۴۰۳ | ۱ | Snapshot مبنا برای ۱۴۰۳
SRC_VGHD_1404_006 | افشای نوع ۱۹ | ۱۴۰۴ | ۱ | Snapshot مبنا برای ۱۴۰۴</t>
        </is>
      </c>
      <c r="C17" s="50" t="inlineStr">
        <is>
          <t>Codal (ن-۴۵ / ن-۱۱ / گزارش سالانه)</t>
        </is>
      </c>
      <c r="D17" s="50" t="inlineStr">
        <is>
          <t>FY1403/FY1404</t>
        </is>
      </c>
      <c r="E17" s="50" t="inlineStr">
        <is>
          <t>ثبت در ثبت منابع Batchها</t>
        </is>
      </c>
      <c r="F17" s="50" t="inlineStr">
        <is>
          <t>https://www.codal.ir/Reports/Decision.aspx?LetterSerial=b9uqvOIQIMvyGYAfsuoWUg%3d%3d&amp;rt=2&amp;let=19&amp;ct=0&amp;ft=-1
https://www.codal.ir/Reports/Decision.aspx?LetterSerial=ytYjZCpQQQaQQQ34BFQkm8DLxX9A%3d%3d&amp;rt=2&amp;let=19&amp;ct=0&amp;ft=-1</t>
        </is>
      </c>
      <c r="G17" s="50" t="inlineStr">
        <is>
          <t>DIRECT_TYPE19_COMPARISON</t>
        </is>
      </c>
      <c r="H17" s="50" t="inlineStr">
        <is>
          <t>بالا</t>
        </is>
      </c>
      <c r="I17" s="50" t="inlineStr">
        <is>
          <t>OK</t>
        </is>
      </c>
      <c r="J17" s="44" t="inlineStr">
        <is>
          <t>VERIFIED</t>
        </is>
      </c>
    </row>
    <row r="18" ht="116" customHeight="1" s="76">
      <c r="A18" s="42" t="inlineStr">
        <is>
          <t>نوری</t>
        </is>
      </c>
      <c r="B18" s="42"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C18" s="42" t="inlineStr">
        <is>
          <t>Codal (ن-۴۵ / ن-۱۱ / گزارش سالانه)</t>
        </is>
      </c>
      <c r="D18" s="42" t="inlineStr">
        <is>
          <t>FY1403/FY1404</t>
        </is>
      </c>
      <c r="E18" s="42" t="inlineStr">
        <is>
          <t>ثبت در ثبت منابع Batchها</t>
        </is>
      </c>
      <c r="F18" s="42" t="inlineStr">
        <is>
          <t>https://www.codal.ir/Reports/Attachment.aspx?LetterSerial=qQQQaQQQXL8Mm5NCUb8eyBSic7hA%3d%3d
https://www.codal.ir/Reports/Attachment.aspx?LetterSerial=lWuukNFzDitnWL7VD4weCA%3d%3d</t>
        </is>
      </c>
      <c r="G18" s="42" t="inlineStr">
        <is>
          <t>ANNUAL_REPORT_PLUS_TYPE19</t>
        </is>
      </c>
      <c r="H18" s="42" t="inlineStr">
        <is>
          <t>متوسط رو به بالا</t>
        </is>
      </c>
      <c r="I18" s="42" t="inlineStr">
        <is>
          <t>OK</t>
        </is>
      </c>
      <c r="J18" s="44" t="inlineStr">
        <is>
          <t>VERIFIED</t>
        </is>
      </c>
    </row>
    <row r="19" ht="101.5" customHeight="1" s="76">
      <c r="A19" s="50" t="inlineStr">
        <is>
          <t>فولاد</t>
        </is>
      </c>
      <c r="B19" s="50"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C19" s="50" t="inlineStr">
        <is>
          <t>Codal (ن-۴۵ / ن-۱۱ / گزارش سالانه)</t>
        </is>
      </c>
      <c r="D19" s="50" t="inlineStr">
        <is>
          <t>FY1403/FY1404</t>
        </is>
      </c>
      <c r="E19" s="50" t="inlineStr">
        <is>
          <t>ثبت در ثبت منابع Batchها</t>
        </is>
      </c>
      <c r="F19" s="50" t="inlineStr">
        <is>
          <t>https://www.codal.ir/Reports/Attachment.aspx?LetterSerial=lIOOObOOOFuv6MQlLw20bmBKF3Cw%3d%3d
https://www.codal.ir/Reports/Attachment.aspx?LetterSerial=DjTPnm9Pa79X4Gv1Zp8FQQQaQQQQ%3d%3d</t>
        </is>
      </c>
      <c r="G19" s="50" t="inlineStr">
        <is>
          <t>DIRECT_ANNUAL_REPORT_COMPARISON</t>
        </is>
      </c>
      <c r="H19" s="50" t="inlineStr">
        <is>
          <t>بالا</t>
        </is>
      </c>
      <c r="I19" s="50" t="inlineStr">
        <is>
          <t>OK</t>
        </is>
      </c>
      <c r="J19" s="44" t="inlineStr">
        <is>
          <t>VERIFIED</t>
        </is>
      </c>
    </row>
    <row r="20" ht="101.5" customHeight="1" s="76">
      <c r="A20" s="42" t="inlineStr">
        <is>
          <t>کچاد</t>
        </is>
      </c>
      <c r="B20" s="42" t="inlineStr">
        <is>
          <t>SRC_KCHD_1403_001 | گزارش فعالیت هیئت مدیره | ۱۴۰۳ | ۴ | Snapshot مبنا برای ۱۴۰۳ و ثبت صریح کرسی خالی
SRC_KCHD_1404_006 | افشای نوع ۱۹ | ۱۴۰۴ | ۱ | Snapshot مبنا برای ۱۴۰۴</t>
        </is>
      </c>
      <c r="C20" s="42" t="inlineStr">
        <is>
          <t>Codal (ن-۴۵ / ن-۱۱ / گزارش سالانه)</t>
        </is>
      </c>
      <c r="D20" s="42" t="inlineStr">
        <is>
          <t>FY1403/FY1404</t>
        </is>
      </c>
      <c r="E20" s="42" t="inlineStr">
        <is>
          <t>ثبت در ثبت منابع Batchها</t>
        </is>
      </c>
      <c r="F20" s="42" t="inlineStr">
        <is>
          <t>https://www.codal.ir/Reports/Attachment.aspx?LetterSerial=RjOGt7pH1eRnl2ioIPNqDg%3d%3d
https://www.codal.ir/Reports/Decision.aspx?LetterSerial=XPg1kJyBIkadWnCXHnsdKg%3d%3d&amp;rt=0&amp;let=19&amp;ct=0&amp;ft=-1</t>
        </is>
      </c>
      <c r="G20" s="42" t="inlineStr">
        <is>
          <t>ANNUAL_REPORT_PLUS_TYPE19</t>
        </is>
      </c>
      <c r="H20" s="42" t="inlineStr">
        <is>
          <t>بالا</t>
        </is>
      </c>
      <c r="I20" s="42" t="inlineStr">
        <is>
          <t>OK</t>
        </is>
      </c>
      <c r="J20" s="44" t="inlineStr">
        <is>
          <t>VERIFIED</t>
        </is>
      </c>
    </row>
    <row r="21" ht="87" customHeight="1" s="76">
      <c r="A21" s="50" t="inlineStr">
        <is>
          <t>کگل</t>
        </is>
      </c>
      <c r="B21" s="50" t="inlineStr">
        <is>
          <t>SRC_KGOL_1404_002 | افشای نوع ۱۹ | ۱۴۰۳ | ۱ | Snapshot مبنا برای پایان ۱۴۰۳ و جلوگیری از Look Ahead
SRC_KGOL_1404_004 | افشای نوع ۱۹ | ۱۴۰۴ | ۱ | Snapshot مبنا برای ۱۴۰۴</t>
        </is>
      </c>
      <c r="C21" s="50" t="inlineStr">
        <is>
          <t>Codal (ن-۴۵ / ن-۱۱ / گزارش سالانه)</t>
        </is>
      </c>
      <c r="D21" s="50" t="inlineStr">
        <is>
          <t>FY1403/FY1404</t>
        </is>
      </c>
      <c r="E21" s="50" t="inlineStr">
        <is>
          <t>ثبت در ثبت منابع Batchها</t>
        </is>
      </c>
      <c r="F21" s="50" t="inlineStr">
        <is>
          <t>https://www.codal.ir/Reports/Decision.aspx?LetterSerial=V8TQGa6IRAmh3pwzvDL0KQ%3d%3d&amp;rt=0&amp;let=19&amp;ct=0&amp;ft=-1
https://www.codal.ir/Reports/Decision.aspx?LetterSerial=IYIOOObOOO6mh6t3bHqdV5BigMrg%3d%3d&amp;rt=0&amp;let=19&amp;ct=0&amp;ft=-1</t>
        </is>
      </c>
      <c r="G21" s="50" t="inlineStr">
        <is>
          <t>DIRECT_TYPE19_COMPARISON</t>
        </is>
      </c>
      <c r="H21" s="50" t="inlineStr">
        <is>
          <t>بالا</t>
        </is>
      </c>
      <c r="I21" s="50" t="inlineStr">
        <is>
          <t>OK</t>
        </is>
      </c>
      <c r="J21" s="44" t="inlineStr">
        <is>
          <t>VERIFIED</t>
        </is>
      </c>
    </row>
    <row r="22" ht="87" customHeight="1" s="76">
      <c r="A22" s="42" t="inlineStr">
        <is>
          <t>پارسان</t>
        </is>
      </c>
      <c r="B22" s="42" t="inlineStr">
        <is>
          <t>SRC_PRSN_1403_001 | گزارش فعالیت هیئت مدیره | ۱۴۰۳ | ۵۰ | Snapshot مبنا برای ۱۴۰۳
SRC_PRSN_1404_007 | گزارش فعالیت هیئت مدیره | ۱۴۰۴ | ۳۷ تا ۳۸ | Snapshot مبنا برای ۱۴۰۴</t>
        </is>
      </c>
      <c r="C22" s="42" t="inlineStr">
        <is>
          <t>Codal (ن-۴۵ / ن-۱۱ / گزارش سالانه)</t>
        </is>
      </c>
      <c r="D22" s="42" t="inlineStr">
        <is>
          <t>FY1403/FY1404</t>
        </is>
      </c>
      <c r="E22" s="42" t="inlineStr">
        <is>
          <t>ثبت در ثبت منابع Batchها</t>
        </is>
      </c>
      <c r="F22" s="42" t="inlineStr">
        <is>
          <t>https://www.codal.ir/Reports/Attachment.aspx?LetterSerial=Pzx8AUWEOOObOOOMcLjZdiSXNAoA%3d%3d
https://www.codal.ir/Reports/Attachment.aspx?LetterSerial=L6jPydiKkSCQR9kVCKMgkg%3d%3d</t>
        </is>
      </c>
      <c r="G22" s="42" t="inlineStr">
        <is>
          <t>DIRECT_ANNUAL_REPORT_COMPARISON</t>
        </is>
      </c>
      <c r="H22" s="42" t="inlineStr">
        <is>
          <t>بالا</t>
        </is>
      </c>
      <c r="I22" s="42" t="inlineStr">
        <is>
          <t>OK</t>
        </is>
      </c>
      <c r="J22" s="44" t="inlineStr">
        <is>
          <t>VERIFIED</t>
        </is>
      </c>
    </row>
    <row r="23" ht="130.5" customHeight="1" s="76">
      <c r="A23" s="50" t="inlineStr">
        <is>
          <t>اخابر</t>
        </is>
      </c>
      <c r="B23" s="50"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C23" s="50" t="inlineStr">
        <is>
          <t>Codal (ن-۴۵ / ن-۱۱ / گزارش سالانه)</t>
        </is>
      </c>
      <c r="D23" s="50" t="inlineStr">
        <is>
          <t>FY1403/FY1404</t>
        </is>
      </c>
      <c r="E23" s="50" t="inlineStr">
        <is>
          <t>ثبت در ثبت منابع Batchها</t>
        </is>
      </c>
      <c r="F23" s="50" t="inlineStr">
        <is>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is>
      </c>
      <c r="G23" s="50" t="inlineStr">
        <is>
          <t>VISUAL_PLUS_TYPE19_RECONCILIATION</t>
        </is>
      </c>
      <c r="H23" s="50" t="inlineStr">
        <is>
          <t>بالا</t>
        </is>
      </c>
      <c r="I23" s="50" t="inlineStr">
        <is>
          <t>OK</t>
        </is>
      </c>
      <c r="J23" s="44" t="inlineStr">
        <is>
          <t>VERIFIED</t>
        </is>
      </c>
    </row>
    <row r="24" ht="130.5" customHeight="1" s="76">
      <c r="A24" s="42" t="inlineStr">
        <is>
          <t>جم</t>
        </is>
      </c>
      <c r="B24" s="42"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is>
      </c>
      <c r="C24" s="42" t="inlineStr">
        <is>
          <t>Codal (ن-۴۵ / ن-۱۱ / گزارش سالانه)</t>
        </is>
      </c>
      <c r="D24" s="42" t="inlineStr">
        <is>
          <t>FY1403/FY1404</t>
        </is>
      </c>
      <c r="E24" s="42" t="inlineStr">
        <is>
          <t>ثبت در ثبت منابع Batchها</t>
        </is>
      </c>
      <c r="F24" s="42" t="inlineStr">
        <is>
          <t>https://www.codal.ir/Reports/Attachment.aspx?LetterSerial=7DOfnJSrljlS4F1ZUoECfA%3d%3d
https://www.codal.ir/Reports/Decision.aspx?LetterSerial=BY8YXlJLNgWdHoQQQaQQQN2kMTZQ%3d%3d&amp;rt=0&amp;let=19&amp;ct=0&amp;ft=-1
https://www.codal.ir/Reports/Decision.aspx?LetterSerial=zrRXQNzllX2hozqxWf2Nng%3d%3d&amp;rt=0&amp;let=19&amp;ct=0&amp;ft=-1</t>
        </is>
      </c>
      <c r="G24" s="42" t="inlineStr">
        <is>
          <t>ANNUAL_REPORT_PLUS_TYPE19</t>
        </is>
      </c>
      <c r="H24" s="42" t="inlineStr">
        <is>
          <t>بالا</t>
        </is>
      </c>
      <c r="I24" s="42" t="inlineStr">
        <is>
          <t>OK</t>
        </is>
      </c>
      <c r="J24" s="44" t="inlineStr">
        <is>
          <t>VERIFIED</t>
        </is>
      </c>
    </row>
    <row r="25" ht="174" customHeight="1" s="76">
      <c r="A25" s="50" t="inlineStr">
        <is>
          <t>ومعادن</t>
        </is>
      </c>
      <c r="B25" s="50"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C25" s="50" t="inlineStr">
        <is>
          <t>Codal (ن-۴۵ / ن-۱۱ / گزارش سالانه)</t>
        </is>
      </c>
      <c r="D25" s="50" t="inlineStr">
        <is>
          <t>FY1403/FY1404</t>
        </is>
      </c>
      <c r="E25" s="50" t="inlineStr">
        <is>
          <t>ثبت در ثبت منابع Batchها</t>
        </is>
      </c>
      <c r="F25" s="50" t="inlineStr">
        <is>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is>
      </c>
      <c r="G25" s="50" t="inlineStr">
        <is>
          <t>DIRECT_REPORT_PLUS_TYPE19</t>
        </is>
      </c>
      <c r="H25" s="50" t="inlineStr">
        <is>
          <t>بالا</t>
        </is>
      </c>
      <c r="I25" s="50" t="inlineStr">
        <is>
          <t>OK</t>
        </is>
      </c>
      <c r="J25" s="44" t="inlineStr">
        <is>
          <t>VERIFIED</t>
        </is>
      </c>
    </row>
    <row r="26" ht="174" customHeight="1" s="76">
      <c r="A26" s="42" t="inlineStr">
        <is>
          <t>وامید</t>
        </is>
      </c>
      <c r="B26" s="42"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C26" s="42" t="inlineStr">
        <is>
          <t>Codal (ن-۴۵ / ن-۱۱ / گزارش سالانه)</t>
        </is>
      </c>
      <c r="D26" s="42" t="inlineStr">
        <is>
          <t>FY1403/FY1404</t>
        </is>
      </c>
      <c r="E26" s="42" t="inlineStr">
        <is>
          <t>ثبت در ثبت منابع Batchها</t>
        </is>
      </c>
      <c r="F26" s="42" t="inlineStr">
        <is>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is>
      </c>
      <c r="G26" s="42" t="inlineStr">
        <is>
          <t>DIRECT_FISCAL_YEAR_COMPARISON</t>
        </is>
      </c>
      <c r="H26" s="42" t="inlineStr">
        <is>
          <t>بالا</t>
        </is>
      </c>
      <c r="I26" s="42" t="inlineStr">
        <is>
          <t>OK</t>
        </is>
      </c>
      <c r="J26" s="44" t="inlineStr">
        <is>
          <t>VERIFIED</t>
        </is>
      </c>
    </row>
    <row r="27" ht="87" customHeight="1" s="76">
      <c r="A27" s="50" t="inlineStr">
        <is>
          <t>خساپا</t>
        </is>
      </c>
      <c r="B27" s="50" t="inlineStr">
        <is>
          <t>SRC_KHSP_1404_002 | افشای نوع ۱۹ | ۱۴۰۳ | ۱ | Snapshot مبنا ۱۴۰۳
SRC_KHSP_1404_004 | افشای نوع ۱۹ | ۱۴۰۴ | ۱ | Snapshot ۱۴۰۴ و تطبیق کرسی ها</t>
        </is>
      </c>
      <c r="C27" s="50" t="inlineStr">
        <is>
          <t>Codal (ن-۴۵ / ن-۱۱ / گزارش سالانه)</t>
        </is>
      </c>
      <c r="D27" s="50" t="inlineStr">
        <is>
          <t>FY1403/FY1404</t>
        </is>
      </c>
      <c r="E27" s="50" t="inlineStr">
        <is>
          <t>ثبت در ثبت منابع Batchها</t>
        </is>
      </c>
      <c r="F27" s="50" t="inlineStr">
        <is>
          <t>https://www.codal.ir/Reports/Decision.aspx?LetterSerial=0rlsOOObOOOEFaa9IMoCD90IUbxA%3d%3d&amp;rt=0&amp;let=19&amp;ct=0&amp;ft=-1
https://www.codal.ir/Reports/Decision.aspx?LetterSerial=UJ1so0i61H6WpTMWJ3OsCA%3d%3d&amp;rt=0&amp;let=19&amp;ct=0&amp;ft=-1</t>
        </is>
      </c>
      <c r="G27" s="50" t="inlineStr">
        <is>
          <t>DIRECT_TYPE19_COMPARISON</t>
        </is>
      </c>
      <c r="H27" s="50" t="inlineStr">
        <is>
          <t>بالا</t>
        </is>
      </c>
      <c r="I27" s="50" t="inlineStr">
        <is>
          <t>OK</t>
        </is>
      </c>
      <c r="J27" s="44" t="inlineStr">
        <is>
          <t>VERIFIED</t>
        </is>
      </c>
    </row>
    <row r="28" ht="130.5" customHeight="1" s="76">
      <c r="A28" s="42" t="inlineStr">
        <is>
          <t>همراه</t>
        </is>
      </c>
      <c r="B28" s="42"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C28" s="42" t="inlineStr">
        <is>
          <t>Codal (ن-۴۵ / ن-۱۱ / گزارش سالانه)</t>
        </is>
      </c>
      <c r="D28" s="42" t="inlineStr">
        <is>
          <t>FY1403/FY1404</t>
        </is>
      </c>
      <c r="E28" s="42" t="inlineStr">
        <is>
          <t>ثبت در ثبت منابع Batchها</t>
        </is>
      </c>
      <c r="F28" s="42" t="inlineStr">
        <is>
          <t>https://www.codal.ir/Reports/Attachment.aspx?LetterSerial=qF6WQQQaQQQvb3G9yQQQaQQQVuknoGcUQQ%3d%3d
https://www.codal.ir/Reports/Attachment.aspx?LetterSerial=Ln6R9zsWXNJqeuz97OOObOOOaACw%3d%3d
https://www.codal.ir/Reports/Decision.aspx?LetterSerial=EkFsjyhmhfXBQoQQQaQQQTg7cqCw%3d%3d&amp;rt=5&amp;let=19&amp;ct=0&amp;ft=-1</t>
        </is>
      </c>
      <c r="G28" s="42" t="inlineStr">
        <is>
          <t>DIRECT_ANNUAL_REPORT_PLUS_TYPE19</t>
        </is>
      </c>
      <c r="H28" s="42" t="inlineStr">
        <is>
          <t>بالا</t>
        </is>
      </c>
      <c r="I28" s="42" t="inlineStr">
        <is>
          <t>OK</t>
        </is>
      </c>
      <c r="J28" s="44" t="inlineStr">
        <is>
          <t>VERIFIED</t>
        </is>
      </c>
    </row>
    <row r="29" ht="87" customHeight="1" s="76">
      <c r="A29" s="50" t="inlineStr">
        <is>
          <t>وبملت</t>
        </is>
      </c>
      <c r="B29" s="50" t="inlineStr">
        <is>
          <t>SRC_MELT_1404_006 | افشای نوع ۱۹ | ۱۴۰۳ | ۱ | Snapshot اشخاص حقیقی ۱۴۰۳
SRC_MELT_1404_005 | افشای نوع ۱۹ | ۱۴۰۴ | ۱ | Snapshot اشخاص حقیقی ۱۴۰۴؛ فقط تغییر سمت</t>
        </is>
      </c>
      <c r="C29" s="50" t="inlineStr">
        <is>
          <t>Codal (ن-۴۵ / ن-۱۱ / گزارش سالانه)</t>
        </is>
      </c>
      <c r="D29" s="50" t="inlineStr">
        <is>
          <t>FY1403/FY1404</t>
        </is>
      </c>
      <c r="E29" s="50" t="inlineStr">
        <is>
          <t>ثبت در ثبت منابع Batchها</t>
        </is>
      </c>
      <c r="F29" s="50" t="inlineStr">
        <is>
          <t>https://www.codal.ir/Reports/Decision.aspx?LetterSerial=pMyRiSQQQaQQQwMIoymmCCqmzwtg%3d%3d&amp;rt=3&amp;let=19&amp;ct=0&amp;ft=-1
https://www.codal.ir/Reports/Decision.aspx?LetterSerial=jqQzOOObOOOZ5mOOObOOO0IdbSC6088ERA%3d%3d&amp;rt=3&amp;let=19&amp;ct=0&amp;ft=-1</t>
        </is>
      </c>
      <c r="G29" s="50" t="inlineStr">
        <is>
          <t>DIRECT_TYPE19_COMPARISON</t>
        </is>
      </c>
      <c r="H29" s="50" t="inlineStr">
        <is>
          <t>بالا</t>
        </is>
      </c>
      <c r="I29" s="50" t="inlineStr">
        <is>
          <t>OK</t>
        </is>
      </c>
      <c r="J29" s="44" t="inlineStr">
        <is>
          <t>VERIFIED</t>
        </is>
      </c>
    </row>
    <row r="30" ht="87" customHeight="1" s="76">
      <c r="A30" s="42" t="inlineStr">
        <is>
          <t>وبصادر</t>
        </is>
      </c>
      <c r="B30" s="42" t="inlineStr">
        <is>
          <t>SRC_VBSD_1404_002 | گزارش فعالیت هیئت مدیره | ۱۴۰۳ | ۳۸ تا ۳۹ | Snapshot مبنا ۱۴۰۳
SRC_VBSD_1404_001 | گزارش فعالیت هیئت مدیره | ۱۴۰۴ | ۴۵ تا ۴۶ | Snapshot مبنا ۱۴۰۴</t>
        </is>
      </c>
      <c r="C30" s="42" t="inlineStr">
        <is>
          <t>Codal (ن-۴۵ / ن-۱۱ / گزارش سالانه)</t>
        </is>
      </c>
      <c r="D30" s="42" t="inlineStr">
        <is>
          <t>FY1403/FY1404</t>
        </is>
      </c>
      <c r="E30" s="42" t="inlineStr">
        <is>
          <t>ثبت در ثبت منابع Batchها</t>
        </is>
      </c>
      <c r="F30" s="42" t="inlineStr">
        <is>
          <t>https://www.codal.ir/Reports/Attachment.aspx?LetterSerial=HChwyLb11ZnzYeIEeB3Jng%3d%3d
https://www.codal.ir/Reports/Attachment.aspx?LetterSerial=p0cfFj1rDsXiFZsu35tCWw%3d%3d</t>
        </is>
      </c>
      <c r="G30" s="42" t="inlineStr">
        <is>
          <t>DIRECT_ANNUAL_REPORT_COMPARISON</t>
        </is>
      </c>
      <c r="H30" s="42" t="inlineStr">
        <is>
          <t>بالا</t>
        </is>
      </c>
      <c r="I30" s="42" t="inlineStr">
        <is>
          <t>OK</t>
        </is>
      </c>
      <c r="J30" s="44" t="inlineStr">
        <is>
          <t>VERIFIED</t>
        </is>
      </c>
    </row>
    <row r="31" ht="130.5" customHeight="1" s="76">
      <c r="A31" s="50" t="inlineStr">
        <is>
          <t>وپاسار</t>
        </is>
      </c>
      <c r="B31" s="50"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C31" s="50" t="inlineStr">
        <is>
          <t>Codal (ن-۴۵ / ن-۱۱ / گزارش سالانه)</t>
        </is>
      </c>
      <c r="D31" s="50" t="inlineStr">
        <is>
          <t>FY1403/FY1404</t>
        </is>
      </c>
      <c r="E31" s="50" t="inlineStr">
        <is>
          <t>ثبت در ثبت منابع Batchها</t>
        </is>
      </c>
      <c r="F31" s="50" t="inlineStr">
        <is>
          <t>https://www.codal.ir/Reports/Attachment.aspx?LetterSerial=Cxkdj8wztt52xU9MoBXp2w%3d%3d</t>
        </is>
      </c>
      <c r="G31" s="50" t="inlineStr">
        <is>
          <t>ARCHIVE_AVAILABILITY_CHECK</t>
        </is>
      </c>
      <c r="H31" s="50" t="inlineStr">
        <is>
          <t>حل نشده</t>
        </is>
      </c>
      <c r="I31" s="50" t="inlineStr">
        <is>
          <t>OK</t>
        </is>
      </c>
      <c r="J31" s="44" t="inlineStr">
        <is>
          <t>VERIFIED</t>
        </is>
      </c>
    </row>
    <row r="32" ht="58" customHeight="1" s="76">
      <c r="A32" s="42" t="inlineStr">
        <is>
          <t>حکشتی</t>
        </is>
      </c>
      <c r="B32" s="42" t="inlineStr">
        <is>
          <t>Iran_BSI_v33_Phase4_2K_FinalTurnoverClosure.xlsx | شرکت های Seat Level | داده شخص حقیقی برای Turnover قابل اتکا نبود</t>
        </is>
      </c>
      <c r="C32" s="42" t="inlineStr">
        <is>
          <t>Codal (ن-۴۵ / ن-۱۱ / گزارش سالانه)</t>
        </is>
      </c>
      <c r="D32" s="42" t="inlineStr">
        <is>
          <t>FY1403/FY1404</t>
        </is>
      </c>
      <c r="E32" s="42" t="inlineStr">
        <is>
          <t>فقط ارجاع v33؛ بدون ردیف رجیستری</t>
        </is>
      </c>
      <c r="F32" s="42" t="inlineStr">
        <is>
          <t>—</t>
        </is>
      </c>
      <c r="G32" s="42" t="inlineStr">
        <is>
          <t>SEAT_LEVEL_ONLY</t>
        </is>
      </c>
      <c r="H32" s="42" t="inlineStr">
        <is>
          <t>محدودیت ساختاری</t>
        </is>
      </c>
      <c r="I32" s="42" t="inlineStr">
        <is>
          <t>SOURCE_GAP</t>
        </is>
      </c>
      <c r="J32" s="46" t="inlineStr">
        <is>
          <t>NEEDS_SOURCE_REVIEW</t>
        </is>
      </c>
    </row>
    <row r="33" ht="58" customHeight="1" s="76">
      <c r="A33" s="50" t="inlineStr">
        <is>
          <t>شپدیس</t>
        </is>
      </c>
      <c r="B33" s="50" t="inlineStr">
        <is>
          <t>Iran_BSI_v33_Phase4_2K_FinalTurnoverClosure.xlsx | وضعیت ۳۰ شرکت | سند FY1403 برای تطبیق دو ساله در دسترس نبود</t>
        </is>
      </c>
      <c r="C33" s="50" t="inlineStr">
        <is>
          <t>Codal (ن-۴۵ / ن-۱۱ / گزارش سالانه)</t>
        </is>
      </c>
      <c r="D33" s="50" t="inlineStr">
        <is>
          <t>FY1403/FY1404</t>
        </is>
      </c>
      <c r="E33" s="50" t="inlineStr">
        <is>
          <t>فقط ارجاع v33؛ بدون ردیف رجیستری</t>
        </is>
      </c>
      <c r="F33" s="50" t="inlineStr">
        <is>
          <t>—</t>
        </is>
      </c>
      <c r="G33" s="50" t="inlineStr">
        <is>
          <t>MISSING_PRIOR_YEAR</t>
        </is>
      </c>
      <c r="H33" s="50" t="inlineStr">
        <is>
          <t>محدودیت داده</t>
        </is>
      </c>
      <c r="I33" s="50" t="inlineStr">
        <is>
          <t>SOURCE_GAP</t>
        </is>
      </c>
      <c r="J33" s="46" t="inlineStr">
        <is>
          <t>NEEDS_SOURCE_REVIEW</t>
        </is>
      </c>
    </row>
  </sheetData>
  <mergeCells count="2">
    <mergeCell ref="A1:J1"/>
    <mergeCell ref="A2:J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6.33203125" customWidth="1" style="76" min="2" max="2"/>
    <col width="15.33203125" customWidth="1" style="76" min="3" max="4"/>
    <col width="14.33203125" customWidth="1" style="76" min="5" max="5"/>
    <col width="42" customWidth="1" style="76" min="6" max="7"/>
    <col width="12.5" customWidth="1" style="76" min="8" max="8"/>
  </cols>
  <sheetData>
    <row r="1" ht="34" customHeight="1" s="76">
      <c r="A1" s="79" t="inlineStr">
        <is>
          <t>ممیزی Cutoff و Look-Ahead</t>
        </is>
      </c>
    </row>
    <row r="2" ht="28" customHeight="1" s="76">
      <c r="A2" s="86" t="inlineStr">
        <is>
          <t>تاریخ انتشار با سال مالی یکی گرفته نشده است. شرکت‌های با سال مالی غیرتقویمی با Cutoff مشترک ۱۴۰۳/۱۲/۲۹ و ۱۴۰۴/۱۲/۲۹ سنجیده می‌شوند.</t>
        </is>
      </c>
    </row>
    <row r="3" ht="30" customHeight="1" s="76">
      <c r="A3" s="48" t="inlineStr">
        <is>
          <t>شرکت</t>
        </is>
      </c>
      <c r="B3" s="48" t="inlineStr">
        <is>
          <t>پایان سال مالی</t>
        </is>
      </c>
      <c r="C3" s="48" t="inlineStr">
        <is>
          <t>Cutoff FY1403</t>
        </is>
      </c>
      <c r="D3" s="48" t="inlineStr">
        <is>
          <t>Cutoff FY1404</t>
        </is>
      </c>
      <c r="E3" s="48" t="inlineStr">
        <is>
          <t>نوع سال مالی</t>
        </is>
      </c>
      <c r="F3" s="48" t="inlineStr">
        <is>
          <t>قاعده</t>
        </is>
      </c>
      <c r="G3" s="48" t="inlineStr">
        <is>
          <t>Look-Ahead Flag</t>
        </is>
      </c>
      <c r="H3" s="48" t="inlineStr">
        <is>
          <t>وضعیت</t>
        </is>
      </c>
    </row>
    <row r="4" ht="29" customHeight="1" s="76">
      <c r="A4" s="42" t="inlineStr">
        <is>
          <t>فملی</t>
        </is>
      </c>
      <c r="B4" s="42" t="inlineStr">
        <is>
          <t>12/29</t>
        </is>
      </c>
      <c r="C4" s="42" t="inlineStr">
        <is>
          <t>1403/12/29</t>
        </is>
      </c>
      <c r="D4" s="42" t="inlineStr">
        <is>
          <t>1404/12/29</t>
        </is>
      </c>
      <c r="E4" s="42" t="inlineStr">
        <is>
          <t>تقویمی</t>
        </is>
      </c>
      <c r="F4" s="42" t="inlineStr">
        <is>
          <t>Publication date ≠ Fiscal year؛ Status-as-of باید ≤ Cutoff</t>
        </is>
      </c>
      <c r="G4" s="42" t="inlineStr">
        <is>
          <t>بدون نشانه Look-Ahead</t>
        </is>
      </c>
      <c r="H4" s="42" t="inlineStr">
        <is>
          <t>OK</t>
        </is>
      </c>
    </row>
    <row r="5" ht="29" customHeight="1" s="76">
      <c r="A5" s="50" t="inlineStr">
        <is>
          <t>تاپیکو</t>
        </is>
      </c>
      <c r="B5" s="50" t="inlineStr">
        <is>
          <t>02/31</t>
        </is>
      </c>
      <c r="C5" s="50" t="inlineStr">
        <is>
          <t>1403/12/29</t>
        </is>
      </c>
      <c r="D5" s="50" t="inlineStr">
        <is>
          <t>1404/12/29</t>
        </is>
      </c>
      <c r="E5" s="50" t="inlineStr">
        <is>
          <t>غیرتقویمی</t>
        </is>
      </c>
      <c r="F5" s="50" t="inlineStr">
        <is>
          <t>Publication date ≠ Fiscal year؛ Status-as-of باید ≤ Cutoff</t>
        </is>
      </c>
      <c r="G5" s="50" t="inlineStr">
        <is>
          <t>RISK: ≥3 عضو پس از Cutoff FY1403؛ Snapshot FY1403 ناهمتراز</t>
        </is>
      </c>
      <c r="H5" s="50" t="inlineStr">
        <is>
          <t>RISK</t>
        </is>
      </c>
    </row>
    <row r="6" ht="29" customHeight="1" s="76">
      <c r="A6" s="42" t="inlineStr">
        <is>
          <t>فارس</t>
        </is>
      </c>
      <c r="B6" s="42" t="inlineStr">
        <is>
          <t>03/31</t>
        </is>
      </c>
      <c r="C6" s="42" t="inlineStr">
        <is>
          <t>1403/12/29</t>
        </is>
      </c>
      <c r="D6" s="42" t="inlineStr">
        <is>
          <t>1404/12/29</t>
        </is>
      </c>
      <c r="E6" s="42" t="inlineStr">
        <is>
          <t>غیرتقویمی</t>
        </is>
      </c>
      <c r="F6" s="42" t="inlineStr">
        <is>
          <t>Publication date ≠ Fiscal year؛ Status-as-of باید ≤ Cutoff</t>
        </is>
      </c>
      <c r="G6" s="42" t="inlineStr">
        <is>
          <t>بدون نشانه Look-Ahead</t>
        </is>
      </c>
      <c r="H6" s="42" t="inlineStr">
        <is>
          <t>OK</t>
        </is>
      </c>
    </row>
    <row r="7" ht="29" customHeight="1" s="76">
      <c r="A7" s="50" t="inlineStr">
        <is>
          <t>خودرو</t>
        </is>
      </c>
      <c r="B7" s="50" t="inlineStr">
        <is>
          <t>12/29</t>
        </is>
      </c>
      <c r="C7" s="50" t="inlineStr">
        <is>
          <t>1403/12/29</t>
        </is>
      </c>
      <c r="D7" s="50" t="inlineStr">
        <is>
          <t>1404/12/29</t>
        </is>
      </c>
      <c r="E7" s="50" t="inlineStr">
        <is>
          <t>تقویمی</t>
        </is>
      </c>
      <c r="F7" s="50" t="inlineStr">
        <is>
          <t>Publication date ≠ Fiscal year؛ Status-as-of باید ≤ Cutoff</t>
        </is>
      </c>
      <c r="G7" s="50" t="inlineStr">
        <is>
          <t>بدون نشانه Look-Ahead</t>
        </is>
      </c>
      <c r="H7" s="50" t="inlineStr">
        <is>
          <t>OK</t>
        </is>
      </c>
    </row>
    <row r="8" ht="29" customHeight="1" s="76">
      <c r="A8" s="42" t="inlineStr">
        <is>
          <t>زاگرس</t>
        </is>
      </c>
      <c r="B8" s="42" t="inlineStr">
        <is>
          <t>12/29</t>
        </is>
      </c>
      <c r="C8" s="42" t="inlineStr">
        <is>
          <t>1403/12/29</t>
        </is>
      </c>
      <c r="D8" s="42" t="inlineStr">
        <is>
          <t>1404/12/29</t>
        </is>
      </c>
      <c r="E8" s="42" t="inlineStr">
        <is>
          <t>تقویمی</t>
        </is>
      </c>
      <c r="F8" s="42" t="inlineStr">
        <is>
          <t>Publication date ≠ Fiscal year؛ Status-as-of باید ≤ Cutoff</t>
        </is>
      </c>
      <c r="G8" s="42" t="inlineStr">
        <is>
          <t>بدون نشانه Look-Ahead</t>
        </is>
      </c>
      <c r="H8" s="42" t="inlineStr">
        <is>
          <t>OK</t>
        </is>
      </c>
    </row>
    <row r="9" ht="29" customHeight="1" s="76">
      <c r="A9" s="50" t="inlineStr">
        <is>
          <t>شبندر</t>
        </is>
      </c>
      <c r="B9" s="50" t="inlineStr">
        <is>
          <t>12/29</t>
        </is>
      </c>
      <c r="C9" s="50" t="inlineStr">
        <is>
          <t>1403/12/29</t>
        </is>
      </c>
      <c r="D9" s="50" t="inlineStr">
        <is>
          <t>1404/12/29</t>
        </is>
      </c>
      <c r="E9" s="50" t="inlineStr">
        <is>
          <t>تقویمی</t>
        </is>
      </c>
      <c r="F9" s="50" t="inlineStr">
        <is>
          <t>Publication date ≠ Fiscal year؛ Status-as-of باید ≤ Cutoff</t>
        </is>
      </c>
      <c r="G9" s="50" t="inlineStr">
        <is>
          <t>بدون نشانه Look-Ahead</t>
        </is>
      </c>
      <c r="H9" s="50" t="inlineStr">
        <is>
          <t>OK</t>
        </is>
      </c>
    </row>
    <row r="10" ht="29" customHeight="1" s="76">
      <c r="A10" s="42" t="inlineStr">
        <is>
          <t>پارس</t>
        </is>
      </c>
      <c r="B10" s="42" t="inlineStr">
        <is>
          <t>12/29</t>
        </is>
      </c>
      <c r="C10" s="42" t="inlineStr">
        <is>
          <t>1403/12/29</t>
        </is>
      </c>
      <c r="D10" s="42" t="inlineStr">
        <is>
          <t>1404/12/29</t>
        </is>
      </c>
      <c r="E10" s="42" t="inlineStr">
        <is>
          <t>تقویمی</t>
        </is>
      </c>
      <c r="F10" s="42" t="inlineStr">
        <is>
          <t>Publication date ≠ Fiscal year؛ Status-as-of باید ≤ Cutoff</t>
        </is>
      </c>
      <c r="G10" s="42" t="inlineStr">
        <is>
          <t>بدون نشانه Look-Ahead</t>
        </is>
      </c>
      <c r="H10" s="42" t="inlineStr">
        <is>
          <t>OK</t>
        </is>
      </c>
    </row>
    <row r="11" ht="29" customHeight="1" s="76">
      <c r="A11" s="50" t="inlineStr">
        <is>
          <t>شتران</t>
        </is>
      </c>
      <c r="B11" s="50" t="inlineStr">
        <is>
          <t>12/29</t>
        </is>
      </c>
      <c r="C11" s="50" t="inlineStr">
        <is>
          <t>1403/12/29</t>
        </is>
      </c>
      <c r="D11" s="50" t="inlineStr">
        <is>
          <t>1404/12/29</t>
        </is>
      </c>
      <c r="E11" s="50" t="inlineStr">
        <is>
          <t>تقویمی</t>
        </is>
      </c>
      <c r="F11" s="50" t="inlineStr">
        <is>
          <t>Publication date ≠ Fiscal year؛ Status-as-of باید ≤ Cutoff</t>
        </is>
      </c>
      <c r="G11" s="50" t="inlineStr">
        <is>
          <t>بدون نشانه Look-Ahead</t>
        </is>
      </c>
      <c r="H11" s="50" t="inlineStr">
        <is>
          <t>OK</t>
        </is>
      </c>
    </row>
    <row r="12" ht="29" customHeight="1" s="76">
      <c r="A12" s="42" t="inlineStr">
        <is>
          <t>وتجارت</t>
        </is>
      </c>
      <c r="B12" s="42" t="inlineStr">
        <is>
          <t>12/29</t>
        </is>
      </c>
      <c r="C12" s="42" t="inlineStr">
        <is>
          <t>1403/12/29</t>
        </is>
      </c>
      <c r="D12" s="42" t="inlineStr">
        <is>
          <t>1404/12/29</t>
        </is>
      </c>
      <c r="E12" s="42" t="inlineStr">
        <is>
          <t>تقویمی</t>
        </is>
      </c>
      <c r="F12" s="42" t="inlineStr">
        <is>
          <t>Publication date ≠ Fiscal year؛ Status-as-of باید ≤ Cutoff</t>
        </is>
      </c>
      <c r="G12" s="42" t="inlineStr">
        <is>
          <t>بدون نشانه Look-Ahead</t>
        </is>
      </c>
      <c r="H12" s="42" t="inlineStr">
        <is>
          <t>OK</t>
        </is>
      </c>
    </row>
    <row r="13" ht="29" customHeight="1" s="76">
      <c r="A13" s="50" t="inlineStr">
        <is>
          <t>رمپنا</t>
        </is>
      </c>
      <c r="B13" s="50" t="inlineStr">
        <is>
          <t>12/29</t>
        </is>
      </c>
      <c r="C13" s="50" t="inlineStr">
        <is>
          <t>1403/12/29</t>
        </is>
      </c>
      <c r="D13" s="50" t="inlineStr">
        <is>
          <t>1404/12/29</t>
        </is>
      </c>
      <c r="E13" s="50" t="inlineStr">
        <is>
          <t>تقویمی</t>
        </is>
      </c>
      <c r="F13" s="50" t="inlineStr">
        <is>
          <t>Publication date ≠ Fiscal year؛ Status-as-of باید ≤ Cutoff</t>
        </is>
      </c>
      <c r="G13" s="50" t="inlineStr">
        <is>
          <t>کنترل‌شده (Look Ahead حذف شد)</t>
        </is>
      </c>
      <c r="H13" s="50" t="inlineStr">
        <is>
          <t>CONTROLLED</t>
        </is>
      </c>
    </row>
    <row r="14" ht="29" customHeight="1" s="76">
      <c r="A14" s="42" t="inlineStr">
        <is>
          <t>فخوز</t>
        </is>
      </c>
      <c r="B14" s="42" t="inlineStr">
        <is>
          <t>12/29</t>
        </is>
      </c>
      <c r="C14" s="42" t="inlineStr">
        <is>
          <t>1403/12/29</t>
        </is>
      </c>
      <c r="D14" s="42" t="inlineStr">
        <is>
          <t>1404/12/29</t>
        </is>
      </c>
      <c r="E14" s="42" t="inlineStr">
        <is>
          <t>تقویمی</t>
        </is>
      </c>
      <c r="F14" s="42" t="inlineStr">
        <is>
          <t>Publication date ≠ Fiscal year؛ Status-as-of باید ≤ Cutoff</t>
        </is>
      </c>
      <c r="G14" s="42" t="inlineStr">
        <is>
          <t>کنترل‌شده (Cutoff کنترل شد)</t>
        </is>
      </c>
      <c r="H14" s="42" t="inlineStr">
        <is>
          <t>CONTROLLED</t>
        </is>
      </c>
    </row>
    <row r="15" ht="29" customHeight="1" s="76">
      <c r="A15" s="50" t="inlineStr">
        <is>
          <t>شستا</t>
        </is>
      </c>
      <c r="B15" s="50" t="inlineStr">
        <is>
          <t>03/31</t>
        </is>
      </c>
      <c r="C15" s="50" t="inlineStr">
        <is>
          <t>1403/12/29</t>
        </is>
      </c>
      <c r="D15" s="50" t="inlineStr">
        <is>
          <t>1404/12/29</t>
        </is>
      </c>
      <c r="E15" s="50" t="inlineStr">
        <is>
          <t>غیرتقویمی</t>
        </is>
      </c>
      <c r="F15" s="50" t="inlineStr">
        <is>
          <t>Publication date ≠ Fiscal year؛ Status-as-of باید ≤ Cutoff</t>
        </is>
      </c>
      <c r="G15" s="50" t="inlineStr">
        <is>
          <t>بدون نشانه Look-Ahead</t>
        </is>
      </c>
      <c r="H15" s="50" t="inlineStr">
        <is>
          <t>OK</t>
        </is>
      </c>
    </row>
    <row r="16" ht="29" customHeight="1" s="76">
      <c r="A16" s="42" t="inlineStr">
        <is>
          <t>شپنا</t>
        </is>
      </c>
      <c r="B16" s="42" t="inlineStr">
        <is>
          <t>12/29</t>
        </is>
      </c>
      <c r="C16" s="42" t="inlineStr">
        <is>
          <t>1403/12/29</t>
        </is>
      </c>
      <c r="D16" s="42" t="inlineStr">
        <is>
          <t>1404/12/29</t>
        </is>
      </c>
      <c r="E16" s="42" t="inlineStr">
        <is>
          <t>تقویمی</t>
        </is>
      </c>
      <c r="F16" s="42" t="inlineStr">
        <is>
          <t>Publication date ≠ Fiscal year؛ Status-as-of باید ≤ Cutoff</t>
        </is>
      </c>
      <c r="G16" s="42" t="inlineStr">
        <is>
          <t>بدون نشانه Look-Ahead</t>
        </is>
      </c>
      <c r="H16" s="42" t="inlineStr">
        <is>
          <t>OK</t>
        </is>
      </c>
    </row>
    <row r="17" ht="29" customHeight="1" s="76">
      <c r="A17" s="50" t="inlineStr">
        <is>
          <t>وغدیر</t>
        </is>
      </c>
      <c r="B17" s="50" t="inlineStr">
        <is>
          <t>09/30</t>
        </is>
      </c>
      <c r="C17" s="50" t="inlineStr">
        <is>
          <t>1403/12/29</t>
        </is>
      </c>
      <c r="D17" s="50" t="inlineStr">
        <is>
          <t>1404/12/29</t>
        </is>
      </c>
      <c r="E17" s="50" t="inlineStr">
        <is>
          <t>غیرتقویمی</t>
        </is>
      </c>
      <c r="F17" s="50" t="inlineStr">
        <is>
          <t>Publication date ≠ Fiscal year؛ Status-as-of باید ≤ Cutoff</t>
        </is>
      </c>
      <c r="G17" s="50" t="inlineStr">
        <is>
          <t>بدون نشانه Look-Ahead</t>
        </is>
      </c>
      <c r="H17" s="50" t="inlineStr">
        <is>
          <t>OK</t>
        </is>
      </c>
    </row>
    <row r="18" ht="29" customHeight="1" s="76">
      <c r="A18" s="42" t="inlineStr">
        <is>
          <t>نوری</t>
        </is>
      </c>
      <c r="B18" s="42" t="inlineStr">
        <is>
          <t>12/29</t>
        </is>
      </c>
      <c r="C18" s="42" t="inlineStr">
        <is>
          <t>1403/12/29</t>
        </is>
      </c>
      <c r="D18" s="42" t="inlineStr">
        <is>
          <t>1404/12/29</t>
        </is>
      </c>
      <c r="E18" s="42" t="inlineStr">
        <is>
          <t>تقویمی</t>
        </is>
      </c>
      <c r="F18" s="42" t="inlineStr">
        <is>
          <t>Publication date ≠ Fiscal year؛ Status-as-of باید ≤ Cutoff</t>
        </is>
      </c>
      <c r="G18" s="42" t="inlineStr">
        <is>
          <t>بدون نشانه Look-Ahead</t>
        </is>
      </c>
      <c r="H18" s="42" t="inlineStr">
        <is>
          <t>OK</t>
        </is>
      </c>
    </row>
    <row r="19" ht="29" customHeight="1" s="76">
      <c r="A19" s="50" t="inlineStr">
        <is>
          <t>فولاد</t>
        </is>
      </c>
      <c r="B19" s="50" t="inlineStr">
        <is>
          <t>12/29</t>
        </is>
      </c>
      <c r="C19" s="50" t="inlineStr">
        <is>
          <t>1403/12/29</t>
        </is>
      </c>
      <c r="D19" s="50" t="inlineStr">
        <is>
          <t>1404/12/29</t>
        </is>
      </c>
      <c r="E19" s="50" t="inlineStr">
        <is>
          <t>تقویمی</t>
        </is>
      </c>
      <c r="F19" s="50" t="inlineStr">
        <is>
          <t>Publication date ≠ Fiscal year؛ Status-as-of باید ≤ Cutoff</t>
        </is>
      </c>
      <c r="G19" s="50" t="inlineStr">
        <is>
          <t>بدون نشانه Look-Ahead</t>
        </is>
      </c>
      <c r="H19" s="50" t="inlineStr">
        <is>
          <t>OK</t>
        </is>
      </c>
    </row>
    <row r="20" ht="29" customHeight="1" s="76">
      <c r="A20" s="42" t="inlineStr">
        <is>
          <t>کچاد</t>
        </is>
      </c>
      <c r="B20" s="42" t="inlineStr">
        <is>
          <t>12/29</t>
        </is>
      </c>
      <c r="C20" s="42" t="inlineStr">
        <is>
          <t>1403/12/29</t>
        </is>
      </c>
      <c r="D20" s="42" t="inlineStr">
        <is>
          <t>1404/12/29</t>
        </is>
      </c>
      <c r="E20" s="42" t="inlineStr">
        <is>
          <t>تقویمی</t>
        </is>
      </c>
      <c r="F20" s="42" t="inlineStr">
        <is>
          <t>Publication date ≠ Fiscal year؛ Status-as-of باید ≤ Cutoff</t>
        </is>
      </c>
      <c r="G20" s="42" t="inlineStr">
        <is>
          <t>بدون نشانه Look-Ahead</t>
        </is>
      </c>
      <c r="H20" s="42" t="inlineStr">
        <is>
          <t>OK</t>
        </is>
      </c>
    </row>
    <row r="21" ht="29" customHeight="1" s="76">
      <c r="A21" s="50" t="inlineStr">
        <is>
          <t>کگل</t>
        </is>
      </c>
      <c r="B21" s="50" t="inlineStr">
        <is>
          <t>12/29</t>
        </is>
      </c>
      <c r="C21" s="50" t="inlineStr">
        <is>
          <t>1403/12/29</t>
        </is>
      </c>
      <c r="D21" s="50" t="inlineStr">
        <is>
          <t>1404/12/29</t>
        </is>
      </c>
      <c r="E21" s="50" t="inlineStr">
        <is>
          <t>تقویمی</t>
        </is>
      </c>
      <c r="F21" s="50" t="inlineStr">
        <is>
          <t>Publication date ≠ Fiscal year؛ Status-as-of باید ≤ Cutoff</t>
        </is>
      </c>
      <c r="G21" s="50" t="inlineStr">
        <is>
          <t>کنترل‌شده (Look Ahead گزارش سالانه حذف شد)</t>
        </is>
      </c>
      <c r="H21" s="50" t="inlineStr">
        <is>
          <t>CONTROLLED</t>
        </is>
      </c>
    </row>
    <row r="22" ht="29" customHeight="1" s="76">
      <c r="A22" s="42" t="inlineStr">
        <is>
          <t>پارسان</t>
        </is>
      </c>
      <c r="B22" s="42" t="inlineStr">
        <is>
          <t>06/31</t>
        </is>
      </c>
      <c r="C22" s="42" t="inlineStr">
        <is>
          <t>1403/12/29</t>
        </is>
      </c>
      <c r="D22" s="42" t="inlineStr">
        <is>
          <t>1404/12/29</t>
        </is>
      </c>
      <c r="E22" s="42" t="inlineStr">
        <is>
          <t>غیرتقویمی</t>
        </is>
      </c>
      <c r="F22" s="42" t="inlineStr">
        <is>
          <t>Publication date ≠ Fiscal year؛ Status-as-of باید ≤ Cutoff</t>
        </is>
      </c>
      <c r="G22" s="42" t="inlineStr">
        <is>
          <t>بدون نشانه Look-Ahead</t>
        </is>
      </c>
      <c r="H22" s="42" t="inlineStr">
        <is>
          <t>OK</t>
        </is>
      </c>
    </row>
    <row r="23" ht="29" customHeight="1" s="76">
      <c r="A23" s="50" t="inlineStr">
        <is>
          <t>اخابر</t>
        </is>
      </c>
      <c r="B23" s="50" t="inlineStr">
        <is>
          <t>12/29</t>
        </is>
      </c>
      <c r="C23" s="50" t="inlineStr">
        <is>
          <t>1403/12/29</t>
        </is>
      </c>
      <c r="D23" s="50" t="inlineStr">
        <is>
          <t>1404/12/29</t>
        </is>
      </c>
      <c r="E23" s="50" t="inlineStr">
        <is>
          <t>تقویمی</t>
        </is>
      </c>
      <c r="F23" s="50" t="inlineStr">
        <is>
          <t>Publication date ≠ Fiscal year؛ Status-as-of باید ≤ Cutoff</t>
        </is>
      </c>
      <c r="G23" s="50" t="inlineStr">
        <is>
          <t>بدون نشانه Look-Ahead</t>
        </is>
      </c>
      <c r="H23" s="50" t="inlineStr">
        <is>
          <t>OK</t>
        </is>
      </c>
    </row>
    <row r="24" ht="29" customHeight="1" s="76">
      <c r="A24" s="42" t="inlineStr">
        <is>
          <t>جم</t>
        </is>
      </c>
      <c r="B24" s="42" t="inlineStr">
        <is>
          <t>12/29</t>
        </is>
      </c>
      <c r="C24" s="42" t="inlineStr">
        <is>
          <t>1403/12/29</t>
        </is>
      </c>
      <c r="D24" s="42" t="inlineStr">
        <is>
          <t>1404/12/29</t>
        </is>
      </c>
      <c r="E24" s="42" t="inlineStr">
        <is>
          <t>تقویمی</t>
        </is>
      </c>
      <c r="F24" s="42" t="inlineStr">
        <is>
          <t>Publication date ≠ Fiscal year؛ Status-as-of باید ≤ Cutoff</t>
        </is>
      </c>
      <c r="G24" s="42" t="inlineStr">
        <is>
          <t>بدون نشانه Look-Ahead</t>
        </is>
      </c>
      <c r="H24" s="42" t="inlineStr">
        <is>
          <t>OK</t>
        </is>
      </c>
    </row>
    <row r="25" ht="29" customHeight="1" s="76">
      <c r="A25" s="50" t="inlineStr">
        <is>
          <t>ومعادن</t>
        </is>
      </c>
      <c r="B25" s="50" t="inlineStr">
        <is>
          <t>12/29</t>
        </is>
      </c>
      <c r="C25" s="50" t="inlineStr">
        <is>
          <t>1403/12/29</t>
        </is>
      </c>
      <c r="D25" s="50" t="inlineStr">
        <is>
          <t>1404/12/29</t>
        </is>
      </c>
      <c r="E25" s="50" t="inlineStr">
        <is>
          <t>تقویمی</t>
        </is>
      </c>
      <c r="F25" s="50" t="inlineStr">
        <is>
          <t>Publication date ≠ Fiscal year؛ Status-as-of باید ≤ Cutoff</t>
        </is>
      </c>
      <c r="G25" s="50" t="inlineStr">
        <is>
          <t>بدون نشانه Look-Ahead</t>
        </is>
      </c>
      <c r="H25" s="50" t="inlineStr">
        <is>
          <t>OK</t>
        </is>
      </c>
    </row>
    <row r="26" ht="29" customHeight="1" s="76">
      <c r="A26" s="42" t="inlineStr">
        <is>
          <t>وامید</t>
        </is>
      </c>
      <c r="B26" s="42" t="inlineStr">
        <is>
          <t>10/30</t>
        </is>
      </c>
      <c r="C26" s="42" t="inlineStr">
        <is>
          <t>1403/12/29</t>
        </is>
      </c>
      <c r="D26" s="42" t="inlineStr">
        <is>
          <t>1404/12/29</t>
        </is>
      </c>
      <c r="E26" s="42" t="inlineStr">
        <is>
          <t>غیرتقویمی</t>
        </is>
      </c>
      <c r="F26" s="42" t="inlineStr">
        <is>
          <t>Publication date ≠ Fiscal year؛ Status-as-of باید ≤ Cutoff</t>
        </is>
      </c>
      <c r="G26" s="42" t="inlineStr">
        <is>
          <t>بدون نشانه Look-Ahead</t>
        </is>
      </c>
      <c r="H26" s="42" t="inlineStr">
        <is>
          <t>OK</t>
        </is>
      </c>
    </row>
    <row r="27" ht="29" customHeight="1" s="76">
      <c r="A27" s="50" t="inlineStr">
        <is>
          <t>خساپا</t>
        </is>
      </c>
      <c r="B27" s="50" t="inlineStr">
        <is>
          <t>12/29</t>
        </is>
      </c>
      <c r="C27" s="50" t="inlineStr">
        <is>
          <t>1403/12/29</t>
        </is>
      </c>
      <c r="D27" s="50" t="inlineStr">
        <is>
          <t>1404/12/29</t>
        </is>
      </c>
      <c r="E27" s="50" t="inlineStr">
        <is>
          <t>تقویمی</t>
        </is>
      </c>
      <c r="F27" s="50" t="inlineStr">
        <is>
          <t>Publication date ≠ Fiscal year؛ Status-as-of باید ≤ Cutoff</t>
        </is>
      </c>
      <c r="G27" s="50" t="inlineStr">
        <is>
          <t>بدون نشانه Look-Ahead</t>
        </is>
      </c>
      <c r="H27" s="50" t="inlineStr">
        <is>
          <t>OK</t>
        </is>
      </c>
    </row>
    <row r="28" ht="29" customHeight="1" s="76">
      <c r="A28" s="42" t="inlineStr">
        <is>
          <t>همراه</t>
        </is>
      </c>
      <c r="B28" s="42" t="inlineStr">
        <is>
          <t>12/29</t>
        </is>
      </c>
      <c r="C28" s="42" t="inlineStr">
        <is>
          <t>1403/12/29</t>
        </is>
      </c>
      <c r="D28" s="42" t="inlineStr">
        <is>
          <t>1404/12/29</t>
        </is>
      </c>
      <c r="E28" s="42" t="inlineStr">
        <is>
          <t>تقویمی</t>
        </is>
      </c>
      <c r="F28" s="42" t="inlineStr">
        <is>
          <t>Publication date ≠ Fiscal year؛ Status-as-of باید ≤ Cutoff</t>
        </is>
      </c>
      <c r="G28" s="42" t="inlineStr">
        <is>
          <t>بدون نشانه Look-Ahead</t>
        </is>
      </c>
      <c r="H28" s="42" t="inlineStr">
        <is>
          <t>OK</t>
        </is>
      </c>
    </row>
    <row r="29" ht="29" customHeight="1" s="76">
      <c r="A29" s="50" t="inlineStr">
        <is>
          <t>وبملت</t>
        </is>
      </c>
      <c r="B29" s="50" t="inlineStr">
        <is>
          <t>12/29</t>
        </is>
      </c>
      <c r="C29" s="50" t="inlineStr">
        <is>
          <t>1403/12/29</t>
        </is>
      </c>
      <c r="D29" s="50" t="inlineStr">
        <is>
          <t>1404/12/29</t>
        </is>
      </c>
      <c r="E29" s="50" t="inlineStr">
        <is>
          <t>تقویمی</t>
        </is>
      </c>
      <c r="F29" s="50" t="inlineStr">
        <is>
          <t>Publication date ≠ Fiscal year؛ Status-as-of باید ≤ Cutoff</t>
        </is>
      </c>
      <c r="G29" s="50" t="inlineStr">
        <is>
          <t>بدون نشانه Look-Ahead</t>
        </is>
      </c>
      <c r="H29" s="50" t="inlineStr">
        <is>
          <t>OK</t>
        </is>
      </c>
    </row>
    <row r="30" ht="29" customHeight="1" s="76">
      <c r="A30" s="42" t="inlineStr">
        <is>
          <t>وبصادر</t>
        </is>
      </c>
      <c r="B30" s="42" t="inlineStr">
        <is>
          <t>12/29</t>
        </is>
      </c>
      <c r="C30" s="42" t="inlineStr">
        <is>
          <t>1403/12/29</t>
        </is>
      </c>
      <c r="D30" s="42" t="inlineStr">
        <is>
          <t>1404/12/29</t>
        </is>
      </c>
      <c r="E30" s="42" t="inlineStr">
        <is>
          <t>تقویمی</t>
        </is>
      </c>
      <c r="F30" s="42" t="inlineStr">
        <is>
          <t>Publication date ≠ Fiscal year؛ Status-as-of باید ≤ Cutoff</t>
        </is>
      </c>
      <c r="G30" s="42" t="inlineStr">
        <is>
          <t>بدون نشانه Look-Ahead</t>
        </is>
      </c>
      <c r="H30" s="42" t="inlineStr">
        <is>
          <t>OK</t>
        </is>
      </c>
    </row>
    <row r="31" ht="29" customHeight="1" s="76">
      <c r="A31" s="50" t="inlineStr">
        <is>
          <t>وپاسار</t>
        </is>
      </c>
      <c r="B31" s="50" t="inlineStr">
        <is>
          <t>12/29</t>
        </is>
      </c>
      <c r="C31" s="50" t="inlineStr">
        <is>
          <t>1403/12/29</t>
        </is>
      </c>
      <c r="D31" s="50" t="inlineStr">
        <is>
          <t>1404/12/29</t>
        </is>
      </c>
      <c r="E31" s="50" t="inlineStr">
        <is>
          <t>تقویمی</t>
        </is>
      </c>
      <c r="F31" s="50" t="inlineStr">
        <is>
          <t>Publication date ≠ Fiscal year؛ Status-as-of باید ≤ Cutoff</t>
        </is>
      </c>
      <c r="G31" s="50" t="inlineStr">
        <is>
          <t>بدون نشانه Look-Ahead</t>
        </is>
      </c>
      <c r="H31" s="50" t="inlineStr">
        <is>
          <t>OK</t>
        </is>
      </c>
    </row>
    <row r="32" ht="29" customHeight="1" s="76">
      <c r="A32" s="42" t="inlineStr">
        <is>
          <t>حکشتی</t>
        </is>
      </c>
      <c r="B32" s="42" t="inlineStr">
        <is>
          <t>12/29</t>
        </is>
      </c>
      <c r="C32" s="42" t="inlineStr">
        <is>
          <t>1403/12/29</t>
        </is>
      </c>
      <c r="D32" s="42" t="inlineStr">
        <is>
          <t>1404/12/29</t>
        </is>
      </c>
      <c r="E32" s="42" t="inlineStr">
        <is>
          <t>تقویمی</t>
        </is>
      </c>
      <c r="F32" s="42" t="inlineStr">
        <is>
          <t>Publication date ≠ Fiscal year؛ Status-as-of باید ≤ Cutoff</t>
        </is>
      </c>
      <c r="G32" s="42" t="inlineStr">
        <is>
          <t>N/A</t>
        </is>
      </c>
      <c r="H32" s="42" t="inlineStr">
        <is>
          <t>OK</t>
        </is>
      </c>
    </row>
    <row r="33" ht="29" customHeight="1" s="76">
      <c r="A33" s="50" t="inlineStr">
        <is>
          <t>شپدیس</t>
        </is>
      </c>
      <c r="B33" s="50" t="inlineStr">
        <is>
          <t>12/29</t>
        </is>
      </c>
      <c r="C33" s="50" t="inlineStr">
        <is>
          <t>1403/12/29</t>
        </is>
      </c>
      <c r="D33" s="50" t="inlineStr">
        <is>
          <t>1404/12/29</t>
        </is>
      </c>
      <c r="E33" s="50" t="inlineStr">
        <is>
          <t>تقویمی</t>
        </is>
      </c>
      <c r="F33" s="50" t="inlineStr">
        <is>
          <t>Publication date ≠ Fiscal year؛ Status-as-of باید ≤ Cutoff</t>
        </is>
      </c>
      <c r="G33" s="50" t="inlineStr">
        <is>
          <t>N/A</t>
        </is>
      </c>
      <c r="H33" s="50" t="inlineStr">
        <is>
          <t>OK</t>
        </is>
      </c>
    </row>
  </sheetData>
  <mergeCells count="2">
    <mergeCell ref="A2:H2"/>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1"/>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1.5" customWidth="1" style="76" min="2" max="2"/>
    <col width="15.33203125" customWidth="1" style="76" min="3" max="3"/>
    <col width="18.1640625" customWidth="1" style="76" min="4" max="4"/>
    <col width="16.33203125" customWidth="1" style="76" min="5" max="5"/>
    <col width="23" customWidth="1" style="76" min="6" max="6"/>
    <col width="18.1640625" customWidth="1" style="76" min="7" max="7"/>
    <col width="17.1640625" customWidth="1" style="76" min="8" max="8"/>
    <col width="25.83203125" customWidth="1" style="76" min="9" max="9"/>
    <col width="15.33203125" customWidth="1" style="76" min="10" max="10"/>
    <col width="42" customWidth="1" style="76" min="11" max="11"/>
  </cols>
  <sheetData>
    <row r="1" ht="34" customHeight="1" s="76">
      <c r="A1" s="79" t="inlineStr">
        <is>
          <t>ممیزی Missingness (هشت دسته جدا)</t>
        </is>
      </c>
    </row>
    <row r="2" ht="28" customHeight="1" s="76">
      <c r="A2" s="86" t="inlineStr">
        <is>
          <t>تعداد شرکت به تفکیک دلیل نبود داده (شمارش ممیز از v35/v22/v31). TRUE_ZERO فقط وقتی شواهد صریح صفر وجود دارد.</t>
        </is>
      </c>
    </row>
    <row r="3" ht="30" customHeight="1" s="76">
      <c r="A3" s="48" t="inlineStr">
        <is>
          <t>Measure</t>
        </is>
      </c>
      <c r="B3" s="48" t="inlineStr">
        <is>
          <t>TRUE_ZERO</t>
        </is>
      </c>
      <c r="C3" s="48" t="inlineStr">
        <is>
          <t>NOT_DISCLOSED</t>
        </is>
      </c>
      <c r="D3" s="48" t="inlineStr">
        <is>
          <t>COULD_NOT_VERIFY</t>
        </is>
      </c>
      <c r="E3" s="48" t="inlineStr">
        <is>
          <t>NOT_APPLICABLE</t>
        </is>
      </c>
      <c r="F3" s="48" t="inlineStr">
        <is>
          <t>INSUFFICIENT_EVIDENCE</t>
        </is>
      </c>
      <c r="G3" s="48" t="inlineStr">
        <is>
          <t>DOCUMENT_MISSING</t>
        </is>
      </c>
      <c r="H3" s="48" t="inlineStr">
        <is>
          <t>SEAT_LEVEL_ONLY</t>
        </is>
      </c>
      <c r="I3" s="48" t="inlineStr">
        <is>
          <t>PERSON_LEVEL_UNAVAILABLE</t>
        </is>
      </c>
      <c r="J3" s="48" t="inlineStr">
        <is>
          <t>جمع (فرمول)</t>
        </is>
      </c>
      <c r="K3" s="48" t="inlineStr">
        <is>
          <t>یادداشت</t>
        </is>
      </c>
    </row>
    <row r="4" ht="29" customHeight="1" s="76">
      <c r="A4" s="42" t="inlineStr">
        <is>
          <t>REF05 Turnover</t>
        </is>
      </c>
      <c r="B4" s="42" t="n">
        <v>7</v>
      </c>
      <c r="C4" s="42" t="n">
        <v>0</v>
      </c>
      <c r="D4" s="42" t="n">
        <v>0</v>
      </c>
      <c r="E4" s="42" t="n">
        <v>0</v>
      </c>
      <c r="F4" s="42" t="n">
        <v>1</v>
      </c>
      <c r="G4" s="42" t="n">
        <v>1</v>
      </c>
      <c r="H4" s="42" t="n">
        <v>1</v>
      </c>
      <c r="I4" s="42" t="n">
        <v>0</v>
      </c>
      <c r="J4" s="42">
        <f>SUM(B4:I4)</f>
        <v>10</v>
      </c>
      <c r="K4" s="42" t="inlineStr">
        <is>
          <t>Missing هرگز به صفر تبدیل نشد؛ TRUE_ZERO فقط با شواهد صریح</t>
        </is>
      </c>
    </row>
    <row r="5" ht="29" customHeight="1" s="76">
      <c r="A5" s="50" t="inlineStr">
        <is>
          <t>REF08 Rep Change</t>
        </is>
      </c>
      <c r="B5" s="50" t="n">
        <v>5</v>
      </c>
      <c r="C5" s="50" t="n">
        <v>0</v>
      </c>
      <c r="D5" s="50" t="n">
        <v>0</v>
      </c>
      <c r="E5" s="50" t="n">
        <v>4</v>
      </c>
      <c r="F5" s="50" t="n">
        <v>2</v>
      </c>
      <c r="G5" s="50" t="n">
        <v>1</v>
      </c>
      <c r="H5" s="50" t="n">
        <v>1</v>
      </c>
      <c r="I5" s="50" t="n">
        <v>0</v>
      </c>
      <c r="J5" s="50">
        <f>SUM(B5:I5)</f>
        <v>13</v>
      </c>
      <c r="K5" s="50" t="inlineStr">
        <is>
          <t>Missing هرگز به صفر تبدیل نشد؛ TRUE_ZERO فقط با شواهد صریح</t>
        </is>
      </c>
    </row>
    <row r="6" ht="29" customHeight="1" s="76">
      <c r="A6" s="42" t="inlineStr">
        <is>
          <t>AUD01</t>
        </is>
      </c>
      <c r="B6" s="42" t="n">
        <v>0</v>
      </c>
      <c r="C6" s="42" t="n">
        <v>6</v>
      </c>
      <c r="D6" s="42" t="n">
        <v>0</v>
      </c>
      <c r="E6" s="42" t="n">
        <v>0</v>
      </c>
      <c r="F6" s="42" t="n">
        <v>1</v>
      </c>
      <c r="G6" s="42" t="n">
        <v>0</v>
      </c>
      <c r="H6" s="42" t="n">
        <v>0</v>
      </c>
      <c r="I6" s="42" t="n">
        <v>0</v>
      </c>
      <c r="J6" s="42">
        <f>SUM(B6:I6)</f>
        <v>7</v>
      </c>
      <c r="K6" s="42" t="inlineStr">
        <is>
          <t>Missing هرگز به صفر تبدیل نشد؛ TRUE_ZERO فقط با شواهد صریح</t>
        </is>
      </c>
    </row>
    <row r="7" ht="29" customHeight="1" s="76">
      <c r="A7" s="50" t="inlineStr">
        <is>
          <t>AUD02</t>
        </is>
      </c>
      <c r="B7" s="50" t="n">
        <v>0</v>
      </c>
      <c r="C7" s="50" t="n">
        <v>7</v>
      </c>
      <c r="D7" s="50" t="n">
        <v>0</v>
      </c>
      <c r="E7" s="50" t="n">
        <v>0</v>
      </c>
      <c r="F7" s="50" t="n">
        <v>12</v>
      </c>
      <c r="G7" s="50" t="n">
        <v>0</v>
      </c>
      <c r="H7" s="50" t="n">
        <v>0</v>
      </c>
      <c r="I7" s="50" t="n">
        <v>0</v>
      </c>
      <c r="J7" s="50">
        <f>SUM(B7:I7)</f>
        <v>19</v>
      </c>
      <c r="K7" s="50" t="inlineStr">
        <is>
          <t>Missing هرگز به صفر تبدیل نشد؛ TRUE_ZERO فقط با شواهد صریح</t>
        </is>
      </c>
    </row>
    <row r="8" ht="29" customHeight="1" s="76">
      <c r="A8" s="42" t="inlineStr">
        <is>
          <t>VAR06</t>
        </is>
      </c>
      <c r="B8" s="42" t="n">
        <v>0</v>
      </c>
      <c r="C8" s="42" t="n">
        <v>0</v>
      </c>
      <c r="D8" s="42" t="n">
        <v>1</v>
      </c>
      <c r="E8" s="42" t="n">
        <v>0</v>
      </c>
      <c r="F8" s="42" t="n">
        <v>2</v>
      </c>
      <c r="G8" s="42" t="n">
        <v>0</v>
      </c>
      <c r="H8" s="42" t="n">
        <v>0</v>
      </c>
      <c r="I8" s="42" t="n">
        <v>0</v>
      </c>
      <c r="J8" s="42">
        <f>SUM(B8:I8)</f>
        <v>3</v>
      </c>
      <c r="K8" s="42" t="inlineStr">
        <is>
          <t>Missing هرگز به صفر تبدیل نشد؛ TRUE_ZERO فقط با شواهد صریح</t>
        </is>
      </c>
    </row>
    <row r="9" ht="29" customHeight="1" s="76">
      <c r="A9" s="50" t="inlineStr">
        <is>
          <t>S1A</t>
        </is>
      </c>
      <c r="B9" s="50" t="n">
        <v>0</v>
      </c>
      <c r="C9" s="50" t="n">
        <v>2</v>
      </c>
      <c r="D9" s="50" t="n">
        <v>0</v>
      </c>
      <c r="E9" s="50" t="n">
        <v>0</v>
      </c>
      <c r="F9" s="50" t="n">
        <v>0</v>
      </c>
      <c r="G9" s="50" t="n">
        <v>0</v>
      </c>
      <c r="H9" s="50" t="n">
        <v>0</v>
      </c>
      <c r="I9" s="50" t="n">
        <v>0</v>
      </c>
      <c r="J9" s="50">
        <f>SUM(B9:I9)</f>
        <v>2</v>
      </c>
      <c r="K9" s="50" t="inlineStr">
        <is>
          <t>Missing هرگز به صفر تبدیل نشد؛ TRUE_ZERO فقط با شواهد صریح</t>
        </is>
      </c>
    </row>
    <row r="10" ht="29" customHeight="1" s="76">
      <c r="A10" s="42" t="inlineStr">
        <is>
          <t>CR1A</t>
        </is>
      </c>
      <c r="B10" s="42">
        <f>COUNTIFS('CR1A v39'!E4:E33,"بله",'CR1A v39'!F4:F33,0)</f>
        <v>12</v>
      </c>
      <c r="C10" s="42" t="n">
        <v>0</v>
      </c>
      <c r="D10" s="42">
        <f>COUNTIF('CR1A v39'!M4:M33,"COULD_NOT_VERIFY")</f>
        <v>1</v>
      </c>
      <c r="E10" s="42" t="n">
        <v>0</v>
      </c>
      <c r="F10" s="42">
        <f>COUNTIF('CR1A v39'!M4:M33,"INSUFFICIENT_EVIDENCE")</f>
        <v>1</v>
      </c>
      <c r="G10" s="42">
        <f>COUNTIF('CR1A v39'!M4:M33,"DOCUMENT_MISSING")</f>
        <v>1</v>
      </c>
      <c r="H10" s="42" t="n">
        <v>0</v>
      </c>
      <c r="I10" s="42">
        <f>COUNTIF('CR1A v39'!M4:M33,"PERSON_LEVEL_UNAVAILABLE")</f>
        <v>1</v>
      </c>
      <c r="J10" s="42">
        <f>SUM(B10:I10)</f>
        <v>16</v>
      </c>
      <c r="K10" s="42" t="inlineStr">
        <is>
          <t>۱۲ صفر واقعی در مجموعه محافظه کارانه؛ یک تعارض فملی و سه نامشخص. جمع ستون J شامل صفرهای واقعی و علل نبود داده است، نه فقط تعداد داده گمشده.</t>
        </is>
      </c>
    </row>
    <row r="11" ht="29" customHeight="1" s="76">
      <c r="A11" s="50" t="inlineStr">
        <is>
          <t>SEP07</t>
        </is>
      </c>
      <c r="B11" s="50" t="n">
        <v>0</v>
      </c>
      <c r="C11" s="50" t="n">
        <v>0</v>
      </c>
      <c r="D11" s="50" t="n">
        <v>0</v>
      </c>
      <c r="E11" s="50" t="n">
        <v>0</v>
      </c>
      <c r="F11" s="50" t="n">
        <v>4</v>
      </c>
      <c r="G11" s="50" t="n">
        <v>0</v>
      </c>
      <c r="H11" s="50" t="n">
        <v>0</v>
      </c>
      <c r="I11" s="50" t="n">
        <v>0</v>
      </c>
      <c r="J11" s="50">
        <f>SUM(B11:I11)</f>
        <v>4</v>
      </c>
      <c r="K11" s="50" t="inlineStr">
        <is>
          <t>Missing هرگز به صفر تبدیل نشد؛ TRUE_ZERO فقط با شواهد صریح</t>
        </is>
      </c>
    </row>
  </sheetData>
  <mergeCells count="2">
    <mergeCell ref="A2:K2"/>
    <mergeCell ref="A1:K1"/>
  </mergeCell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M15"/>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2.5" customWidth="1" style="76" min="2" max="2"/>
    <col width="16.33203125" customWidth="1" style="76" min="3" max="3"/>
    <col width="28.6640625" customWidth="1" style="76" min="4" max="4"/>
    <col width="23.83203125" customWidth="1" style="76" min="5" max="5"/>
    <col width="18.1640625" customWidth="1" style="76" min="6" max="7"/>
    <col width="30.5" customWidth="1" style="76" min="8" max="8"/>
    <col width="25.83203125" customWidth="1" style="76" min="9" max="9"/>
    <col width="15.33203125" customWidth="1" style="76" min="10" max="10"/>
    <col width="42" customWidth="1" style="76" min="11" max="12"/>
    <col width="31" customWidth="1" style="76" min="13" max="13"/>
  </cols>
  <sheetData>
    <row r="1" ht="34" customHeight="1" s="76">
      <c r="A1" s="79" t="inlineStr">
        <is>
          <t>ممیزی Coverage: X/30 و X/Eligible</t>
        </is>
      </c>
    </row>
    <row r="2" ht="28" customHeight="1" s="76">
      <c r="A2" s="86" t="inlineStr">
        <is>
          <t>ردیف CR1A در v39 همگام شد. سایر ردیف های ممیزی با تاریخچه قبلی حفظ شده اند. ستون B در فایل مبنا متن دارد و محاسبات تاریخی آن تا بازیابی عدد معتبر خالی می مانند.</t>
        </is>
      </c>
    </row>
    <row r="3" ht="30" customHeight="1" s="76">
      <c r="A3" s="48" t="inlineStr">
        <is>
          <t>Measure</t>
        </is>
      </c>
      <c r="B3" s="48" t="inlineStr">
        <is>
          <t>دارای داده v35</t>
        </is>
      </c>
      <c r="C3" s="48" t="inlineStr">
        <is>
          <t>واجد شرایط v35</t>
        </is>
      </c>
      <c r="D3" s="48" t="inlineStr">
        <is>
          <t>پوشش واجد شرایط v35 (فرمول)</t>
        </is>
      </c>
      <c r="E3" s="48" t="inlineStr">
        <is>
          <t>پوشش از ۳۰ v35 (فرمول)</t>
        </is>
      </c>
      <c r="F3" s="48" t="inlineStr">
        <is>
          <t>دارای داده ممیزی</t>
        </is>
      </c>
      <c r="G3" s="48" t="inlineStr">
        <is>
          <t>واجد شرایط ممیزی</t>
        </is>
      </c>
      <c r="H3" s="48" t="inlineStr">
        <is>
          <t>پوشش واجد شرایط ممیزی (فرمول)</t>
        </is>
      </c>
      <c r="I3" s="48" t="inlineStr">
        <is>
          <t>پوشش از ۳۰ ممیزی (فرمول)</t>
        </is>
      </c>
      <c r="J3" s="48" t="inlineStr">
        <is>
          <t>تفاوت (فرمول)</t>
        </is>
      </c>
      <c r="K3" s="48" t="inlineStr">
        <is>
          <t>گزارش دوگانه (فرمول)</t>
        </is>
      </c>
      <c r="L3" s="48" t="inlineStr">
        <is>
          <t>یادداشت</t>
        </is>
      </c>
      <c r="M3" t="inlineStr">
        <is>
          <t>کنترل ورودی تاریخی</t>
        </is>
      </c>
    </row>
    <row r="4" ht="43.5" customHeight="1" s="76">
      <c r="A4" s="42" t="inlineStr">
        <is>
          <t>S1A</t>
        </is>
      </c>
      <c r="B4" s="42" t="inlineStr">
        <is>
          <t>پروکسی استقلال ساختاری</t>
        </is>
      </c>
      <c r="C4" s="42" t="n">
        <v>30</v>
      </c>
      <c r="D4" s="42">
        <f>IF(AND(ISNUMBER(B4),ISNUMBER(C4),C4&gt;0),B4/C4,"")</f>
      </c>
      <c r="E4" s="42">
        <f>IF(ISNUMBER(B4),B4/30,"")</f>
      </c>
      <c r="F4" s="42" t="n">
        <v>28</v>
      </c>
      <c r="G4" s="42" t="n">
        <v>30</v>
      </c>
      <c r="H4" s="42">
        <f>F4/G4</f>
        <v>0.9333333333333333</v>
      </c>
      <c r="I4" s="42">
        <f>F4/30</f>
        <v>0.9333333333333333</v>
      </c>
      <c r="J4" s="42">
        <f>IF(AND(ISNUMBER(F4),ISNUMBER(B4)),F4-B4,"")</f>
      </c>
      <c r="K4" s="42" t="str">
        <f>"X/30: "&amp;F4&amp;"/30 | X/eligible: "&amp;F4&amp;"/"&amp;G4</f>
        <v>X/30: 28/30 | X/eligible: 28/30</v>
      </c>
      <c r="L4" s="42" t="inlineStr">
        <is>
          <t>Duty_Status NOT_DISCLOSED در v22 (۴ ردیف عضو)</t>
        </is>
      </c>
      <c r="M4" t="inlineStr">
        <is>
          <t>BASELINE_COUNT_NOT_NUMERIC</t>
        </is>
      </c>
    </row>
    <row r="5" ht="29" customHeight="1" s="76">
      <c r="A5" s="50" t="inlineStr">
        <is>
          <t>V1</t>
        </is>
      </c>
      <c r="B5" s="50" t="inlineStr">
        <is>
          <t>تنوع رشته تحصیلی</t>
        </is>
      </c>
      <c r="C5" s="50" t="n">
        <v>28</v>
      </c>
      <c r="D5" s="50">
        <f>IF(AND(ISNUMBER(B5),ISNUMBER(C5),C5&gt;0),B5/C5,"")</f>
      </c>
      <c r="E5" s="50">
        <f>IF(ISNUMBER(B5),B5/30,"")</f>
      </c>
      <c r="F5" s="50" t="n">
        <v>28</v>
      </c>
      <c r="G5" s="50" t="n">
        <v>30</v>
      </c>
      <c r="H5" s="50">
        <f>F5/G5</f>
        <v>0.9333333333333333</v>
      </c>
      <c r="I5" s="50">
        <f>F5/30</f>
        <v>0.9333333333333333</v>
      </c>
      <c r="J5" s="50">
        <f>IF(AND(ISNUMBER(F5),ISNUMBER(B5)),F5-B5,"")</f>
      </c>
      <c r="K5" s="50" t="str">
        <f>"X/30: "&amp;F5&amp;"/30 | X/eligible: "&amp;F5&amp;"/"&amp;G5</f>
        <v>X/30: 28/30 | X/eligible: 28/30</v>
      </c>
      <c r="L5" s="50" t="inlineStr">
        <is>
          <t>مطابق v22 (دو شرکت بدون داده کافی)</t>
        </is>
      </c>
      <c r="M5" t="inlineStr">
        <is>
          <t>BASELINE_COUNT_NOT_NUMERIC</t>
        </is>
      </c>
    </row>
    <row r="6" ht="29" customHeight="1" s="76">
      <c r="A6" s="42" t="inlineStr">
        <is>
          <t>VAR06_Strict</t>
        </is>
      </c>
      <c r="B6" s="42" t="inlineStr">
        <is>
          <t>تنوع سابقه حرفه‌ای</t>
        </is>
      </c>
      <c r="C6" s="42" t="n">
        <v>28</v>
      </c>
      <c r="D6" s="42">
        <f>IF(AND(ISNUMBER(B6),ISNUMBER(C6),C6&gt;0),B6/C6,"")</f>
      </c>
      <c r="E6" s="42">
        <f>IF(ISNUMBER(B6),B6/30,"")</f>
      </c>
      <c r="F6" s="42" t="n">
        <v>27</v>
      </c>
      <c r="G6" s="42" t="n">
        <v>28</v>
      </c>
      <c r="H6" s="42">
        <f>F6/G6</f>
        <v>0.9642857142857143</v>
      </c>
      <c r="I6" s="42">
        <f>F6/30</f>
        <v>0.9</v>
      </c>
      <c r="J6" s="42">
        <f>IF(AND(ISNUMBER(F6),ISNUMBER(B6)),F6-B6,"")</f>
      </c>
      <c r="K6" s="42" t="str">
        <f>"X/30: "&amp;F6&amp;"/30 | X/eligible: "&amp;F6&amp;"/"&amp;G6</f>
        <v>X/30: 27/30 | X/eligible: 27/28</v>
      </c>
      <c r="L6" s="42" t="inlineStr">
        <is>
          <t>خودرو Blau=None در v25</t>
        </is>
      </c>
      <c r="M6" t="inlineStr">
        <is>
          <t>BASELINE_COUNT_NOT_NUMERIC</t>
        </is>
      </c>
    </row>
    <row r="7" ht="20" customHeight="1" s="76">
      <c r="A7" s="50" t="inlineStr">
        <is>
          <t>VAR10</t>
        </is>
      </c>
      <c r="B7" s="50" t="inlineStr">
        <is>
          <t>تخصص مالی</t>
        </is>
      </c>
      <c r="C7" s="50" t="n">
        <v>28</v>
      </c>
      <c r="D7" s="50">
        <f>IF(AND(ISNUMBER(B7),ISNUMBER(C7),C7&gt;0),B7/C7,"")</f>
      </c>
      <c r="E7" s="50">
        <f>IF(ISNUMBER(B7),B7/30,"")</f>
      </c>
      <c r="F7" s="50" t="n">
        <v>28</v>
      </c>
      <c r="G7" s="50" t="n">
        <v>28</v>
      </c>
      <c r="H7" s="50">
        <f>F7/G7</f>
        <v>1</v>
      </c>
      <c r="I7" s="50">
        <f>F7/30</f>
        <v>0.9333333333333333</v>
      </c>
      <c r="J7" s="50">
        <f>IF(AND(ISNUMBER(F7),ISNUMBER(B7)),F7-B7,"")</f>
      </c>
      <c r="K7" s="50" t="str">
        <f>"X/30: "&amp;F7&amp;"/30 | X/eligible: "&amp;F7&amp;"/"&amp;G7</f>
        <v>X/30: 28/30 | X/eligible: 28/28</v>
      </c>
      <c r="L7" s="50" t="inlineStr">
        <is>
          <t>v25: بدون N/A</t>
        </is>
      </c>
      <c r="M7" t="inlineStr">
        <is>
          <t>BASELINE_COUNT_NOT_NUMERIC</t>
        </is>
      </c>
    </row>
    <row r="8" ht="29" customHeight="1" s="76">
      <c r="A8" s="42" t="inlineStr">
        <is>
          <t>CR1A</t>
        </is>
      </c>
      <c r="B8" s="42" t="inlineStr">
        <is>
          <t>تغییر رئیس</t>
        </is>
      </c>
      <c r="C8" s="42" t="n">
        <v>30</v>
      </c>
      <c r="D8" s="42">
        <f>IF(AND(ISNUMBER(B8),ISNUMBER(C8),C8&gt;0),B8/C8,"")</f>
      </c>
      <c r="E8" s="42">
        <f>IF(ISNUMBER(B8),B8/30,"")</f>
      </c>
      <c r="F8" s="42">
        <f>'CR1A v39'!B39</f>
        <v>26</v>
      </c>
      <c r="G8" s="42">
        <f>'CR1A v39'!B44</f>
        <v>30</v>
      </c>
      <c r="H8" s="42">
        <f>F8/G8</f>
        <v>0.8666666666666667</v>
      </c>
      <c r="I8" s="42">
        <f>F8/30</f>
        <v>0.8666666666666667</v>
      </c>
      <c r="J8" s="42">
        <f>IF(AND(ISNUMBER(F8),ISNUMBER(B8)),F8-B8,"")</f>
      </c>
      <c r="K8" s="42" t="str">
        <f>"X/30: "&amp;F8&amp;"/30 | X/eligible: "&amp;F8&amp;"/"&amp;G8</f>
        <v>X/30: 26/30 | X/eligible: 26/30</v>
      </c>
      <c r="L8" s="42" t="inlineStr">
        <is>
          <t>۲۶ از ۳۰ پوشش محافظه کارانه؛ ۲۷ کد موجود. یک تعارض فملی و سه نامشخص. این شمارش تایید مستقل جدید همه اسناد نیست.</t>
        </is>
      </c>
      <c r="M8" t="inlineStr">
        <is>
          <t>BASELINE_COUNT_NOT_NUMERIC</t>
        </is>
      </c>
    </row>
    <row r="9" ht="29" customHeight="1" s="76">
      <c r="A9" s="50" t="inlineStr">
        <is>
          <t>AUD01</t>
        </is>
      </c>
      <c r="B9" s="50" t="inlineStr">
        <is>
          <t>وجود کمیته حسابرسی</t>
        </is>
      </c>
      <c r="C9" s="50" t="n">
        <v>22</v>
      </c>
      <c r="D9" s="50">
        <f>IF(AND(ISNUMBER(B9),ISNUMBER(C9),C9&gt;0),B9/C9,"")</f>
      </c>
      <c r="E9" s="50">
        <f>IF(ISNUMBER(B9),B9/30,"")</f>
      </c>
      <c r="F9" s="50" t="n">
        <v>23</v>
      </c>
      <c r="G9" s="50" t="n">
        <v>30</v>
      </c>
      <c r="H9" s="50">
        <f>F9/G9</f>
        <v>0.7666666666666667</v>
      </c>
      <c r="I9" s="50">
        <f>F9/30</f>
        <v>0.7666666666666667</v>
      </c>
      <c r="J9" s="50">
        <f>IF(AND(ISNUMBER(F9),ISNUMBER(B9)),F9-B9,"")</f>
      </c>
      <c r="K9" s="50" t="str">
        <f>"X/30: "&amp;F9&amp;"/30 | X/eligible: "&amp;F9&amp;"/"&amp;G9</f>
        <v>X/30: 23/30 | X/eligible: 23/30</v>
      </c>
      <c r="L9" s="50" t="inlineStr">
        <is>
          <t>شبندر YES (SRC_SHBN_1404_001 ص۵۶)؛ ۶ مورد دیگر فقط Keyword Hit</t>
        </is>
      </c>
      <c r="M9" t="inlineStr">
        <is>
          <t>BASELINE_COUNT_NOT_NUMERIC</t>
        </is>
      </c>
    </row>
    <row r="10" ht="29" customHeight="1" s="76">
      <c r="A10" s="42" t="inlineStr">
        <is>
          <t>AUD02</t>
        </is>
      </c>
      <c r="B10" s="42" t="inlineStr">
        <is>
          <t>اندازه کمیته حسابرسی</t>
        </is>
      </c>
      <c r="C10" s="42" t="n">
        <v>15</v>
      </c>
      <c r="D10" s="42">
        <f>IF(AND(ISNUMBER(B10),ISNUMBER(C10),C10&gt;0),B10/C10,"")</f>
      </c>
      <c r="E10" s="42">
        <f>IF(ISNUMBER(B10),B10/30,"")</f>
      </c>
      <c r="F10" s="42" t="n">
        <v>11</v>
      </c>
      <c r="G10" s="42" t="n">
        <v>30</v>
      </c>
      <c r="H10" s="42">
        <f>F10/G10</f>
        <v>0.36666666666666664</v>
      </c>
      <c r="I10" s="42">
        <f>F10/30</f>
        <v>0.36666666666666664</v>
      </c>
      <c r="J10" s="42">
        <f>IF(AND(ISNUMBER(F10),ISNUMBER(B10)),F10-B10,"")</f>
      </c>
      <c r="K10" s="42" t="str">
        <f>"X/30: "&amp;F10&amp;"/30 | X/eligible: "&amp;F10&amp;"/"&amp;G10</f>
        <v>X/30: 11/30 | X/eligible: 11/30</v>
      </c>
      <c r="L10" s="42" t="inlineStr">
        <is>
          <t>اندازه دقیق فقط ۱۱ شرکت</t>
        </is>
      </c>
      <c r="M10" t="inlineStr">
        <is>
          <t>BASELINE_COUNT_NOT_NUMERIC</t>
        </is>
      </c>
    </row>
    <row r="11" ht="29" customHeight="1" s="76">
      <c r="A11" s="50" t="inlineStr">
        <is>
          <t>IRN01</t>
        </is>
      </c>
      <c r="B11" s="50" t="inlineStr">
        <is>
          <t>سهم کرسی حقوقی</t>
        </is>
      </c>
      <c r="C11" s="50" t="n">
        <v>30</v>
      </c>
      <c r="D11" s="50">
        <f>IF(AND(ISNUMBER(B11),ISNUMBER(C11),C11&gt;0),B11/C11,"")</f>
      </c>
      <c r="E11" s="50">
        <f>IF(ISNUMBER(B11),B11/30,"")</f>
      </c>
      <c r="F11" s="50" t="n">
        <v>29</v>
      </c>
      <c r="G11" s="50" t="n">
        <v>30</v>
      </c>
      <c r="H11" s="50">
        <f>F11/G11</f>
        <v>0.9666666666666667</v>
      </c>
      <c r="I11" s="50">
        <f>F11/30</f>
        <v>0.9666666666666667</v>
      </c>
      <c r="J11" s="50">
        <f>IF(AND(ISNUMBER(F11),ISNUMBER(B11)),F11-B11,"")</f>
      </c>
      <c r="K11" s="50" t="str">
        <f>"X/30: "&amp;F11&amp;"/30 | X/eligible: "&amp;F11&amp;"/"&amp;G11</f>
        <v>X/30: 29/30 | X/eligible: 29/30</v>
      </c>
      <c r="L11" s="50" t="inlineStr">
        <is>
          <t>تقریبا Dummy بانکی</t>
        </is>
      </c>
      <c r="M11" t="inlineStr">
        <is>
          <t>BASELINE_COUNT_NOT_NUMERIC</t>
        </is>
      </c>
    </row>
    <row r="12" ht="29" customHeight="1" s="76">
      <c r="A12" s="42" t="inlineStr">
        <is>
          <t>IRN02</t>
        </is>
      </c>
      <c r="B12" s="42" t="inlineStr">
        <is>
          <t>سهم کرسی حقیقی</t>
        </is>
      </c>
      <c r="C12" s="42" t="n">
        <v>30</v>
      </c>
      <c r="D12" s="42">
        <f>IF(AND(ISNUMBER(B12),ISNUMBER(C12),C12&gt;0),B12/C12,"")</f>
      </c>
      <c r="E12" s="42">
        <f>IF(ISNUMBER(B12),B12/30,"")</f>
      </c>
      <c r="F12" s="42" t="n">
        <v>29</v>
      </c>
      <c r="G12" s="42" t="n">
        <v>30</v>
      </c>
      <c r="H12" s="42">
        <f>F12/G12</f>
        <v>0.9666666666666667</v>
      </c>
      <c r="I12" s="42">
        <f>F12/30</f>
        <v>0.9666666666666667</v>
      </c>
      <c r="J12" s="42">
        <f>IF(AND(ISNUMBER(F12),ISNUMBER(B12)),F12-B12,"")</f>
      </c>
      <c r="K12" s="42" t="str">
        <f>"X/30: "&amp;F12&amp;"/30 | X/eligible: "&amp;F12&amp;"/"&amp;G12</f>
        <v>X/30: 29/30 | X/eligible: 29/30</v>
      </c>
      <c r="L12" s="42" t="inlineStr">
        <is>
          <t>مکمل دقیق IRN01</t>
        </is>
      </c>
      <c r="M12" t="inlineStr">
        <is>
          <t>BASELINE_COUNT_NOT_NUMERIC</t>
        </is>
      </c>
    </row>
    <row r="13" ht="29" customHeight="1" s="76">
      <c r="A13" s="50" t="inlineStr">
        <is>
          <t>SEP07</t>
        </is>
      </c>
      <c r="B13" s="50" t="inlineStr">
        <is>
          <t>تفکیک CEO و Chair</t>
        </is>
      </c>
      <c r="C13" s="50" t="n">
        <v>30</v>
      </c>
      <c r="D13" s="50">
        <f>IF(AND(ISNUMBER(B13),ISNUMBER(C13),C13&gt;0),B13/C13,"")</f>
      </c>
      <c r="E13" s="50">
        <f>IF(ISNUMBER(B13),B13/30,"")</f>
      </c>
      <c r="F13" s="50" t="n">
        <v>26</v>
      </c>
      <c r="G13" s="50" t="n">
        <v>30</v>
      </c>
      <c r="H13" s="50">
        <f>F13/G13</f>
        <v>0.8666666666666667</v>
      </c>
      <c r="I13" s="50">
        <f>F13/30</f>
        <v>0.8666666666666667</v>
      </c>
      <c r="J13" s="50">
        <f>IF(AND(ISNUMBER(F13),ISNUMBER(B13)),F13-B13,"")</f>
      </c>
      <c r="K13" s="50" t="str">
        <f>"X/30: "&amp;F13&amp;"/30 | X/eligible: "&amp;F13&amp;"/"&amp;G13</f>
        <v>X/30: 26/30 | X/eligible: 26/30</v>
      </c>
      <c r="L13" s="50" t="inlineStr">
        <is>
          <t>Variation صفر در ۲۶ شناخته‌شده</t>
        </is>
      </c>
      <c r="M13" t="inlineStr">
        <is>
          <t>BASELINE_COUNT_NOT_NUMERIC</t>
        </is>
      </c>
    </row>
    <row r="14" ht="29" customHeight="1" s="76">
      <c r="A14" s="42" t="inlineStr">
        <is>
          <t>REF05</t>
        </is>
      </c>
      <c r="B14" s="42" t="inlineStr">
        <is>
          <t>گردش شخص حقیقی</t>
        </is>
      </c>
      <c r="C14" s="42" t="n">
        <v>27</v>
      </c>
      <c r="D14" s="42">
        <f>IF(AND(ISNUMBER(B14),ISNUMBER(C14),C14&gt;0),B14/C14,"")</f>
      </c>
      <c r="E14" s="42">
        <f>IF(ISNUMBER(B14),B14/30,"")</f>
      </c>
      <c r="F14" s="42" t="n">
        <v>27</v>
      </c>
      <c r="G14" s="42" t="n">
        <v>28</v>
      </c>
      <c r="H14" s="42">
        <f>F14/G14</f>
        <v>0.9642857142857143</v>
      </c>
      <c r="I14" s="42">
        <f>F14/30</f>
        <v>0.9</v>
      </c>
      <c r="J14" s="42">
        <f>IF(AND(ISNUMBER(F14),ISNUMBER(B14)),F14-B14,"")</f>
      </c>
      <c r="K14" s="42" t="str">
        <f>"X/30: "&amp;F14&amp;"/30 | X/eligible: "&amp;F14&amp;"/"&amp;G14</f>
        <v>X/30: 27/30 | X/eligible: 27/28</v>
      </c>
      <c r="L14" s="42" t="inlineStr">
        <is>
          <t>مقدار خودرو اصلاح شد (۱/۵)</t>
        </is>
      </c>
      <c r="M14" t="inlineStr">
        <is>
          <t>BASELINE_COUNT_NOT_NUMERIC</t>
        </is>
      </c>
    </row>
    <row r="15" ht="43.5" customHeight="1" s="76">
      <c r="A15" s="50" t="inlineStr">
        <is>
          <t>REF08</t>
        </is>
      </c>
      <c r="B15" s="50" t="inlineStr">
        <is>
          <t>تغییر نماینده با شخص حقوقی ثابت</t>
        </is>
      </c>
      <c r="C15" s="50" t="n">
        <v>23</v>
      </c>
      <c r="D15" s="50">
        <f>IF(AND(ISNUMBER(B15),ISNUMBER(C15),C15&gt;0),B15/C15,"")</f>
      </c>
      <c r="E15" s="50">
        <f>IF(ISNUMBER(B15),B15/30,"")</f>
      </c>
      <c r="F15" s="50" t="n">
        <v>22</v>
      </c>
      <c r="G15" s="50" t="n">
        <v>23</v>
      </c>
      <c r="H15" s="50">
        <f>F15/G15</f>
        <v>0.9565217391304348</v>
      </c>
      <c r="I15" s="50">
        <f>F15/30</f>
        <v>0.7333333333333333</v>
      </c>
      <c r="J15" s="50">
        <f>IF(AND(ISNUMBER(F15),ISNUMBER(B15)),F15-B15,"")</f>
      </c>
      <c r="K15" s="50" t="str">
        <f>"X/30: "&amp;F15&amp;"/30 | X/eligible: "&amp;F15&amp;"/"&amp;G15</f>
        <v>X/30: 22/30 | X/eligible: 22/23</v>
      </c>
      <c r="L15" s="50" t="inlineStr">
        <is>
          <t>خودرو Missing تا بازبینی سند</t>
        </is>
      </c>
      <c r="M15" t="inlineStr">
        <is>
          <t>BASELINE_COUNT_NOT_NUMERIC</t>
        </is>
      </c>
    </row>
  </sheetData>
  <mergeCells count="2">
    <mergeCell ref="A2:L2"/>
    <mergeCell ref="A1:L1"/>
  </mergeCell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X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3.5" customWidth="1" style="76" min="2" max="2"/>
    <col width="10" customWidth="1" style="76" min="3" max="3"/>
    <col width="22" customWidth="1" style="76" min="4" max="4"/>
    <col width="10" customWidth="1" style="76" min="5" max="5"/>
    <col width="20.1640625" customWidth="1" style="76" min="6" max="6"/>
    <col width="10" customWidth="1" style="76" min="7" max="7"/>
    <col width="12.5" customWidth="1" style="76" min="8" max="8"/>
    <col width="17.1640625" customWidth="1" style="76" min="9" max="9"/>
    <col width="10" customWidth="1" style="76" min="10" max="10"/>
    <col width="42" customWidth="1" style="76" min="11" max="15"/>
    <col width="13.5" customWidth="1" style="76" min="16" max="17"/>
    <col width="42" customWidth="1" style="76" min="18" max="18"/>
    <col width="13.5" customWidth="1" style="76" min="19" max="19"/>
    <col width="25.83203125" customWidth="1" style="76" min="20" max="20"/>
    <col width="42" customWidth="1" style="76" min="21" max="24"/>
  </cols>
  <sheetData>
    <row r="1" ht="34" customHeight="1" s="76">
      <c r="A1" s="79" t="inlineStr">
        <is>
          <t>ممیزی Natural Person Turnover Rate</t>
        </is>
      </c>
    </row>
    <row r="2" ht="28" customHeight="1" s="76">
      <c r="A2" s="86" t="inlineStr">
        <is>
          <t>Turnover = G/H. هویت‌ها به‌صورت فرمول اکسل بررسی شده‌اند. ستون‌های اصلاح‌شده فقط شامل اصلاحات تاییدشده با سند منبع هستند؛ خالی به معنی Missing است نه صفر.</t>
        </is>
      </c>
    </row>
    <row r="3" ht="42" customHeight="1" s="76">
      <c r="A3" s="48" t="inlineStr">
        <is>
          <t>شرکت</t>
        </is>
      </c>
      <c r="B3" s="48" t="inlineStr">
        <is>
          <t>G صورت گردش</t>
        </is>
      </c>
      <c r="C3" s="48" t="inlineStr">
        <is>
          <t>H مخرج</t>
        </is>
      </c>
      <c r="D3" s="48" t="inlineStr">
        <is>
          <t>J صورت تغییر نماینده</t>
        </is>
      </c>
      <c r="E3" s="48" t="inlineStr">
        <is>
          <t>K مخرج</t>
        </is>
      </c>
      <c r="F3" s="48" t="inlineStr">
        <is>
          <t>M صورت تغییر حقوقی</t>
        </is>
      </c>
      <c r="G3" s="48" t="inlineStr">
        <is>
          <t>N مخرج</t>
        </is>
      </c>
      <c r="H3" s="48" t="inlineStr">
        <is>
          <t>P عضو جدید</t>
        </is>
      </c>
      <c r="I3" s="48" t="inlineStr">
        <is>
          <t>Q مخرج عضو جدید</t>
        </is>
      </c>
      <c r="J3" s="48" t="inlineStr">
        <is>
          <t>S ثبات</t>
        </is>
      </c>
      <c r="K3" s="48" t="inlineStr">
        <is>
          <t>نرخ گردش (فرمول)</t>
        </is>
      </c>
      <c r="L3" s="48" t="inlineStr">
        <is>
          <t>S=H−G</t>
        </is>
      </c>
      <c r="M3" s="48" t="inlineStr">
        <is>
          <t>J≤G</t>
        </is>
      </c>
      <c r="N3" s="48" t="inlineStr">
        <is>
          <t>K=N−M</t>
        </is>
      </c>
      <c r="O3" s="48" t="inlineStr">
        <is>
          <t>P≥G</t>
        </is>
      </c>
      <c r="P3" s="48" t="inlineStr">
        <is>
          <t>G اصلاح‌شده</t>
        </is>
      </c>
      <c r="Q3" s="48" t="inlineStr">
        <is>
          <t>H اصلاح‌شده</t>
        </is>
      </c>
      <c r="R3" s="48" t="inlineStr">
        <is>
          <t>نرخ گردش اصلاح‌شده (فرمول)</t>
        </is>
      </c>
      <c r="S3" s="48" t="inlineStr">
        <is>
          <t>کیفیت شواهد</t>
        </is>
      </c>
      <c r="T3" s="48" t="inlineStr">
        <is>
          <t>وضعیت ممیزی</t>
        </is>
      </c>
      <c r="U3" s="48" t="inlineStr">
        <is>
          <t>Source_ID</t>
        </is>
      </c>
      <c r="V3" s="48" t="inlineStr">
        <is>
          <t>Source_URL</t>
        </is>
      </c>
      <c r="W3" s="48" t="inlineStr">
        <is>
          <t>Calculation_Method / Evidence_Method</t>
        </is>
      </c>
      <c r="X3" s="48" t="inlineStr">
        <is>
          <t>Notes</t>
        </is>
      </c>
    </row>
    <row r="4" ht="87" customHeight="1" s="76">
      <c r="A4" s="42" t="inlineStr">
        <is>
          <t>فملی</t>
        </is>
      </c>
      <c r="B4" s="42" t="n">
        <v>0</v>
      </c>
      <c r="C4" s="42" t="n">
        <v>5</v>
      </c>
      <c r="D4" s="42" t="n">
        <v>0</v>
      </c>
      <c r="E4" s="42" t="n">
        <v>5</v>
      </c>
      <c r="F4" s="42" t="n">
        <v>0</v>
      </c>
      <c r="G4" s="42" t="n">
        <v>5</v>
      </c>
      <c r="H4" s="42" t="n">
        <v>0</v>
      </c>
      <c r="I4" s="42" t="n">
        <v>5</v>
      </c>
      <c r="J4" s="42" t="n">
        <v>5</v>
      </c>
      <c r="K4" s="42">
        <f>IF(AND(ISNUMBER(B4),ISNUMBER(C4),C4&gt;0),B4/C4,"")</f>
        <v>0</v>
      </c>
      <c r="L4" s="42" t="str">
        <f>IF(AND(ISNUMBER(B4),ISNUMBER(C4),ISNUMBER(J4)),IF(J4=C4-B4,"OK","FAIL"),"N/A")</f>
        <v>OK</v>
      </c>
      <c r="M4" s="42" t="str">
        <f>IF(AND(ISNUMBER(D4),ISNUMBER(B4)),IF(D4&lt;=B4,"OK","FAIL"),"N/A")</f>
        <v>OK</v>
      </c>
      <c r="N4" s="42" t="str">
        <f>IF(AND(ISNUMBER(E4),ISNUMBER(F4),ISNUMBER(G4)),IF(E4=G4-F4,"OK","FAIL"),"N/A")</f>
        <v>OK</v>
      </c>
      <c r="O4" s="42" t="str">
        <f>IF(AND(ISNUMBER(H4),ISNUMBER(B4)),IF(H4&gt;=B4,"OK","FAIL"),"N/A")</f>
        <v>OK</v>
      </c>
      <c r="P4" s="42" t="n">
        <v>0</v>
      </c>
      <c r="Q4" s="42" t="n">
        <v>5</v>
      </c>
      <c r="R4" s="42">
        <f>IF(AND(ISNUMBER(P4),ISNUMBER(Q4),Q4&gt;0),P4/Q4,"")</f>
        <v>0</v>
      </c>
      <c r="S4" s="42" t="inlineStr">
        <is>
          <t>MODERATE</t>
        </is>
      </c>
      <c r="T4" s="44" t="inlineStr">
        <is>
          <t>VERIFIED_WITH_LIMITATION</t>
        </is>
      </c>
      <c r="U4" s="42" t="inlineStr">
        <is>
          <t>Iran_BSI_v33_Phase4_2K_FinalTurnoverClosure.xlsx | برگه های گردش اشخاص حقیقی، تغییر نماینده، تغییر شخص حقوقی، اعضای جدید، ثبات هیئت و تغییر رئیس</t>
        </is>
      </c>
      <c r="V4" s="42" t="inlineStr">
        <is>
          <t>برای ردیابی پایه به فایل v33 و Source_IDهای همان فاز مراجعه شود</t>
        </is>
      </c>
      <c r="W4" s="42" t="inlineStr">
        <is>
          <t>DIRECT_ROSTER_COMPARISON | Turnover=G/H</t>
        </is>
      </c>
      <c r="X4" s="42" t="inlineStr">
        <is>
          <t>تایید قبلی؛ بدون تغییر در همه کرسی های قابل مقایسه</t>
        </is>
      </c>
    </row>
    <row r="5" ht="87" customHeight="1" s="76">
      <c r="A5" s="50" t="inlineStr">
        <is>
          <t>تاپیکو</t>
        </is>
      </c>
      <c r="B5" s="50" t="n">
        <v>2</v>
      </c>
      <c r="C5" s="50" t="n">
        <v>5</v>
      </c>
      <c r="D5" s="50" t="n">
        <v>2</v>
      </c>
      <c r="E5" s="50" t="n">
        <v>4</v>
      </c>
      <c r="F5" s="50" t="n">
        <v>0</v>
      </c>
      <c r="G5" s="50" t="n">
        <v>4</v>
      </c>
      <c r="H5" s="50" t="n">
        <v>2</v>
      </c>
      <c r="I5" s="50" t="n">
        <v>5</v>
      </c>
      <c r="J5" s="50" t="n">
        <v>3</v>
      </c>
      <c r="K5" s="50">
        <f>IF(AND(ISNUMBER(B5),ISNUMBER(C5),C5&gt;0),B5/C5,"")</f>
        <v>0.4</v>
      </c>
      <c r="L5" s="50" t="str">
        <f>IF(AND(ISNUMBER(B5),ISNUMBER(C5),ISNUMBER(J5)),IF(J5=C5-B5,"OK","FAIL"),"N/A")</f>
        <v>OK</v>
      </c>
      <c r="M5" s="50" t="str">
        <f>IF(AND(ISNUMBER(D5),ISNUMBER(B5)),IF(D5&lt;=B5,"OK","FAIL"),"N/A")</f>
        <v>OK</v>
      </c>
      <c r="N5" s="50" t="str">
        <f>IF(AND(ISNUMBER(E5),ISNUMBER(F5),ISNUMBER(G5)),IF(E5=G5-F5,"OK","FAIL"),"N/A")</f>
        <v>OK</v>
      </c>
      <c r="O5" s="50" t="str">
        <f>IF(AND(ISNUMBER(H5),ISNUMBER(B5)),IF(H5&gt;=B5,"OK","FAIL"),"N/A")</f>
        <v>OK</v>
      </c>
      <c r="P5" s="50" t="n">
        <v>2</v>
      </c>
      <c r="Q5" s="50" t="n">
        <v>5</v>
      </c>
      <c r="R5" s="50">
        <f>IF(AND(ISNUMBER(P5),ISNUMBER(Q5),Q5&gt;0),P5/Q5,"")</f>
        <v>0.4</v>
      </c>
      <c r="S5" s="50" t="inlineStr">
        <is>
          <t>LOW</t>
        </is>
      </c>
      <c r="T5" s="46" t="inlineStr">
        <is>
          <t>NEEDS_SOURCE_REVIEW</t>
        </is>
      </c>
      <c r="U5" s="50" t="inlineStr">
        <is>
          <t>Iran_BSI_v33_Phase4_2K_FinalTurnoverClosure.xlsx | برگه های گردش اشخاص حقیقی، تغییر نماینده، تغییر شخص حقوقی، اعضای جدید، ثبات هیئت و تغییر رئیس</t>
        </is>
      </c>
      <c r="V5" s="50" t="inlineStr">
        <is>
          <t>برای ردیابی پایه به فایل v33 و Source_IDهای همان فاز مراجعه شود</t>
        </is>
      </c>
      <c r="W5" s="50" t="inlineStr">
        <is>
          <t>DIRECT_ROSTER_COMPARISON | Turnover=G/H</t>
        </is>
      </c>
      <c r="X5" s="50" t="inlineStr">
        <is>
          <t>تایید قبلی</t>
        </is>
      </c>
    </row>
    <row r="6" ht="130.5" customHeight="1" s="76">
      <c r="A6" s="42" t="inlineStr">
        <is>
          <t>فارس</t>
        </is>
      </c>
      <c r="B6" s="42" t="n">
        <v>3</v>
      </c>
      <c r="C6" s="42" t="n">
        <v>5</v>
      </c>
      <c r="D6" s="42" t="n">
        <v>3</v>
      </c>
      <c r="E6" s="42" t="n">
        <v>4</v>
      </c>
      <c r="F6" s="42" t="n">
        <v>0</v>
      </c>
      <c r="G6" s="42" t="n">
        <v>4</v>
      </c>
      <c r="H6" s="42" t="n">
        <v>3</v>
      </c>
      <c r="I6" s="42" t="n">
        <v>5</v>
      </c>
      <c r="J6" s="42" t="n">
        <v>2</v>
      </c>
      <c r="K6" s="42">
        <f>IF(AND(ISNUMBER(B6),ISNUMBER(C6),C6&gt;0),B6/C6,"")</f>
        <v>0.6</v>
      </c>
      <c r="L6" s="42" t="str">
        <f>IF(AND(ISNUMBER(B6),ISNUMBER(C6),ISNUMBER(J6)),IF(J6=C6-B6,"OK","FAIL"),"N/A")</f>
        <v>OK</v>
      </c>
      <c r="M6" s="42" t="str">
        <f>IF(AND(ISNUMBER(D6),ISNUMBER(B6)),IF(D6&lt;=B6,"OK","FAIL"),"N/A")</f>
        <v>OK</v>
      </c>
      <c r="N6" s="42" t="str">
        <f>IF(AND(ISNUMBER(E6),ISNUMBER(F6),ISNUMBER(G6)),IF(E6=G6-F6,"OK","FAIL"),"N/A")</f>
        <v>OK</v>
      </c>
      <c r="O6" s="42" t="str">
        <f>IF(AND(ISNUMBER(H6),ISNUMBER(B6)),IF(H6&gt;=B6,"OK","FAIL"),"N/A")</f>
        <v>OK</v>
      </c>
      <c r="P6" s="42" t="n">
        <v>3</v>
      </c>
      <c r="Q6" s="42" t="n">
        <v>5</v>
      </c>
      <c r="R6" s="42">
        <f>IF(AND(ISNUMBER(P6),ISNUMBER(Q6),Q6&gt;0),P6/Q6,"")</f>
        <v>0.6</v>
      </c>
      <c r="S6" s="42" t="inlineStr">
        <is>
          <t>MODERATE</t>
        </is>
      </c>
      <c r="T6" s="45" t="inlineStr">
        <is>
          <t>NEEDS_CORRECTION</t>
        </is>
      </c>
      <c r="U6" s="42"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V6" s="42" t="inlineStr">
        <is>
          <t>برای ردیابی پایه به فایل v33 و Source_IDهای همان فاز مراجعه شود</t>
        </is>
      </c>
      <c r="W6" s="42" t="inlineStr">
        <is>
          <t>DIRECT_ROSTER_COMPARISON | Turnover=G/H</t>
        </is>
      </c>
      <c r="X6" s="42" t="inlineStr">
        <is>
          <t>نمونه مهم تغییر نماینده با شخص حقوقی ثابت</t>
        </is>
      </c>
    </row>
    <row r="7" ht="72.5" customHeight="1" s="76">
      <c r="A7" s="50" t="inlineStr">
        <is>
          <t>خودرو</t>
        </is>
      </c>
      <c r="B7" s="50" t="n">
        <v>0</v>
      </c>
      <c r="C7" s="50" t="n">
        <v>5</v>
      </c>
      <c r="D7" s="50" t="n">
        <v>0</v>
      </c>
      <c r="E7" s="50" t="n">
        <v>5</v>
      </c>
      <c r="F7" s="50" t="n">
        <v>0</v>
      </c>
      <c r="G7" s="50" t="n">
        <v>5</v>
      </c>
      <c r="H7" s="50" t="n">
        <v>0</v>
      </c>
      <c r="I7" s="50" t="n">
        <v>5</v>
      </c>
      <c r="J7" s="50" t="n">
        <v>5</v>
      </c>
      <c r="K7" s="50">
        <f>IF(AND(ISNUMBER(B7),ISNUMBER(C7),C7&gt;0),B7/C7,"")</f>
        <v>0</v>
      </c>
      <c r="L7" s="50" t="str">
        <f>IF(AND(ISNUMBER(B7),ISNUMBER(C7),ISNUMBER(J7)),IF(J7=C7-B7,"OK","FAIL"),"N/A")</f>
        <v>OK</v>
      </c>
      <c r="M7" s="50" t="str">
        <f>IF(AND(ISNUMBER(D7),ISNUMBER(B7)),IF(D7&lt;=B7,"OK","FAIL"),"N/A")</f>
        <v>OK</v>
      </c>
      <c r="N7" s="50" t="str">
        <f>IF(AND(ISNUMBER(E7),ISNUMBER(F7),ISNUMBER(G7)),IF(E7=G7-F7,"OK","FAIL"),"N/A")</f>
        <v>OK</v>
      </c>
      <c r="O7" s="50" t="str">
        <f>IF(AND(ISNUMBER(H7),ISNUMBER(B7)),IF(H7&gt;=B7,"OK","FAIL"),"N/A")</f>
        <v>OK</v>
      </c>
      <c r="P7" s="50" t="n">
        <v>1</v>
      </c>
      <c r="Q7" s="50" t="n">
        <v>5</v>
      </c>
      <c r="R7" s="50">
        <f>IF(AND(ISNUMBER(P7),ISNUMBER(Q7),Q7&gt;0),P7/Q7,"")</f>
        <v>0.2</v>
      </c>
      <c r="S7" s="50" t="inlineStr">
        <is>
          <t>MODERATE</t>
        </is>
      </c>
      <c r="T7" s="45" t="inlineStr">
        <is>
          <t>NEEDS_CORRECTION</t>
        </is>
      </c>
      <c r="U7" s="50" t="inlineStr">
        <is>
          <t>Iran_BSI_v33_Phase4_2K_FinalTurnoverClosure.xlsx | روش MEMBERSHIP_START_RECONSTRUCTION و برگه های خانواده Turnover</t>
        </is>
      </c>
      <c r="V7" s="50" t="inlineStr">
        <is>
          <t>برای ردیابی پایه به فایل v33 و Source_IDهای همان فاز مراجعه شود</t>
        </is>
      </c>
      <c r="W7" s="50" t="inlineStr">
        <is>
          <t>MEMBERSHIP_START_RECONSTRUCTION | Turnover=G/H</t>
        </is>
      </c>
      <c r="X7" s="50" t="inlineStr">
        <is>
          <t>بازسازی از تاریخ شروع عضویت؛ محدودیت روش حفظ شد</t>
        </is>
      </c>
    </row>
    <row r="8" ht="145" customHeight="1" s="76">
      <c r="A8" s="42" t="inlineStr">
        <is>
          <t>زاگرس</t>
        </is>
      </c>
      <c r="B8" s="42" t="n">
        <v>2</v>
      </c>
      <c r="C8" s="42" t="n">
        <v>3</v>
      </c>
      <c r="D8" s="42" t="n">
        <v>2</v>
      </c>
      <c r="E8" s="42" t="n">
        <v>3</v>
      </c>
      <c r="F8" s="42" t="n">
        <v>0</v>
      </c>
      <c r="G8" s="42" t="n">
        <v>3</v>
      </c>
      <c r="H8" s="42" t="n">
        <v>2</v>
      </c>
      <c r="I8" s="42" t="n">
        <v>4</v>
      </c>
      <c r="J8" s="42" t="n">
        <v>1</v>
      </c>
      <c r="K8" s="42">
        <f>IF(AND(ISNUMBER(B8),ISNUMBER(C8),C8&gt;0),B8/C8,"")</f>
        <v>0.6666666666666666</v>
      </c>
      <c r="L8" s="42" t="str">
        <f>IF(AND(ISNUMBER(B8),ISNUMBER(C8),ISNUMBER(J8)),IF(J8=C8-B8,"OK","FAIL"),"N/A")</f>
        <v>OK</v>
      </c>
      <c r="M8" s="42" t="str">
        <f>IF(AND(ISNUMBER(D8),ISNUMBER(B8)),IF(D8&lt;=B8,"OK","FAIL"),"N/A")</f>
        <v>OK</v>
      </c>
      <c r="N8" s="42" t="str">
        <f>IF(AND(ISNUMBER(E8),ISNUMBER(F8),ISNUMBER(G8)),IF(E8=G8-F8,"OK","FAIL"),"N/A")</f>
        <v>OK</v>
      </c>
      <c r="O8" s="42" t="str">
        <f>IF(AND(ISNUMBER(H8),ISNUMBER(B8)),IF(H8&gt;=B8,"OK","FAIL"),"N/A")</f>
        <v>OK</v>
      </c>
      <c r="P8" s="42" t="n">
        <v>2</v>
      </c>
      <c r="Q8" s="42" t="n">
        <v>3</v>
      </c>
      <c r="R8" s="42">
        <f>IF(AND(ISNUMBER(P8),ISNUMBER(Q8),Q8&gt;0),P8/Q8,"")</f>
        <v>0.6666666666666666</v>
      </c>
      <c r="S8" s="42" t="inlineStr">
        <is>
          <t>MODERATE</t>
        </is>
      </c>
      <c r="T8" s="46" t="inlineStr">
        <is>
          <t>NEEDS_SOURCE_REVIEW</t>
        </is>
      </c>
      <c r="U8" s="42"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V8" s="42" t="inlineStr">
        <is>
          <t>برای ردیابی پایه به فایل v33 و Source_IDهای همان فاز مراجعه شود</t>
        </is>
      </c>
      <c r="W8" s="42" t="inlineStr">
        <is>
          <t>DIRECT_ROSTER_COMPARISON | Turnover=G/H</t>
        </is>
      </c>
      <c r="X8" s="42" t="inlineStr">
        <is>
          <t>دو تغییر نماینده در سه کرسی تاییدشده</t>
        </is>
      </c>
    </row>
    <row r="9" ht="203" customHeight="1" s="76">
      <c r="A9" s="50" t="inlineStr">
        <is>
          <t>شبندر</t>
        </is>
      </c>
      <c r="B9" s="50" t="n">
        <v>2</v>
      </c>
      <c r="C9" s="50" t="n">
        <v>5</v>
      </c>
      <c r="D9" s="50" t="n">
        <v>0</v>
      </c>
      <c r="E9" s="50" t="n">
        <v>3</v>
      </c>
      <c r="F9" s="50" t="n">
        <v>2</v>
      </c>
      <c r="G9" s="50" t="n">
        <v>5</v>
      </c>
      <c r="H9" s="50" t="n">
        <v>2</v>
      </c>
      <c r="I9" s="50" t="n">
        <v>5</v>
      </c>
      <c r="J9" s="50" t="n">
        <v>3</v>
      </c>
      <c r="K9" s="50">
        <f>IF(AND(ISNUMBER(B9),ISNUMBER(C9),C9&gt;0),B9/C9,"")</f>
        <v>0.4</v>
      </c>
      <c r="L9" s="50" t="str">
        <f>IF(AND(ISNUMBER(B9),ISNUMBER(C9),ISNUMBER(J9)),IF(J9=C9-B9,"OK","FAIL"),"N/A")</f>
        <v>OK</v>
      </c>
      <c r="M9" s="50" t="str">
        <f>IF(AND(ISNUMBER(D9),ISNUMBER(B9)),IF(D9&lt;=B9,"OK","FAIL"),"N/A")</f>
        <v>OK</v>
      </c>
      <c r="N9" s="50" t="str">
        <f>IF(AND(ISNUMBER(E9),ISNUMBER(F9),ISNUMBER(G9)),IF(E9=G9-F9,"OK","FAIL"),"N/A")</f>
        <v>OK</v>
      </c>
      <c r="O9" s="50" t="str">
        <f>IF(AND(ISNUMBER(H9),ISNUMBER(B9)),IF(H9&gt;=B9,"OK","FAIL"),"N/A")</f>
        <v>OK</v>
      </c>
      <c r="P9" s="50" t="n">
        <v>2</v>
      </c>
      <c r="Q9" s="50" t="n">
        <v>5</v>
      </c>
      <c r="R9" s="50">
        <f>IF(AND(ISNUMBER(P9),ISNUMBER(Q9),Q9&gt;0),P9/Q9,"")</f>
        <v>0.4</v>
      </c>
      <c r="S9" s="50" t="inlineStr">
        <is>
          <t>MODERATE</t>
        </is>
      </c>
      <c r="T9" s="44" t="inlineStr">
        <is>
          <t>VERIFIED_WITH_LIMITATION</t>
        </is>
      </c>
      <c r="U9" s="50"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c r="V9" s="50" t="inlineStr">
        <is>
          <t>https://www.codal.ir/Reports/Decision.aspx?LetterSerial=ULk65ZOHpAkFOOObOOOb3pLpblJQ%3d%3d&amp;rt=0&amp;let=19&amp;ct=0&amp;ft=-1
https://www.codal.ir/Reports/Decision.aspx?LetterSerial=kealwqnfPYdWwbR3UB9uZw%3d%3d&amp;rt=0&amp;let=19&amp;ct=0&amp;ft=-1</t>
        </is>
      </c>
      <c r="W9" s="50" t="inlineStr">
        <is>
          <t>MULTI_SOURCE_ROSTER_COMPARISON | Turnover=G/H</t>
        </is>
      </c>
      <c r="X9" s="50" t="inlineStr">
        <is>
          <t>رمزگذاری عربی سند با جستجوی دو الفبا حل شد</t>
        </is>
      </c>
    </row>
    <row r="10" ht="145" customHeight="1" s="76">
      <c r="A10" s="42" t="inlineStr">
        <is>
          <t>پارس</t>
        </is>
      </c>
      <c r="B10" s="42" t="n">
        <v>3</v>
      </c>
      <c r="C10" s="42" t="n">
        <v>5</v>
      </c>
      <c r="D10" s="42" t="n">
        <v>3</v>
      </c>
      <c r="E10" s="42" t="n">
        <v>5</v>
      </c>
      <c r="F10" s="42" t="n">
        <v>0</v>
      </c>
      <c r="G10" s="42" t="n">
        <v>5</v>
      </c>
      <c r="H10" s="42" t="n">
        <v>3</v>
      </c>
      <c r="I10" s="42" t="n">
        <v>5</v>
      </c>
      <c r="J10" s="42" t="n">
        <v>2</v>
      </c>
      <c r="K10" s="42">
        <f>IF(AND(ISNUMBER(B10),ISNUMBER(C10),C10&gt;0),B10/C10,"")</f>
        <v>0.6</v>
      </c>
      <c r="L10" s="42" t="str">
        <f>IF(AND(ISNUMBER(B10),ISNUMBER(C10),ISNUMBER(J10)),IF(J10=C10-B10,"OK","FAIL"),"N/A")</f>
        <v>OK</v>
      </c>
      <c r="M10" s="42" t="str">
        <f>IF(AND(ISNUMBER(D10),ISNUMBER(B10)),IF(D10&lt;=B10,"OK","FAIL"),"N/A")</f>
        <v>OK</v>
      </c>
      <c r="N10" s="42" t="str">
        <f>IF(AND(ISNUMBER(E10),ISNUMBER(F10),ISNUMBER(G10)),IF(E10=G10-F10,"OK","FAIL"),"N/A")</f>
        <v>OK</v>
      </c>
      <c r="O10" s="42" t="str">
        <f>IF(AND(ISNUMBER(H10),ISNUMBER(B10)),IF(H10&gt;=B10,"OK","FAIL"),"N/A")</f>
        <v>OK</v>
      </c>
      <c r="P10" s="42" t="n">
        <v>3</v>
      </c>
      <c r="Q10" s="42" t="n">
        <v>5</v>
      </c>
      <c r="R10" s="42">
        <f>IF(AND(ISNUMBER(P10),ISNUMBER(Q10),Q10&gt;0),P10/Q10,"")</f>
        <v>0.6</v>
      </c>
      <c r="S10" s="42" t="inlineStr">
        <is>
          <t>MODERATE</t>
        </is>
      </c>
      <c r="T10" s="44" t="inlineStr">
        <is>
          <t>VERIFIED_WITH_LIMITATION</t>
        </is>
      </c>
      <c r="U10" s="42"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V10" s="42" t="inlineStr">
        <is>
          <t>https://www.codal.ir/Reports/Decision.aspx?LetterSerial=sjHofZygVLXICVj8iXL3Aw%3d%3d&amp;rt=0&amp;let=19&amp;ct=0&amp;ft=-1
https://www.codal.ir/Reports/Decision.aspx?LetterSerial=1kqm2T6e5zV5EQQQaQQQKdlIj9HA%3d%3d&amp;rt=0&amp;let=19&amp;ct=0&amp;ft=-1</t>
        </is>
      </c>
      <c r="W10" s="42" t="inlineStr">
        <is>
          <t>TYPE19_CHRONOLOGY | Turnover=G/H</t>
        </is>
      </c>
      <c r="X10" s="42" t="inlineStr">
        <is>
          <t>FY1403 از ستون نماینده قبلی افشای نوع ۱۹ بازسازی شد</t>
        </is>
      </c>
    </row>
    <row r="11" ht="145" customHeight="1" s="76">
      <c r="A11" s="50" t="inlineStr">
        <is>
          <t>شتران</t>
        </is>
      </c>
      <c r="B11" s="50" t="n">
        <v>1</v>
      </c>
      <c r="C11" s="50" t="n">
        <v>5</v>
      </c>
      <c r="D11" s="50" t="n">
        <v>1</v>
      </c>
      <c r="E11" s="50" t="n">
        <v>5</v>
      </c>
      <c r="F11" s="50" t="n">
        <v>0</v>
      </c>
      <c r="G11" s="50" t="n">
        <v>5</v>
      </c>
      <c r="H11" s="50" t="n">
        <v>1</v>
      </c>
      <c r="I11" s="50" t="n">
        <v>5</v>
      </c>
      <c r="J11" s="50" t="n">
        <v>4</v>
      </c>
      <c r="K11" s="50">
        <f>IF(AND(ISNUMBER(B11),ISNUMBER(C11),C11&gt;0),B11/C11,"")</f>
        <v>0.2</v>
      </c>
      <c r="L11" s="50" t="str">
        <f>IF(AND(ISNUMBER(B11),ISNUMBER(C11),ISNUMBER(J11)),IF(J11=C11-B11,"OK","FAIL"),"N/A")</f>
        <v>OK</v>
      </c>
      <c r="M11" s="50" t="str">
        <f>IF(AND(ISNUMBER(D11),ISNUMBER(B11)),IF(D11&lt;=B11,"OK","FAIL"),"N/A")</f>
        <v>OK</v>
      </c>
      <c r="N11" s="50" t="str">
        <f>IF(AND(ISNUMBER(E11),ISNUMBER(F11),ISNUMBER(G11)),IF(E11=G11-F11,"OK","FAIL"),"N/A")</f>
        <v>OK</v>
      </c>
      <c r="O11" s="50" t="str">
        <f>IF(AND(ISNUMBER(H11),ISNUMBER(B11)),IF(H11&gt;=B11,"OK","FAIL"),"N/A")</f>
        <v>OK</v>
      </c>
      <c r="P11" s="50" t="n">
        <v>1</v>
      </c>
      <c r="Q11" s="50" t="n">
        <v>5</v>
      </c>
      <c r="R11" s="50">
        <f>IF(AND(ISNUMBER(P11),ISNUMBER(Q11),Q11&gt;0),P11/Q11,"")</f>
        <v>0.2</v>
      </c>
      <c r="S11" s="50" t="inlineStr">
        <is>
          <t>HIGH</t>
        </is>
      </c>
      <c r="T11" s="44" t="inlineStr">
        <is>
          <t>VERIFIED_WITH_LIMITATION</t>
        </is>
      </c>
      <c r="U11" s="50"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V11" s="50" t="inlineStr">
        <is>
          <t>https://www.codal.ir/Reports/Attachment.aspx?LetterSerial=W3P2HVjIaDXFbdMemqSeUA%3d%3d
https://www.codal.ir/Reports/Attachment.aspx?LetterSerial=F0veQQQaQQQX4tai7nAftHYyrDhg%3d%3d</t>
        </is>
      </c>
      <c r="W11" s="50" t="inlineStr">
        <is>
          <t>DIRECT_ROSTER_COMPARISON | Turnover=G/H</t>
        </is>
      </c>
      <c r="X11" s="50" t="inlineStr">
        <is>
          <t>مقایسه مستقیم دو گزارش</t>
        </is>
      </c>
    </row>
    <row r="12" ht="145" customHeight="1" s="76">
      <c r="A12" s="42" t="inlineStr">
        <is>
          <t>وتجارت</t>
        </is>
      </c>
      <c r="B12" s="42" t="n">
        <v>1</v>
      </c>
      <c r="C12" s="42" t="n">
        <v>5</v>
      </c>
      <c r="D12" s="43" t="n"/>
      <c r="E12" s="43" t="n"/>
      <c r="F12" s="43" t="n"/>
      <c r="G12" s="43" t="n"/>
      <c r="H12" s="42" t="n">
        <v>0</v>
      </c>
      <c r="I12" s="42" t="n">
        <v>4</v>
      </c>
      <c r="J12" s="42" t="n">
        <v>4</v>
      </c>
      <c r="K12" s="42">
        <f>IF(AND(ISNUMBER(B12),ISNUMBER(C12),C12&gt;0),B12/C12,"")</f>
        <v>0.2</v>
      </c>
      <c r="L12" s="42" t="str">
        <f>IF(AND(ISNUMBER(B12),ISNUMBER(C12),ISNUMBER(J12)),IF(J12=C12-B12,"OK","FAIL"),"N/A")</f>
        <v>OK</v>
      </c>
      <c r="M12" s="42" t="str">
        <f>IF(AND(ISNUMBER(D12),ISNUMBER(B12)),IF(D12&lt;=B12,"OK","FAIL"),"N/A")</f>
        <v>N/A</v>
      </c>
      <c r="N12" s="42" t="str">
        <f>IF(AND(ISNUMBER(E12),ISNUMBER(F12),ISNUMBER(G12)),IF(E12=G12-F12,"OK","FAIL"),"N/A")</f>
        <v>N/A</v>
      </c>
      <c r="O12" s="42" t="str">
        <f>IF(AND(ISNUMBER(H12),ISNUMBER(B12)),IF(H12&gt;=B12,"OK","FAIL"),"N/A")</f>
        <v>FAIL</v>
      </c>
      <c r="P12" s="42" t="n">
        <v>1</v>
      </c>
      <c r="Q12" s="42" t="n">
        <v>5</v>
      </c>
      <c r="R12" s="42">
        <f>IF(AND(ISNUMBER(P12),ISNUMBER(Q12),Q12&gt;0),P12/Q12,"")</f>
        <v>0.2</v>
      </c>
      <c r="S12" s="42" t="inlineStr">
        <is>
          <t>MODERATE</t>
        </is>
      </c>
      <c r="T12" s="46" t="inlineStr">
        <is>
          <t>NEEDS_SOURCE_REVIEW</t>
        </is>
      </c>
      <c r="U12" s="42"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is>
      </c>
      <c r="V12" s="42" t="inlineStr">
        <is>
          <t>برای ردیابی پایه به فایل v33 و Source_IDهای همان فاز مراجعه شود</t>
        </is>
      </c>
      <c r="W12" s="42" t="inlineStr">
        <is>
          <t>DIRECT_ROSTER_COMPARISON_WITH_BOARD_SIZE_CHANGE | Turnover=G/H</t>
        </is>
      </c>
      <c r="X12" s="42" t="inlineStr">
        <is>
          <t>ساختار نمایندگی شخص حقوقی در گزارش مبنا وجود ندارد</t>
        </is>
      </c>
    </row>
    <row r="13" ht="174" customHeight="1" s="76">
      <c r="A13" s="50" t="inlineStr">
        <is>
          <t>رمپنا</t>
        </is>
      </c>
      <c r="B13" s="50" t="n">
        <v>2</v>
      </c>
      <c r="C13" s="50" t="n">
        <v>5</v>
      </c>
      <c r="D13" s="50" t="n">
        <v>1</v>
      </c>
      <c r="E13" s="50" t="n">
        <v>1</v>
      </c>
      <c r="F13" s="50" t="n">
        <v>4</v>
      </c>
      <c r="G13" s="50" t="n">
        <v>5</v>
      </c>
      <c r="H13" s="50" t="n">
        <v>2</v>
      </c>
      <c r="I13" s="50" t="n">
        <v>5</v>
      </c>
      <c r="J13" s="50" t="n">
        <v>3</v>
      </c>
      <c r="K13" s="50">
        <f>IF(AND(ISNUMBER(B13),ISNUMBER(C13),C13&gt;0),B13/C13,"")</f>
        <v>0.4</v>
      </c>
      <c r="L13" s="50" t="str">
        <f>IF(AND(ISNUMBER(B13),ISNUMBER(C13),ISNUMBER(J13)),IF(J13=C13-B13,"OK","FAIL"),"N/A")</f>
        <v>OK</v>
      </c>
      <c r="M13" s="50" t="str">
        <f>IF(AND(ISNUMBER(D13),ISNUMBER(B13)),IF(D13&lt;=B13,"OK","FAIL"),"N/A")</f>
        <v>OK</v>
      </c>
      <c r="N13" s="50" t="str">
        <f>IF(AND(ISNUMBER(E13),ISNUMBER(F13),ISNUMBER(G13)),IF(E13=G13-F13,"OK","FAIL"),"N/A")</f>
        <v>OK</v>
      </c>
      <c r="O13" s="50" t="str">
        <f>IF(AND(ISNUMBER(H13),ISNUMBER(B13)),IF(H13&gt;=B13,"OK","FAIL"),"N/A")</f>
        <v>OK</v>
      </c>
      <c r="P13" s="50" t="n">
        <v>2</v>
      </c>
      <c r="Q13" s="50" t="n">
        <v>5</v>
      </c>
      <c r="R13" s="50">
        <f>IF(AND(ISNUMBER(P13),ISNUMBER(Q13),Q13&gt;0),P13/Q13,"")</f>
        <v>0.4</v>
      </c>
      <c r="S13" s="50" t="inlineStr">
        <is>
          <t>MODERATE</t>
        </is>
      </c>
      <c r="T13" s="44" t="inlineStr">
        <is>
          <t>VERIFIED_WITH_LIMITATION</t>
        </is>
      </c>
      <c r="U13" s="50"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V13" s="50" t="inlineStr">
        <is>
          <t>https://www.codal.ir/Reports/Decision.aspx?LetterSerial=gsard4xmaj4Zi8yOS8AWMA%3d%3d&amp;rt=5&amp;let=19&amp;ct=0&amp;ft=-1
https://www.codal.ir/Reports/Decision.aspx?LetterSerial=4P4QQQaQQQssbMX9ZMuZVciqBKOOObOOOg%3d%3d&amp;rt=5&amp;let=19&amp;ct=0&amp;ft=-1</t>
        </is>
      </c>
      <c r="W13" s="50" t="inlineStr">
        <is>
          <t>TYPE19_CHRONOLOGY | Turnover=G/H</t>
        </is>
      </c>
      <c r="X13" s="50" t="inlineStr">
        <is>
          <t>Look Ahead حذف شد؛ مخرج Representative Change فقط یک کرسی ثابت است</t>
        </is>
      </c>
    </row>
    <row r="14" ht="130.5" customHeight="1" s="76">
      <c r="A14" s="42" t="inlineStr">
        <is>
          <t>فخوز</t>
        </is>
      </c>
      <c r="B14" s="42" t="n">
        <v>4</v>
      </c>
      <c r="C14" s="42" t="n">
        <v>5</v>
      </c>
      <c r="D14" s="42" t="n">
        <v>3</v>
      </c>
      <c r="E14" s="42" t="n">
        <v>4</v>
      </c>
      <c r="F14" s="42" t="n">
        <v>1</v>
      </c>
      <c r="G14" s="42" t="n">
        <v>5</v>
      </c>
      <c r="H14" s="42" t="n">
        <v>4</v>
      </c>
      <c r="I14" s="42" t="n">
        <v>5</v>
      </c>
      <c r="J14" s="42" t="n">
        <v>1</v>
      </c>
      <c r="K14" s="42">
        <f>IF(AND(ISNUMBER(B14),ISNUMBER(C14),C14&gt;0),B14/C14,"")</f>
        <v>0.8</v>
      </c>
      <c r="L14" s="42" t="str">
        <f>IF(AND(ISNUMBER(B14),ISNUMBER(C14),ISNUMBER(J14)),IF(J14=C14-B14,"OK","FAIL"),"N/A")</f>
        <v>OK</v>
      </c>
      <c r="M14" s="42" t="str">
        <f>IF(AND(ISNUMBER(D14),ISNUMBER(B14)),IF(D14&lt;=B14,"OK","FAIL"),"N/A")</f>
        <v>OK</v>
      </c>
      <c r="N14" s="42" t="str">
        <f>IF(AND(ISNUMBER(E14),ISNUMBER(F14),ISNUMBER(G14)),IF(E14=G14-F14,"OK","FAIL"),"N/A")</f>
        <v>OK</v>
      </c>
      <c r="O14" s="42" t="str">
        <f>IF(AND(ISNUMBER(H14),ISNUMBER(B14)),IF(H14&gt;=B14,"OK","FAIL"),"N/A")</f>
        <v>OK</v>
      </c>
      <c r="P14" s="42" t="n">
        <v>4</v>
      </c>
      <c r="Q14" s="42" t="n">
        <v>5</v>
      </c>
      <c r="R14" s="42">
        <f>IF(AND(ISNUMBER(P14),ISNUMBER(Q14),Q14&gt;0),P14/Q14,"")</f>
        <v>0.8</v>
      </c>
      <c r="S14" s="42" t="inlineStr">
        <is>
          <t>MODERATE</t>
        </is>
      </c>
      <c r="T14" s="44" t="inlineStr">
        <is>
          <t>VERIFIED_WITH_LIMITATION</t>
        </is>
      </c>
      <c r="U14" s="42"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V14" s="42" t="inlineStr">
        <is>
          <t>برای ردیابی پایه به فایل v33 و Source_IDهای همان فاز مراجعه شود</t>
        </is>
      </c>
      <c r="W14" s="42" t="inlineStr">
        <is>
          <t>MULTI_SOURCE_RECONCILIATION | Turnover=G/H</t>
        </is>
      </c>
      <c r="X14" s="42" t="inlineStr">
        <is>
          <t>Cutoff کنترل شد</t>
        </is>
      </c>
    </row>
    <row r="15" ht="116" customHeight="1" s="76">
      <c r="A15" s="50" t="inlineStr">
        <is>
          <t>شستا</t>
        </is>
      </c>
      <c r="B15" s="50" t="n">
        <v>3</v>
      </c>
      <c r="C15" s="50" t="n">
        <v>5</v>
      </c>
      <c r="D15" s="50" t="n">
        <v>3</v>
      </c>
      <c r="E15" s="50" t="n">
        <v>5</v>
      </c>
      <c r="F15" s="50" t="n">
        <v>0</v>
      </c>
      <c r="G15" s="50" t="n">
        <v>5</v>
      </c>
      <c r="H15" s="50" t="n">
        <v>3</v>
      </c>
      <c r="I15" s="50" t="n">
        <v>5</v>
      </c>
      <c r="J15" s="50" t="n">
        <v>2</v>
      </c>
      <c r="K15" s="50">
        <f>IF(AND(ISNUMBER(B15),ISNUMBER(C15),C15&gt;0),B15/C15,"")</f>
        <v>0.6</v>
      </c>
      <c r="L15" s="50" t="str">
        <f>IF(AND(ISNUMBER(B15),ISNUMBER(C15),ISNUMBER(J15)),IF(J15=C15-B15,"OK","FAIL"),"N/A")</f>
        <v>OK</v>
      </c>
      <c r="M15" s="50" t="str">
        <f>IF(AND(ISNUMBER(D15),ISNUMBER(B15)),IF(D15&lt;=B15,"OK","FAIL"),"N/A")</f>
        <v>OK</v>
      </c>
      <c r="N15" s="50" t="str">
        <f>IF(AND(ISNUMBER(E15),ISNUMBER(F15),ISNUMBER(G15)),IF(E15=G15-F15,"OK","FAIL"),"N/A")</f>
        <v>OK</v>
      </c>
      <c r="O15" s="50" t="str">
        <f>IF(AND(ISNUMBER(H15),ISNUMBER(B15)),IF(H15&gt;=B15,"OK","FAIL"),"N/A")</f>
        <v>OK</v>
      </c>
      <c r="P15" s="50" t="n">
        <v>3</v>
      </c>
      <c r="Q15" s="50" t="n">
        <v>5</v>
      </c>
      <c r="R15" s="50">
        <f>IF(AND(ISNUMBER(P15),ISNUMBER(Q15),Q15&gt;0),P15/Q15,"")</f>
        <v>0.6</v>
      </c>
      <c r="S15" s="50" t="inlineStr">
        <is>
          <t>HIGH</t>
        </is>
      </c>
      <c r="T15" s="44" t="inlineStr">
        <is>
          <t>VERIFIED_WITH_LIMITATION</t>
        </is>
      </c>
      <c r="U15" s="50" t="inlineStr">
        <is>
          <t>SRC_SHST_1404_015 | افشای نوع ۱۹ | ۱۴۰۳ | ۱ | Snapshot مبنا برای ۱۴۰۳
SRC_SHST_1404_007 | افشای نوع ۱۹ | ۱۴۰۴ | ۱ | Snapshot مبنا برای ۱۴۰۴</t>
        </is>
      </c>
      <c r="V15" s="50" t="inlineStr">
        <is>
          <t>https://www.codal.ir/Reports/Decision.aspx?LetterSerial=b8oxHadTuSstqVNc5Bqzjw%3d%3d&amp;rt=2&amp;let=19&amp;ct=0&amp;ft=-1
https://www.codal.ir/Reports/Decision.aspx?LetterSerial=pk2gUF4FVfw9cOOObOOOOR6kSTDg%3d%3d&amp;rt=2&amp;let=19&amp;ct=0&amp;ft=-1</t>
        </is>
      </c>
      <c r="W15" s="50" t="inlineStr">
        <is>
          <t>DIRECT_TYPE19_COMPARISON | Turnover=G/H</t>
        </is>
      </c>
      <c r="X15" s="50" t="inlineStr">
        <is>
          <t>Snapshotهای پیش از Cutoff</t>
        </is>
      </c>
    </row>
    <row r="16" ht="116" customHeight="1" s="76">
      <c r="A16" s="42" t="inlineStr">
        <is>
          <t>شپنا</t>
        </is>
      </c>
      <c r="B16" s="42" t="n">
        <v>1</v>
      </c>
      <c r="C16" s="42" t="n">
        <v>5</v>
      </c>
      <c r="D16" s="42" t="n">
        <v>1</v>
      </c>
      <c r="E16" s="42" t="n">
        <v>5</v>
      </c>
      <c r="F16" s="42" t="n">
        <v>0</v>
      </c>
      <c r="G16" s="42" t="n">
        <v>5</v>
      </c>
      <c r="H16" s="42" t="n">
        <v>1</v>
      </c>
      <c r="I16" s="42" t="n">
        <v>5</v>
      </c>
      <c r="J16" s="42" t="n">
        <v>4</v>
      </c>
      <c r="K16" s="42">
        <f>IF(AND(ISNUMBER(B16),ISNUMBER(C16),C16&gt;0),B16/C16,"")</f>
        <v>0.2</v>
      </c>
      <c r="L16" s="42" t="str">
        <f>IF(AND(ISNUMBER(B16),ISNUMBER(C16),ISNUMBER(J16)),IF(J16=C16-B16,"OK","FAIL"),"N/A")</f>
        <v>OK</v>
      </c>
      <c r="M16" s="42" t="str">
        <f>IF(AND(ISNUMBER(D16),ISNUMBER(B16)),IF(D16&lt;=B16,"OK","FAIL"),"N/A")</f>
        <v>OK</v>
      </c>
      <c r="N16" s="42" t="str">
        <f>IF(AND(ISNUMBER(E16),ISNUMBER(F16),ISNUMBER(G16)),IF(E16=G16-F16,"OK","FAIL"),"N/A")</f>
        <v>OK</v>
      </c>
      <c r="O16" s="42" t="str">
        <f>IF(AND(ISNUMBER(H16),ISNUMBER(B16)),IF(H16&gt;=B16,"OK","FAIL"),"N/A")</f>
        <v>OK</v>
      </c>
      <c r="P16" s="42" t="n">
        <v>1</v>
      </c>
      <c r="Q16" s="42" t="n">
        <v>5</v>
      </c>
      <c r="R16" s="42">
        <f>IF(AND(ISNUMBER(P16),ISNUMBER(Q16),Q16&gt;0),P16/Q16,"")</f>
        <v>0.2</v>
      </c>
      <c r="S16" s="42" t="inlineStr">
        <is>
          <t>HIGH</t>
        </is>
      </c>
      <c r="T16" s="44" t="inlineStr">
        <is>
          <t>VERIFIED_WITH_LIMITATION</t>
        </is>
      </c>
      <c r="U16" s="42" t="inlineStr">
        <is>
          <t>SRC_SHPN_1404_002 | افشای نوع ۱۹ | ۱۴۰۳ | ۱ | Snapshot مبنا برای ۱۴۰۳
SRC_SHPN_1404_004 | افشای نوع ۱۹ | ۱۴۰۴ | ۱ تا ۲ | Snapshot مبنا برای ۱۴۰۴</t>
        </is>
      </c>
      <c r="V16" s="42" t="inlineStr">
        <is>
          <t>https://www.codal.ir/Reports/Decision.aspx?LetterSerial=BgB1TPEYicGYh74gmrG9mA%3d%3d&amp;rt=0&amp;let=19&amp;ct=0&amp;ft=-1
https://www.codal.ir/Reports/Decision.aspx?LetterSerial=zWRtzdFgEWKY0H4XNrzRzA%3d%3d&amp;rt=0&amp;let=19&amp;ct=0&amp;ft=-1</t>
        </is>
      </c>
      <c r="W16" s="42" t="inlineStr">
        <is>
          <t>DIRECT_TYPE19_COMPARISON | Turnover=G/H</t>
        </is>
      </c>
      <c r="X16" s="42" t="inlineStr">
        <is>
          <t>مقایسه مستقیم افشای نوع ۱۹</t>
        </is>
      </c>
    </row>
    <row r="17" ht="116" customHeight="1" s="76">
      <c r="A17" s="50" t="inlineStr">
        <is>
          <t>وغدیر</t>
        </is>
      </c>
      <c r="B17" s="50" t="n">
        <v>2</v>
      </c>
      <c r="C17" s="50" t="n">
        <v>5</v>
      </c>
      <c r="D17" s="50" t="n">
        <v>2</v>
      </c>
      <c r="E17" s="50" t="n">
        <v>5</v>
      </c>
      <c r="F17" s="50" t="n">
        <v>0</v>
      </c>
      <c r="G17" s="50" t="n">
        <v>5</v>
      </c>
      <c r="H17" s="50" t="n">
        <v>2</v>
      </c>
      <c r="I17" s="50" t="n">
        <v>5</v>
      </c>
      <c r="J17" s="50" t="n">
        <v>3</v>
      </c>
      <c r="K17" s="50">
        <f>IF(AND(ISNUMBER(B17),ISNUMBER(C17),C17&gt;0),B17/C17,"")</f>
        <v>0.4</v>
      </c>
      <c r="L17" s="50" t="str">
        <f>IF(AND(ISNUMBER(B17),ISNUMBER(C17),ISNUMBER(J17)),IF(J17=C17-B17,"OK","FAIL"),"N/A")</f>
        <v>OK</v>
      </c>
      <c r="M17" s="50" t="str">
        <f>IF(AND(ISNUMBER(D17),ISNUMBER(B17)),IF(D17&lt;=B17,"OK","FAIL"),"N/A")</f>
        <v>OK</v>
      </c>
      <c r="N17" s="50" t="str">
        <f>IF(AND(ISNUMBER(E17),ISNUMBER(F17),ISNUMBER(G17)),IF(E17=G17-F17,"OK","FAIL"),"N/A")</f>
        <v>OK</v>
      </c>
      <c r="O17" s="50" t="str">
        <f>IF(AND(ISNUMBER(H17),ISNUMBER(B17)),IF(H17&gt;=B17,"OK","FAIL"),"N/A")</f>
        <v>OK</v>
      </c>
      <c r="P17" s="50" t="n">
        <v>2</v>
      </c>
      <c r="Q17" s="50" t="n">
        <v>5</v>
      </c>
      <c r="R17" s="50">
        <f>IF(AND(ISNUMBER(P17),ISNUMBER(Q17),Q17&gt;0),P17/Q17,"")</f>
        <v>0.4</v>
      </c>
      <c r="S17" s="50" t="inlineStr">
        <is>
          <t>HIGH</t>
        </is>
      </c>
      <c r="T17" s="44" t="inlineStr">
        <is>
          <t>VERIFIED_WITH_LIMITATION</t>
        </is>
      </c>
      <c r="U17" s="50" t="inlineStr">
        <is>
          <t>SRC_VGHD_1404_002 | افشای نوع ۱۹ | ۱۴۰۳ | ۱ | Snapshot مبنا برای ۱۴۰۳
SRC_VGHD_1404_006 | افشای نوع ۱۹ | ۱۴۰۴ | ۱ | Snapshot مبنا برای ۱۴۰۴</t>
        </is>
      </c>
      <c r="V17" s="50" t="inlineStr">
        <is>
          <t>https://www.codal.ir/Reports/Decision.aspx?LetterSerial=b9uqvOIQIMvyGYAfsuoWUg%3d%3d&amp;rt=2&amp;let=19&amp;ct=0&amp;ft=-1
https://www.codal.ir/Reports/Decision.aspx?LetterSerial=ytYjZCpQQQaQQQ34BFQkm8DLxX9A%3d%3d&amp;rt=2&amp;let=19&amp;ct=0&amp;ft=-1</t>
        </is>
      </c>
      <c r="W17" s="50" t="inlineStr">
        <is>
          <t>DIRECT_TYPE19_COMPARISON | Turnover=G/H</t>
        </is>
      </c>
      <c r="X17" s="50" t="inlineStr">
        <is>
          <t>مقایسه مستقیم افشای نوع ۱۹</t>
        </is>
      </c>
    </row>
    <row r="18" ht="145" customHeight="1" s="76">
      <c r="A18" s="42" t="inlineStr">
        <is>
          <t>نوری</t>
        </is>
      </c>
      <c r="B18" s="42" t="n">
        <v>4</v>
      </c>
      <c r="C18" s="42" t="n">
        <v>5</v>
      </c>
      <c r="D18" s="42" t="n">
        <v>1</v>
      </c>
      <c r="E18" s="42" t="n">
        <v>1</v>
      </c>
      <c r="F18" s="42" t="n">
        <v>4</v>
      </c>
      <c r="G18" s="42" t="n">
        <v>5</v>
      </c>
      <c r="H18" s="42" t="n">
        <v>4</v>
      </c>
      <c r="I18" s="42" t="n">
        <v>5</v>
      </c>
      <c r="J18" s="42" t="n">
        <v>1</v>
      </c>
      <c r="K18" s="42">
        <f>IF(AND(ISNUMBER(B18),ISNUMBER(C18),C18&gt;0),B18/C18,"")</f>
        <v>0.8</v>
      </c>
      <c r="L18" s="42" t="str">
        <f>IF(AND(ISNUMBER(B18),ISNUMBER(C18),ISNUMBER(J18)),IF(J18=C18-B18,"OK","FAIL"),"N/A")</f>
        <v>OK</v>
      </c>
      <c r="M18" s="42" t="str">
        <f>IF(AND(ISNUMBER(D18),ISNUMBER(B18)),IF(D18&lt;=B18,"OK","FAIL"),"N/A")</f>
        <v>OK</v>
      </c>
      <c r="N18" s="42" t="str">
        <f>IF(AND(ISNUMBER(E18),ISNUMBER(F18),ISNUMBER(G18)),IF(E18=G18-F18,"OK","FAIL"),"N/A")</f>
        <v>OK</v>
      </c>
      <c r="O18" s="42" t="str">
        <f>IF(AND(ISNUMBER(H18),ISNUMBER(B18)),IF(H18&gt;=B18,"OK","FAIL"),"N/A")</f>
        <v>OK</v>
      </c>
      <c r="P18" s="42" t="n">
        <v>4</v>
      </c>
      <c r="Q18" s="42" t="n">
        <v>5</v>
      </c>
      <c r="R18" s="42">
        <f>IF(AND(ISNUMBER(P18),ISNUMBER(Q18),Q18&gt;0),P18/Q18,"")</f>
        <v>0.8</v>
      </c>
      <c r="S18" s="42" t="inlineStr">
        <is>
          <t>MODERATE</t>
        </is>
      </c>
      <c r="T18" s="44" t="inlineStr">
        <is>
          <t>VERIFIED_WITH_LIMITATION</t>
        </is>
      </c>
      <c r="U18" s="42"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V18" s="42" t="inlineStr">
        <is>
          <t>https://www.codal.ir/Reports/Attachment.aspx?LetterSerial=qQQQaQQQXL8Mm5NCUb8eyBSic7hA%3d%3d
https://www.codal.ir/Reports/Attachment.aspx?LetterSerial=lWuukNFzDitnWL7VD4weCA%3d%3d</t>
        </is>
      </c>
      <c r="W18" s="42" t="inlineStr">
        <is>
          <t>ANNUAL_REPORT_PLUS_TYPE19 | Turnover=G/H</t>
        </is>
      </c>
      <c r="X18" s="42" t="inlineStr">
        <is>
          <t>تنها یک شخص حقوقی ثابت بود و نماینده همان کرسی تغییر کرد</t>
        </is>
      </c>
    </row>
    <row r="19" ht="130.5" customHeight="1" s="76">
      <c r="A19" s="50" t="inlineStr">
        <is>
          <t>فولاد</t>
        </is>
      </c>
      <c r="B19" s="50" t="n">
        <v>2</v>
      </c>
      <c r="C19" s="50" t="n">
        <v>5</v>
      </c>
      <c r="D19" s="50" t="n">
        <v>1</v>
      </c>
      <c r="E19" s="50" t="n">
        <v>4</v>
      </c>
      <c r="F19" s="50" t="n">
        <v>1</v>
      </c>
      <c r="G19" s="50" t="n">
        <v>5</v>
      </c>
      <c r="H19" s="50" t="n">
        <v>2</v>
      </c>
      <c r="I19" s="50" t="n">
        <v>5</v>
      </c>
      <c r="J19" s="50" t="n">
        <v>3</v>
      </c>
      <c r="K19" s="50">
        <f>IF(AND(ISNUMBER(B19),ISNUMBER(C19),C19&gt;0),B19/C19,"")</f>
        <v>0.4</v>
      </c>
      <c r="L19" s="50" t="str">
        <f>IF(AND(ISNUMBER(B19),ISNUMBER(C19),ISNUMBER(J19)),IF(J19=C19-B19,"OK","FAIL"),"N/A")</f>
        <v>OK</v>
      </c>
      <c r="M19" s="50" t="str">
        <f>IF(AND(ISNUMBER(D19),ISNUMBER(B19)),IF(D19&lt;=B19,"OK","FAIL"),"N/A")</f>
        <v>OK</v>
      </c>
      <c r="N19" s="50" t="str">
        <f>IF(AND(ISNUMBER(E19),ISNUMBER(F19),ISNUMBER(G19)),IF(E19=G19-F19,"OK","FAIL"),"N/A")</f>
        <v>OK</v>
      </c>
      <c r="O19" s="50" t="str">
        <f>IF(AND(ISNUMBER(H19),ISNUMBER(B19)),IF(H19&gt;=B19,"OK","FAIL"),"N/A")</f>
        <v>OK</v>
      </c>
      <c r="P19" s="50" t="n">
        <v>2</v>
      </c>
      <c r="Q19" s="50" t="n">
        <v>5</v>
      </c>
      <c r="R19" s="50">
        <f>IF(AND(ISNUMBER(P19),ISNUMBER(Q19),Q19&gt;0),P19/Q19,"")</f>
        <v>0.4</v>
      </c>
      <c r="S19" s="50" t="inlineStr">
        <is>
          <t>HIGH</t>
        </is>
      </c>
      <c r="T19" s="44" t="inlineStr">
        <is>
          <t>VERIFIED_WITH_LIMITATION</t>
        </is>
      </c>
      <c r="U19" s="50"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V19" s="50" t="inlineStr">
        <is>
          <t>https://www.codal.ir/Reports/Attachment.aspx?LetterSerial=lIOOObOOOFuv6MQlLw20bmBKF3Cw%3d%3d
https://www.codal.ir/Reports/Attachment.aspx?LetterSerial=DjTPnm9Pa79X4Gv1Zp8FQQQaQQQQ%3d%3d</t>
        </is>
      </c>
      <c r="W19" s="50" t="inlineStr">
        <is>
          <t>DIRECT_ANNUAL_REPORT_COMPARISON | Turnover=G/H</t>
        </is>
      </c>
      <c r="X19" s="50" t="inlineStr">
        <is>
          <t>یک تغییر شخص حقوقی و یک تغییر نماینده مستقل</t>
        </is>
      </c>
    </row>
    <row r="20" ht="116" customHeight="1" s="76">
      <c r="A20" s="42" t="inlineStr">
        <is>
          <t>کچاد</t>
        </is>
      </c>
      <c r="B20" s="42" t="n">
        <v>0</v>
      </c>
      <c r="C20" s="42" t="n">
        <v>4</v>
      </c>
      <c r="D20" s="42" t="n">
        <v>0</v>
      </c>
      <c r="E20" s="42" t="n">
        <v>4</v>
      </c>
      <c r="F20" s="42" t="n">
        <v>0</v>
      </c>
      <c r="G20" s="42" t="n">
        <v>5</v>
      </c>
      <c r="H20" s="42" t="n">
        <v>1</v>
      </c>
      <c r="I20" s="42" t="n">
        <v>5</v>
      </c>
      <c r="J20" s="42" t="n">
        <v>4</v>
      </c>
      <c r="K20" s="42">
        <f>IF(AND(ISNUMBER(B20),ISNUMBER(C20),C20&gt;0),B20/C20,"")</f>
        <v>0</v>
      </c>
      <c r="L20" s="42" t="str">
        <f>IF(AND(ISNUMBER(B20),ISNUMBER(C20),ISNUMBER(J20)),IF(J20=C20-B20,"OK","FAIL"),"N/A")</f>
        <v>OK</v>
      </c>
      <c r="M20" s="42" t="str">
        <f>IF(AND(ISNUMBER(D20),ISNUMBER(B20)),IF(D20&lt;=B20,"OK","FAIL"),"N/A")</f>
        <v>OK</v>
      </c>
      <c r="N20" s="42" t="str">
        <f>IF(AND(ISNUMBER(E20),ISNUMBER(F20),ISNUMBER(G20)),IF(E20=G20-F20,"OK","FAIL"),"N/A")</f>
        <v>FAIL</v>
      </c>
      <c r="O20" s="42" t="str">
        <f>IF(AND(ISNUMBER(H20),ISNUMBER(B20)),IF(H20&gt;=B20,"OK","FAIL"),"N/A")</f>
        <v>OK</v>
      </c>
      <c r="P20" s="42" t="n">
        <v>0</v>
      </c>
      <c r="Q20" s="42" t="n">
        <v>4</v>
      </c>
      <c r="R20" s="42">
        <f>IF(AND(ISNUMBER(P20),ISNUMBER(Q20),Q20&gt;0),P20/Q20,"")</f>
        <v>0</v>
      </c>
      <c r="S20" s="42" t="inlineStr">
        <is>
          <t>MODERATE</t>
        </is>
      </c>
      <c r="T20" s="46" t="inlineStr">
        <is>
          <t>NEEDS_SOURCE_REVIEW</t>
        </is>
      </c>
      <c r="U20" s="42" t="inlineStr">
        <is>
          <t>SRC_KCHD_1403_001 | گزارش فعالیت هیئت مدیره | ۱۴۰۳ | ۴ | Snapshot مبنا برای ۱۴۰۳ و ثبت صریح کرسی خالی
SRC_KCHD_1404_006 | افشای نوع ۱۹ | ۱۴۰۴ | ۱ | Snapshot مبنا برای ۱۴۰۴</t>
        </is>
      </c>
      <c r="V20" s="42" t="inlineStr">
        <is>
          <t>https://www.codal.ir/Reports/Attachment.aspx?LetterSerial=RjOGt7pH1eRnl2ioIPNqDg%3d%3d
https://www.codal.ir/Reports/Decision.aspx?LetterSerial=XPg1kJyBIkadWnCXHnsdKg%3d%3d&amp;rt=0&amp;let=19&amp;ct=0&amp;ft=-1</t>
        </is>
      </c>
      <c r="W20" s="42" t="inlineStr">
        <is>
          <t>ANNUAL_REPORT_PLUS_TYPE19 | Turnover=G/H</t>
        </is>
      </c>
      <c r="X20" s="42" t="inlineStr">
        <is>
          <t>یک کرسی خالی از مخرج Turnover حذف شد</t>
        </is>
      </c>
    </row>
    <row r="21" ht="116" customHeight="1" s="76">
      <c r="A21" s="50" t="inlineStr">
        <is>
          <t>کگل</t>
        </is>
      </c>
      <c r="B21" s="50" t="n">
        <v>1</v>
      </c>
      <c r="C21" s="50" t="n">
        <v>5</v>
      </c>
      <c r="D21" s="50" t="n">
        <v>1</v>
      </c>
      <c r="E21" s="50" t="n">
        <v>5</v>
      </c>
      <c r="F21" s="50" t="n">
        <v>0</v>
      </c>
      <c r="G21" s="50" t="n">
        <v>5</v>
      </c>
      <c r="H21" s="50" t="n">
        <v>1</v>
      </c>
      <c r="I21" s="50" t="n">
        <v>5</v>
      </c>
      <c r="J21" s="50" t="n">
        <v>4</v>
      </c>
      <c r="K21" s="50">
        <f>IF(AND(ISNUMBER(B21),ISNUMBER(C21),C21&gt;0),B21/C21,"")</f>
        <v>0.2</v>
      </c>
      <c r="L21" s="50" t="str">
        <f>IF(AND(ISNUMBER(B21),ISNUMBER(C21),ISNUMBER(J21)),IF(J21=C21-B21,"OK","FAIL"),"N/A")</f>
        <v>OK</v>
      </c>
      <c r="M21" s="50" t="str">
        <f>IF(AND(ISNUMBER(D21),ISNUMBER(B21)),IF(D21&lt;=B21,"OK","FAIL"),"N/A")</f>
        <v>OK</v>
      </c>
      <c r="N21" s="50" t="str">
        <f>IF(AND(ISNUMBER(E21),ISNUMBER(F21),ISNUMBER(G21)),IF(E21=G21-F21,"OK","FAIL"),"N/A")</f>
        <v>OK</v>
      </c>
      <c r="O21" s="50" t="str">
        <f>IF(AND(ISNUMBER(H21),ISNUMBER(B21)),IF(H21&gt;=B21,"OK","FAIL"),"N/A")</f>
        <v>OK</v>
      </c>
      <c r="P21" s="50" t="n">
        <v>1</v>
      </c>
      <c r="Q21" s="50" t="n">
        <v>5</v>
      </c>
      <c r="R21" s="50">
        <f>IF(AND(ISNUMBER(P21),ISNUMBER(Q21),Q21&gt;0),P21/Q21,"")</f>
        <v>0.2</v>
      </c>
      <c r="S21" s="50" t="inlineStr">
        <is>
          <t>HIGH</t>
        </is>
      </c>
      <c r="T21" s="44" t="inlineStr">
        <is>
          <t>VERIFIED_WITH_LIMITATION</t>
        </is>
      </c>
      <c r="U21" s="50" t="inlineStr">
        <is>
          <t>SRC_KGOL_1404_002 | افشای نوع ۱۹ | ۱۴۰۳ | ۱ | Snapshot مبنا برای پایان ۱۴۰۳ و جلوگیری از Look Ahead
SRC_KGOL_1404_004 | افشای نوع ۱۹ | ۱۴۰۴ | ۱ | Snapshot مبنا برای ۱۴۰۴</t>
        </is>
      </c>
      <c r="V21" s="50" t="inlineStr">
        <is>
          <t>https://www.codal.ir/Reports/Decision.aspx?LetterSerial=V8TQGa6IRAmh3pwzvDL0KQ%3d%3d&amp;rt=0&amp;let=19&amp;ct=0&amp;ft=-1
https://www.codal.ir/Reports/Decision.aspx?LetterSerial=IYIOOObOOO6mh6t3bHqdV5BigMrg%3d%3d&amp;rt=0&amp;let=19&amp;ct=0&amp;ft=-1</t>
        </is>
      </c>
      <c r="W21" s="50" t="inlineStr">
        <is>
          <t>DIRECT_TYPE19_COMPARISON | Turnover=G/H</t>
        </is>
      </c>
      <c r="X21" s="50" t="inlineStr">
        <is>
          <t>Look Ahead گزارش سالانه حذف شد</t>
        </is>
      </c>
    </row>
    <row r="22" ht="116" customHeight="1" s="76">
      <c r="A22" s="42" t="inlineStr">
        <is>
          <t>پارسان</t>
        </is>
      </c>
      <c r="B22" s="42" t="n">
        <v>0</v>
      </c>
      <c r="C22" s="42" t="n">
        <v>5</v>
      </c>
      <c r="D22" s="43" t="n"/>
      <c r="E22" s="43" t="n"/>
      <c r="F22" s="43" t="n"/>
      <c r="G22" s="43" t="n"/>
      <c r="H22" s="42" t="n">
        <v>2</v>
      </c>
      <c r="I22" s="42" t="n">
        <v>7</v>
      </c>
      <c r="J22" s="42" t="n">
        <v>5</v>
      </c>
      <c r="K22" s="42">
        <f>IF(AND(ISNUMBER(B22),ISNUMBER(C22),C22&gt;0),B22/C22,"")</f>
        <v>0</v>
      </c>
      <c r="L22" s="42" t="str">
        <f>IF(AND(ISNUMBER(B22),ISNUMBER(C22),ISNUMBER(J22)),IF(J22=C22-B22,"OK","FAIL"),"N/A")</f>
        <v>OK</v>
      </c>
      <c r="M22" s="42" t="str">
        <f>IF(AND(ISNUMBER(D22),ISNUMBER(B22)),IF(D22&lt;=B22,"OK","FAIL"),"N/A")</f>
        <v>N/A</v>
      </c>
      <c r="N22" s="42" t="str">
        <f>IF(AND(ISNUMBER(E22),ISNUMBER(F22),ISNUMBER(G22)),IF(E22=G22-F22,"OK","FAIL"),"N/A")</f>
        <v>N/A</v>
      </c>
      <c r="O22" s="42" t="str">
        <f>IF(AND(ISNUMBER(H22),ISNUMBER(B22)),IF(H22&gt;=B22,"OK","FAIL"),"N/A")</f>
        <v>OK</v>
      </c>
      <c r="P22" s="42" t="n">
        <v>0</v>
      </c>
      <c r="Q22" s="42" t="n">
        <v>5</v>
      </c>
      <c r="R22" s="42">
        <f>IF(AND(ISNUMBER(P22),ISNUMBER(Q22),Q22&gt;0),P22/Q22,"")</f>
        <v>0</v>
      </c>
      <c r="S22" s="42" t="inlineStr">
        <is>
          <t>MODERATE</t>
        </is>
      </c>
      <c r="T22" s="46" t="inlineStr">
        <is>
          <t>NEEDS_SOURCE_REVIEW</t>
        </is>
      </c>
      <c r="U22" s="42" t="inlineStr">
        <is>
          <t>SRC_PRSN_1403_001 | گزارش فعالیت هیئت مدیره | ۱۴۰۳ | ۵۰ | Snapshot مبنا برای ۱۴۰۳
SRC_PRSN_1404_007 | گزارش فعالیت هیئت مدیره | ۱۴۰۴ | ۳۷ تا ۳۸ | Snapshot مبنا برای ۱۴۰۴</t>
        </is>
      </c>
      <c r="V22" s="42" t="inlineStr">
        <is>
          <t>https://www.codal.ir/Reports/Attachment.aspx?LetterSerial=Pzx8AUWEOOObOOOMcLjZdiSXNAoA%3d%3d
https://www.codal.ir/Reports/Attachment.aspx?LetterSerial=L6jPydiKkSCQR9kVCKMgkg%3d%3d</t>
        </is>
      </c>
      <c r="W22" s="42" t="inlineStr">
        <is>
          <t>DIRECT_ANNUAL_REPORT_COMPARISON | Turnover=G/H</t>
        </is>
      </c>
      <c r="X22" s="42" t="inlineStr">
        <is>
          <t>ساختار شخص حقوقی برای این Measure قابل اعمال نبود</t>
        </is>
      </c>
    </row>
    <row r="23" ht="174" customHeight="1" s="76">
      <c r="A23" s="50" t="inlineStr">
        <is>
          <t>اخابر</t>
        </is>
      </c>
      <c r="B23" s="50" t="n">
        <v>1</v>
      </c>
      <c r="C23" s="50" t="n">
        <v>5</v>
      </c>
      <c r="D23" s="50" t="n">
        <v>1</v>
      </c>
      <c r="E23" s="50" t="n">
        <v>3</v>
      </c>
      <c r="F23" s="50" t="n">
        <v>2</v>
      </c>
      <c r="G23" s="50" t="n">
        <v>5</v>
      </c>
      <c r="H23" s="50" t="n">
        <v>1</v>
      </c>
      <c r="I23" s="50" t="n">
        <v>5</v>
      </c>
      <c r="J23" s="50" t="n">
        <v>4</v>
      </c>
      <c r="K23" s="50">
        <f>IF(AND(ISNUMBER(B23),ISNUMBER(C23),C23&gt;0),B23/C23,"")</f>
        <v>0.2</v>
      </c>
      <c r="L23" s="50" t="str">
        <f>IF(AND(ISNUMBER(B23),ISNUMBER(C23),ISNUMBER(J23)),IF(J23=C23-B23,"OK","FAIL"),"N/A")</f>
        <v>OK</v>
      </c>
      <c r="M23" s="50" t="str">
        <f>IF(AND(ISNUMBER(D23),ISNUMBER(B23)),IF(D23&lt;=B23,"OK","FAIL"),"N/A")</f>
        <v>OK</v>
      </c>
      <c r="N23" s="50" t="str">
        <f>IF(AND(ISNUMBER(E23),ISNUMBER(F23),ISNUMBER(G23)),IF(E23=G23-F23,"OK","FAIL"),"N/A")</f>
        <v>OK</v>
      </c>
      <c r="O23" s="50" t="str">
        <f>IF(AND(ISNUMBER(H23),ISNUMBER(B23)),IF(H23&gt;=B23,"OK","FAIL"),"N/A")</f>
        <v>OK</v>
      </c>
      <c r="P23" s="50" t="n">
        <v>1</v>
      </c>
      <c r="Q23" s="50" t="n">
        <v>5</v>
      </c>
      <c r="R23" s="50">
        <f>IF(AND(ISNUMBER(P23),ISNUMBER(Q23),Q23&gt;0),P23/Q23,"")</f>
        <v>0.2</v>
      </c>
      <c r="S23" s="50" t="inlineStr">
        <is>
          <t>HIGH</t>
        </is>
      </c>
      <c r="T23" s="44" t="inlineStr">
        <is>
          <t>VERIFIED_WITH_LIMITATION</t>
        </is>
      </c>
      <c r="U23" s="50"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V23" s="50" t="inlineStr">
        <is>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is>
      </c>
      <c r="W23" s="50" t="inlineStr">
        <is>
          <t>VISUAL_PLUS_TYPE19_RECONCILIATION | Turnover=G/H</t>
        </is>
      </c>
      <c r="X23" s="50" t="inlineStr">
        <is>
          <t>تطبیق بصری و بازتایید شخص حقوقی</t>
        </is>
      </c>
    </row>
    <row r="24" ht="174" customHeight="1" s="76">
      <c r="A24" s="42" t="inlineStr">
        <is>
          <t>جم</t>
        </is>
      </c>
      <c r="B24" s="42" t="n">
        <v>2</v>
      </c>
      <c r="C24" s="42" t="n">
        <v>5</v>
      </c>
      <c r="D24" s="42" t="n">
        <v>2</v>
      </c>
      <c r="E24" s="42" t="n">
        <v>4</v>
      </c>
      <c r="F24" s="42" t="n">
        <v>1</v>
      </c>
      <c r="G24" s="42" t="n">
        <v>5</v>
      </c>
      <c r="H24" s="42" t="n">
        <v>0</v>
      </c>
      <c r="I24" s="42" t="n">
        <v>5</v>
      </c>
      <c r="J24" s="42" t="n">
        <v>3</v>
      </c>
      <c r="K24" s="42">
        <f>IF(AND(ISNUMBER(B24),ISNUMBER(C24),C24&gt;0),B24/C24,"")</f>
        <v>0.4</v>
      </c>
      <c r="L24" s="42" t="str">
        <f>IF(AND(ISNUMBER(B24),ISNUMBER(C24),ISNUMBER(J24)),IF(J24=C24-B24,"OK","FAIL"),"N/A")</f>
        <v>OK</v>
      </c>
      <c r="M24" s="42" t="str">
        <f>IF(AND(ISNUMBER(D24),ISNUMBER(B24)),IF(D24&lt;=B24,"OK","FAIL"),"N/A")</f>
        <v>OK</v>
      </c>
      <c r="N24" s="42" t="str">
        <f>IF(AND(ISNUMBER(E24),ISNUMBER(F24),ISNUMBER(G24)),IF(E24=G24-F24,"OK","FAIL"),"N/A")</f>
        <v>OK</v>
      </c>
      <c r="O24" s="42" t="str">
        <f>IF(AND(ISNUMBER(H24),ISNUMBER(B24)),IF(H24&gt;=B24,"OK","FAIL"),"N/A")</f>
        <v>FAIL</v>
      </c>
      <c r="P24" s="42" t="n">
        <v>2</v>
      </c>
      <c r="Q24" s="42" t="n">
        <v>5</v>
      </c>
      <c r="R24" s="42">
        <f>IF(AND(ISNUMBER(P24),ISNUMBER(Q24),Q24&gt;0),P24/Q24,"")</f>
        <v>0.4</v>
      </c>
      <c r="S24" s="42" t="inlineStr">
        <is>
          <t>MODERATE</t>
        </is>
      </c>
      <c r="T24" s="46" t="inlineStr">
        <is>
          <t>NEEDS_SOURCE_REVIEW</t>
        </is>
      </c>
      <c r="U24" s="42"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is>
      </c>
      <c r="V24" s="42" t="inlineStr">
        <is>
          <t>https://www.codal.ir/Reports/Attachment.aspx?LetterSerial=7DOfnJSrljlS4F1ZUoECfA%3d%3d
https://www.codal.ir/Reports/Decision.aspx?LetterSerial=BY8YXlJLNgWdHoQQQaQQQN2kMTZQ%3d%3d&amp;rt=0&amp;let=19&amp;ct=0&amp;ft=-1
https://www.codal.ir/Reports/Decision.aspx?LetterSerial=zrRXQNzllX2hozqxWf2Nng%3d%3d&amp;rt=0&amp;let=19&amp;ct=0&amp;ft=-1</t>
        </is>
      </c>
      <c r="W24" s="42" t="inlineStr">
        <is>
          <t>ANNUAL_REPORT_PLUS_TYPE19 | Turnover=G/H</t>
        </is>
      </c>
      <c r="X24" s="42" t="inlineStr">
        <is>
          <t>گزارش سالانه ۱۴۰۴ به دلیل اطلاعات پس از Cutoff مبنا نشد</t>
        </is>
      </c>
    </row>
    <row r="25" ht="232" customHeight="1" s="76">
      <c r="A25" s="50" t="inlineStr">
        <is>
          <t>ومعادن</t>
        </is>
      </c>
      <c r="B25" s="50" t="n">
        <v>2</v>
      </c>
      <c r="C25" s="50" t="n">
        <v>5</v>
      </c>
      <c r="D25" s="50" t="n">
        <v>2</v>
      </c>
      <c r="E25" s="50" t="n">
        <v>4</v>
      </c>
      <c r="F25" s="50" t="n">
        <v>1</v>
      </c>
      <c r="G25" s="50" t="n">
        <v>5</v>
      </c>
      <c r="H25" s="50" t="n">
        <v>2</v>
      </c>
      <c r="I25" s="50" t="n">
        <v>5</v>
      </c>
      <c r="J25" s="50" t="n">
        <v>3</v>
      </c>
      <c r="K25" s="50">
        <f>IF(AND(ISNUMBER(B25),ISNUMBER(C25),C25&gt;0),B25/C25,"")</f>
        <v>0.4</v>
      </c>
      <c r="L25" s="50" t="str">
        <f>IF(AND(ISNUMBER(B25),ISNUMBER(C25),ISNUMBER(J25)),IF(J25=C25-B25,"OK","FAIL"),"N/A")</f>
        <v>OK</v>
      </c>
      <c r="M25" s="50" t="str">
        <f>IF(AND(ISNUMBER(D25),ISNUMBER(B25)),IF(D25&lt;=B25,"OK","FAIL"),"N/A")</f>
        <v>OK</v>
      </c>
      <c r="N25" s="50" t="str">
        <f>IF(AND(ISNUMBER(E25),ISNUMBER(F25),ISNUMBER(G25)),IF(E25=G25-F25,"OK","FAIL"),"N/A")</f>
        <v>OK</v>
      </c>
      <c r="O25" s="50" t="str">
        <f>IF(AND(ISNUMBER(H25),ISNUMBER(B25)),IF(H25&gt;=B25,"OK","FAIL"),"N/A")</f>
        <v>OK</v>
      </c>
      <c r="P25" s="50" t="n">
        <v>2</v>
      </c>
      <c r="Q25" s="50" t="n">
        <v>5</v>
      </c>
      <c r="R25" s="50">
        <f>IF(AND(ISNUMBER(P25),ISNUMBER(Q25),Q25&gt;0),P25/Q25,"")</f>
        <v>0.4</v>
      </c>
      <c r="S25" s="50" t="inlineStr">
        <is>
          <t>HIGH</t>
        </is>
      </c>
      <c r="T25" s="44" t="inlineStr">
        <is>
          <t>VERIFIED_WITH_LIMITATION</t>
        </is>
      </c>
      <c r="U25" s="50"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V25" s="50" t="inlineStr">
        <is>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is>
      </c>
      <c r="W25" s="50" t="inlineStr">
        <is>
          <t>DIRECT_REPORT_PLUS_TYPE19 | Turnover=G/H</t>
        </is>
      </c>
      <c r="X25" s="50" t="inlineStr">
        <is>
          <t>تغییرات با افشای نوع ۱۹ کنترل شد</t>
        </is>
      </c>
    </row>
    <row r="26" ht="217.5" customHeight="1" s="76">
      <c r="A26" s="42" t="inlineStr">
        <is>
          <t>وامید</t>
        </is>
      </c>
      <c r="B26" s="42" t="n">
        <v>0</v>
      </c>
      <c r="C26" s="42" t="n">
        <v>5</v>
      </c>
      <c r="D26" s="42" t="n">
        <v>0</v>
      </c>
      <c r="E26" s="42" t="n">
        <v>3</v>
      </c>
      <c r="F26" s="42" t="n">
        <v>2</v>
      </c>
      <c r="G26" s="42" t="n">
        <v>5</v>
      </c>
      <c r="H26" s="42" t="n">
        <v>0</v>
      </c>
      <c r="I26" s="42" t="n">
        <v>5</v>
      </c>
      <c r="J26" s="42" t="n">
        <v>5</v>
      </c>
      <c r="K26" s="42">
        <f>IF(AND(ISNUMBER(B26),ISNUMBER(C26),C26&gt;0),B26/C26,"")</f>
        <v>0</v>
      </c>
      <c r="L26" s="42" t="str">
        <f>IF(AND(ISNUMBER(B26),ISNUMBER(C26),ISNUMBER(J26)),IF(J26=C26-B26,"OK","FAIL"),"N/A")</f>
        <v>OK</v>
      </c>
      <c r="M26" s="42" t="str">
        <f>IF(AND(ISNUMBER(D26),ISNUMBER(B26)),IF(D26&lt;=B26,"OK","FAIL"),"N/A")</f>
        <v>OK</v>
      </c>
      <c r="N26" s="42" t="str">
        <f>IF(AND(ISNUMBER(E26),ISNUMBER(F26),ISNUMBER(G26)),IF(E26=G26-F26,"OK","FAIL"),"N/A")</f>
        <v>OK</v>
      </c>
      <c r="O26" s="42" t="str">
        <f>IF(AND(ISNUMBER(H26),ISNUMBER(B26)),IF(H26&gt;=B26,"OK","FAIL"),"N/A")</f>
        <v>OK</v>
      </c>
      <c r="P26" s="42" t="n">
        <v>0</v>
      </c>
      <c r="Q26" s="42" t="n">
        <v>5</v>
      </c>
      <c r="R26" s="42">
        <f>IF(AND(ISNUMBER(P26),ISNUMBER(Q26),Q26&gt;0),P26/Q26,"")</f>
        <v>0</v>
      </c>
      <c r="S26" s="42" t="inlineStr">
        <is>
          <t>HIGH</t>
        </is>
      </c>
      <c r="T26" s="44" t="inlineStr">
        <is>
          <t>VERIFIED_WITH_LIMITATION</t>
        </is>
      </c>
      <c r="U26" s="42"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V26" s="42" t="inlineStr">
        <is>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is>
      </c>
      <c r="W26" s="42" t="inlineStr">
        <is>
          <t>DIRECT_FISCAL_YEAR_COMPARISON | Turnover=G/H</t>
        </is>
      </c>
      <c r="X26" s="42" t="inlineStr">
        <is>
          <t>سال مالی منتهی به دی ماه جداگانه رعایت شد</t>
        </is>
      </c>
    </row>
    <row r="27" ht="116" customHeight="1" s="76">
      <c r="A27" s="50" t="inlineStr">
        <is>
          <t>خساپا</t>
        </is>
      </c>
      <c r="B27" s="50" t="n">
        <v>3</v>
      </c>
      <c r="C27" s="50" t="n">
        <v>5</v>
      </c>
      <c r="D27" s="50" t="n">
        <v>3</v>
      </c>
      <c r="E27" s="50" t="n">
        <v>5</v>
      </c>
      <c r="F27" s="50" t="n">
        <v>0</v>
      </c>
      <c r="G27" s="50" t="n">
        <v>5</v>
      </c>
      <c r="H27" s="50" t="n">
        <v>2</v>
      </c>
      <c r="I27" s="50" t="n">
        <v>5</v>
      </c>
      <c r="J27" s="50" t="n">
        <v>2</v>
      </c>
      <c r="K27" s="50">
        <f>IF(AND(ISNUMBER(B27),ISNUMBER(C27),C27&gt;0),B27/C27,"")</f>
        <v>0.6</v>
      </c>
      <c r="L27" s="50" t="str">
        <f>IF(AND(ISNUMBER(B27),ISNUMBER(C27),ISNUMBER(J27)),IF(J27=C27-B27,"OK","FAIL"),"N/A")</f>
        <v>OK</v>
      </c>
      <c r="M27" s="50" t="str">
        <f>IF(AND(ISNUMBER(D27),ISNUMBER(B27)),IF(D27&lt;=B27,"OK","FAIL"),"N/A")</f>
        <v>OK</v>
      </c>
      <c r="N27" s="50" t="str">
        <f>IF(AND(ISNUMBER(E27),ISNUMBER(F27),ISNUMBER(G27)),IF(E27=G27-F27,"OK","FAIL"),"N/A")</f>
        <v>OK</v>
      </c>
      <c r="O27" s="50" t="str">
        <f>IF(AND(ISNUMBER(H27),ISNUMBER(B27)),IF(H27&gt;=B27,"OK","FAIL"),"N/A")</f>
        <v>FAIL</v>
      </c>
      <c r="P27" s="50" t="n">
        <v>3</v>
      </c>
      <c r="Q27" s="50" t="n">
        <v>5</v>
      </c>
      <c r="R27" s="50">
        <f>IF(AND(ISNUMBER(P27),ISNUMBER(Q27),Q27&gt;0),P27/Q27,"")</f>
        <v>0.6</v>
      </c>
      <c r="S27" s="50" t="inlineStr">
        <is>
          <t>MODERATE</t>
        </is>
      </c>
      <c r="T27" s="46" t="inlineStr">
        <is>
          <t>NEEDS_SOURCE_REVIEW</t>
        </is>
      </c>
      <c r="U27" s="50" t="inlineStr">
        <is>
          <t>SRC_KHSP_1404_002 | افشای نوع ۱۹ | ۱۴۰۳ | ۱ | Snapshot مبنا ۱۴۰۳
SRC_KHSP_1404_004 | افشای نوع ۱۹ | ۱۴۰۴ | ۱ | Snapshot ۱۴۰۴ و تطبیق کرسی ها</t>
        </is>
      </c>
      <c r="V27" s="50" t="inlineStr">
        <is>
          <t>https://www.codal.ir/Reports/Decision.aspx?LetterSerial=0rlsOOObOOOEFaa9IMoCD90IUbxA%3d%3d&amp;rt=0&amp;let=19&amp;ct=0&amp;ft=-1
https://www.codal.ir/Reports/Decision.aspx?LetterSerial=UJ1so0i61H6WpTMWJ3OsCA%3d%3d&amp;rt=0&amp;let=19&amp;ct=0&amp;ft=-1</t>
        </is>
      </c>
      <c r="W27" s="50" t="inlineStr">
        <is>
          <t>DIRECT_TYPE19_COMPARISON | Turnover=G/H</t>
        </is>
      </c>
      <c r="X27" s="50" t="inlineStr">
        <is>
          <t>جابجایی یک فرد میان دو کرسی حقوقی از عضو جدید تفکیک شد</t>
        </is>
      </c>
    </row>
    <row r="28" ht="174" customHeight="1" s="76">
      <c r="A28" s="42" t="inlineStr">
        <is>
          <t>همراه</t>
        </is>
      </c>
      <c r="B28" s="42" t="n">
        <v>0</v>
      </c>
      <c r="C28" s="42" t="n">
        <v>5</v>
      </c>
      <c r="D28" s="42" t="n">
        <v>0</v>
      </c>
      <c r="E28" s="42" t="n">
        <v>5</v>
      </c>
      <c r="F28" s="42" t="n">
        <v>0</v>
      </c>
      <c r="G28" s="42" t="n">
        <v>5</v>
      </c>
      <c r="H28" s="42" t="n">
        <v>0</v>
      </c>
      <c r="I28" s="42" t="n">
        <v>5</v>
      </c>
      <c r="J28" s="42" t="n">
        <v>5</v>
      </c>
      <c r="K28" s="42">
        <f>IF(AND(ISNUMBER(B28),ISNUMBER(C28),C28&gt;0),B28/C28,"")</f>
        <v>0</v>
      </c>
      <c r="L28" s="42" t="str">
        <f>IF(AND(ISNUMBER(B28),ISNUMBER(C28),ISNUMBER(J28)),IF(J28=C28-B28,"OK","FAIL"),"N/A")</f>
        <v>OK</v>
      </c>
      <c r="M28" s="42" t="str">
        <f>IF(AND(ISNUMBER(D28),ISNUMBER(B28)),IF(D28&lt;=B28,"OK","FAIL"),"N/A")</f>
        <v>OK</v>
      </c>
      <c r="N28" s="42" t="str">
        <f>IF(AND(ISNUMBER(E28),ISNUMBER(F28),ISNUMBER(G28)),IF(E28=G28-F28,"OK","FAIL"),"N/A")</f>
        <v>OK</v>
      </c>
      <c r="O28" s="42" t="str">
        <f>IF(AND(ISNUMBER(H28),ISNUMBER(B28)),IF(H28&gt;=B28,"OK","FAIL"),"N/A")</f>
        <v>OK</v>
      </c>
      <c r="P28" s="42" t="n">
        <v>0</v>
      </c>
      <c r="Q28" s="42" t="n">
        <v>5</v>
      </c>
      <c r="R28" s="42">
        <f>IF(AND(ISNUMBER(P28),ISNUMBER(Q28),Q28&gt;0),P28/Q28,"")</f>
        <v>0</v>
      </c>
      <c r="S28" s="42" t="inlineStr">
        <is>
          <t>HIGH</t>
        </is>
      </c>
      <c r="T28" s="44" t="inlineStr">
        <is>
          <t>VERIFIED_WITH_LIMITATION</t>
        </is>
      </c>
      <c r="U28" s="42"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V28" s="42" t="inlineStr">
        <is>
          <t>https://www.codal.ir/Reports/Attachment.aspx?LetterSerial=qF6WQQQaQQQvb3G9yQQQaQQQVuknoGcUQQ%3d%3d
https://www.codal.ir/Reports/Attachment.aspx?LetterSerial=Ln6R9zsWXNJqeuz97OOObOOOaACw%3d%3d
https://www.codal.ir/Reports/Decision.aspx?LetterSerial=EkFsjyhmhfXBQoQQQaQQQTg7cqCw%3d%3d&amp;rt=5&amp;let=19&amp;ct=0&amp;ft=-1</t>
        </is>
      </c>
      <c r="W28" s="42" t="inlineStr">
        <is>
          <t>DIRECT_ANNUAL_REPORT_PLUS_TYPE19 | Turnover=G/H</t>
        </is>
      </c>
      <c r="X28" s="42" t="inlineStr">
        <is>
          <t>پنج شخص حقوقی و پنج نماینده ثابت</t>
        </is>
      </c>
    </row>
    <row r="29" ht="130.5" customHeight="1" s="76">
      <c r="A29" s="50" t="inlineStr">
        <is>
          <t>وبملت</t>
        </is>
      </c>
      <c r="B29" s="50" t="n">
        <v>0</v>
      </c>
      <c r="C29" s="50" t="n">
        <v>5</v>
      </c>
      <c r="D29" s="51" t="n"/>
      <c r="E29" s="51" t="n"/>
      <c r="F29" s="51" t="n"/>
      <c r="G29" s="51" t="n"/>
      <c r="H29" s="50" t="n">
        <v>0</v>
      </c>
      <c r="I29" s="50" t="n">
        <v>5</v>
      </c>
      <c r="J29" s="50" t="n">
        <v>5</v>
      </c>
      <c r="K29" s="50">
        <f>IF(AND(ISNUMBER(B29),ISNUMBER(C29),C29&gt;0),B29/C29,"")</f>
        <v>0</v>
      </c>
      <c r="L29" s="50" t="str">
        <f>IF(AND(ISNUMBER(B29),ISNUMBER(C29),ISNUMBER(J29)),IF(J29=C29-B29,"OK","FAIL"),"N/A")</f>
        <v>OK</v>
      </c>
      <c r="M29" s="50" t="str">
        <f>IF(AND(ISNUMBER(D29),ISNUMBER(B29)),IF(D29&lt;=B29,"OK","FAIL"),"N/A")</f>
        <v>N/A</v>
      </c>
      <c r="N29" s="50" t="str">
        <f>IF(AND(ISNUMBER(E29),ISNUMBER(F29),ISNUMBER(G29)),IF(E29=G29-F29,"OK","FAIL"),"N/A")</f>
        <v>N/A</v>
      </c>
      <c r="O29" s="50" t="str">
        <f>IF(AND(ISNUMBER(H29),ISNUMBER(B29)),IF(H29&gt;=B29,"OK","FAIL"),"N/A")</f>
        <v>OK</v>
      </c>
      <c r="P29" s="50" t="n">
        <v>0</v>
      </c>
      <c r="Q29" s="50" t="n">
        <v>5</v>
      </c>
      <c r="R29" s="50">
        <f>IF(AND(ISNUMBER(P29),ISNUMBER(Q29),Q29&gt;0),P29/Q29,"")</f>
        <v>0</v>
      </c>
      <c r="S29" s="50" t="inlineStr">
        <is>
          <t>HIGH</t>
        </is>
      </c>
      <c r="T29" s="44" t="inlineStr">
        <is>
          <t>VERIFIED_WITH_LIMITATION</t>
        </is>
      </c>
      <c r="U29" s="50" t="inlineStr">
        <is>
          <t>SRC_MELT_1404_006 | افشای نوع ۱۹ | ۱۴۰۳ | ۱ | Snapshot اشخاص حقیقی ۱۴۰۳
SRC_MELT_1404_005 | افشای نوع ۱۹ | ۱۴۰۴ | ۱ | Snapshot اشخاص حقیقی ۱۴۰۴؛ فقط تغییر سمت</t>
        </is>
      </c>
      <c r="V29" s="50" t="inlineStr">
        <is>
          <t>https://www.codal.ir/Reports/Decision.aspx?LetterSerial=pMyRiSQQQaQQQwMIoymmCCqmzwtg%3d%3d&amp;rt=3&amp;let=19&amp;ct=0&amp;ft=-1
https://www.codal.ir/Reports/Decision.aspx?LetterSerial=jqQzOOObOOOZ5mOOObOOO0IdbSC6088ERA%3d%3d&amp;rt=3&amp;let=19&amp;ct=0&amp;ft=-1</t>
        </is>
      </c>
      <c r="W29" s="50" t="inlineStr">
        <is>
          <t>DIRECT_TYPE19_COMPARISON | Turnover=G/H</t>
        </is>
      </c>
      <c r="X29" s="50" t="inlineStr">
        <is>
          <t>اعضا حقیقی مستقیم؛ Representative Change قابل اعمال نیست</t>
        </is>
      </c>
    </row>
    <row r="30" ht="116" customHeight="1" s="76">
      <c r="A30" s="42" t="inlineStr">
        <is>
          <t>وبصادر</t>
        </is>
      </c>
      <c r="B30" s="42" t="n">
        <v>0</v>
      </c>
      <c r="C30" s="42" t="n">
        <v>5</v>
      </c>
      <c r="D30" s="43" t="n"/>
      <c r="E30" s="43" t="n"/>
      <c r="F30" s="43" t="n"/>
      <c r="G30" s="43" t="n"/>
      <c r="H30" s="42" t="n">
        <v>0</v>
      </c>
      <c r="I30" s="42" t="n">
        <v>5</v>
      </c>
      <c r="J30" s="42" t="n">
        <v>5</v>
      </c>
      <c r="K30" s="42">
        <f>IF(AND(ISNUMBER(B30),ISNUMBER(C30),C30&gt;0),B30/C30,"")</f>
        <v>0</v>
      </c>
      <c r="L30" s="42" t="str">
        <f>IF(AND(ISNUMBER(B30),ISNUMBER(C30),ISNUMBER(J30)),IF(J30=C30-B30,"OK","FAIL"),"N/A")</f>
        <v>OK</v>
      </c>
      <c r="M30" s="42" t="str">
        <f>IF(AND(ISNUMBER(D30),ISNUMBER(B30)),IF(D30&lt;=B30,"OK","FAIL"),"N/A")</f>
        <v>N/A</v>
      </c>
      <c r="N30" s="42" t="str">
        <f>IF(AND(ISNUMBER(E30),ISNUMBER(F30),ISNUMBER(G30)),IF(E30=G30-F30,"OK","FAIL"),"N/A")</f>
        <v>N/A</v>
      </c>
      <c r="O30" s="42" t="str">
        <f>IF(AND(ISNUMBER(H30),ISNUMBER(B30)),IF(H30&gt;=B30,"OK","FAIL"),"N/A")</f>
        <v>OK</v>
      </c>
      <c r="P30" s="42" t="n">
        <v>0</v>
      </c>
      <c r="Q30" s="42" t="n">
        <v>5</v>
      </c>
      <c r="R30" s="42">
        <f>IF(AND(ISNUMBER(P30),ISNUMBER(Q30),Q30&gt;0),P30/Q30,"")</f>
        <v>0</v>
      </c>
      <c r="S30" s="42" t="inlineStr">
        <is>
          <t>HIGH</t>
        </is>
      </c>
      <c r="T30" s="44" t="inlineStr">
        <is>
          <t>VERIFIED_WITH_LIMITATION</t>
        </is>
      </c>
      <c r="U30" s="42" t="inlineStr">
        <is>
          <t>SRC_VBSD_1404_002 | گزارش فعالیت هیئت مدیره | ۱۴۰۳ | ۳۸ تا ۳۹ | Snapshot مبنا ۱۴۰۳
SRC_VBSD_1404_001 | گزارش فعالیت هیئت مدیره | ۱۴۰۴ | ۴۵ تا ۴۶ | Snapshot مبنا ۱۴۰۴</t>
        </is>
      </c>
      <c r="V30" s="42" t="inlineStr">
        <is>
          <t>https://www.codal.ir/Reports/Attachment.aspx?LetterSerial=HChwyLb11ZnzYeIEeB3Jng%3d%3d
https://www.codal.ir/Reports/Attachment.aspx?LetterSerial=p0cfFj1rDsXiFZsu35tCWw%3d%3d</t>
        </is>
      </c>
      <c r="W30" s="42" t="inlineStr">
        <is>
          <t>DIRECT_ANNUAL_REPORT_COMPARISON | Turnover=G/H</t>
        </is>
      </c>
      <c r="X30" s="42" t="inlineStr">
        <is>
          <t>اعضا حقیقی مستقیم؛ Representative Change قابل اعمال نیست</t>
        </is>
      </c>
    </row>
    <row r="31" ht="159.5" customHeight="1" s="76">
      <c r="A31" s="50" t="inlineStr">
        <is>
          <t>وپاسار</t>
        </is>
      </c>
      <c r="B31" s="51" t="n"/>
      <c r="C31" s="51" t="n"/>
      <c r="D31" s="51" t="n"/>
      <c r="E31" s="51" t="n"/>
      <c r="F31" s="51" t="n"/>
      <c r="G31" s="51" t="n"/>
      <c r="H31" s="51" t="n"/>
      <c r="I31" s="51" t="n"/>
      <c r="J31" s="51" t="n"/>
      <c r="K31" s="50">
        <f>IF(AND(ISNUMBER(B31),ISNUMBER(C31),C31&gt;0),B31/C31,"")</f>
      </c>
      <c r="L31" s="50" t="str">
        <f>IF(AND(ISNUMBER(B31),ISNUMBER(C31),ISNUMBER(J31)),IF(J31=C31-B31,"OK","FAIL"),"N/A")</f>
        <v>N/A</v>
      </c>
      <c r="M31" s="50" t="str">
        <f>IF(AND(ISNUMBER(D31),ISNUMBER(B31)),IF(D31&lt;=B31,"OK","FAIL"),"N/A")</f>
        <v>N/A</v>
      </c>
      <c r="N31" s="50" t="str">
        <f>IF(AND(ISNUMBER(E31),ISNUMBER(F31),ISNUMBER(G31)),IF(E31=G31-F31,"OK","FAIL"),"N/A")</f>
        <v>N/A</v>
      </c>
      <c r="O31" s="50" t="str">
        <f>IF(AND(ISNUMBER(H31),ISNUMBER(B31)),IF(H31&gt;=B31,"OK","FAIL"),"N/A")</f>
        <v>N/A</v>
      </c>
      <c r="P31" s="51" t="n"/>
      <c r="Q31" s="51" t="n"/>
      <c r="R31" s="50">
        <f>IF(AND(ISNUMBER(P31),ISNUMBER(Q31),Q31&gt;0),P31/Q31,"")</f>
      </c>
      <c r="S31" s="50" t="inlineStr">
        <is>
          <t>UNRESOLVED</t>
        </is>
      </c>
      <c r="T31" s="46" t="inlineStr">
        <is>
          <t>NEEDS_SOURCE_REVIEW</t>
        </is>
      </c>
      <c r="U31" s="50"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V31" s="50" t="inlineStr">
        <is>
          <t>https://www.codal.ir/Reports/Attachment.aspx?LetterSerial=Cxkdj8wztt52xU9MoBXp2w%3d%3d</t>
        </is>
      </c>
      <c r="W31" s="50" t="inlineStr">
        <is>
          <t>ARCHIVE_AVAILABILITY_CHECK | Turnover=G/H</t>
        </is>
      </c>
      <c r="X31" s="50" t="inlineStr">
        <is>
          <t>FY1403 موجود است اما Snapshot قابل اتکای FY1404 در آرشیو بارگذاری شده وجود ندارد</t>
        </is>
      </c>
    </row>
    <row r="32" ht="72.5" customHeight="1" s="76">
      <c r="A32" s="42" t="inlineStr">
        <is>
          <t>حکشتی</t>
        </is>
      </c>
      <c r="B32" s="43" t="n"/>
      <c r="C32" s="43" t="n"/>
      <c r="D32" s="43" t="n"/>
      <c r="E32" s="43" t="n"/>
      <c r="F32" s="43" t="n"/>
      <c r="G32" s="43" t="n"/>
      <c r="H32" s="43" t="n"/>
      <c r="I32" s="43" t="n"/>
      <c r="J32" s="43" t="n"/>
      <c r="K32" s="42">
        <f>IF(AND(ISNUMBER(B32),ISNUMBER(C32),C32&gt;0),B32/C32,"")</f>
      </c>
      <c r="L32" s="42" t="str">
        <f>IF(AND(ISNUMBER(B32),ISNUMBER(C32),ISNUMBER(J32)),IF(J32=C32-B32,"OK","FAIL"),"N/A")</f>
        <v>N/A</v>
      </c>
      <c r="M32" s="42" t="str">
        <f>IF(AND(ISNUMBER(D32),ISNUMBER(B32)),IF(D32&lt;=B32,"OK","FAIL"),"N/A")</f>
        <v>N/A</v>
      </c>
      <c r="N32" s="42" t="str">
        <f>IF(AND(ISNUMBER(E32),ISNUMBER(F32),ISNUMBER(G32)),IF(E32=G32-F32,"OK","FAIL"),"N/A")</f>
        <v>N/A</v>
      </c>
      <c r="O32" s="42" t="str">
        <f>IF(AND(ISNUMBER(H32),ISNUMBER(B32)),IF(H32&gt;=B32,"OK","FAIL"),"N/A")</f>
        <v>N/A</v>
      </c>
      <c r="P32" s="43" t="n"/>
      <c r="Q32" s="43" t="n"/>
      <c r="R32" s="42">
        <f>IF(AND(ISNUMBER(P32),ISNUMBER(Q32),Q32&gt;0),P32/Q32,"")</f>
      </c>
      <c r="S32" s="42" t="inlineStr">
        <is>
          <t>UNRESOLVED</t>
        </is>
      </c>
      <c r="T32" s="44" t="inlineStr">
        <is>
          <t>VERIFIED_WITH_LIMITATION</t>
        </is>
      </c>
      <c r="U32" s="42" t="inlineStr">
        <is>
          <t>Iran_BSI_v33_Phase4_2K_FinalTurnoverClosure.xlsx | شرکت های Seat Level | داده شخص حقیقی برای Turnover قابل اتکا نبود</t>
        </is>
      </c>
      <c r="V32" s="42" t="inlineStr">
        <is>
          <t>برای ردیابی پایه به فایل v33 و Source_IDهای همان فاز مراجعه شود</t>
        </is>
      </c>
      <c r="W32" s="42" t="inlineStr">
        <is>
          <t>SEAT_LEVEL_ONLY | Turnover=G/H</t>
        </is>
      </c>
      <c r="X32" s="42" t="inlineStr">
        <is>
          <t>سطح کرسی بدون نماینده حقیقی قابل شناسایی</t>
        </is>
      </c>
    </row>
    <row r="33" ht="72.5" customHeight="1" s="76">
      <c r="A33" s="50" t="inlineStr">
        <is>
          <t>شپدیس</t>
        </is>
      </c>
      <c r="B33" s="51" t="n"/>
      <c r="C33" s="51" t="n"/>
      <c r="D33" s="51" t="n"/>
      <c r="E33" s="51" t="n"/>
      <c r="F33" s="51" t="n"/>
      <c r="G33" s="51" t="n"/>
      <c r="H33" s="51" t="n"/>
      <c r="I33" s="51" t="n"/>
      <c r="J33" s="51" t="n"/>
      <c r="K33" s="50">
        <f>IF(AND(ISNUMBER(B33),ISNUMBER(C33),C33&gt;0),B33/C33,"")</f>
      </c>
      <c r="L33" s="50" t="str">
        <f>IF(AND(ISNUMBER(B33),ISNUMBER(C33),ISNUMBER(J33)),IF(J33=C33-B33,"OK","FAIL"),"N/A")</f>
        <v>N/A</v>
      </c>
      <c r="M33" s="50" t="str">
        <f>IF(AND(ISNUMBER(D33),ISNUMBER(B33)),IF(D33&lt;=B33,"OK","FAIL"),"N/A")</f>
        <v>N/A</v>
      </c>
      <c r="N33" s="50" t="str">
        <f>IF(AND(ISNUMBER(E33),ISNUMBER(F33),ISNUMBER(G33)),IF(E33=G33-F33,"OK","FAIL"),"N/A")</f>
        <v>N/A</v>
      </c>
      <c r="O33" s="50" t="str">
        <f>IF(AND(ISNUMBER(H33),ISNUMBER(B33)),IF(H33&gt;=B33,"OK","FAIL"),"N/A")</f>
        <v>N/A</v>
      </c>
      <c r="P33" s="51" t="n"/>
      <c r="Q33" s="51" t="n"/>
      <c r="R33" s="50">
        <f>IF(AND(ISNUMBER(P33),ISNUMBER(Q33),Q33&gt;0),P33/Q33,"")</f>
      </c>
      <c r="S33" s="50" t="inlineStr">
        <is>
          <t>UNRESOLVED</t>
        </is>
      </c>
      <c r="T33" s="44" t="inlineStr">
        <is>
          <t>VERIFIED_WITH_LIMITATION</t>
        </is>
      </c>
      <c r="U33" s="50" t="inlineStr">
        <is>
          <t>Iran_BSI_v33_Phase4_2K_FinalTurnoverClosure.xlsx | وضعیت ۳۰ شرکت | سند FY1403 برای تطبیق دو ساله در دسترس نبود</t>
        </is>
      </c>
      <c r="V33" s="50" t="inlineStr">
        <is>
          <t>برای ردیابی پایه به فایل v33 و Source_IDهای همان فاز مراجعه شود</t>
        </is>
      </c>
      <c r="W33" s="50" t="inlineStr">
        <is>
          <t>MISSING_PRIOR_YEAR | Turnover=G/H</t>
        </is>
      </c>
      <c r="X33" s="50" t="inlineStr">
        <is>
          <t>سند FY1403 برای تطبیق دو سال در پایلوت موجود نیست</t>
        </is>
      </c>
    </row>
  </sheetData>
  <mergeCells count="2">
    <mergeCell ref="A2:X2"/>
    <mergeCell ref="A1:X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24.83203125" customWidth="1" style="76" min="2" max="2"/>
    <col width="10" customWidth="1" style="76" min="3" max="4"/>
    <col width="42" customWidth="1" style="76" min="5" max="5"/>
    <col width="13.5" customWidth="1" style="76" min="6" max="7"/>
    <col width="42" customWidth="1" style="76" min="8" max="9"/>
    <col width="25.83203125" customWidth="1" style="76" min="10" max="10"/>
    <col width="42" customWidth="1" style="76" min="11" max="13"/>
  </cols>
  <sheetData>
    <row r="1" ht="34" customHeight="1" s="76">
      <c r="A1" s="79" t="inlineStr">
        <is>
          <t>ممیزی Representative Change Rate و Rep Change With Fixed Legal Entity</t>
        </is>
      </c>
    </row>
    <row r="2" ht="28" customHeight="1" s="76">
      <c r="A2" s="86" t="inlineStr">
        <is>
          <t>قاعده: نبود شخص حقوقی ⇒ Rep Change صفر نیست (N/A). کرسی خالی ≠ تغییر نماینده. خودرو: مخرج/صورت تا بازبینی سند Missing شد نه صفر.</t>
        </is>
      </c>
    </row>
    <row r="3" ht="30" customHeight="1" s="76">
      <c r="A3" s="48" t="inlineStr">
        <is>
          <t>شرکت</t>
        </is>
      </c>
      <c r="B3" s="48" t="inlineStr">
        <is>
          <t>ساختار حقوقی قابل اعمال</t>
        </is>
      </c>
      <c r="C3" s="48" t="inlineStr">
        <is>
          <t>J v35</t>
        </is>
      </c>
      <c r="D3" s="48" t="inlineStr">
        <is>
          <t>K v35</t>
        </is>
      </c>
      <c r="E3" s="48" t="inlineStr">
        <is>
          <t>نرخ v35 (فرمول)</t>
        </is>
      </c>
      <c r="F3" s="48" t="inlineStr">
        <is>
          <t>J اصلاح‌شده</t>
        </is>
      </c>
      <c r="G3" s="48" t="inlineStr">
        <is>
          <t>K اصلاح‌شده</t>
        </is>
      </c>
      <c r="H3" s="48" t="inlineStr">
        <is>
          <t>نرخ اصلاح‌شده (فرمول)</t>
        </is>
      </c>
      <c r="I3" s="48" t="inlineStr">
        <is>
          <t>دلیل N/A یا Missing</t>
        </is>
      </c>
      <c r="J3" s="48" t="inlineStr">
        <is>
          <t>وضعیت ممیزی</t>
        </is>
      </c>
      <c r="K3" s="48" t="inlineStr">
        <is>
          <t>Source_ID</t>
        </is>
      </c>
      <c r="L3" s="48" t="inlineStr">
        <is>
          <t>Source_URL</t>
        </is>
      </c>
      <c r="M3" s="48" t="inlineStr">
        <is>
          <t>Formula / Calculation_Method</t>
        </is>
      </c>
    </row>
    <row r="4" ht="87" customHeight="1" s="76">
      <c r="A4" s="42" t="inlineStr">
        <is>
          <t>فملی</t>
        </is>
      </c>
      <c r="B4" s="42" t="inlineStr">
        <is>
          <t>بله</t>
        </is>
      </c>
      <c r="C4" s="42" t="n">
        <v>0</v>
      </c>
      <c r="D4" s="42" t="n">
        <v>5</v>
      </c>
      <c r="E4" s="42">
        <f>IF(AND(ISNUMBER(C4),ISNUMBER(D4),D4&gt;0),C4/D4,"")</f>
        <v>0</v>
      </c>
      <c r="F4" s="42" t="n">
        <v>0</v>
      </c>
      <c r="G4" s="42" t="n">
        <v>5</v>
      </c>
      <c r="H4" s="42">
        <f>IF(AND(ISNUMBER(F4),ISNUMBER(G4),G4&gt;0),F4/G4,"")</f>
        <v>0</v>
      </c>
      <c r="I4" s="42" t="inlineStr">
        <is>
          <t>—</t>
        </is>
      </c>
      <c r="J4" s="44" t="inlineStr">
        <is>
          <t>VERIFIED_WITH_LIMITATION</t>
        </is>
      </c>
      <c r="K4" s="42" t="inlineStr">
        <is>
          <t>Iran_BSI_v33_Phase4_2K_FinalTurnoverClosure.xlsx | برگه های گردش اشخاص حقیقی، تغییر نماینده، تغییر شخص حقوقی، اعضای جدید، ثبات هیئت و تغییر رئیس</t>
        </is>
      </c>
      <c r="L4" s="42" t="inlineStr">
        <is>
          <t>برای ردیابی پایه به فایل v33 و Source_IDهای همان فاز مراجعه شود</t>
        </is>
      </c>
      <c r="M4" s="42" t="inlineStr">
        <is>
          <t>RepChange = J/K (فقط کرسی‌هایی که شخص حقوقی در هر دو Snapshot ثابت است)</t>
        </is>
      </c>
    </row>
    <row r="5" ht="87" customHeight="1" s="76">
      <c r="A5" s="50" t="inlineStr">
        <is>
          <t>تاپیکو</t>
        </is>
      </c>
      <c r="B5" s="50" t="inlineStr">
        <is>
          <t>بله</t>
        </is>
      </c>
      <c r="C5" s="50" t="n">
        <v>2</v>
      </c>
      <c r="D5" s="50" t="n">
        <v>4</v>
      </c>
      <c r="E5" s="50">
        <f>IF(AND(ISNUMBER(C5),ISNUMBER(D5),D5&gt;0),C5/D5,"")</f>
        <v>0.5</v>
      </c>
      <c r="F5" s="50" t="n">
        <v>2</v>
      </c>
      <c r="G5" s="50" t="n">
        <v>4</v>
      </c>
      <c r="H5" s="50">
        <f>IF(AND(ISNUMBER(F5),ISNUMBER(G5),G5&gt;0),F5/G5,"")</f>
        <v>0.5</v>
      </c>
      <c r="I5" s="50" t="inlineStr">
        <is>
          <t>—</t>
        </is>
      </c>
      <c r="J5" s="46" t="inlineStr">
        <is>
          <t>NEEDS_SOURCE_REVIEW</t>
        </is>
      </c>
      <c r="K5" s="50" t="inlineStr">
        <is>
          <t>Iran_BSI_v33_Phase4_2K_FinalTurnoverClosure.xlsx | برگه های گردش اشخاص حقیقی، تغییر نماینده، تغییر شخص حقوقی، اعضای جدید، ثبات هیئت و تغییر رئیس</t>
        </is>
      </c>
      <c r="L5" s="50" t="inlineStr">
        <is>
          <t>برای ردیابی پایه به فایل v33 و Source_IDهای همان فاز مراجعه شود</t>
        </is>
      </c>
      <c r="M5" s="50" t="inlineStr">
        <is>
          <t>RepChange = J/K (فقط کرسی‌هایی که شخص حقوقی در هر دو Snapshot ثابت است)</t>
        </is>
      </c>
    </row>
    <row r="6" ht="130.5" customHeight="1" s="76">
      <c r="A6" s="42" t="inlineStr">
        <is>
          <t>فارس</t>
        </is>
      </c>
      <c r="B6" s="42" t="inlineStr">
        <is>
          <t>بله</t>
        </is>
      </c>
      <c r="C6" s="42" t="n">
        <v>3</v>
      </c>
      <c r="D6" s="42" t="n">
        <v>4</v>
      </c>
      <c r="E6" s="42">
        <f>IF(AND(ISNUMBER(C6),ISNUMBER(D6),D6&gt;0),C6/D6,"")</f>
        <v>0.75</v>
      </c>
      <c r="F6" s="42" t="n">
        <v>3</v>
      </c>
      <c r="G6" s="42" t="n">
        <v>5</v>
      </c>
      <c r="H6" s="42">
        <f>IF(AND(ISNUMBER(F6),ISNUMBER(G6),G6&gt;0),F6/G6,"")</f>
        <v>0.6</v>
      </c>
      <c r="I6" s="42" t="inlineStr">
        <is>
          <t>—</t>
        </is>
      </c>
      <c r="J6" s="45" t="inlineStr">
        <is>
          <t>NEEDS_CORRECTION</t>
        </is>
      </c>
      <c r="K6" s="42"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L6" s="42" t="inlineStr">
        <is>
          <t>برای ردیابی پایه به فایل v33 و Source_IDهای همان فاز مراجعه شود</t>
        </is>
      </c>
      <c r="M6" s="42" t="inlineStr">
        <is>
          <t>RepChange = J/K (فقط کرسی‌هایی که شخص حقوقی در هر دو Snapshot ثابت است)</t>
        </is>
      </c>
    </row>
    <row r="7" ht="72.5" customHeight="1" s="76">
      <c r="A7" s="50" t="inlineStr">
        <is>
          <t>خودرو</t>
        </is>
      </c>
      <c r="B7" s="50" t="inlineStr">
        <is>
          <t>بله</t>
        </is>
      </c>
      <c r="C7" s="50" t="n">
        <v>0</v>
      </c>
      <c r="D7" s="50" t="n">
        <v>5</v>
      </c>
      <c r="E7" s="50">
        <f>IF(AND(ISNUMBER(C7),ISNUMBER(D7),D7&gt;0),C7/D7,"")</f>
        <v>0</v>
      </c>
      <c r="F7" s="51" t="n"/>
      <c r="G7" s="51" t="n"/>
      <c r="H7" s="50">
        <f>IF(AND(ISNUMBER(F7),ISNUMBER(G7),G7&gt;0),F7/G7,"")</f>
      </c>
      <c r="I7" s="50" t="inlineStr">
        <is>
          <t>—</t>
        </is>
      </c>
      <c r="J7" s="46" t="inlineStr">
        <is>
          <t>NEEDS_SOURCE_REVIEW</t>
        </is>
      </c>
      <c r="K7" s="50" t="inlineStr">
        <is>
          <t>Iran_BSI_v33_Phase4_2K_FinalTurnoverClosure.xlsx | روش MEMBERSHIP_START_RECONSTRUCTION و برگه های خانواده Turnover</t>
        </is>
      </c>
      <c r="L7" s="50" t="inlineStr">
        <is>
          <t>برای ردیابی پایه به فایل v33 و Source_IDهای همان فاز مراجعه شود</t>
        </is>
      </c>
      <c r="M7" s="50" t="inlineStr">
        <is>
          <t>RepChange = J/K (فقط کرسی‌هایی که شخص حقوقی در هر دو Snapshot ثابت است)</t>
        </is>
      </c>
    </row>
    <row r="8" ht="145" customHeight="1" s="76">
      <c r="A8" s="42" t="inlineStr">
        <is>
          <t>زاگرس</t>
        </is>
      </c>
      <c r="B8" s="42" t="inlineStr">
        <is>
          <t>بله</t>
        </is>
      </c>
      <c r="C8" s="42" t="n">
        <v>2</v>
      </c>
      <c r="D8" s="42" t="n">
        <v>3</v>
      </c>
      <c r="E8" s="42">
        <f>IF(AND(ISNUMBER(C8),ISNUMBER(D8),D8&gt;0),C8/D8,"")</f>
        <v>0.6666666666666666</v>
      </c>
      <c r="F8" s="42" t="n">
        <v>2</v>
      </c>
      <c r="G8" s="42" t="n">
        <v>3</v>
      </c>
      <c r="H8" s="42">
        <f>IF(AND(ISNUMBER(F8),ISNUMBER(G8),G8&gt;0),F8/G8,"")</f>
        <v>0.6666666666666666</v>
      </c>
      <c r="I8" s="42" t="inlineStr">
        <is>
          <t>—</t>
        </is>
      </c>
      <c r="J8" s="46" t="inlineStr">
        <is>
          <t>NEEDS_SOURCE_REVIEW</t>
        </is>
      </c>
      <c r="K8" s="42"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L8" s="42" t="inlineStr">
        <is>
          <t>برای ردیابی پایه به فایل v33 و Source_IDهای همان فاز مراجعه شود</t>
        </is>
      </c>
      <c r="M8" s="42" t="inlineStr">
        <is>
          <t>RepChange = J/K (فقط کرسی‌هایی که شخص حقوقی در هر دو Snapshot ثابت است)</t>
        </is>
      </c>
    </row>
    <row r="9" ht="203" customHeight="1" s="76">
      <c r="A9" s="50" t="inlineStr">
        <is>
          <t>شبندر</t>
        </is>
      </c>
      <c r="B9" s="50" t="inlineStr">
        <is>
          <t>بله</t>
        </is>
      </c>
      <c r="C9" s="50" t="n">
        <v>0</v>
      </c>
      <c r="D9" s="50" t="n">
        <v>3</v>
      </c>
      <c r="E9" s="50">
        <f>IF(AND(ISNUMBER(C9),ISNUMBER(D9),D9&gt;0),C9/D9,"")</f>
        <v>0</v>
      </c>
      <c r="F9" s="50" t="n">
        <v>0</v>
      </c>
      <c r="G9" s="50" t="n">
        <v>3</v>
      </c>
      <c r="H9" s="50">
        <f>IF(AND(ISNUMBER(F9),ISNUMBER(G9),G9&gt;0),F9/G9,"")</f>
        <v>0</v>
      </c>
      <c r="I9" s="50" t="inlineStr">
        <is>
          <t>—</t>
        </is>
      </c>
      <c r="J9" s="44" t="inlineStr">
        <is>
          <t>VERIFIED_WITH_LIMITATION</t>
        </is>
      </c>
      <c r="K9" s="50"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c r="L9" s="50" t="inlineStr">
        <is>
          <t>https://www.codal.ir/Reports/Decision.aspx?LetterSerial=ULk65ZOHpAkFOOObOOOb3pLpblJQ%3d%3d&amp;rt=0&amp;let=19&amp;ct=0&amp;ft=-1
https://www.codal.ir/Reports/Decision.aspx?LetterSerial=kealwqnfPYdWwbR3UB9uZw%3d%3d&amp;rt=0&amp;let=19&amp;ct=0&amp;ft=-1</t>
        </is>
      </c>
      <c r="M9" s="50" t="inlineStr">
        <is>
          <t>RepChange = J/K (فقط کرسی‌هایی که شخص حقوقی در هر دو Snapshot ثابت است)</t>
        </is>
      </c>
    </row>
    <row r="10" ht="145" customHeight="1" s="76">
      <c r="A10" s="42" t="inlineStr">
        <is>
          <t>پارس</t>
        </is>
      </c>
      <c r="B10" s="42" t="inlineStr">
        <is>
          <t>بله</t>
        </is>
      </c>
      <c r="C10" s="42" t="n">
        <v>3</v>
      </c>
      <c r="D10" s="42" t="n">
        <v>5</v>
      </c>
      <c r="E10" s="42">
        <f>IF(AND(ISNUMBER(C10),ISNUMBER(D10),D10&gt;0),C10/D10,"")</f>
        <v>0.6</v>
      </c>
      <c r="F10" s="42" t="n">
        <v>3</v>
      </c>
      <c r="G10" s="42" t="n">
        <v>5</v>
      </c>
      <c r="H10" s="42">
        <f>IF(AND(ISNUMBER(F10),ISNUMBER(G10),G10&gt;0),F10/G10,"")</f>
        <v>0.6</v>
      </c>
      <c r="I10" s="42" t="inlineStr">
        <is>
          <t>—</t>
        </is>
      </c>
      <c r="J10" s="44" t="inlineStr">
        <is>
          <t>VERIFIED_WITH_LIMITATION</t>
        </is>
      </c>
      <c r="K10" s="42"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L10" s="42" t="inlineStr">
        <is>
          <t>https://www.codal.ir/Reports/Decision.aspx?LetterSerial=sjHofZygVLXICVj8iXL3Aw%3d%3d&amp;rt=0&amp;let=19&amp;ct=0&amp;ft=-1
https://www.codal.ir/Reports/Decision.aspx?LetterSerial=1kqm2T6e5zV5EQQQaQQQKdlIj9HA%3d%3d&amp;rt=0&amp;let=19&amp;ct=0&amp;ft=-1</t>
        </is>
      </c>
      <c r="M10" s="42" t="inlineStr">
        <is>
          <t>RepChange = J/K (فقط کرسی‌هایی که شخص حقوقی در هر دو Snapshot ثابت است)</t>
        </is>
      </c>
    </row>
    <row r="11" ht="145" customHeight="1" s="76">
      <c r="A11" s="50" t="inlineStr">
        <is>
          <t>شتران</t>
        </is>
      </c>
      <c r="B11" s="50" t="inlineStr">
        <is>
          <t>بله</t>
        </is>
      </c>
      <c r="C11" s="50" t="n">
        <v>1</v>
      </c>
      <c r="D11" s="50" t="n">
        <v>5</v>
      </c>
      <c r="E11" s="50">
        <f>IF(AND(ISNUMBER(C11),ISNUMBER(D11),D11&gt;0),C11/D11,"")</f>
        <v>0.2</v>
      </c>
      <c r="F11" s="50" t="n">
        <v>1</v>
      </c>
      <c r="G11" s="50" t="n">
        <v>5</v>
      </c>
      <c r="H11" s="50">
        <f>IF(AND(ISNUMBER(F11),ISNUMBER(G11),G11&gt;0),F11/G11,"")</f>
        <v>0.2</v>
      </c>
      <c r="I11" s="50" t="inlineStr">
        <is>
          <t>—</t>
        </is>
      </c>
      <c r="J11" s="44" t="inlineStr">
        <is>
          <t>VERIFIED_WITH_LIMITATION</t>
        </is>
      </c>
      <c r="K11" s="50"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L11" s="50" t="inlineStr">
        <is>
          <t>https://www.codal.ir/Reports/Attachment.aspx?LetterSerial=W3P2HVjIaDXFbdMemqSeUA%3d%3d
https://www.codal.ir/Reports/Attachment.aspx?LetterSerial=F0veQQQaQQQX4tai7nAftHYyrDhg%3d%3d</t>
        </is>
      </c>
      <c r="M11" s="50" t="inlineStr">
        <is>
          <t>RepChange = J/K (فقط کرسی‌هایی که شخص حقوقی در هر دو Snapshot ثابت است)</t>
        </is>
      </c>
    </row>
    <row r="12" ht="145" customHeight="1" s="76">
      <c r="A12" s="42" t="inlineStr">
        <is>
          <t>وتجارت</t>
        </is>
      </c>
      <c r="B12" s="42" t="inlineStr">
        <is>
          <t>خیر</t>
        </is>
      </c>
      <c r="C12" s="43" t="n"/>
      <c r="D12" s="43" t="n"/>
      <c r="E12" s="42">
        <f>IF(AND(ISNUMBER(C12),ISNUMBER(D12),D12&gt;0),C12/D12,"")</f>
      </c>
      <c r="F12" s="43" t="n"/>
      <c r="G12" s="43" t="n"/>
      <c r="H12" s="42">
        <f>IF(AND(ISNUMBER(F12),ISNUMBER(G12),G12&gt;0),F12/G12,"")</f>
      </c>
      <c r="I12" s="42" t="inlineStr">
        <is>
          <t>NOT_APPLICABLE: ساختار نمایندگی حقوقی ندارد (ولی v22 برای وتجارت/پارسان شخص حقوقی ثبت دارد → بازبینی)</t>
        </is>
      </c>
      <c r="J12" s="46" t="inlineStr">
        <is>
          <t>NEEDS_SOURCE_REVIEW</t>
        </is>
      </c>
      <c r="K12" s="42"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is>
      </c>
      <c r="L12" s="42" t="inlineStr">
        <is>
          <t>برای ردیابی پایه به فایل v33 و Source_IDهای همان فاز مراجعه شود</t>
        </is>
      </c>
      <c r="M12" s="42" t="inlineStr">
        <is>
          <t>RepChange = J/K (فقط کرسی‌هایی که شخص حقوقی در هر دو Snapshot ثابت است)</t>
        </is>
      </c>
    </row>
    <row r="13" ht="174" customHeight="1" s="76">
      <c r="A13" s="50" t="inlineStr">
        <is>
          <t>رمپنا</t>
        </is>
      </c>
      <c r="B13" s="50" t="inlineStr">
        <is>
          <t>بله</t>
        </is>
      </c>
      <c r="C13" s="50" t="n">
        <v>1</v>
      </c>
      <c r="D13" s="50" t="n">
        <v>1</v>
      </c>
      <c r="E13" s="50">
        <f>IF(AND(ISNUMBER(C13),ISNUMBER(D13),D13&gt;0),C13/D13,"")</f>
        <v>1</v>
      </c>
      <c r="F13" s="50" t="n">
        <v>1</v>
      </c>
      <c r="G13" s="50" t="n">
        <v>1</v>
      </c>
      <c r="H13" s="50">
        <f>IF(AND(ISNUMBER(F13),ISNUMBER(G13),G13&gt;0),F13/G13,"")</f>
        <v>1</v>
      </c>
      <c r="I13" s="50" t="inlineStr">
        <is>
          <t>—</t>
        </is>
      </c>
      <c r="J13" s="44" t="inlineStr">
        <is>
          <t>VERIFIED_WITH_LIMITATION</t>
        </is>
      </c>
      <c r="K13" s="50"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L13" s="50" t="inlineStr">
        <is>
          <t>https://www.codal.ir/Reports/Decision.aspx?LetterSerial=gsard4xmaj4Zi8yOS8AWMA%3d%3d&amp;rt=5&amp;let=19&amp;ct=0&amp;ft=-1
https://www.codal.ir/Reports/Decision.aspx?LetterSerial=4P4QQQaQQQssbMX9ZMuZVciqBKOOObOOOg%3d%3d&amp;rt=5&amp;let=19&amp;ct=0&amp;ft=-1</t>
        </is>
      </c>
      <c r="M13" s="50" t="inlineStr">
        <is>
          <t>RepChange = J/K (فقط کرسی‌هایی که شخص حقوقی در هر دو Snapshot ثابت است)</t>
        </is>
      </c>
    </row>
    <row r="14" ht="130.5" customHeight="1" s="76">
      <c r="A14" s="42" t="inlineStr">
        <is>
          <t>فخوز</t>
        </is>
      </c>
      <c r="B14" s="42" t="inlineStr">
        <is>
          <t>بله</t>
        </is>
      </c>
      <c r="C14" s="42" t="n">
        <v>3</v>
      </c>
      <c r="D14" s="42" t="n">
        <v>4</v>
      </c>
      <c r="E14" s="42">
        <f>IF(AND(ISNUMBER(C14),ISNUMBER(D14),D14&gt;0),C14/D14,"")</f>
        <v>0.75</v>
      </c>
      <c r="F14" s="42" t="n">
        <v>3</v>
      </c>
      <c r="G14" s="42" t="n">
        <v>4</v>
      </c>
      <c r="H14" s="42">
        <f>IF(AND(ISNUMBER(F14),ISNUMBER(G14),G14&gt;0),F14/G14,"")</f>
        <v>0.75</v>
      </c>
      <c r="I14" s="42" t="inlineStr">
        <is>
          <t>—</t>
        </is>
      </c>
      <c r="J14" s="44" t="inlineStr">
        <is>
          <t>VERIFIED_WITH_LIMITATION</t>
        </is>
      </c>
      <c r="K14" s="42"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L14" s="42" t="inlineStr">
        <is>
          <t>برای ردیابی پایه به فایل v33 و Source_IDهای همان فاز مراجعه شود</t>
        </is>
      </c>
      <c r="M14" s="42" t="inlineStr">
        <is>
          <t>RepChange = J/K (فقط کرسی‌هایی که شخص حقوقی در هر دو Snapshot ثابت است)</t>
        </is>
      </c>
    </row>
    <row r="15" ht="116" customHeight="1" s="76">
      <c r="A15" s="50" t="inlineStr">
        <is>
          <t>شستا</t>
        </is>
      </c>
      <c r="B15" s="50" t="inlineStr">
        <is>
          <t>بله</t>
        </is>
      </c>
      <c r="C15" s="50" t="n">
        <v>3</v>
      </c>
      <c r="D15" s="50" t="n">
        <v>5</v>
      </c>
      <c r="E15" s="50">
        <f>IF(AND(ISNUMBER(C15),ISNUMBER(D15),D15&gt;0),C15/D15,"")</f>
        <v>0.6</v>
      </c>
      <c r="F15" s="50" t="n">
        <v>3</v>
      </c>
      <c r="G15" s="50" t="n">
        <v>5</v>
      </c>
      <c r="H15" s="50">
        <f>IF(AND(ISNUMBER(F15),ISNUMBER(G15),G15&gt;0),F15/G15,"")</f>
        <v>0.6</v>
      </c>
      <c r="I15" s="50" t="inlineStr">
        <is>
          <t>—</t>
        </is>
      </c>
      <c r="J15" s="44" t="inlineStr">
        <is>
          <t>VERIFIED_WITH_LIMITATION</t>
        </is>
      </c>
      <c r="K15" s="50" t="inlineStr">
        <is>
          <t>SRC_SHST_1404_015 | افشای نوع ۱۹ | ۱۴۰۳ | ۱ | Snapshot مبنا برای ۱۴۰۳
SRC_SHST_1404_007 | افشای نوع ۱۹ | ۱۴۰۴ | ۱ | Snapshot مبنا برای ۱۴۰۴</t>
        </is>
      </c>
      <c r="L15" s="50" t="inlineStr">
        <is>
          <t>https://www.codal.ir/Reports/Decision.aspx?LetterSerial=b8oxHadTuSstqVNc5Bqzjw%3d%3d&amp;rt=2&amp;let=19&amp;ct=0&amp;ft=-1
https://www.codal.ir/Reports/Decision.aspx?LetterSerial=pk2gUF4FVfw9cOOObOOOOR6kSTDg%3d%3d&amp;rt=2&amp;let=19&amp;ct=0&amp;ft=-1</t>
        </is>
      </c>
      <c r="M15" s="50" t="inlineStr">
        <is>
          <t>RepChange = J/K (فقط کرسی‌هایی که شخص حقوقی در هر دو Snapshot ثابت است)</t>
        </is>
      </c>
    </row>
    <row r="16" ht="116" customHeight="1" s="76">
      <c r="A16" s="42" t="inlineStr">
        <is>
          <t>شپنا</t>
        </is>
      </c>
      <c r="B16" s="42" t="inlineStr">
        <is>
          <t>بله</t>
        </is>
      </c>
      <c r="C16" s="42" t="n">
        <v>1</v>
      </c>
      <c r="D16" s="42" t="n">
        <v>5</v>
      </c>
      <c r="E16" s="42">
        <f>IF(AND(ISNUMBER(C16),ISNUMBER(D16),D16&gt;0),C16/D16,"")</f>
        <v>0.2</v>
      </c>
      <c r="F16" s="42" t="n">
        <v>1</v>
      </c>
      <c r="G16" s="42" t="n">
        <v>5</v>
      </c>
      <c r="H16" s="42">
        <f>IF(AND(ISNUMBER(F16),ISNUMBER(G16),G16&gt;0),F16/G16,"")</f>
        <v>0.2</v>
      </c>
      <c r="I16" s="42" t="inlineStr">
        <is>
          <t>—</t>
        </is>
      </c>
      <c r="J16" s="44" t="inlineStr">
        <is>
          <t>VERIFIED_WITH_LIMITATION</t>
        </is>
      </c>
      <c r="K16" s="42" t="inlineStr">
        <is>
          <t>SRC_SHPN_1404_002 | افشای نوع ۱۹ | ۱۴۰۳ | ۱ | Snapshot مبنا برای ۱۴۰۳
SRC_SHPN_1404_004 | افشای نوع ۱۹ | ۱۴۰۴ | ۱ تا ۲ | Snapshot مبنا برای ۱۴۰۴</t>
        </is>
      </c>
      <c r="L16" s="42" t="inlineStr">
        <is>
          <t>https://www.codal.ir/Reports/Decision.aspx?LetterSerial=BgB1TPEYicGYh74gmrG9mA%3d%3d&amp;rt=0&amp;let=19&amp;ct=0&amp;ft=-1
https://www.codal.ir/Reports/Decision.aspx?LetterSerial=zWRtzdFgEWKY0H4XNrzRzA%3d%3d&amp;rt=0&amp;let=19&amp;ct=0&amp;ft=-1</t>
        </is>
      </c>
      <c r="M16" s="42" t="inlineStr">
        <is>
          <t>RepChange = J/K (فقط کرسی‌هایی که شخص حقوقی در هر دو Snapshot ثابت است)</t>
        </is>
      </c>
    </row>
    <row r="17" ht="116" customHeight="1" s="76">
      <c r="A17" s="50" t="inlineStr">
        <is>
          <t>وغدیر</t>
        </is>
      </c>
      <c r="B17" s="50" t="inlineStr">
        <is>
          <t>بله</t>
        </is>
      </c>
      <c r="C17" s="50" t="n">
        <v>2</v>
      </c>
      <c r="D17" s="50" t="n">
        <v>5</v>
      </c>
      <c r="E17" s="50">
        <f>IF(AND(ISNUMBER(C17),ISNUMBER(D17),D17&gt;0),C17/D17,"")</f>
        <v>0.4</v>
      </c>
      <c r="F17" s="50" t="n">
        <v>2</v>
      </c>
      <c r="G17" s="50" t="n">
        <v>5</v>
      </c>
      <c r="H17" s="50">
        <f>IF(AND(ISNUMBER(F17),ISNUMBER(G17),G17&gt;0),F17/G17,"")</f>
        <v>0.4</v>
      </c>
      <c r="I17" s="50" t="inlineStr">
        <is>
          <t>—</t>
        </is>
      </c>
      <c r="J17" s="44" t="inlineStr">
        <is>
          <t>VERIFIED_WITH_LIMITATION</t>
        </is>
      </c>
      <c r="K17" s="50" t="inlineStr">
        <is>
          <t>SRC_VGHD_1404_002 | افشای نوع ۱۹ | ۱۴۰۳ | ۱ | Snapshot مبنا برای ۱۴۰۳
SRC_VGHD_1404_006 | افشای نوع ۱۹ | ۱۴۰۴ | ۱ | Snapshot مبنا برای ۱۴۰۴</t>
        </is>
      </c>
      <c r="L17" s="50" t="inlineStr">
        <is>
          <t>https://www.codal.ir/Reports/Decision.aspx?LetterSerial=b9uqvOIQIMvyGYAfsuoWUg%3d%3d&amp;rt=2&amp;let=19&amp;ct=0&amp;ft=-1
https://www.codal.ir/Reports/Decision.aspx?LetterSerial=ytYjZCpQQQaQQQ34BFQkm8DLxX9A%3d%3d&amp;rt=2&amp;let=19&amp;ct=0&amp;ft=-1</t>
        </is>
      </c>
      <c r="M17" s="50" t="inlineStr">
        <is>
          <t>RepChange = J/K (فقط کرسی‌هایی که شخص حقوقی در هر دو Snapshot ثابت است)</t>
        </is>
      </c>
    </row>
    <row r="18" ht="145" customHeight="1" s="76">
      <c r="A18" s="42" t="inlineStr">
        <is>
          <t>نوری</t>
        </is>
      </c>
      <c r="B18" s="42" t="inlineStr">
        <is>
          <t>بله</t>
        </is>
      </c>
      <c r="C18" s="42" t="n">
        <v>1</v>
      </c>
      <c r="D18" s="42" t="n">
        <v>1</v>
      </c>
      <c r="E18" s="42">
        <f>IF(AND(ISNUMBER(C18),ISNUMBER(D18),D18&gt;0),C18/D18,"")</f>
        <v>1</v>
      </c>
      <c r="F18" s="42" t="n">
        <v>1</v>
      </c>
      <c r="G18" s="42" t="n">
        <v>1</v>
      </c>
      <c r="H18" s="42">
        <f>IF(AND(ISNUMBER(F18),ISNUMBER(G18),G18&gt;0),F18/G18,"")</f>
        <v>1</v>
      </c>
      <c r="I18" s="42" t="inlineStr">
        <is>
          <t>—</t>
        </is>
      </c>
      <c r="J18" s="44" t="inlineStr">
        <is>
          <t>VERIFIED_WITH_LIMITATION</t>
        </is>
      </c>
      <c r="K18" s="42"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L18" s="42" t="inlineStr">
        <is>
          <t>https://www.codal.ir/Reports/Attachment.aspx?LetterSerial=qQQQaQQQXL8Mm5NCUb8eyBSic7hA%3d%3d
https://www.codal.ir/Reports/Attachment.aspx?LetterSerial=lWuukNFzDitnWL7VD4weCA%3d%3d</t>
        </is>
      </c>
      <c r="M18" s="42" t="inlineStr">
        <is>
          <t>RepChange = J/K (فقط کرسی‌هایی که شخص حقوقی در هر دو Snapshot ثابت است)</t>
        </is>
      </c>
    </row>
    <row r="19" ht="130.5" customHeight="1" s="76">
      <c r="A19" s="50" t="inlineStr">
        <is>
          <t>فولاد</t>
        </is>
      </c>
      <c r="B19" s="50" t="inlineStr">
        <is>
          <t>بله</t>
        </is>
      </c>
      <c r="C19" s="50" t="n">
        <v>1</v>
      </c>
      <c r="D19" s="50" t="n">
        <v>4</v>
      </c>
      <c r="E19" s="50">
        <f>IF(AND(ISNUMBER(C19),ISNUMBER(D19),D19&gt;0),C19/D19,"")</f>
        <v>0.25</v>
      </c>
      <c r="F19" s="50" t="n">
        <v>1</v>
      </c>
      <c r="G19" s="50" t="n">
        <v>4</v>
      </c>
      <c r="H19" s="50">
        <f>IF(AND(ISNUMBER(F19),ISNUMBER(G19),G19&gt;0),F19/G19,"")</f>
        <v>0.25</v>
      </c>
      <c r="I19" s="50" t="inlineStr">
        <is>
          <t>—</t>
        </is>
      </c>
      <c r="J19" s="44" t="inlineStr">
        <is>
          <t>VERIFIED_WITH_LIMITATION</t>
        </is>
      </c>
      <c r="K19" s="50"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L19" s="50" t="inlineStr">
        <is>
          <t>https://www.codal.ir/Reports/Attachment.aspx?LetterSerial=lIOOObOOOFuv6MQlLw20bmBKF3Cw%3d%3d
https://www.codal.ir/Reports/Attachment.aspx?LetterSerial=DjTPnm9Pa79X4Gv1Zp8FQQQaQQQQ%3d%3d</t>
        </is>
      </c>
      <c r="M19" s="50" t="inlineStr">
        <is>
          <t>RepChange = J/K (فقط کرسی‌هایی که شخص حقوقی در هر دو Snapshot ثابت است)</t>
        </is>
      </c>
    </row>
    <row r="20" ht="116" customHeight="1" s="76">
      <c r="A20" s="42" t="inlineStr">
        <is>
          <t>کچاد</t>
        </is>
      </c>
      <c r="B20" s="42" t="inlineStr">
        <is>
          <t>بله</t>
        </is>
      </c>
      <c r="C20" s="42" t="n">
        <v>0</v>
      </c>
      <c r="D20" s="42" t="n">
        <v>4</v>
      </c>
      <c r="E20" s="42">
        <f>IF(AND(ISNUMBER(C20),ISNUMBER(D20),D20&gt;0),C20/D20,"")</f>
        <v>0</v>
      </c>
      <c r="F20" s="42" t="n">
        <v>0</v>
      </c>
      <c r="G20" s="42" t="n">
        <v>4</v>
      </c>
      <c r="H20" s="42">
        <f>IF(AND(ISNUMBER(F20),ISNUMBER(G20),G20&gt;0),F20/G20,"")</f>
        <v>0</v>
      </c>
      <c r="I20" s="42" t="inlineStr">
        <is>
          <t>—</t>
        </is>
      </c>
      <c r="J20" s="46" t="inlineStr">
        <is>
          <t>NEEDS_SOURCE_REVIEW</t>
        </is>
      </c>
      <c r="K20" s="42" t="inlineStr">
        <is>
          <t>SRC_KCHD_1403_001 | گزارش فعالیت هیئت مدیره | ۱۴۰۳ | ۴ | Snapshot مبنا برای ۱۴۰۳ و ثبت صریح کرسی خالی
SRC_KCHD_1404_006 | افشای نوع ۱۹ | ۱۴۰۴ | ۱ | Snapshot مبنا برای ۱۴۰۴</t>
        </is>
      </c>
      <c r="L20" s="42" t="inlineStr">
        <is>
          <t>https://www.codal.ir/Reports/Attachment.aspx?LetterSerial=RjOGt7pH1eRnl2ioIPNqDg%3d%3d
https://www.codal.ir/Reports/Decision.aspx?LetterSerial=XPg1kJyBIkadWnCXHnsdKg%3d%3d&amp;rt=0&amp;let=19&amp;ct=0&amp;ft=-1</t>
        </is>
      </c>
      <c r="M20" s="42" t="inlineStr">
        <is>
          <t>RepChange = J/K (فقط کرسی‌هایی که شخص حقوقی در هر دو Snapshot ثابت است)</t>
        </is>
      </c>
    </row>
    <row r="21" ht="116" customHeight="1" s="76">
      <c r="A21" s="50" t="inlineStr">
        <is>
          <t>کگل</t>
        </is>
      </c>
      <c r="B21" s="50" t="inlineStr">
        <is>
          <t>بله</t>
        </is>
      </c>
      <c r="C21" s="50" t="n">
        <v>1</v>
      </c>
      <c r="D21" s="50" t="n">
        <v>5</v>
      </c>
      <c r="E21" s="50">
        <f>IF(AND(ISNUMBER(C21),ISNUMBER(D21),D21&gt;0),C21/D21,"")</f>
        <v>0.2</v>
      </c>
      <c r="F21" s="50" t="n">
        <v>1</v>
      </c>
      <c r="G21" s="50" t="n">
        <v>5</v>
      </c>
      <c r="H21" s="50">
        <f>IF(AND(ISNUMBER(F21),ISNUMBER(G21),G21&gt;0),F21/G21,"")</f>
        <v>0.2</v>
      </c>
      <c r="I21" s="50" t="inlineStr">
        <is>
          <t>—</t>
        </is>
      </c>
      <c r="J21" s="44" t="inlineStr">
        <is>
          <t>VERIFIED_WITH_LIMITATION</t>
        </is>
      </c>
      <c r="K21" s="50" t="inlineStr">
        <is>
          <t>SRC_KGOL_1404_002 | افشای نوع ۱۹ | ۱۴۰۳ | ۱ | Snapshot مبنا برای پایان ۱۴۰۳ و جلوگیری از Look Ahead
SRC_KGOL_1404_004 | افشای نوع ۱۹ | ۱۴۰۴ | ۱ | Snapshot مبنا برای ۱۴۰۴</t>
        </is>
      </c>
      <c r="L21" s="50" t="inlineStr">
        <is>
          <t>https://www.codal.ir/Reports/Decision.aspx?LetterSerial=V8TQGa6IRAmh3pwzvDL0KQ%3d%3d&amp;rt=0&amp;let=19&amp;ct=0&amp;ft=-1
https://www.codal.ir/Reports/Decision.aspx?LetterSerial=IYIOOObOOO6mh6t3bHqdV5BigMrg%3d%3d&amp;rt=0&amp;let=19&amp;ct=0&amp;ft=-1</t>
        </is>
      </c>
      <c r="M21" s="50" t="inlineStr">
        <is>
          <t>RepChange = J/K (فقط کرسی‌هایی که شخص حقوقی در هر دو Snapshot ثابت است)</t>
        </is>
      </c>
    </row>
    <row r="22" ht="116" customHeight="1" s="76">
      <c r="A22" s="42" t="inlineStr">
        <is>
          <t>پارسان</t>
        </is>
      </c>
      <c r="B22" s="42" t="inlineStr">
        <is>
          <t>خیر</t>
        </is>
      </c>
      <c r="C22" s="43" t="n"/>
      <c r="D22" s="43" t="n"/>
      <c r="E22" s="42">
        <f>IF(AND(ISNUMBER(C22),ISNUMBER(D22),D22&gt;0),C22/D22,"")</f>
      </c>
      <c r="F22" s="43" t="n"/>
      <c r="G22" s="43" t="n"/>
      <c r="H22" s="42">
        <f>IF(AND(ISNUMBER(F22),ISNUMBER(G22),G22&gt;0),F22/G22,"")</f>
      </c>
      <c r="I22" s="42" t="inlineStr">
        <is>
          <t>NOT_APPLICABLE: ساختار نمایندگی حقوقی ندارد (ولی v22 برای وتجارت/پارسان شخص حقوقی ثبت دارد → بازبینی)</t>
        </is>
      </c>
      <c r="J22" s="46" t="inlineStr">
        <is>
          <t>NEEDS_SOURCE_REVIEW</t>
        </is>
      </c>
      <c r="K22" s="42" t="inlineStr">
        <is>
          <t>SRC_PRSN_1403_001 | گزارش فعالیت هیئت مدیره | ۱۴۰۳ | ۵۰ | Snapshot مبنا برای ۱۴۰۳
SRC_PRSN_1404_007 | گزارش فعالیت هیئت مدیره | ۱۴۰۴ | ۳۷ تا ۳۸ | Snapshot مبنا برای ۱۴۰۴</t>
        </is>
      </c>
      <c r="L22" s="42" t="inlineStr">
        <is>
          <t>https://www.codal.ir/Reports/Attachment.aspx?LetterSerial=Pzx8AUWEOOObOOOMcLjZdiSXNAoA%3d%3d
https://www.codal.ir/Reports/Attachment.aspx?LetterSerial=L6jPydiKkSCQR9kVCKMgkg%3d%3d</t>
        </is>
      </c>
      <c r="M22" s="42" t="inlineStr">
        <is>
          <t>RepChange = J/K (فقط کرسی‌هایی که شخص حقوقی در هر دو Snapshot ثابت است)</t>
        </is>
      </c>
    </row>
    <row r="23" ht="174" customHeight="1" s="76">
      <c r="A23" s="50" t="inlineStr">
        <is>
          <t>اخابر</t>
        </is>
      </c>
      <c r="B23" s="50" t="inlineStr">
        <is>
          <t>بله</t>
        </is>
      </c>
      <c r="C23" s="50" t="n">
        <v>1</v>
      </c>
      <c r="D23" s="50" t="n">
        <v>3</v>
      </c>
      <c r="E23" s="50">
        <f>IF(AND(ISNUMBER(C23),ISNUMBER(D23),D23&gt;0),C23/D23,"")</f>
        <v>0.3333333333333333</v>
      </c>
      <c r="F23" s="50" t="n">
        <v>1</v>
      </c>
      <c r="G23" s="50" t="n">
        <v>3</v>
      </c>
      <c r="H23" s="50">
        <f>IF(AND(ISNUMBER(F23),ISNUMBER(G23),G23&gt;0),F23/G23,"")</f>
        <v>0.3333333333333333</v>
      </c>
      <c r="I23" s="50" t="inlineStr">
        <is>
          <t>—</t>
        </is>
      </c>
      <c r="J23" s="44" t="inlineStr">
        <is>
          <t>VERIFIED_WITH_LIMITATION</t>
        </is>
      </c>
      <c r="K23" s="50"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L23" s="50" t="inlineStr">
        <is>
          <t>https://www.codal.ir/Reports/Attachment.aspx?LetterSerial=l18osNfAAH2DvvstKQQQaQQQYuHQ%3d%3d
https://www.codal.ir/Reports/Decision.aspx?LetterSerial=GSIO5iJOn2Ini6eniOOOObOOOopw%3d%3d&amp;rt=5&amp;let=19&amp;ct=0&amp;ft=-1
https://www.codal.ir/Reports/Decision.aspx?LetterSerial=iXcFNxwCjn4aV4ptXi6QQQaQQQjA%3d%3d&amp;rt=5&amp;let=19&amp;ct=0&amp;ft=-1</t>
        </is>
      </c>
      <c r="M23" s="50" t="inlineStr">
        <is>
          <t>RepChange = J/K (فقط کرسی‌هایی که شخص حقوقی در هر دو Snapshot ثابت است)</t>
        </is>
      </c>
    </row>
    <row r="24" ht="174" customHeight="1" s="76">
      <c r="A24" s="42" t="inlineStr">
        <is>
          <t>جم</t>
        </is>
      </c>
      <c r="B24" s="42" t="inlineStr">
        <is>
          <t>بله</t>
        </is>
      </c>
      <c r="C24" s="42" t="n">
        <v>2</v>
      </c>
      <c r="D24" s="42" t="n">
        <v>4</v>
      </c>
      <c r="E24" s="42">
        <f>IF(AND(ISNUMBER(C24),ISNUMBER(D24),D24&gt;0),C24/D24,"")</f>
        <v>0.5</v>
      </c>
      <c r="F24" s="42" t="n">
        <v>2</v>
      </c>
      <c r="G24" s="42" t="n">
        <v>4</v>
      </c>
      <c r="H24" s="42">
        <f>IF(AND(ISNUMBER(F24),ISNUMBER(G24),G24&gt;0),F24/G24,"")</f>
        <v>0.5</v>
      </c>
      <c r="I24" s="42" t="inlineStr">
        <is>
          <t>—</t>
        </is>
      </c>
      <c r="J24" s="46" t="inlineStr">
        <is>
          <t>NEEDS_SOURCE_REVIEW</t>
        </is>
      </c>
      <c r="K24" s="42"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is>
      </c>
      <c r="L24" s="42" t="inlineStr">
        <is>
          <t>https://www.codal.ir/Reports/Attachment.aspx?LetterSerial=7DOfnJSrljlS4F1ZUoECfA%3d%3d
https://www.codal.ir/Reports/Decision.aspx?LetterSerial=BY8YXlJLNgWdHoQQQaQQQN2kMTZQ%3d%3d&amp;rt=0&amp;let=19&amp;ct=0&amp;ft=-1
https://www.codal.ir/Reports/Decision.aspx?LetterSerial=zrRXQNzllX2hozqxWf2Nng%3d%3d&amp;rt=0&amp;let=19&amp;ct=0&amp;ft=-1</t>
        </is>
      </c>
      <c r="M24" s="42" t="inlineStr">
        <is>
          <t>RepChange = J/K (فقط کرسی‌هایی که شخص حقوقی در هر دو Snapshot ثابت است)</t>
        </is>
      </c>
    </row>
    <row r="25" ht="232" customHeight="1" s="76">
      <c r="A25" s="50" t="inlineStr">
        <is>
          <t>ومعادن</t>
        </is>
      </c>
      <c r="B25" s="50" t="inlineStr">
        <is>
          <t>بله</t>
        </is>
      </c>
      <c r="C25" s="50" t="n">
        <v>2</v>
      </c>
      <c r="D25" s="50" t="n">
        <v>4</v>
      </c>
      <c r="E25" s="50">
        <f>IF(AND(ISNUMBER(C25),ISNUMBER(D25),D25&gt;0),C25/D25,"")</f>
        <v>0.5</v>
      </c>
      <c r="F25" s="50" t="n">
        <v>2</v>
      </c>
      <c r="G25" s="50" t="n">
        <v>4</v>
      </c>
      <c r="H25" s="50">
        <f>IF(AND(ISNUMBER(F25),ISNUMBER(G25),G25&gt;0),F25/G25,"")</f>
        <v>0.5</v>
      </c>
      <c r="I25" s="50" t="inlineStr">
        <is>
          <t>—</t>
        </is>
      </c>
      <c r="J25" s="44" t="inlineStr">
        <is>
          <t>VERIFIED_WITH_LIMITATION</t>
        </is>
      </c>
      <c r="K25" s="50"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L25" s="50" t="inlineStr">
        <is>
          <t>https://www.codal.ir/Reports/Attachment.aspx?LetterSerial=AcoEbrF1YWBxnIP9D2INbA%3d%3d
https://www.codal.ir/Reports/Attachment.aspx?LetterSerial=bRnwYafN0uOG5s7eZOOObOOObCPw%3d%3d
https://www.codal.ir/Reports/Decision.aspx?LetterSerial=GYYJgW0mQQQaQQQdbvnpR6QLaHlA%3d%3d&amp;rt=2&amp;let=19&amp;ct=0&amp;ft=-1
https://www.codal.ir/Reports/Decision.aspx?LetterSerial=AHwQQQaQQQkHcUkc0pfBa2dXOOObOOOE3Q%3d%3d&amp;rt=2&amp;let=19&amp;ct=0&amp;ft=-1</t>
        </is>
      </c>
      <c r="M25" s="50" t="inlineStr">
        <is>
          <t>RepChange = J/K (فقط کرسی‌هایی که شخص حقوقی در هر دو Snapshot ثابت است)</t>
        </is>
      </c>
    </row>
    <row r="26" ht="217.5" customHeight="1" s="76">
      <c r="A26" s="42" t="inlineStr">
        <is>
          <t>وامید</t>
        </is>
      </c>
      <c r="B26" s="42" t="inlineStr">
        <is>
          <t>بله</t>
        </is>
      </c>
      <c r="C26" s="42" t="n">
        <v>0</v>
      </c>
      <c r="D26" s="42" t="n">
        <v>3</v>
      </c>
      <c r="E26" s="42">
        <f>IF(AND(ISNUMBER(C26),ISNUMBER(D26),D26&gt;0),C26/D26,"")</f>
        <v>0</v>
      </c>
      <c r="F26" s="42" t="n">
        <v>0</v>
      </c>
      <c r="G26" s="42" t="n">
        <v>3</v>
      </c>
      <c r="H26" s="42">
        <f>IF(AND(ISNUMBER(F26),ISNUMBER(G26),G26&gt;0),F26/G26,"")</f>
        <v>0</v>
      </c>
      <c r="I26" s="42" t="inlineStr">
        <is>
          <t>—</t>
        </is>
      </c>
      <c r="J26" s="44" t="inlineStr">
        <is>
          <t>VERIFIED_WITH_LIMITATION</t>
        </is>
      </c>
      <c r="K26" s="42"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L26" s="42" t="inlineStr">
        <is>
          <t>https://www.codal.ir/Reports/Attachment.aspx?LetterSerial=CM4mqa3Wz2h9LMqk4uVACQ%3d%3d
https://www.codal.ir/Reports/Attachment.aspx?LetterSerial=L3pmVuuRgm42MhLxuM1ElQ%3d%3d
https://www.codal.ir/Reports/Decision.aspx?LetterSerial=1UEyCQ9gyduKzNiiDDNXUA%3d%3d&amp;rt=2&amp;let=19&amp;ct=0&amp;ft=-1
https://www.codal.ir/Reports/Decision.aspx?LetterSerial=heZfln7kl6v8fiuPpe5P4g%3d%3d&amp;rt=2&amp;let=19&amp;ct=0&amp;ft=-1</t>
        </is>
      </c>
      <c r="M26" s="42" t="inlineStr">
        <is>
          <t>RepChange = J/K (فقط کرسی‌هایی که شخص حقوقی در هر دو Snapshot ثابت است)</t>
        </is>
      </c>
    </row>
    <row r="27" ht="116" customHeight="1" s="76">
      <c r="A27" s="50" t="inlineStr">
        <is>
          <t>خساپا</t>
        </is>
      </c>
      <c r="B27" s="50" t="inlineStr">
        <is>
          <t>بله</t>
        </is>
      </c>
      <c r="C27" s="50" t="n">
        <v>3</v>
      </c>
      <c r="D27" s="50" t="n">
        <v>5</v>
      </c>
      <c r="E27" s="50">
        <f>IF(AND(ISNUMBER(C27),ISNUMBER(D27),D27&gt;0),C27/D27,"")</f>
        <v>0.6</v>
      </c>
      <c r="F27" s="50" t="n">
        <v>3</v>
      </c>
      <c r="G27" s="50" t="n">
        <v>5</v>
      </c>
      <c r="H27" s="50">
        <f>IF(AND(ISNUMBER(F27),ISNUMBER(G27),G27&gt;0),F27/G27,"")</f>
        <v>0.6</v>
      </c>
      <c r="I27" s="50" t="inlineStr">
        <is>
          <t>—</t>
        </is>
      </c>
      <c r="J27" s="46" t="inlineStr">
        <is>
          <t>NEEDS_SOURCE_REVIEW</t>
        </is>
      </c>
      <c r="K27" s="50" t="inlineStr">
        <is>
          <t>SRC_KHSP_1404_002 | افشای نوع ۱۹ | ۱۴۰۳ | ۱ | Snapshot مبنا ۱۴۰۳
SRC_KHSP_1404_004 | افشای نوع ۱۹ | ۱۴۰۴ | ۱ | Snapshot ۱۴۰۴ و تطبیق کرسی ها</t>
        </is>
      </c>
      <c r="L27" s="50" t="inlineStr">
        <is>
          <t>https://www.codal.ir/Reports/Decision.aspx?LetterSerial=0rlsOOObOOOEFaa9IMoCD90IUbxA%3d%3d&amp;rt=0&amp;let=19&amp;ct=0&amp;ft=-1
https://www.codal.ir/Reports/Decision.aspx?LetterSerial=UJ1so0i61H6WpTMWJ3OsCA%3d%3d&amp;rt=0&amp;let=19&amp;ct=0&amp;ft=-1</t>
        </is>
      </c>
      <c r="M27" s="50" t="inlineStr">
        <is>
          <t>RepChange = J/K (فقط کرسی‌هایی که شخص حقوقی در هر دو Snapshot ثابت است)</t>
        </is>
      </c>
    </row>
    <row r="28" ht="174" customHeight="1" s="76">
      <c r="A28" s="42" t="inlineStr">
        <is>
          <t>همراه</t>
        </is>
      </c>
      <c r="B28" s="42" t="inlineStr">
        <is>
          <t>بله</t>
        </is>
      </c>
      <c r="C28" s="42" t="n">
        <v>0</v>
      </c>
      <c r="D28" s="42" t="n">
        <v>5</v>
      </c>
      <c r="E28" s="42">
        <f>IF(AND(ISNUMBER(C28),ISNUMBER(D28),D28&gt;0),C28/D28,"")</f>
        <v>0</v>
      </c>
      <c r="F28" s="42" t="n">
        <v>0</v>
      </c>
      <c r="G28" s="42" t="n">
        <v>5</v>
      </c>
      <c r="H28" s="42">
        <f>IF(AND(ISNUMBER(F28),ISNUMBER(G28),G28&gt;0),F28/G28,"")</f>
        <v>0</v>
      </c>
      <c r="I28" s="42" t="inlineStr">
        <is>
          <t>—</t>
        </is>
      </c>
      <c r="J28" s="44" t="inlineStr">
        <is>
          <t>VERIFIED_WITH_LIMITATION</t>
        </is>
      </c>
      <c r="K28" s="42"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L28" s="42" t="inlineStr">
        <is>
          <t>https://www.codal.ir/Reports/Attachment.aspx?LetterSerial=qF6WQQQaQQQvb3G9yQQQaQQQVuknoGcUQQ%3d%3d
https://www.codal.ir/Reports/Attachment.aspx?LetterSerial=Ln6R9zsWXNJqeuz97OOObOOOaACw%3d%3d
https://www.codal.ir/Reports/Decision.aspx?LetterSerial=EkFsjyhmhfXBQoQQQaQQQTg7cqCw%3d%3d&amp;rt=5&amp;let=19&amp;ct=0&amp;ft=-1</t>
        </is>
      </c>
      <c r="M28" s="42" t="inlineStr">
        <is>
          <t>RepChange = J/K (فقط کرسی‌هایی که شخص حقوقی در هر دو Snapshot ثابت است)</t>
        </is>
      </c>
    </row>
    <row r="29" ht="130.5" customHeight="1" s="76">
      <c r="A29" s="50" t="inlineStr">
        <is>
          <t>وبملت</t>
        </is>
      </c>
      <c r="B29" s="50" t="inlineStr">
        <is>
          <t>خیر</t>
        </is>
      </c>
      <c r="C29" s="51" t="n"/>
      <c r="D29" s="51" t="n"/>
      <c r="E29" s="50">
        <f>IF(AND(ISNUMBER(C29),ISNUMBER(D29),D29&gt;0),C29/D29,"")</f>
      </c>
      <c r="F29" s="51" t="n"/>
      <c r="G29" s="51" t="n"/>
      <c r="H29" s="50">
        <f>IF(AND(ISNUMBER(F29),ISNUMBER(G29),G29&gt;0),F29/G29,"")</f>
      </c>
      <c r="I29" s="50" t="inlineStr">
        <is>
          <t>NOT_APPLICABLE: اعضای حقیقی مستقیم</t>
        </is>
      </c>
      <c r="J29" s="44" t="inlineStr">
        <is>
          <t>VERIFIED_WITH_LIMITATION</t>
        </is>
      </c>
      <c r="K29" s="50" t="inlineStr">
        <is>
          <t>SRC_MELT_1404_006 | افشای نوع ۱۹ | ۱۴۰۳ | ۱ | Snapshot اشخاص حقیقی ۱۴۰۳
SRC_MELT_1404_005 | افشای نوع ۱۹ | ۱۴۰۴ | ۱ | Snapshot اشخاص حقیقی ۱۴۰۴؛ فقط تغییر سمت</t>
        </is>
      </c>
      <c r="L29" s="50" t="inlineStr">
        <is>
          <t>https://www.codal.ir/Reports/Decision.aspx?LetterSerial=pMyRiSQQQaQQQwMIoymmCCqmzwtg%3d%3d&amp;rt=3&amp;let=19&amp;ct=0&amp;ft=-1
https://www.codal.ir/Reports/Decision.aspx?LetterSerial=jqQzOOObOOOZ5mOOObOOO0IdbSC6088ERA%3d%3d&amp;rt=3&amp;let=19&amp;ct=0&amp;ft=-1</t>
        </is>
      </c>
      <c r="M29" s="50" t="inlineStr">
        <is>
          <t>RepChange = J/K (فقط کرسی‌هایی که شخص حقوقی در هر دو Snapshot ثابت است)</t>
        </is>
      </c>
    </row>
    <row r="30" ht="116" customHeight="1" s="76">
      <c r="A30" s="42" t="inlineStr">
        <is>
          <t>وبصادر</t>
        </is>
      </c>
      <c r="B30" s="42" t="inlineStr">
        <is>
          <t>خیر</t>
        </is>
      </c>
      <c r="C30" s="43" t="n"/>
      <c r="D30" s="43" t="n"/>
      <c r="E30" s="42">
        <f>IF(AND(ISNUMBER(C30),ISNUMBER(D30),D30&gt;0),C30/D30,"")</f>
      </c>
      <c r="F30" s="43" t="n"/>
      <c r="G30" s="43" t="n"/>
      <c r="H30" s="42">
        <f>IF(AND(ISNUMBER(F30),ISNUMBER(G30),G30&gt;0),F30/G30,"")</f>
      </c>
      <c r="I30" s="42" t="inlineStr">
        <is>
          <t>NOT_APPLICABLE: اعضای حقیقی مستقیم</t>
        </is>
      </c>
      <c r="J30" s="44" t="inlineStr">
        <is>
          <t>VERIFIED_WITH_LIMITATION</t>
        </is>
      </c>
      <c r="K30" s="42" t="inlineStr">
        <is>
          <t>SRC_VBSD_1404_002 | گزارش فعالیت هیئت مدیره | ۱۴۰۳ | ۳۸ تا ۳۹ | Snapshot مبنا ۱۴۰۳
SRC_VBSD_1404_001 | گزارش فعالیت هیئت مدیره | ۱۴۰۴ | ۴۵ تا ۴۶ | Snapshot مبنا ۱۴۰۴</t>
        </is>
      </c>
      <c r="L30" s="42" t="inlineStr">
        <is>
          <t>https://www.codal.ir/Reports/Attachment.aspx?LetterSerial=HChwyLb11ZnzYeIEeB3Jng%3d%3d
https://www.codal.ir/Reports/Attachment.aspx?LetterSerial=p0cfFj1rDsXiFZsu35tCWw%3d%3d</t>
        </is>
      </c>
      <c r="M30" s="42" t="inlineStr">
        <is>
          <t>RepChange = J/K (فقط کرسی‌هایی که شخص حقوقی در هر دو Snapshot ثابت است)</t>
        </is>
      </c>
    </row>
    <row r="31" ht="159.5" customHeight="1" s="76">
      <c r="A31" s="50" t="inlineStr">
        <is>
          <t>وپاسار</t>
        </is>
      </c>
      <c r="B31" s="50" t="inlineStr">
        <is>
          <t>نامشخص</t>
        </is>
      </c>
      <c r="C31" s="51" t="n"/>
      <c r="D31" s="51" t="n"/>
      <c r="E31" s="50">
        <f>IF(AND(ISNUMBER(C31),ISNUMBER(D31),D31&gt;0),C31/D31,"")</f>
      </c>
      <c r="F31" s="51" t="n"/>
      <c r="G31" s="51" t="n"/>
      <c r="H31" s="50">
        <f>IF(AND(ISNUMBER(F31),ISNUMBER(G31),G31&gt;0),F31/G31,"")</f>
      </c>
      <c r="I31" s="50" t="inlineStr">
        <is>
          <t>INSUFFICIENT_EVIDENCE</t>
        </is>
      </c>
      <c r="J31" s="46" t="inlineStr">
        <is>
          <t>NEEDS_SOURCE_REVIEW</t>
        </is>
      </c>
      <c r="K31" s="50"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L31" s="50" t="inlineStr">
        <is>
          <t>https://www.codal.ir/Reports/Attachment.aspx?LetterSerial=Cxkdj8wztt52xU9MoBXp2w%3d%3d</t>
        </is>
      </c>
      <c r="M31" s="50" t="inlineStr">
        <is>
          <t>RepChange = J/K (فقط کرسی‌هایی که شخص حقوقی در هر دو Snapshot ثابت است)</t>
        </is>
      </c>
    </row>
    <row r="32" ht="72.5" customHeight="1" s="76">
      <c r="A32" s="42" t="inlineStr">
        <is>
          <t>حکشتی</t>
        </is>
      </c>
      <c r="B32" s="42" t="inlineStr">
        <is>
          <t>خیر</t>
        </is>
      </c>
      <c r="C32" s="43" t="n"/>
      <c r="D32" s="43" t="n"/>
      <c r="E32" s="42">
        <f>IF(AND(ISNUMBER(C32),ISNUMBER(D32),D32&gt;0),C32/D32,"")</f>
      </c>
      <c r="F32" s="43" t="n"/>
      <c r="G32" s="43" t="n"/>
      <c r="H32" s="42">
        <f>IF(AND(ISNUMBER(F32),ISNUMBER(G32),G32&gt;0),F32/G32,"")</f>
      </c>
      <c r="I32" s="42" t="inlineStr">
        <is>
          <t>NOT_APPLICABLE: اعضای حقیقی مستقیم</t>
        </is>
      </c>
      <c r="J32" s="44" t="inlineStr">
        <is>
          <t>VERIFIED_WITH_LIMITATION</t>
        </is>
      </c>
      <c r="K32" s="42" t="inlineStr">
        <is>
          <t>Iran_BSI_v33_Phase4_2K_FinalTurnoverClosure.xlsx | شرکت های Seat Level | داده شخص حقیقی برای Turnover قابل اتکا نبود</t>
        </is>
      </c>
      <c r="L32" s="42" t="inlineStr">
        <is>
          <t>برای ردیابی پایه به فایل v33 و Source_IDهای همان فاز مراجعه شود</t>
        </is>
      </c>
      <c r="M32" s="42" t="inlineStr">
        <is>
          <t>RepChange = J/K (فقط کرسی‌هایی که شخص حقوقی در هر دو Snapshot ثابت است)</t>
        </is>
      </c>
    </row>
    <row r="33" ht="72.5" customHeight="1" s="76">
      <c r="A33" s="50" t="inlineStr">
        <is>
          <t>شپدیس</t>
        </is>
      </c>
      <c r="B33" s="50" t="inlineStr">
        <is>
          <t>خیر</t>
        </is>
      </c>
      <c r="C33" s="51" t="n"/>
      <c r="D33" s="51" t="n"/>
      <c r="E33" s="50">
        <f>IF(AND(ISNUMBER(C33),ISNUMBER(D33),D33&gt;0),C33/D33,"")</f>
      </c>
      <c r="F33" s="51" t="n"/>
      <c r="G33" s="51" t="n"/>
      <c r="H33" s="50">
        <f>IF(AND(ISNUMBER(F33),ISNUMBER(G33),G33&gt;0),F33/G33,"")</f>
      </c>
      <c r="I33" s="50" t="inlineStr">
        <is>
          <t>NOT_APPLICABLE: اعضای حقیقی مستقیم</t>
        </is>
      </c>
      <c r="J33" s="44" t="inlineStr">
        <is>
          <t>VERIFIED_WITH_LIMITATION</t>
        </is>
      </c>
      <c r="K33" s="50" t="inlineStr">
        <is>
          <t>Iran_BSI_v33_Phase4_2K_FinalTurnoverClosure.xlsx | وضعیت ۳۰ شرکت | سند FY1403 برای تطبیق دو ساله در دسترس نبود</t>
        </is>
      </c>
      <c r="L33" s="50" t="inlineStr">
        <is>
          <t>برای ردیابی پایه به فایل v33 و Source_IDهای همان فاز مراجعه شود</t>
        </is>
      </c>
      <c r="M33" s="50" t="inlineStr">
        <is>
          <t>RepChange = J/K (فقط کرسی‌هایی که شخص حقوقی در هر دو Snapshot ثابت است)</t>
        </is>
      </c>
    </row>
  </sheetData>
  <mergeCells count="2">
    <mergeCell ref="A2:M2"/>
    <mergeCell ref="A1:M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0" customWidth="1" style="76" min="2" max="3"/>
    <col width="42" customWidth="1" style="76" min="4" max="4"/>
    <col width="13.5" customWidth="1" style="76" min="5" max="6"/>
    <col width="42" customWidth="1" style="76" min="7" max="7"/>
    <col width="25.83203125" customWidth="1" style="76" min="8" max="8"/>
    <col width="42" customWidth="1" style="76" min="9" max="10"/>
  </cols>
  <sheetData>
    <row r="1" ht="34" customHeight="1" s="76">
      <c r="A1" s="79" t="inlineStr">
        <is>
          <t>ممیزی Legal Entity Change Rate</t>
        </is>
      </c>
    </row>
    <row r="2" ht="28" customHeight="1" s="76">
      <c r="A2" s="86" t="inlineStr">
        <is>
          <t>M/N بر پایه کرسی‌های دارای شخص حقوقی در دو Snapshot. وابستگی K=N−M در Audit Turnover بررسی شده است.</t>
        </is>
      </c>
    </row>
    <row r="3" ht="30" customHeight="1" s="76">
      <c r="A3" s="48" t="inlineStr">
        <is>
          <t>شرکت</t>
        </is>
      </c>
      <c r="B3" s="48" t="inlineStr">
        <is>
          <t>M v35</t>
        </is>
      </c>
      <c r="C3" s="48" t="inlineStr">
        <is>
          <t>N v35</t>
        </is>
      </c>
      <c r="D3" s="48" t="inlineStr">
        <is>
          <t>نرخ v35 (فرمول)</t>
        </is>
      </c>
      <c r="E3" s="48" t="inlineStr">
        <is>
          <t>M اصلاح‌شده</t>
        </is>
      </c>
      <c r="F3" s="48" t="inlineStr">
        <is>
          <t>N اصلاح‌شده</t>
        </is>
      </c>
      <c r="G3" s="48" t="inlineStr">
        <is>
          <t>نرخ اصلاح‌شده (فرمول)</t>
        </is>
      </c>
      <c r="H3" s="48" t="inlineStr">
        <is>
          <t>وضعیت ممیزی</t>
        </is>
      </c>
      <c r="I3" s="48" t="inlineStr">
        <is>
          <t>Source_ID</t>
        </is>
      </c>
      <c r="J3" s="48" t="inlineStr">
        <is>
          <t>Formula / Method</t>
        </is>
      </c>
    </row>
    <row r="4" ht="87" customHeight="1" s="76">
      <c r="A4" s="42" t="inlineStr">
        <is>
          <t>فملی</t>
        </is>
      </c>
      <c r="B4" s="42" t="n">
        <v>0</v>
      </c>
      <c r="C4" s="42" t="n">
        <v>5</v>
      </c>
      <c r="D4" s="42">
        <f>IF(AND(ISNUMBER(B4),ISNUMBER(C4),C4&gt;0),B4/C4,"")</f>
        <v>0</v>
      </c>
      <c r="E4" s="42" t="n">
        <v>0</v>
      </c>
      <c r="F4" s="42" t="n">
        <v>5</v>
      </c>
      <c r="G4" s="42">
        <f>IF(AND(ISNUMBER(E4),ISNUMBER(F4),F4&gt;0),E4/F4,"")</f>
        <v>0</v>
      </c>
      <c r="H4" s="44" t="inlineStr">
        <is>
          <t>VERIFIED_WITH_LIMITATION</t>
        </is>
      </c>
      <c r="I4" s="42" t="inlineStr">
        <is>
          <t>Iran_BSI_v33_Phase4_2K_FinalTurnoverClosure.xlsx | برگه های گردش اشخاص حقیقی، تغییر نماینده، تغییر شخص حقوقی، اعضای جدید، ثبات هیئت و تغییر رئیس</t>
        </is>
      </c>
      <c r="J4" s="42" t="inlineStr">
        <is>
          <t>LegalChange = M/N؛ ROB_LEGAL فقط Robustness (جهت کیفی ندارد)</t>
        </is>
      </c>
    </row>
    <row r="5" ht="87" customHeight="1" s="76">
      <c r="A5" s="50" t="inlineStr">
        <is>
          <t>تاپیکو</t>
        </is>
      </c>
      <c r="B5" s="50" t="n">
        <v>0</v>
      </c>
      <c r="C5" s="50" t="n">
        <v>4</v>
      </c>
      <c r="D5" s="50">
        <f>IF(AND(ISNUMBER(B5),ISNUMBER(C5),C5&gt;0),B5/C5,"")</f>
        <v>0</v>
      </c>
      <c r="E5" s="50" t="n">
        <v>0</v>
      </c>
      <c r="F5" s="50" t="n">
        <v>4</v>
      </c>
      <c r="G5" s="50">
        <f>IF(AND(ISNUMBER(E5),ISNUMBER(F5),F5&gt;0),E5/F5,"")</f>
        <v>0</v>
      </c>
      <c r="H5" s="44" t="inlineStr">
        <is>
          <t>VERIFIED_WITH_LIMITATION</t>
        </is>
      </c>
      <c r="I5" s="50" t="inlineStr">
        <is>
          <t>Iran_BSI_v33_Phase4_2K_FinalTurnoverClosure.xlsx | برگه های گردش اشخاص حقیقی، تغییر نماینده، تغییر شخص حقوقی، اعضای جدید، ثبات هیئت و تغییر رئیس</t>
        </is>
      </c>
      <c r="J5" s="50" t="inlineStr">
        <is>
          <t>LegalChange = M/N؛ ROB_LEGAL فقط Robustness (جهت کیفی ندارد)</t>
        </is>
      </c>
    </row>
    <row r="6" ht="130.5" customHeight="1" s="76">
      <c r="A6" s="42" t="inlineStr">
        <is>
          <t>فارس</t>
        </is>
      </c>
      <c r="B6" s="42" t="n">
        <v>0</v>
      </c>
      <c r="C6" s="42" t="n">
        <v>4</v>
      </c>
      <c r="D6" s="42">
        <f>IF(AND(ISNUMBER(B6),ISNUMBER(C6),C6&gt;0),B6/C6,"")</f>
        <v>0</v>
      </c>
      <c r="E6" s="42" t="n">
        <v>0</v>
      </c>
      <c r="F6" s="42" t="n">
        <v>5</v>
      </c>
      <c r="G6" s="42">
        <f>IF(AND(ISNUMBER(E6),ISNUMBER(F6),F6&gt;0),E6/F6,"")</f>
        <v>0</v>
      </c>
      <c r="H6" s="45" t="inlineStr">
        <is>
          <t>NEEDS_CORRECTION</t>
        </is>
      </c>
      <c r="I6" s="42" t="inlineStr">
        <is>
          <t>Iran_BSI_v33_Phase4_2K_FinalTurnoverClosure.xlsx | برگه های گردش اشخاص حقیقی، تغییر نماینده، تغییر شخص حقوقی، اعضای جدید، ثبات هیئت و تغییر رئیس | تایید تکمیلی در Iran_BSI_v31_Phase4_2I_MaximumMeasureRecovery.xlsx، شواهد خام</t>
        </is>
      </c>
      <c r="J6" s="42" t="inlineStr">
        <is>
          <t>LegalChange = M/N؛ ROB_LEGAL فقط Robustness (جهت کیفی ندارد)</t>
        </is>
      </c>
    </row>
    <row r="7" ht="72.5" customHeight="1" s="76">
      <c r="A7" s="50" t="inlineStr">
        <is>
          <t>خودرو</t>
        </is>
      </c>
      <c r="B7" s="50" t="n">
        <v>0</v>
      </c>
      <c r="C7" s="50" t="n">
        <v>5</v>
      </c>
      <c r="D7" s="50">
        <f>IF(AND(ISNUMBER(B7),ISNUMBER(C7),C7&gt;0),B7/C7,"")</f>
        <v>0</v>
      </c>
      <c r="E7" s="51" t="n"/>
      <c r="F7" s="51" t="n"/>
      <c r="G7" s="50">
        <f>IF(AND(ISNUMBER(E7),ISNUMBER(F7),F7&gt;0),E7/F7,"")</f>
      </c>
      <c r="H7" s="46" t="inlineStr">
        <is>
          <t>NEEDS_SOURCE_REVIEW</t>
        </is>
      </c>
      <c r="I7" s="50" t="inlineStr">
        <is>
          <t>Iran_BSI_v33_Phase4_2K_FinalTurnoverClosure.xlsx | روش MEMBERSHIP_START_RECONSTRUCTION و برگه های خانواده Turnover</t>
        </is>
      </c>
      <c r="J7" s="50" t="inlineStr">
        <is>
          <t>LegalChange = M/N؛ ROB_LEGAL فقط Robustness (جهت کیفی ندارد)</t>
        </is>
      </c>
    </row>
    <row r="8" ht="130.5" customHeight="1" s="76">
      <c r="A8" s="42" t="inlineStr">
        <is>
          <t>زاگرس</t>
        </is>
      </c>
      <c r="B8" s="42" t="n">
        <v>0</v>
      </c>
      <c r="C8" s="42" t="n">
        <v>3</v>
      </c>
      <c r="D8" s="42">
        <f>IF(AND(ISNUMBER(B8),ISNUMBER(C8),C8&gt;0),B8/C8,"")</f>
        <v>0</v>
      </c>
      <c r="E8" s="42" t="n">
        <v>0</v>
      </c>
      <c r="F8" s="42" t="n">
        <v>3</v>
      </c>
      <c r="G8" s="42">
        <f>IF(AND(ISNUMBER(E8),ISNUMBER(F8),F8&gt;0),E8/F8,"")</f>
        <v>0</v>
      </c>
      <c r="H8" s="44" t="inlineStr">
        <is>
          <t>VERIFIED_WITH_LIMITATION</t>
        </is>
      </c>
      <c r="I8" s="42" t="inlineStr">
        <is>
          <t>SRC_ZGRS_1404_002 (p.26, FY1403) و SRC_ZGRS_1404_001 (p.26, FY1404) | بازخوانی کامل این فاز؛ بدون دانلود جدید
Iran_BSI_v33_Phase4_2K_FinalTurnoverClosure.xlsx | تطبیق کرسی ها و شواهد خام | SRC_ZGRS_1404_002 و SRC_ZGRS_1404_001، صفحه ۲۶</t>
        </is>
      </c>
      <c r="J8" s="42" t="inlineStr">
        <is>
          <t>LegalChange = M/N؛ ROB_LEGAL فقط Robustness (جهت کیفی ندارد)</t>
        </is>
      </c>
    </row>
    <row r="9" ht="188.5" customHeight="1" s="76">
      <c r="A9" s="50" t="inlineStr">
        <is>
          <t>شبندر</t>
        </is>
      </c>
      <c r="B9" s="50" t="n">
        <v>2</v>
      </c>
      <c r="C9" s="50" t="n">
        <v>5</v>
      </c>
      <c r="D9" s="50">
        <f>IF(AND(ISNUMBER(B9),ISNUMBER(C9),C9&gt;0),B9/C9,"")</f>
        <v>0.4</v>
      </c>
      <c r="E9" s="50" t="n">
        <v>2</v>
      </c>
      <c r="F9" s="50" t="n">
        <v>5</v>
      </c>
      <c r="G9" s="50">
        <f>IF(AND(ISNUMBER(E9),ISNUMBER(F9),F9&gt;0),E9/F9,"")</f>
        <v>0.4</v>
      </c>
      <c r="H9" s="44" t="inlineStr">
        <is>
          <t>VERIFIED_WITH_LIMITATION</t>
        </is>
      </c>
      <c r="I9" s="50" t="inlineStr">
        <is>
          <t>SRC_SHBN_1404_007 | T19 اصلاحیه | جلسه هیئت مدیره ۱۴۰۳/۱۲/۲۷ | صفحه ۱ | Roster مستقیم ۱۴۰۳
SRC_SHBN_1404_003 | T19 | جلسه هیئت مدیره ۱۴۰۴/۱۰/۱۸ | صفحه ۱ | Roster مستقیم ۱۴۰۴
SRC_SHBN_1404_001 (p.55-56 کمیته حسابرسی، p.82-84 روستر هیئت‌مدیره) | بازخوانی جزئی این فاز با الگوی جستجوی عربی؛ بدون دانلود جدید</t>
        </is>
      </c>
      <c r="J9" s="50" t="inlineStr">
        <is>
          <t>LegalChange = M/N؛ ROB_LEGAL فقط Robustness (جهت کیفی ندارد)</t>
        </is>
      </c>
    </row>
    <row r="10" ht="145" customHeight="1" s="76">
      <c r="A10" s="42" t="inlineStr">
        <is>
          <t>پارس</t>
        </is>
      </c>
      <c r="B10" s="42" t="n">
        <v>0</v>
      </c>
      <c r="C10" s="42" t="n">
        <v>5</v>
      </c>
      <c r="D10" s="42">
        <f>IF(AND(ISNUMBER(B10),ISNUMBER(C10),C10&gt;0),B10/C10,"")</f>
        <v>0</v>
      </c>
      <c r="E10" s="42" t="n">
        <v>0</v>
      </c>
      <c r="F10" s="42" t="n">
        <v>5</v>
      </c>
      <c r="G10" s="42">
        <f>IF(AND(ISNUMBER(E10),ISNUMBER(F10),F10&gt;0),E10/F10,"")</f>
        <v>0</v>
      </c>
      <c r="H10" s="44" t="inlineStr">
        <is>
          <t>VERIFIED_WITH_LIMITATION</t>
        </is>
      </c>
      <c r="I10" s="42" t="inlineStr">
        <is>
          <t>SRC_PARS_1404_008 | T19 | جلسه هیئت مدیره ۱۴۰۴/۰۱/۳۰ | صفحه ۱ | ستون نماینده قبلی برای بازسازی وضعیت نزدیک پایان ۱۴۰۳
SRC_PARS_1404_005 | T19 | جلسه هیئت مدیره ۱۴۰۴/۰۷/۲۶ | صفحه ۱ | آخرین Snapshot تاییدشده پیش از Cutoff ۱۴۰۴ در آرشیو</t>
        </is>
      </c>
      <c r="J10" s="42" t="inlineStr">
        <is>
          <t>LegalChange = M/N؛ ROB_LEGAL فقط Robustness (جهت کیفی ندارد)</t>
        </is>
      </c>
    </row>
    <row r="11" ht="145" customHeight="1" s="76">
      <c r="A11" s="50" t="inlineStr">
        <is>
          <t>شتران</t>
        </is>
      </c>
      <c r="B11" s="50" t="n">
        <v>0</v>
      </c>
      <c r="C11" s="50" t="n">
        <v>5</v>
      </c>
      <c r="D11" s="50">
        <f>IF(AND(ISNUMBER(B11),ISNUMBER(C11),C11&gt;0),B11/C11,"")</f>
        <v>0</v>
      </c>
      <c r="E11" s="50" t="n">
        <v>0</v>
      </c>
      <c r="F11" s="50" t="n">
        <v>5</v>
      </c>
      <c r="G11" s="50">
        <f>IF(AND(ISNUMBER(E11),ISNUMBER(F11),F11&gt;0),E11/F11,"")</f>
        <v>0</v>
      </c>
      <c r="H11" s="44" t="inlineStr">
        <is>
          <t>VERIFIED_WITH_LIMITATION</t>
        </is>
      </c>
      <c r="I11" s="50" t="inlineStr">
        <is>
          <t>SRC_SHTR_1403_001 | گزارش فعالیت هیئت مدیره | دوره منتهی به ۱۴۰۳/۱۲/۳۰ | PDF صفحه ۱۶، چاپی ۱۴ | Roster مستقیم ۱۴۰۳
SRC_SHTR_1404_002 | گزارش فعالیت هیئت مدیره | دوره منتهی به ۱۴۰۴/۱۲/۲۹ | PDF صفحه ۱۷، چاپی ۱۵ | Roster مستقیم ۱۴۰۴</t>
        </is>
      </c>
      <c r="J11" s="50" t="inlineStr">
        <is>
          <t>LegalChange = M/N؛ ROB_LEGAL فقط Robustness (جهت کیفی ندارد)</t>
        </is>
      </c>
    </row>
    <row r="12" ht="145" customHeight="1" s="76">
      <c r="A12" s="42" t="inlineStr">
        <is>
          <t>وتجارت</t>
        </is>
      </c>
      <c r="B12" s="43" t="n"/>
      <c r="C12" s="43" t="n"/>
      <c r="D12" s="42">
        <f>IF(AND(ISNUMBER(B12),ISNUMBER(C12),C12&gt;0),B12/C12,"")</f>
      </c>
      <c r="E12" s="43" t="n"/>
      <c r="F12" s="43" t="n"/>
      <c r="G12" s="42">
        <f>IF(AND(ISNUMBER(E12),ISNUMBER(F12),F12&gt;0),E12/F12,"")</f>
      </c>
      <c r="H12" s="44" t="inlineStr">
        <is>
          <t>VERIFIED_WITH_LIMITATION</t>
        </is>
      </c>
      <c r="I12" s="42" t="inlineStr">
        <is>
          <t>SRC_VTEJ_1404_004 | گزارش فعالیت هیئت مدیره مربوط به سال مالی ۱۴۰۳ | ۱۴۰۳ | صفحه ۳۷ | منبع جایگزین سالم که در v33 ثبت شده بود
SRC_VTEJ_1404_001 | گزارش فعالیت هیئت مدیره مربوط به سال مالی ۱۴۰۴ | ۱۴۰۴ | صفحات ۴۴، ۴۶ و ۴۷ | ترکیب هیئت در تاریخ ۱۴۰۴/۱۲/۲۹</t>
        </is>
      </c>
      <c r="J12" s="42" t="inlineStr">
        <is>
          <t>LegalChange = M/N؛ ROB_LEGAL فقط Robustness (جهت کیفی ندارد)</t>
        </is>
      </c>
    </row>
    <row r="13" ht="159.5" customHeight="1" s="76">
      <c r="A13" s="50" t="inlineStr">
        <is>
          <t>رمپنا</t>
        </is>
      </c>
      <c r="B13" s="50" t="n">
        <v>4</v>
      </c>
      <c r="C13" s="50" t="n">
        <v>5</v>
      </c>
      <c r="D13" s="50">
        <f>IF(AND(ISNUMBER(B13),ISNUMBER(C13),C13&gt;0),B13/C13,"")</f>
        <v>0.8</v>
      </c>
      <c r="E13" s="50" t="n">
        <v>4</v>
      </c>
      <c r="F13" s="50" t="n">
        <v>5</v>
      </c>
      <c r="G13" s="50">
        <f>IF(AND(ISNUMBER(E13),ISNUMBER(F13),F13&gt;0),E13/F13,"")</f>
        <v>0.8</v>
      </c>
      <c r="H13" s="44" t="inlineStr">
        <is>
          <t>VERIFIED_WITH_LIMITATION</t>
        </is>
      </c>
      <c r="I13" s="50" t="inlineStr">
        <is>
          <t>SRC_RMPN_1404_011 | افشای نوع ۱۹، جلسه هیئت مدیره ۱۴۰۴/۰۲/۲۱ | بازسازی ۱۴۰۳ | صفحه ۱ | ستون نماینده قبلی برای بازسازی Cutoff ۱۴۰۳ استفاده شد
SRC_RMPN_1404_008 | افشای نوع ۱۹، جلسه هیئت مدیره ۱۴۰۴/۱۰/۲۸ | ۱۴۰۴ | صفحات ۱ و ۲ | آخرین افشای نوع ۱۹ موجود پیش از Cutoff ۱۴۰۴/۱۲/۲۹</t>
        </is>
      </c>
      <c r="J13" s="50" t="inlineStr">
        <is>
          <t>LegalChange = M/N؛ ROB_LEGAL فقط Robustness (جهت کیفی ندارد)</t>
        </is>
      </c>
    </row>
    <row r="14" ht="130.5" customHeight="1" s="76">
      <c r="A14" s="42" t="inlineStr">
        <is>
          <t>فخوز</t>
        </is>
      </c>
      <c r="B14" s="42" t="n">
        <v>1</v>
      </c>
      <c r="C14" s="42" t="n">
        <v>5</v>
      </c>
      <c r="D14" s="42">
        <f>IF(AND(ISNUMBER(B14),ISNUMBER(C14),C14&gt;0),B14/C14,"")</f>
        <v>0.2</v>
      </c>
      <c r="E14" s="42" t="n">
        <v>1</v>
      </c>
      <c r="F14" s="42" t="n">
        <v>5</v>
      </c>
      <c r="G14" s="42">
        <f>IF(AND(ISNUMBER(E14),ISNUMBER(F14),F14&gt;0),E14/F14,"")</f>
        <v>0.2</v>
      </c>
      <c r="H14" s="44" t="inlineStr">
        <is>
          <t>VERIFIED_WITH_LIMITATION</t>
        </is>
      </c>
      <c r="I14" s="42" t="inlineStr">
        <is>
          <t>SRC_FKHZ_1404_002 | گزارش فعالیت هیئت مدیره منتهی به ۱۴۰۳/۱۲/۳۰ | ۱۴۰۳ | صفحه ۳۴ | روستر کامل ۱۴۰۳
SRC_FKHZ_1404_004 | افشای نوع ۱۹، جلسه هیئت مدیره ۱۴۰۴/۰۵/۲۷ | ۱۴۰۴ | صفحه ۱ | آخرین افشای نوع ۱۹ پیش از Cutoff</t>
        </is>
      </c>
      <c r="J14" s="42" t="inlineStr">
        <is>
          <t>LegalChange = M/N؛ ROB_LEGAL فقط Robustness (جهت کیفی ندارد)</t>
        </is>
      </c>
    </row>
    <row r="15" ht="87" customHeight="1" s="76">
      <c r="A15" s="50" t="inlineStr">
        <is>
          <t>شستا</t>
        </is>
      </c>
      <c r="B15" s="50" t="n">
        <v>0</v>
      </c>
      <c r="C15" s="50" t="n">
        <v>5</v>
      </c>
      <c r="D15" s="50">
        <f>IF(AND(ISNUMBER(B15),ISNUMBER(C15),C15&gt;0),B15/C15,"")</f>
        <v>0</v>
      </c>
      <c r="E15" s="50" t="n">
        <v>0</v>
      </c>
      <c r="F15" s="50" t="n">
        <v>5</v>
      </c>
      <c r="G15" s="50">
        <f>IF(AND(ISNUMBER(E15),ISNUMBER(F15),F15&gt;0),E15/F15,"")</f>
        <v>0</v>
      </c>
      <c r="H15" s="44" t="inlineStr">
        <is>
          <t>VERIFIED_WITH_LIMITATION</t>
        </is>
      </c>
      <c r="I15" s="50" t="inlineStr">
        <is>
          <t>SRC_SHST_1404_015 | افشای نوع ۱۹ | ۱۴۰۳ | ۱ | Snapshot مبنا برای ۱۴۰۳
SRC_SHST_1404_007 | افشای نوع ۱۹ | ۱۴۰۴ | ۱ | Snapshot مبنا برای ۱۴۰۴</t>
        </is>
      </c>
      <c r="J15" s="50" t="inlineStr">
        <is>
          <t>LegalChange = M/N؛ ROB_LEGAL فقط Robustness (جهت کیفی ندارد)</t>
        </is>
      </c>
    </row>
    <row r="16" ht="87" customHeight="1" s="76">
      <c r="A16" s="42" t="inlineStr">
        <is>
          <t>شپنا</t>
        </is>
      </c>
      <c r="B16" s="42" t="n">
        <v>0</v>
      </c>
      <c r="C16" s="42" t="n">
        <v>5</v>
      </c>
      <c r="D16" s="42">
        <f>IF(AND(ISNUMBER(B16),ISNUMBER(C16),C16&gt;0),B16/C16,"")</f>
        <v>0</v>
      </c>
      <c r="E16" s="42" t="n">
        <v>0</v>
      </c>
      <c r="F16" s="42" t="n">
        <v>5</v>
      </c>
      <c r="G16" s="42">
        <f>IF(AND(ISNUMBER(E16),ISNUMBER(F16),F16&gt;0),E16/F16,"")</f>
        <v>0</v>
      </c>
      <c r="H16" s="44" t="inlineStr">
        <is>
          <t>VERIFIED_WITH_LIMITATION</t>
        </is>
      </c>
      <c r="I16" s="42" t="inlineStr">
        <is>
          <t>SRC_SHPN_1404_002 | افشای نوع ۱۹ | ۱۴۰۳ | ۱ | Snapshot مبنا برای ۱۴۰۳
SRC_SHPN_1404_004 | افشای نوع ۱۹ | ۱۴۰۴ | ۱ تا ۲ | Snapshot مبنا برای ۱۴۰۴</t>
        </is>
      </c>
      <c r="J16" s="42" t="inlineStr">
        <is>
          <t>LegalChange = M/N؛ ROB_LEGAL فقط Robustness (جهت کیفی ندارد)</t>
        </is>
      </c>
    </row>
    <row r="17" ht="87" customHeight="1" s="76">
      <c r="A17" s="50" t="inlineStr">
        <is>
          <t>وغدیر</t>
        </is>
      </c>
      <c r="B17" s="50" t="n">
        <v>0</v>
      </c>
      <c r="C17" s="50" t="n">
        <v>5</v>
      </c>
      <c r="D17" s="50">
        <f>IF(AND(ISNUMBER(B17),ISNUMBER(C17),C17&gt;0),B17/C17,"")</f>
        <v>0</v>
      </c>
      <c r="E17" s="50" t="n">
        <v>0</v>
      </c>
      <c r="F17" s="50" t="n">
        <v>5</v>
      </c>
      <c r="G17" s="50">
        <f>IF(AND(ISNUMBER(E17),ISNUMBER(F17),F17&gt;0),E17/F17,"")</f>
        <v>0</v>
      </c>
      <c r="H17" s="44" t="inlineStr">
        <is>
          <t>VERIFIED_WITH_LIMITATION</t>
        </is>
      </c>
      <c r="I17" s="50" t="inlineStr">
        <is>
          <t>SRC_VGHD_1404_002 | افشای نوع ۱۹ | ۱۴۰۳ | ۱ | Snapshot مبنا برای ۱۴۰۳
SRC_VGHD_1404_006 | افشای نوع ۱۹ | ۱۴۰۴ | ۱ | Snapshot مبنا برای ۱۴۰۴</t>
        </is>
      </c>
      <c r="J17" s="50" t="inlineStr">
        <is>
          <t>LegalChange = M/N؛ ROB_LEGAL فقط Robustness (جهت کیفی ندارد)</t>
        </is>
      </c>
    </row>
    <row r="18" ht="145" customHeight="1" s="76">
      <c r="A18" s="42" t="inlineStr">
        <is>
          <t>نوری</t>
        </is>
      </c>
      <c r="B18" s="42" t="n">
        <v>4</v>
      </c>
      <c r="C18" s="42" t="n">
        <v>5</v>
      </c>
      <c r="D18" s="42">
        <f>IF(AND(ISNUMBER(B18),ISNUMBER(C18),C18&gt;0),B18/C18,"")</f>
        <v>0.8</v>
      </c>
      <c r="E18" s="42" t="n">
        <v>4</v>
      </c>
      <c r="F18" s="42" t="n">
        <v>5</v>
      </c>
      <c r="G18" s="42">
        <f>IF(AND(ISNUMBER(E18),ISNUMBER(F18),F18&gt;0),E18/F18,"")</f>
        <v>0.8</v>
      </c>
      <c r="H18" s="44" t="inlineStr">
        <is>
          <t>VERIFIED_WITH_LIMITATION</t>
        </is>
      </c>
      <c r="I18" s="42" t="inlineStr">
        <is>
          <t>SRC_NOURI_1403_001 | گزارش فعالیت هیئت مدیره | ۱۴۰۳ | ۳۹ | Snapshot مبنا برای ۱۴۰۳
SRC_NOOR_1404_007 + SRC_NOOR_1404_005 | گزارش فعالیت هیئت مدیره و Cross Check افشای نوع ۱۹ | ۱۴۰۴ | ۴۱ و افشای نوع ۱۹ صفحه ۱ | Snapshot مبنا برای ۱۴۰۴</t>
        </is>
      </c>
      <c r="J18" s="42" t="inlineStr">
        <is>
          <t>LegalChange = M/N؛ ROB_LEGAL فقط Robustness (جهت کیفی ندارد)</t>
        </is>
      </c>
    </row>
    <row r="19" ht="101.5" customHeight="1" s="76">
      <c r="A19" s="50" t="inlineStr">
        <is>
          <t>فولاد</t>
        </is>
      </c>
      <c r="B19" s="50" t="n">
        <v>1</v>
      </c>
      <c r="C19" s="50" t="n">
        <v>5</v>
      </c>
      <c r="D19" s="50">
        <f>IF(AND(ISNUMBER(B19),ISNUMBER(C19),C19&gt;0),B19/C19,"")</f>
        <v>0.2</v>
      </c>
      <c r="E19" s="50" t="n">
        <v>1</v>
      </c>
      <c r="F19" s="50" t="n">
        <v>5</v>
      </c>
      <c r="G19" s="50">
        <f>IF(AND(ISNUMBER(E19),ISNUMBER(F19),F19&gt;0),E19/F19,"")</f>
        <v>0.2</v>
      </c>
      <c r="H19" s="44" t="inlineStr">
        <is>
          <t>VERIFIED_WITH_LIMITATION</t>
        </is>
      </c>
      <c r="I19" s="50" t="inlineStr">
        <is>
          <t>SRC_FOLD_1403_001 | گزارش فعالیت هیئت مدیره | ۱۴۰۳ | ۴ | Snapshot مبنا برای ۱۴۰۳
SRC_FOLD_1404_002 | گزارش فعالیت هیئت مدیره | ۱۴۰۴ | ۵ و ۳۱ | Snapshot مبنا برای ۱۴۰۴ و تاریخ انتصاب اعضا</t>
        </is>
      </c>
      <c r="J19" s="50" t="inlineStr">
        <is>
          <t>LegalChange = M/N؛ ROB_LEGAL فقط Robustness (جهت کیفی ندارد)</t>
        </is>
      </c>
    </row>
    <row r="20" ht="101.5" customHeight="1" s="76">
      <c r="A20" s="42" t="inlineStr">
        <is>
          <t>کچاد</t>
        </is>
      </c>
      <c r="B20" s="42" t="n">
        <v>0</v>
      </c>
      <c r="C20" s="42" t="n">
        <v>5</v>
      </c>
      <c r="D20" s="42">
        <f>IF(AND(ISNUMBER(B20),ISNUMBER(C20),C20&gt;0),B20/C20,"")</f>
        <v>0</v>
      </c>
      <c r="E20" s="42" t="n">
        <v>0</v>
      </c>
      <c r="F20" s="42" t="n">
        <v>5</v>
      </c>
      <c r="G20" s="42">
        <f>IF(AND(ISNUMBER(E20),ISNUMBER(F20),F20&gt;0),E20/F20,"")</f>
        <v>0</v>
      </c>
      <c r="H20" s="46" t="inlineStr">
        <is>
          <t>NEEDS_SOURCE_REVIEW</t>
        </is>
      </c>
      <c r="I20" s="42" t="inlineStr">
        <is>
          <t>SRC_KCHD_1403_001 | گزارش فعالیت هیئت مدیره | ۱۴۰۳ | ۴ | Snapshot مبنا برای ۱۴۰۳ و ثبت صریح کرسی خالی
SRC_KCHD_1404_006 | افشای نوع ۱۹ | ۱۴۰۴ | ۱ | Snapshot مبنا برای ۱۴۰۴</t>
        </is>
      </c>
      <c r="J20" s="42" t="inlineStr">
        <is>
          <t>LegalChange = M/N؛ ROB_LEGAL فقط Robustness (جهت کیفی ندارد)</t>
        </is>
      </c>
    </row>
    <row r="21" ht="101.5" customHeight="1" s="76">
      <c r="A21" s="50" t="inlineStr">
        <is>
          <t>کگل</t>
        </is>
      </c>
      <c r="B21" s="50" t="n">
        <v>0</v>
      </c>
      <c r="C21" s="50" t="n">
        <v>5</v>
      </c>
      <c r="D21" s="50">
        <f>IF(AND(ISNUMBER(B21),ISNUMBER(C21),C21&gt;0),B21/C21,"")</f>
        <v>0</v>
      </c>
      <c r="E21" s="50" t="n">
        <v>0</v>
      </c>
      <c r="F21" s="50" t="n">
        <v>5</v>
      </c>
      <c r="G21" s="50">
        <f>IF(AND(ISNUMBER(E21),ISNUMBER(F21),F21&gt;0),E21/F21,"")</f>
        <v>0</v>
      </c>
      <c r="H21" s="44" t="inlineStr">
        <is>
          <t>VERIFIED_WITH_LIMITATION</t>
        </is>
      </c>
      <c r="I21" s="50" t="inlineStr">
        <is>
          <t>SRC_KGOL_1404_002 | افشای نوع ۱۹ | ۱۴۰۳ | ۱ | Snapshot مبنا برای پایان ۱۴۰۳ و جلوگیری از Look Ahead
SRC_KGOL_1404_004 | افشای نوع ۱۹ | ۱۴۰۴ | ۱ | Snapshot مبنا برای ۱۴۰۴</t>
        </is>
      </c>
      <c r="J21" s="50" t="inlineStr">
        <is>
          <t>LegalChange = M/N؛ ROB_LEGAL فقط Robustness (جهت کیفی ندارد)</t>
        </is>
      </c>
    </row>
    <row r="22" ht="101.5" customHeight="1" s="76">
      <c r="A22" s="42" t="inlineStr">
        <is>
          <t>پارسان</t>
        </is>
      </c>
      <c r="B22" s="43" t="n"/>
      <c r="C22" s="43" t="n"/>
      <c r="D22" s="42">
        <f>IF(AND(ISNUMBER(B22),ISNUMBER(C22),C22&gt;0),B22/C22,"")</f>
      </c>
      <c r="E22" s="43" t="n"/>
      <c r="F22" s="43" t="n"/>
      <c r="G22" s="42">
        <f>IF(AND(ISNUMBER(E22),ISNUMBER(F22),F22&gt;0),E22/F22,"")</f>
      </c>
      <c r="H22" s="44" t="inlineStr">
        <is>
          <t>VERIFIED_WITH_LIMITATION</t>
        </is>
      </c>
      <c r="I22" s="42" t="inlineStr">
        <is>
          <t>SRC_PRSN_1403_001 | گزارش فعالیت هیئت مدیره | ۱۴۰۳ | ۵۰ | Snapshot مبنا برای ۱۴۰۳
SRC_PRSN_1404_007 | گزارش فعالیت هیئت مدیره | ۱۴۰۴ | ۳۷ تا ۳۸ | Snapshot مبنا برای ۱۴۰۴</t>
        </is>
      </c>
      <c r="J22" s="42" t="inlineStr">
        <is>
          <t>LegalChange = M/N؛ ROB_LEGAL فقط Robustness (جهت کیفی ندارد)</t>
        </is>
      </c>
    </row>
    <row r="23" ht="159.5" customHeight="1" s="76">
      <c r="A23" s="50" t="inlineStr">
        <is>
          <t>اخابر</t>
        </is>
      </c>
      <c r="B23" s="50" t="n">
        <v>2</v>
      </c>
      <c r="C23" s="50" t="n">
        <v>5</v>
      </c>
      <c r="D23" s="50">
        <f>IF(AND(ISNUMBER(B23),ISNUMBER(C23),C23&gt;0),B23/C23,"")</f>
        <v>0.4</v>
      </c>
      <c r="E23" s="50" t="n">
        <v>2</v>
      </c>
      <c r="F23" s="50" t="n">
        <v>5</v>
      </c>
      <c r="G23" s="50">
        <f>IF(AND(ISNUMBER(E23),ISNUMBER(F23),F23&gt;0),E23/F23,"")</f>
        <v>0.4</v>
      </c>
      <c r="H23" s="44" t="inlineStr">
        <is>
          <t>VERIFIED_WITH_LIMITATION</t>
        </is>
      </c>
      <c r="I23" s="50" t="inlineStr">
        <is>
          <t>SRC_AKHB_1404_002 | گزارش فعالیت هیئت مدیره | ۱۴۰۳ | ۹۳ تا ۹۴ | Snapshot مبنا برای ۱۴۰۳
SRC_AKHB_1404_003 | افشای نوع ۱۹ | ۱۴۰۴ | ۱ | Snapshot اصلی ۱۴۰۴ و تایید نمایندگان
SRC_AKHB_1404_005 | افشای نوع ۱۹ | ۱۴۰۴ | ۱ | کنترل تغییر اشخاص حقوقی در طول سال</t>
        </is>
      </c>
      <c r="J23" s="50" t="inlineStr">
        <is>
          <t>LegalChange = M/N؛ ROB_LEGAL فقط Robustness (جهت کیفی ندارد)</t>
        </is>
      </c>
    </row>
    <row r="24" ht="145" customHeight="1" s="76">
      <c r="A24" s="42" t="inlineStr">
        <is>
          <t>جم</t>
        </is>
      </c>
      <c r="B24" s="42" t="n">
        <v>1</v>
      </c>
      <c r="C24" s="42" t="n">
        <v>5</v>
      </c>
      <c r="D24" s="42">
        <f>IF(AND(ISNUMBER(B24),ISNUMBER(C24),C24&gt;0),B24/C24,"")</f>
        <v>0.2</v>
      </c>
      <c r="E24" s="42" t="n">
        <v>1</v>
      </c>
      <c r="F24" s="42" t="n">
        <v>5</v>
      </c>
      <c r="G24" s="42">
        <f>IF(AND(ISNUMBER(E24),ISNUMBER(F24),F24&gt;0),E24/F24,"")</f>
        <v>0.2</v>
      </c>
      <c r="H24" s="44" t="inlineStr">
        <is>
          <t>VERIFIED_WITH_LIMITATION</t>
        </is>
      </c>
      <c r="I24" s="42" t="inlineStr">
        <is>
          <t>SRC_JAM_1404_002 | گزارش فعالیت هیئت مدیره | ۱۴۰۳ | ۳۵ | Snapshot مبنا برای ۱۴۰۳
SRC_JAM_1404_008 | افشای نوع ۱۹ | ۱۴۰۳ | ۱ | تایید نام رسمی کاوشگران بازار سرمایه
SRC_JAM_1404_005 | افشای نوع ۱۹ | ۱۴۰۴ | ۱ | آخرین Snapshot قابل اتکا پیش از Cutoff</t>
        </is>
      </c>
      <c r="J24" s="42" t="inlineStr">
        <is>
          <t>LegalChange = M/N؛ ROB_LEGAL فقط Robustness (جهت کیفی ندارد)</t>
        </is>
      </c>
    </row>
    <row r="25" ht="188.5" customHeight="1" s="76">
      <c r="A25" s="50" t="inlineStr">
        <is>
          <t>ومعادن</t>
        </is>
      </c>
      <c r="B25" s="50" t="n">
        <v>1</v>
      </c>
      <c r="C25" s="50" t="n">
        <v>5</v>
      </c>
      <c r="D25" s="50">
        <f>IF(AND(ISNUMBER(B25),ISNUMBER(C25),C25&gt;0),B25/C25,"")</f>
        <v>0.2</v>
      </c>
      <c r="E25" s="50" t="n">
        <v>1</v>
      </c>
      <c r="F25" s="50" t="n">
        <v>5</v>
      </c>
      <c r="G25" s="50">
        <f>IF(AND(ISNUMBER(E25),ISNUMBER(F25),F25&gt;0),E25/F25,"")</f>
        <v>0.2</v>
      </c>
      <c r="H25" s="44" t="inlineStr">
        <is>
          <t>VERIFIED_WITH_LIMITATION</t>
        </is>
      </c>
      <c r="I25" s="50" t="inlineStr">
        <is>
          <t>SRC_VMDN_1404_002 | گزارش فعالیت هیئت مدیره | ۱۴۰۳ | ۴۰ | Snapshot مبنا برای ۱۴۰۳
SRC_VMDN_1404_001 | گزارش فعالیت هیئت مدیره | ۱۴۰۴ | ۴۳ | Snapshot سال ۱۴۰۴
SRC_VMDN_1404_004 | افشای نوع ۱۹ | ۱۴۰۴ | ۱ | تایید تغییر نماینده فولاد سنگ
SRC_VMDN_1404_003 | افشای نوع ۱۹ | ۱۴۰۴ | ۱ | تایید تغییر نماینده فولاد مبارکه و ریاست</t>
        </is>
      </c>
      <c r="J25" s="50" t="inlineStr">
        <is>
          <t>LegalChange = M/N؛ ROB_LEGAL فقط Robustness (جهت کیفی ندارد)</t>
        </is>
      </c>
    </row>
    <row r="26" ht="188.5" customHeight="1" s="76">
      <c r="A26" s="42" t="inlineStr">
        <is>
          <t>وامید</t>
        </is>
      </c>
      <c r="B26" s="42" t="n">
        <v>2</v>
      </c>
      <c r="C26" s="42" t="n">
        <v>5</v>
      </c>
      <c r="D26" s="42">
        <f>IF(AND(ISNUMBER(B26),ISNUMBER(C26),C26&gt;0),B26/C26,"")</f>
        <v>0.4</v>
      </c>
      <c r="E26" s="42" t="n">
        <v>2</v>
      </c>
      <c r="F26" s="42" t="n">
        <v>5</v>
      </c>
      <c r="G26" s="42">
        <f>IF(AND(ISNUMBER(E26),ISNUMBER(F26),F26&gt;0),E26/F26,"")</f>
        <v>0.4</v>
      </c>
      <c r="H26" s="44" t="inlineStr">
        <is>
          <t>VERIFIED_WITH_LIMITATION</t>
        </is>
      </c>
      <c r="I26" s="42" t="inlineStr">
        <is>
          <t>SRC_VAMD_1404_002 | گزارش فعالیت هیئت مدیره | ۱۴۰۳ | ۶۹ | Snapshot مبنا برای ۱۴۰۳
SRC_VAMD_1404_001 | گزارش فعالیت هیئت مدیره | ۱۴۰۴ | ۶۹ | Snapshot مبنا برای ۱۴۰۴
SRC_VAMD_1404_005 | افشای نوع ۱۹ اصلاحیه | ۱۴۰۴ | ۱ | کنترل تغییر اشخاص حقوقی و تداوم نمایندگان
SRC_VAMD_1404_006 | افشای نوع ۱۹ | ۱۴۰۴ | ۱ | کنترل مستقل ترکیب</t>
        </is>
      </c>
      <c r="J26" s="42" t="inlineStr">
        <is>
          <t>LegalChange = M/N؛ ROB_LEGAL فقط Robustness (جهت کیفی ندارد)</t>
        </is>
      </c>
    </row>
    <row r="27" ht="87" customHeight="1" s="76">
      <c r="A27" s="50" t="inlineStr">
        <is>
          <t>خساپا</t>
        </is>
      </c>
      <c r="B27" s="50" t="n">
        <v>0</v>
      </c>
      <c r="C27" s="50" t="n">
        <v>5</v>
      </c>
      <c r="D27" s="50">
        <f>IF(AND(ISNUMBER(B27),ISNUMBER(C27),C27&gt;0),B27/C27,"")</f>
        <v>0</v>
      </c>
      <c r="E27" s="50" t="n">
        <v>0</v>
      </c>
      <c r="F27" s="50" t="n">
        <v>5</v>
      </c>
      <c r="G27" s="50">
        <f>IF(AND(ISNUMBER(E27),ISNUMBER(F27),F27&gt;0),E27/F27,"")</f>
        <v>0</v>
      </c>
      <c r="H27" s="44" t="inlineStr">
        <is>
          <t>VERIFIED_WITH_LIMITATION</t>
        </is>
      </c>
      <c r="I27" s="50" t="inlineStr">
        <is>
          <t>SRC_KHSP_1404_002 | افشای نوع ۱۹ | ۱۴۰۳ | ۱ | Snapshot مبنا ۱۴۰۳
SRC_KHSP_1404_004 | افشای نوع ۱۹ | ۱۴۰۴ | ۱ | Snapshot ۱۴۰۴ و تطبیق کرسی ها</t>
        </is>
      </c>
      <c r="J27" s="50" t="inlineStr">
        <is>
          <t>LegalChange = M/N؛ ROB_LEGAL فقط Robustness (جهت کیفی ندارد)</t>
        </is>
      </c>
    </row>
    <row r="28" ht="145" customHeight="1" s="76">
      <c r="A28" s="42" t="inlineStr">
        <is>
          <t>همراه</t>
        </is>
      </c>
      <c r="B28" s="42" t="n">
        <v>0</v>
      </c>
      <c r="C28" s="42" t="n">
        <v>5</v>
      </c>
      <c r="D28" s="42">
        <f>IF(AND(ISNUMBER(B28),ISNUMBER(C28),C28&gt;0),B28/C28,"")</f>
        <v>0</v>
      </c>
      <c r="E28" s="42" t="n">
        <v>0</v>
      </c>
      <c r="F28" s="42" t="n">
        <v>5</v>
      </c>
      <c r="G28" s="42">
        <f>IF(AND(ISNUMBER(E28),ISNUMBER(F28),F28&gt;0),E28/F28,"")</f>
        <v>0</v>
      </c>
      <c r="H28" s="44" t="inlineStr">
        <is>
          <t>VERIFIED_WITH_LIMITATION</t>
        </is>
      </c>
      <c r="I28" s="42" t="inlineStr">
        <is>
          <t>SRC_HMRH_1404_002 | گزارش فعالیت هیئت مدیره | ۱۴۰۳ | ۵ | Snapshot مبنا ۱۴۰۳
SRC_HMRH_1404_001 | گزارش فعالیت هیئت مدیره | ۱۴۰۴ | ۵ | Snapshot مبنا ۱۴۰۴
SRC_HMRH_1404_005 | افشای نوع ۱۹ | ۱۴۰۴ | ۱ | بازتایید ثبات نمایندگان و اشخاص حقوقی</t>
        </is>
      </c>
      <c r="J28" s="42" t="inlineStr">
        <is>
          <t>LegalChange = M/N؛ ROB_LEGAL فقط Robustness (جهت کیفی ندارد)</t>
        </is>
      </c>
    </row>
    <row r="29" ht="101.5" customHeight="1" s="76">
      <c r="A29" s="50" t="inlineStr">
        <is>
          <t>وبملت</t>
        </is>
      </c>
      <c r="B29" s="51" t="n"/>
      <c r="C29" s="51" t="n"/>
      <c r="D29" s="50">
        <f>IF(AND(ISNUMBER(B29),ISNUMBER(C29),C29&gt;0),B29/C29,"")</f>
      </c>
      <c r="E29" s="51" t="n"/>
      <c r="F29" s="51" t="n"/>
      <c r="G29" s="50">
        <f>IF(AND(ISNUMBER(E29),ISNUMBER(F29),F29&gt;0),E29/F29,"")</f>
      </c>
      <c r="H29" s="44" t="inlineStr">
        <is>
          <t>VERIFIED_WITH_LIMITATION</t>
        </is>
      </c>
      <c r="I29" s="50" t="inlineStr">
        <is>
          <t>SRC_MELT_1404_006 | افشای نوع ۱۹ | ۱۴۰۳ | ۱ | Snapshot اشخاص حقیقی ۱۴۰۳
SRC_MELT_1404_005 | افشای نوع ۱۹ | ۱۴۰۴ | ۱ | Snapshot اشخاص حقیقی ۱۴۰۴؛ فقط تغییر سمت</t>
        </is>
      </c>
      <c r="J29" s="50" t="inlineStr">
        <is>
          <t>LegalChange = M/N؛ ROB_LEGAL فقط Robustness (جهت کیفی ندارد)</t>
        </is>
      </c>
    </row>
    <row r="30" ht="116" customHeight="1" s="76">
      <c r="A30" s="42" t="inlineStr">
        <is>
          <t>وبصادر</t>
        </is>
      </c>
      <c r="B30" s="43" t="n"/>
      <c r="C30" s="43" t="n"/>
      <c r="D30" s="42">
        <f>IF(AND(ISNUMBER(B30),ISNUMBER(C30),C30&gt;0),B30/C30,"")</f>
      </c>
      <c r="E30" s="43" t="n"/>
      <c r="F30" s="43" t="n"/>
      <c r="G30" s="42">
        <f>IF(AND(ISNUMBER(E30),ISNUMBER(F30),F30&gt;0),E30/F30,"")</f>
      </c>
      <c r="H30" s="44" t="inlineStr">
        <is>
          <t>VERIFIED_WITH_LIMITATION</t>
        </is>
      </c>
      <c r="I30" s="42" t="inlineStr">
        <is>
          <t>SRC_VBSD_1404_002 | گزارش فعالیت هیئت مدیره | ۱۴۰۳ | ۳۸ تا ۳۹ | Snapshot مبنا ۱۴۰۳
SRC_VBSD_1404_001 | گزارش فعالیت هیئت مدیره | ۱۴۰۴ | ۴۵ تا ۴۶ | Snapshot مبنا ۱۴۰۴</t>
        </is>
      </c>
      <c r="J30" s="42" t="inlineStr">
        <is>
          <t>LegalChange = M/N؛ ROB_LEGAL فقط Robustness (جهت کیفی ندارد)</t>
        </is>
      </c>
    </row>
    <row r="31" ht="145" customHeight="1" s="76">
      <c r="A31" s="50" t="inlineStr">
        <is>
          <t>وپاسار</t>
        </is>
      </c>
      <c r="B31" s="51" t="n"/>
      <c r="C31" s="51" t="n"/>
      <c r="D31" s="50">
        <f>IF(AND(ISNUMBER(B31),ISNUMBER(C31),C31&gt;0),B31/C31,"")</f>
      </c>
      <c r="E31" s="51" t="n"/>
      <c r="F31" s="51" t="n"/>
      <c r="G31" s="50">
        <f>IF(AND(ISNUMBER(E31),ISNUMBER(F31),F31&gt;0),E31/F31,"")</f>
      </c>
      <c r="H31" s="46" t="inlineStr">
        <is>
          <t>NEEDS_SOURCE_REVIEW</t>
        </is>
      </c>
      <c r="I31" s="50" t="inlineStr">
        <is>
          <t>SRC_VPSR_1404_001 | گزارش فعالیت هیئت مدیره منتهی به ۱۴۰۳/۱۲/۳۰ | ۱۴۰۳ | گزارش ۴۵ صفحه ای | بسته کاربر منبع FY1404 یا Type19 مناسب ندارد
SRC_VPSR_1404_001 | گزارش فعالیت هیئت مدیره | ۱۴۰۳ | ۹ | FY1403 موجود است؛ FY1404 در آرشیو بارگذاری شده یافت نشد</t>
        </is>
      </c>
      <c r="J31" s="50" t="inlineStr">
        <is>
          <t>LegalChange = M/N؛ ROB_LEGAL فقط Robustness (جهت کیفی ندارد)</t>
        </is>
      </c>
    </row>
    <row r="32" ht="72.5" customHeight="1" s="76">
      <c r="A32" s="42" t="inlineStr">
        <is>
          <t>حکشتی</t>
        </is>
      </c>
      <c r="B32" s="43" t="n"/>
      <c r="C32" s="43" t="n"/>
      <c r="D32" s="42">
        <f>IF(AND(ISNUMBER(B32),ISNUMBER(C32),C32&gt;0),B32/C32,"")</f>
      </c>
      <c r="E32" s="43" t="n"/>
      <c r="F32" s="43" t="n"/>
      <c r="G32" s="42">
        <f>IF(AND(ISNUMBER(E32),ISNUMBER(F32),F32&gt;0),E32/F32,"")</f>
      </c>
      <c r="H32" s="44" t="inlineStr">
        <is>
          <t>VERIFIED_WITH_LIMITATION</t>
        </is>
      </c>
      <c r="I32" s="42" t="inlineStr">
        <is>
          <t>Iran_BSI_v33_Phase4_2K_FinalTurnoverClosure.xlsx | شرکت های Seat Level | داده شخص حقیقی برای Turnover قابل اتکا نبود</t>
        </is>
      </c>
      <c r="J32" s="42" t="inlineStr">
        <is>
          <t>LegalChange = M/N؛ ROB_LEGAL فقط Robustness (جهت کیفی ندارد)</t>
        </is>
      </c>
    </row>
    <row r="33" ht="72.5" customHeight="1" s="76">
      <c r="A33" s="50" t="inlineStr">
        <is>
          <t>شپدیس</t>
        </is>
      </c>
      <c r="B33" s="51" t="n"/>
      <c r="C33" s="51" t="n"/>
      <c r="D33" s="50">
        <f>IF(AND(ISNUMBER(B33),ISNUMBER(C33),C33&gt;0),B33/C33,"")</f>
      </c>
      <c r="E33" s="51" t="n"/>
      <c r="F33" s="51" t="n"/>
      <c r="G33" s="50">
        <f>IF(AND(ISNUMBER(E33),ISNUMBER(F33),F33&gt;0),E33/F33,"")</f>
      </c>
      <c r="H33" s="44" t="inlineStr">
        <is>
          <t>VERIFIED_WITH_LIMITATION</t>
        </is>
      </c>
      <c r="I33" s="50" t="inlineStr">
        <is>
          <t>Iran_BSI_v33_Phase4_2K_FinalTurnoverClosure.xlsx | وضعیت ۳۰ شرکت | سند FY1403 برای تطبیق دو ساله در دسترس نبود</t>
        </is>
      </c>
      <c r="J33" s="50" t="inlineStr">
        <is>
          <t>LegalChange = M/N؛ ROB_LEGAL فقط Robustness (جهت کیفی ندارد)</t>
        </is>
      </c>
    </row>
  </sheetData>
  <mergeCells count="2">
    <mergeCell ref="A1:J1"/>
    <mergeCell ref="A2:J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7"/>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14.33203125" customWidth="1" style="76" min="2" max="2"/>
    <col width="42" customWidth="1" style="76" min="3" max="3"/>
    <col width="10.6640625" customWidth="1" style="76" min="4" max="4"/>
    <col width="42" customWidth="1" style="76" min="5" max="5"/>
    <col width="25.83203125" customWidth="1" style="76" min="6" max="6"/>
  </cols>
  <sheetData>
    <row r="1" ht="34" customHeight="1" s="76">
      <c r="A1" s="79" t="inlineStr">
        <is>
          <t>ممیزی خانواده تنوع (تحصیلی، حرفه‌ای، تخصص مالی)</t>
        </is>
      </c>
    </row>
    <row r="2" ht="28" customHeight="1" s="76">
      <c r="A2" s="86" t="inlineStr">
        <is>
          <t>بازتولید فرمول و بررسی مخرج از داده خام تحلیل‌شده v22/v25. بدون دوباره‌شماری Blau خام و نرمال‌شده.</t>
        </is>
      </c>
    </row>
    <row r="3" ht="30" customHeight="1" s="76">
      <c r="A3" s="48" t="inlineStr">
        <is>
          <t>Measure</t>
        </is>
      </c>
      <c r="B3" s="48" t="inlineStr">
        <is>
          <t>Formula</t>
        </is>
      </c>
      <c r="C3" s="48" t="inlineStr">
        <is>
          <t>Raw data / Source</t>
        </is>
      </c>
      <c r="D3" s="48" t="inlineStr">
        <is>
          <t>Coverage</t>
        </is>
      </c>
      <c r="E3" s="48" t="inlineStr">
        <is>
          <t>محدودیت</t>
        </is>
      </c>
      <c r="F3" s="48" t="inlineStr">
        <is>
          <t>وضعیت</t>
        </is>
      </c>
    </row>
    <row r="4" ht="29" customHeight="1" s="76">
      <c r="A4" s="42" t="inlineStr">
        <is>
          <t>V1 Education Blau</t>
        </is>
      </c>
      <c r="B4" s="42" t="inlineStr">
        <is>
          <t>1−Σp²</t>
        </is>
      </c>
      <c r="C4" s="42" t="inlineStr">
        <is>
          <t>v22 Education_Field_Harmonized (142 عضو)</t>
        </is>
      </c>
      <c r="D4" s="42" t="inlineStr">
        <is>
          <t>۲۸/۳۰</t>
        </is>
      </c>
      <c r="E4" s="42" t="inlineStr">
        <is>
          <t>حساس به N=۵: مقدار ممکن محدود (0، 0.32، 0.48، 0.56، 0.64، 0.72، 0.8)</t>
        </is>
      </c>
      <c r="F4" s="44" t="inlineStr">
        <is>
          <t>VERIFIED_WITH_LIMITATION</t>
        </is>
      </c>
    </row>
    <row r="5" ht="29" customHeight="1" s="76">
      <c r="A5" s="50" t="inlineStr">
        <is>
          <t>VAR06 Professional Strict</t>
        </is>
      </c>
      <c r="B5" s="50" t="inlineStr">
        <is>
          <t>1−Σp²</t>
        </is>
      </c>
      <c r="C5" s="50" t="inlineStr">
        <is>
          <t>v25: 137 عضو؛ EXE 39، GOV 33، UNCLASSIFIED_FUNCTIONAL 26، FIN 15، OPS 10، COULD_NOT_VERIFY 9، LEG 4</t>
        </is>
      </c>
      <c r="D5" s="50" t="inlineStr">
        <is>
          <t>۲۷/۲۸</t>
        </is>
      </c>
      <c r="E5" s="50" t="inlineStr">
        <is>
          <t>خودرو None؛ ۲۶ عضو UNCLASSIFIED مخرج را کم می‌کند</t>
        </is>
      </c>
      <c r="F5" s="45" t="inlineStr">
        <is>
          <t>NEEDS_CORRECTION</t>
        </is>
      </c>
    </row>
    <row r="6" ht="29" customHeight="1" s="76">
      <c r="A6" s="42" t="inlineStr">
        <is>
          <t>VAR10 Financial Expertise Share</t>
        </is>
      </c>
      <c r="B6" s="42" t="inlineStr">
        <is>
          <t>FinExp/N</t>
        </is>
      </c>
      <c r="C6" s="42" t="inlineStr">
        <is>
          <t>v25 Financial Expertise (۲۸ شرکت)</t>
        </is>
      </c>
      <c r="D6" s="42" t="inlineStr">
        <is>
          <t>۲۸/۲۸</t>
        </is>
      </c>
      <c r="E6" s="42" t="inlineStr">
        <is>
          <t>همپوشانی با V1 (مالی/حسابداری/اقتصاد=21 عضو) و VAR06 (FIN=15)</t>
        </is>
      </c>
      <c r="F6" s="44" t="inlineStr">
        <is>
          <t>VERIFIED_WITH_LIMITATION</t>
        </is>
      </c>
    </row>
    <row r="7" ht="20" customHeight="1" s="76">
      <c r="A7" s="50" t="inlineStr">
        <is>
          <t>Raw vs Normalized Blau</t>
        </is>
      </c>
      <c r="B7" s="50" t="inlineStr">
        <is>
          <t>Blau/(1−1/k)</t>
        </is>
      </c>
      <c r="C7" s="50" t="inlineStr">
        <is>
          <t>تبدیل ریاضی</t>
        </is>
      </c>
      <c r="D7" s="50" t="inlineStr">
        <is>
          <t>—</t>
        </is>
      </c>
      <c r="E7" s="50" t="inlineStr">
        <is>
          <t>PARTIALLY_OVERLAPPING؛ فقط Robustness</t>
        </is>
      </c>
      <c r="F7" s="44" t="inlineStr">
        <is>
          <t>VERIFIED_WITH_LIMITATION</t>
        </is>
      </c>
    </row>
  </sheetData>
  <mergeCells count="2">
    <mergeCell ref="A2:F2"/>
    <mergeCell ref="A1:F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6"/>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4"/>
    <col width="25.83203125" customWidth="1" style="76" min="5" max="5"/>
  </cols>
  <sheetData>
    <row r="1" ht="34" customHeight="1" s="76">
      <c r="A1" s="79" t="inlineStr">
        <is>
          <t>ممیزی استقلال (Structural Independence Proxy)</t>
        </is>
      </c>
    </row>
    <row r="2" ht="28" customHeight="1" s="76">
      <c r="A2" s="86" t="inlineStr">
        <is>
          <t>S1A نباید به‌عنوان استقلال صریح ارائه شود؛ فقط پروکسی غیرموظف بودن است.</t>
        </is>
      </c>
    </row>
    <row r="3" ht="30" customHeight="1" s="76">
      <c r="A3" s="48" t="inlineStr">
        <is>
          <t>Measure</t>
        </is>
      </c>
      <c r="B3" s="48" t="inlineStr">
        <is>
          <t>Raw evidence</t>
        </is>
      </c>
      <c r="C3" s="48" t="inlineStr">
        <is>
          <t>یافته</t>
        </is>
      </c>
      <c r="D3" s="48" t="inlineStr">
        <is>
          <t>محدودیت</t>
        </is>
      </c>
      <c r="E3" s="48" t="inlineStr">
        <is>
          <t>وضعیت</t>
        </is>
      </c>
    </row>
    <row r="4" ht="29" customHeight="1" s="76">
      <c r="A4" s="42" t="inlineStr">
        <is>
          <t>S1A</t>
        </is>
      </c>
      <c r="B4" s="42" t="inlineStr">
        <is>
          <t>Duty_Status v22: GHEYR_MOVAZZAF 85، MOVAZZAF 53، NOT_DISCLOSED 4</t>
        </is>
      </c>
      <c r="C4" s="42" t="inlineStr">
        <is>
          <t>سهم غیرموظف = 85/(142−4) = 61.6% در مجموع</t>
        </is>
      </c>
      <c r="D4" s="42" t="inlineStr">
        <is>
          <t>پروکسی ساختاری؛ استقلال صریح نیست</t>
        </is>
      </c>
      <c r="E4" s="44" t="inlineStr">
        <is>
          <t>VERIFIED_WITH_LIMITATION</t>
        </is>
      </c>
    </row>
    <row r="5" ht="29" customHeight="1" s="76">
      <c r="A5" s="50" t="inlineStr">
        <is>
          <t>Explicit independence (v31)</t>
        </is>
      </c>
      <c r="B5" s="50" t="inlineStr">
        <is>
          <t>AC_EXPLICIT_INDEPENDENCE: همراه، وامید، وغدیر، وبصادر، فارس</t>
        </is>
      </c>
      <c r="C5" s="50" t="inlineStr">
        <is>
          <t>برچسب مستقل در AC فقط ۵ شرکت</t>
        </is>
      </c>
      <c r="D5" s="50" t="inlineStr">
        <is>
          <t>Executive_Status_Explicit: ۱۴۰ از ۱۴۲ NOT_STATED</t>
        </is>
      </c>
      <c r="E5" s="44" t="inlineStr">
        <is>
          <t>VERIFIED_WITH_LIMITATION</t>
        </is>
      </c>
    </row>
    <row r="6" ht="20" customHeight="1" s="76">
      <c r="A6" s="42" t="inlineStr">
        <is>
          <t>Keyword scan "عضو مستقل"</t>
        </is>
      </c>
      <c r="B6" s="42" t="inlineStr">
        <is>
          <t>norm_scan: ۱۹ شرکت دارای Hit</t>
        </is>
      </c>
      <c r="C6" s="42" t="inlineStr">
        <is>
          <t>Hit ≠ تایید؛ نیازمند صفحه</t>
        </is>
      </c>
      <c r="D6" s="42" t="inlineStr">
        <is>
          <t>کاندیدای Targeted Validation</t>
        </is>
      </c>
      <c r="E6" s="46" t="inlineStr">
        <is>
          <t>NEEDS_SOURCE_REVIEW</t>
        </is>
      </c>
    </row>
  </sheetData>
  <mergeCells count="2">
    <mergeCell ref="A2:E2"/>
    <mergeCell ref="A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1.5" customWidth="1" style="76" min="2" max="2"/>
    <col width="29.6640625" customWidth="1" style="76" min="3" max="3"/>
    <col width="19.1640625" customWidth="1" style="76" min="4" max="4"/>
    <col width="10.6640625" customWidth="1" style="76" min="5" max="5"/>
    <col width="12.5" customWidth="1" style="76" min="6" max="6"/>
    <col width="11.5" customWidth="1" style="76" min="7" max="7"/>
    <col width="15.33203125" customWidth="1" style="76" min="8" max="8"/>
    <col width="14.33203125" customWidth="1" style="76" min="9" max="9"/>
    <col width="18.1640625" customWidth="1" style="76" min="10" max="10"/>
    <col width="14.33203125" customWidth="1" style="76" min="11" max="11"/>
  </cols>
  <sheetData>
    <row r="1" ht="34" customHeight="1" s="76">
      <c r="A1" s="79" t="inlineStr">
        <is>
          <t>ممیزی کمیته‌ها (Keyword Re-scan دو رسم‌الخط)</t>
        </is>
      </c>
    </row>
    <row r="2" ht="28" customHeight="1" s="76">
      <c r="A2" s="86" t="inlineStr">
        <is>
          <t>تعداد فایل‌های PDF دارای Hit با نرمال‌سازی ي/ك→ی/ک. Hit تایید وجود نیست؛ فقط شواهد برای بازبینی صفحه است. AUD01 تاییدشده ۲۳ (v31 ۲۲ + شبندر).</t>
        </is>
      </c>
    </row>
    <row r="3" ht="30" customHeight="1" s="76">
      <c r="A3" s="48" t="inlineStr">
        <is>
          <t>شرکت</t>
        </is>
      </c>
      <c r="B3" s="48" t="inlineStr">
        <is>
          <t>AC در v31</t>
        </is>
      </c>
      <c r="C3" s="48" t="inlineStr">
        <is>
          <t>AC ممیزی</t>
        </is>
      </c>
      <c r="D3" s="48" t="inlineStr">
        <is>
          <t>Hit کمیته حسابرسی</t>
        </is>
      </c>
      <c r="E3" s="48" t="inlineStr">
        <is>
          <t>Hit ریسک</t>
        </is>
      </c>
      <c r="F3" s="48" t="inlineStr">
        <is>
          <t>Hit نامزدی</t>
        </is>
      </c>
      <c r="G3" s="48" t="inlineStr">
        <is>
          <t>Hit جبران</t>
        </is>
      </c>
      <c r="H3" s="48" t="inlineStr">
        <is>
          <t>Hit عضو مستقل</t>
        </is>
      </c>
      <c r="I3" s="48" t="inlineStr">
        <is>
          <t>Hit عضو مالی</t>
        </is>
      </c>
      <c r="J3" s="48" t="inlineStr">
        <is>
          <t>Hit عضویت همزمان</t>
        </is>
      </c>
      <c r="K3" s="48" t="inlineStr">
        <is>
          <t>یادداشت</t>
        </is>
      </c>
    </row>
    <row r="4" ht="20" customHeight="1" s="76">
      <c r="A4" s="42" t="inlineStr">
        <is>
          <t>فملی</t>
        </is>
      </c>
      <c r="B4" s="42" t="inlineStr">
        <is>
          <t>YES</t>
        </is>
      </c>
      <c r="C4" s="42" t="inlineStr">
        <is>
          <t>YES</t>
        </is>
      </c>
      <c r="D4" s="42" t="n">
        <v>3</v>
      </c>
      <c r="E4" s="42" t="n">
        <v>3</v>
      </c>
      <c r="F4" s="42" t="n">
        <v>2</v>
      </c>
      <c r="G4" s="42" t="n">
        <v>0</v>
      </c>
      <c r="H4" s="42" t="n">
        <v>2</v>
      </c>
      <c r="I4" s="42" t="n">
        <v>1</v>
      </c>
      <c r="J4" s="42" t="n">
        <v>4</v>
      </c>
      <c r="K4" s="42" t="inlineStr">
        <is>
          <t>—</t>
        </is>
      </c>
    </row>
    <row r="5" ht="20" customHeight="1" s="76">
      <c r="A5" s="50" t="inlineStr">
        <is>
          <t>تاپیکو</t>
        </is>
      </c>
      <c r="B5" s="50" t="inlineStr">
        <is>
          <t>YES</t>
        </is>
      </c>
      <c r="C5" s="50" t="inlineStr">
        <is>
          <t>YES</t>
        </is>
      </c>
      <c r="D5" s="50" t="n">
        <v>5</v>
      </c>
      <c r="E5" s="50" t="n">
        <v>3</v>
      </c>
      <c r="F5" s="50" t="n">
        <v>3</v>
      </c>
      <c r="G5" s="50" t="n">
        <v>0</v>
      </c>
      <c r="H5" s="50" t="n">
        <v>4</v>
      </c>
      <c r="I5" s="50" t="n">
        <v>8</v>
      </c>
      <c r="J5" s="50" t="n">
        <v>5</v>
      </c>
      <c r="K5" s="50" t="inlineStr">
        <is>
          <t>—</t>
        </is>
      </c>
    </row>
    <row r="6" ht="20" customHeight="1" s="76">
      <c r="A6" s="42" t="inlineStr">
        <is>
          <t>فارس</t>
        </is>
      </c>
      <c r="B6" s="42" t="inlineStr">
        <is>
          <t>YES</t>
        </is>
      </c>
      <c r="C6" s="42" t="inlineStr">
        <is>
          <t>YES</t>
        </is>
      </c>
      <c r="D6" s="42" t="n">
        <v>2</v>
      </c>
      <c r="E6" s="42" t="n">
        <v>2</v>
      </c>
      <c r="F6" s="42" t="n">
        <v>2</v>
      </c>
      <c r="G6" s="42" t="n">
        <v>1</v>
      </c>
      <c r="H6" s="42" t="n">
        <v>2</v>
      </c>
      <c r="I6" s="42" t="n">
        <v>1</v>
      </c>
      <c r="J6" s="42" t="n">
        <v>2</v>
      </c>
      <c r="K6" s="42" t="inlineStr">
        <is>
          <t>—</t>
        </is>
      </c>
    </row>
    <row r="7" ht="20" customHeight="1" s="76">
      <c r="A7" s="50" t="inlineStr">
        <is>
          <t>خودرو</t>
        </is>
      </c>
      <c r="B7" s="50" t="inlineStr">
        <is>
          <t>YES</t>
        </is>
      </c>
      <c r="C7" s="50" t="inlineStr">
        <is>
          <t>YES</t>
        </is>
      </c>
      <c r="D7" s="50" t="n">
        <v>3</v>
      </c>
      <c r="E7" s="50" t="n">
        <v>3</v>
      </c>
      <c r="F7" s="50" t="n">
        <v>3</v>
      </c>
      <c r="G7" s="50" t="n">
        <v>0</v>
      </c>
      <c r="H7" s="50" t="n">
        <v>1</v>
      </c>
      <c r="I7" s="50" t="n">
        <v>4</v>
      </c>
      <c r="J7" s="50" t="n">
        <v>3</v>
      </c>
      <c r="K7" s="50" t="inlineStr">
        <is>
          <t>—</t>
        </is>
      </c>
    </row>
    <row r="8" ht="20" customHeight="1" s="76">
      <c r="A8" s="42" t="inlineStr">
        <is>
          <t>زاگرس</t>
        </is>
      </c>
      <c r="B8" s="42" t="inlineStr">
        <is>
          <t>UNKNOWN</t>
        </is>
      </c>
      <c r="C8" s="42" t="inlineStr">
        <is>
          <t>UNKNOWN</t>
        </is>
      </c>
      <c r="D8" s="42" t="n">
        <v>2</v>
      </c>
      <c r="E8" s="42" t="n">
        <v>2</v>
      </c>
      <c r="F8" s="42" t="n">
        <v>2</v>
      </c>
      <c r="G8" s="42" t="n">
        <v>0</v>
      </c>
      <c r="H8" s="42" t="n">
        <v>0</v>
      </c>
      <c r="I8" s="42" t="n">
        <v>4</v>
      </c>
      <c r="J8" s="42" t="n">
        <v>2</v>
      </c>
      <c r="K8" s="42" t="inlineStr">
        <is>
          <t>Keyword-only</t>
        </is>
      </c>
    </row>
    <row r="9" ht="29" customHeight="1" s="76">
      <c r="A9" s="50" t="inlineStr">
        <is>
          <t>شبندر</t>
        </is>
      </c>
      <c r="B9" s="50" t="inlineStr">
        <is>
          <t>UNKNOWN</t>
        </is>
      </c>
      <c r="C9" s="50" t="inlineStr">
        <is>
          <t>YES (SRC_SHBN_1404_001 p.56)</t>
        </is>
      </c>
      <c r="D9" s="50" t="n">
        <v>2</v>
      </c>
      <c r="E9" s="50" t="n">
        <v>2</v>
      </c>
      <c r="F9" s="50" t="n">
        <v>2</v>
      </c>
      <c r="G9" s="50" t="n">
        <v>1</v>
      </c>
      <c r="H9" s="50" t="n">
        <v>0</v>
      </c>
      <c r="I9" s="50" t="n">
        <v>2</v>
      </c>
      <c r="J9" s="50" t="n">
        <v>2</v>
      </c>
      <c r="K9" s="50" t="inlineStr">
        <is>
          <t>—</t>
        </is>
      </c>
    </row>
    <row r="10" ht="20" customHeight="1" s="76">
      <c r="A10" s="42" t="inlineStr">
        <is>
          <t>پارس</t>
        </is>
      </c>
      <c r="B10" s="42" t="inlineStr">
        <is>
          <t>YES</t>
        </is>
      </c>
      <c r="C10" s="42" t="inlineStr">
        <is>
          <t>YES</t>
        </is>
      </c>
      <c r="D10" s="42" t="n">
        <v>2</v>
      </c>
      <c r="E10" s="42" t="n">
        <v>2</v>
      </c>
      <c r="F10" s="42" t="n">
        <v>2</v>
      </c>
      <c r="G10" s="42" t="n">
        <v>0</v>
      </c>
      <c r="H10" s="42" t="n">
        <v>0</v>
      </c>
      <c r="I10" s="42" t="n">
        <v>2</v>
      </c>
      <c r="J10" s="42" t="n">
        <v>2</v>
      </c>
      <c r="K10" s="42" t="inlineStr">
        <is>
          <t>—</t>
        </is>
      </c>
    </row>
    <row r="11" ht="20" customHeight="1" s="76">
      <c r="A11" s="50" t="inlineStr">
        <is>
          <t>شتران</t>
        </is>
      </c>
      <c r="B11" s="50" t="inlineStr">
        <is>
          <t>UNKNOWN</t>
        </is>
      </c>
      <c r="C11" s="50" t="inlineStr">
        <is>
          <t>UNKNOWN</t>
        </is>
      </c>
      <c r="D11" s="50" t="n">
        <v>2</v>
      </c>
      <c r="E11" s="50" t="n">
        <v>2</v>
      </c>
      <c r="F11" s="50" t="n">
        <v>2</v>
      </c>
      <c r="G11" s="50" t="n">
        <v>0</v>
      </c>
      <c r="H11" s="50" t="n">
        <v>0</v>
      </c>
      <c r="I11" s="50" t="n">
        <v>1</v>
      </c>
      <c r="J11" s="50" t="n">
        <v>0</v>
      </c>
      <c r="K11" s="50" t="inlineStr">
        <is>
          <t>Keyword-only</t>
        </is>
      </c>
    </row>
    <row r="12" ht="20" customHeight="1" s="76">
      <c r="A12" s="42" t="inlineStr">
        <is>
          <t>وتجارت</t>
        </is>
      </c>
      <c r="B12" s="42" t="inlineStr">
        <is>
          <t>YES</t>
        </is>
      </c>
      <c r="C12" s="42" t="inlineStr">
        <is>
          <t>YES</t>
        </is>
      </c>
      <c r="D12" s="42" t="n">
        <v>2</v>
      </c>
      <c r="E12" s="42" t="n">
        <v>2</v>
      </c>
      <c r="F12" s="42" t="n">
        <v>2</v>
      </c>
      <c r="G12" s="42" t="n">
        <v>2</v>
      </c>
      <c r="H12" s="42" t="n">
        <v>2</v>
      </c>
      <c r="I12" s="42" t="n">
        <v>3</v>
      </c>
      <c r="J12" s="42" t="n">
        <v>0</v>
      </c>
      <c r="K12" s="42" t="inlineStr">
        <is>
          <t>—</t>
        </is>
      </c>
    </row>
    <row r="13" ht="20" customHeight="1" s="76">
      <c r="A13" s="50" t="inlineStr">
        <is>
          <t>رمپنا</t>
        </is>
      </c>
      <c r="B13" s="50" t="inlineStr">
        <is>
          <t>UNKNOWN</t>
        </is>
      </c>
      <c r="C13" s="50" t="inlineStr">
        <is>
          <t>UNKNOWN</t>
        </is>
      </c>
      <c r="D13" s="50" t="n">
        <v>2</v>
      </c>
      <c r="E13" s="50" t="n">
        <v>2</v>
      </c>
      <c r="F13" s="50" t="n">
        <v>1</v>
      </c>
      <c r="G13" s="50" t="n">
        <v>0</v>
      </c>
      <c r="H13" s="50" t="n">
        <v>0</v>
      </c>
      <c r="I13" s="50" t="n">
        <v>4</v>
      </c>
      <c r="J13" s="50" t="n">
        <v>0</v>
      </c>
      <c r="K13" s="50" t="inlineStr">
        <is>
          <t>Keyword-only</t>
        </is>
      </c>
    </row>
    <row r="14" ht="20" customHeight="1" s="76">
      <c r="A14" s="42" t="inlineStr">
        <is>
          <t>فخوز</t>
        </is>
      </c>
      <c r="B14" s="42" t="inlineStr">
        <is>
          <t>UNKNOWN</t>
        </is>
      </c>
      <c r="C14" s="42" t="inlineStr">
        <is>
          <t>UNKNOWN</t>
        </is>
      </c>
      <c r="D14" s="42" t="n">
        <v>2</v>
      </c>
      <c r="E14" s="42" t="n">
        <v>0</v>
      </c>
      <c r="F14" s="42" t="n">
        <v>1</v>
      </c>
      <c r="G14" s="42" t="n">
        <v>0</v>
      </c>
      <c r="H14" s="42" t="n">
        <v>2</v>
      </c>
      <c r="I14" s="42" t="n">
        <v>3</v>
      </c>
      <c r="J14" s="42" t="n">
        <v>0</v>
      </c>
      <c r="K14" s="42" t="inlineStr">
        <is>
          <t>Keyword-only</t>
        </is>
      </c>
    </row>
    <row r="15" ht="20" customHeight="1" s="76">
      <c r="A15" s="50" t="inlineStr">
        <is>
          <t>شستا</t>
        </is>
      </c>
      <c r="B15" s="50" t="inlineStr">
        <is>
          <t>YES</t>
        </is>
      </c>
      <c r="C15" s="50" t="inlineStr">
        <is>
          <t>YES</t>
        </is>
      </c>
      <c r="D15" s="50" t="n">
        <v>5</v>
      </c>
      <c r="E15" s="50" t="n">
        <v>5</v>
      </c>
      <c r="F15" s="50" t="n">
        <v>5</v>
      </c>
      <c r="G15" s="50" t="n">
        <v>0</v>
      </c>
      <c r="H15" s="50" t="n">
        <v>3</v>
      </c>
      <c r="I15" s="50" t="n">
        <v>0</v>
      </c>
      <c r="J15" s="50" t="n">
        <v>3</v>
      </c>
      <c r="K15" s="50" t="inlineStr">
        <is>
          <t>—</t>
        </is>
      </c>
    </row>
    <row r="16" ht="20" customHeight="1" s="76">
      <c r="A16" s="42" t="inlineStr">
        <is>
          <t>شپنا</t>
        </is>
      </c>
      <c r="B16" s="42" t="inlineStr">
        <is>
          <t>YES</t>
        </is>
      </c>
      <c r="C16" s="42" t="inlineStr">
        <is>
          <t>YES</t>
        </is>
      </c>
      <c r="D16" s="42" t="n">
        <v>1</v>
      </c>
      <c r="E16" s="42" t="n">
        <v>1</v>
      </c>
      <c r="F16" s="42" t="n">
        <v>1</v>
      </c>
      <c r="G16" s="42" t="n">
        <v>0</v>
      </c>
      <c r="H16" s="42" t="n">
        <v>0</v>
      </c>
      <c r="I16" s="42" t="n">
        <v>6</v>
      </c>
      <c r="J16" s="42" t="n">
        <v>1</v>
      </c>
      <c r="K16" s="42" t="inlineStr">
        <is>
          <t>—</t>
        </is>
      </c>
    </row>
    <row r="17" ht="20" customHeight="1" s="76">
      <c r="A17" s="50" t="inlineStr">
        <is>
          <t>وغدیر</t>
        </is>
      </c>
      <c r="B17" s="50" t="inlineStr">
        <is>
          <t>YES</t>
        </is>
      </c>
      <c r="C17" s="50" t="inlineStr">
        <is>
          <t>YES</t>
        </is>
      </c>
      <c r="D17" s="50" t="n">
        <v>2</v>
      </c>
      <c r="E17" s="50" t="n">
        <v>2</v>
      </c>
      <c r="F17" s="50" t="n">
        <v>2</v>
      </c>
      <c r="G17" s="50" t="n">
        <v>0</v>
      </c>
      <c r="H17" s="50" t="n">
        <v>2</v>
      </c>
      <c r="I17" s="50" t="n">
        <v>3</v>
      </c>
      <c r="J17" s="50" t="n">
        <v>0</v>
      </c>
      <c r="K17" s="50" t="inlineStr">
        <is>
          <t>—</t>
        </is>
      </c>
    </row>
    <row r="18" ht="20" customHeight="1" s="76">
      <c r="A18" s="42" t="inlineStr">
        <is>
          <t>نوری</t>
        </is>
      </c>
      <c r="B18" s="42" t="inlineStr">
        <is>
          <t>YES</t>
        </is>
      </c>
      <c r="C18" s="42" t="inlineStr">
        <is>
          <t>YES</t>
        </is>
      </c>
      <c r="D18" s="42" t="n">
        <v>8</v>
      </c>
      <c r="E18" s="42" t="n">
        <v>2</v>
      </c>
      <c r="F18" s="42" t="n">
        <v>2</v>
      </c>
      <c r="G18" s="42" t="n">
        <v>0</v>
      </c>
      <c r="H18" s="42" t="n">
        <v>0</v>
      </c>
      <c r="I18" s="42" t="n">
        <v>4</v>
      </c>
      <c r="J18" s="42" t="n">
        <v>0</v>
      </c>
      <c r="K18" s="42" t="inlineStr">
        <is>
          <t>—</t>
        </is>
      </c>
    </row>
    <row r="19" ht="20" customHeight="1" s="76">
      <c r="A19" s="50" t="inlineStr">
        <is>
          <t>فولاد</t>
        </is>
      </c>
      <c r="B19" s="50" t="inlineStr">
        <is>
          <t>YES</t>
        </is>
      </c>
      <c r="C19" s="50" t="inlineStr">
        <is>
          <t>YES</t>
        </is>
      </c>
      <c r="D19" s="50" t="n">
        <v>2</v>
      </c>
      <c r="E19" s="50" t="n">
        <v>2</v>
      </c>
      <c r="F19" s="50" t="n">
        <v>2</v>
      </c>
      <c r="G19" s="50" t="n">
        <v>0</v>
      </c>
      <c r="H19" s="50" t="n">
        <v>0</v>
      </c>
      <c r="I19" s="50" t="n">
        <v>2</v>
      </c>
      <c r="J19" s="50" t="n">
        <v>2</v>
      </c>
      <c r="K19" s="50" t="inlineStr">
        <is>
          <t>—</t>
        </is>
      </c>
    </row>
    <row r="20" ht="20" customHeight="1" s="76">
      <c r="A20" s="42" t="inlineStr">
        <is>
          <t>کچاد</t>
        </is>
      </c>
      <c r="B20" s="42" t="inlineStr">
        <is>
          <t>YES</t>
        </is>
      </c>
      <c r="C20" s="42" t="inlineStr">
        <is>
          <t>YES</t>
        </is>
      </c>
      <c r="D20" s="42" t="n">
        <v>3</v>
      </c>
      <c r="E20" s="42" t="n">
        <v>3</v>
      </c>
      <c r="F20" s="42" t="n">
        <v>3</v>
      </c>
      <c r="G20" s="42" t="n">
        <v>0</v>
      </c>
      <c r="H20" s="42" t="n">
        <v>3</v>
      </c>
      <c r="I20" s="42" t="n">
        <v>1</v>
      </c>
      <c r="J20" s="42" t="n">
        <v>0</v>
      </c>
      <c r="K20" s="42" t="inlineStr">
        <is>
          <t>—</t>
        </is>
      </c>
    </row>
    <row r="21" ht="20" customHeight="1" s="76">
      <c r="A21" s="50" t="inlineStr">
        <is>
          <t>کگل</t>
        </is>
      </c>
      <c r="B21" s="50" t="inlineStr">
        <is>
          <t>YES</t>
        </is>
      </c>
      <c r="C21" s="50" t="inlineStr">
        <is>
          <t>YES</t>
        </is>
      </c>
      <c r="D21" s="50" t="n">
        <v>2</v>
      </c>
      <c r="E21" s="50" t="n">
        <v>2</v>
      </c>
      <c r="F21" s="50" t="n">
        <v>2</v>
      </c>
      <c r="G21" s="50" t="n">
        <v>0</v>
      </c>
      <c r="H21" s="50" t="n">
        <v>2</v>
      </c>
      <c r="I21" s="50" t="n">
        <v>0</v>
      </c>
      <c r="J21" s="50" t="n">
        <v>0</v>
      </c>
      <c r="K21" s="50" t="inlineStr">
        <is>
          <t>—</t>
        </is>
      </c>
    </row>
    <row r="22" ht="20" customHeight="1" s="76">
      <c r="A22" s="42" t="inlineStr">
        <is>
          <t>پارسان</t>
        </is>
      </c>
      <c r="B22" s="42" t="inlineStr">
        <is>
          <t>YES</t>
        </is>
      </c>
      <c r="C22" s="42" t="inlineStr">
        <is>
          <t>YES</t>
        </is>
      </c>
      <c r="D22" s="42" t="n">
        <v>3</v>
      </c>
      <c r="E22" s="42" t="n">
        <v>3</v>
      </c>
      <c r="F22" s="42" t="n">
        <v>2</v>
      </c>
      <c r="G22" s="42" t="n">
        <v>0</v>
      </c>
      <c r="H22" s="42" t="n">
        <v>2</v>
      </c>
      <c r="I22" s="42" t="n">
        <v>6</v>
      </c>
      <c r="J22" s="42" t="n">
        <v>1</v>
      </c>
      <c r="K22" s="42" t="inlineStr">
        <is>
          <t>—</t>
        </is>
      </c>
    </row>
    <row r="23" ht="20" customHeight="1" s="76">
      <c r="A23" s="50" t="inlineStr">
        <is>
          <t>اخابر</t>
        </is>
      </c>
      <c r="B23" s="50" t="inlineStr">
        <is>
          <t>YES</t>
        </is>
      </c>
      <c r="C23" s="50" t="inlineStr">
        <is>
          <t>YES</t>
        </is>
      </c>
      <c r="D23" s="50" t="n">
        <v>3</v>
      </c>
      <c r="E23" s="50" t="n">
        <v>1</v>
      </c>
      <c r="F23" s="50" t="n">
        <v>1</v>
      </c>
      <c r="G23" s="50" t="n">
        <v>0</v>
      </c>
      <c r="H23" s="50" t="n">
        <v>1</v>
      </c>
      <c r="I23" s="50" t="n">
        <v>2</v>
      </c>
      <c r="J23" s="50" t="n">
        <v>1</v>
      </c>
      <c r="K23" s="50" t="inlineStr">
        <is>
          <t>—</t>
        </is>
      </c>
    </row>
    <row r="24" ht="20" customHeight="1" s="76">
      <c r="A24" s="42" t="inlineStr">
        <is>
          <t>جم</t>
        </is>
      </c>
      <c r="B24" s="42" t="inlineStr">
        <is>
          <t>YES</t>
        </is>
      </c>
      <c r="C24" s="42" t="inlineStr">
        <is>
          <t>YES</t>
        </is>
      </c>
      <c r="D24" s="42" t="n">
        <v>2</v>
      </c>
      <c r="E24" s="42" t="n">
        <v>2</v>
      </c>
      <c r="F24" s="42" t="n">
        <v>1</v>
      </c>
      <c r="G24" s="42" t="n">
        <v>0</v>
      </c>
      <c r="H24" s="42" t="n">
        <v>0</v>
      </c>
      <c r="I24" s="42" t="n">
        <v>2</v>
      </c>
      <c r="J24" s="42" t="n">
        <v>0</v>
      </c>
      <c r="K24" s="42" t="inlineStr">
        <is>
          <t>—</t>
        </is>
      </c>
    </row>
    <row r="25" ht="20" customHeight="1" s="76">
      <c r="A25" s="50" t="inlineStr">
        <is>
          <t>ومعادن</t>
        </is>
      </c>
      <c r="B25" s="50" t="inlineStr">
        <is>
          <t>YES</t>
        </is>
      </c>
      <c r="C25" s="50" t="inlineStr">
        <is>
          <t>YES</t>
        </is>
      </c>
      <c r="D25" s="50" t="n">
        <v>2</v>
      </c>
      <c r="E25" s="50" t="n">
        <v>2</v>
      </c>
      <c r="F25" s="50" t="n">
        <v>2</v>
      </c>
      <c r="G25" s="50" t="n">
        <v>0</v>
      </c>
      <c r="H25" s="50" t="n">
        <v>2</v>
      </c>
      <c r="I25" s="50" t="n">
        <v>1</v>
      </c>
      <c r="J25" s="50" t="n">
        <v>2</v>
      </c>
      <c r="K25" s="50" t="inlineStr">
        <is>
          <t>—</t>
        </is>
      </c>
    </row>
    <row r="26" ht="20" customHeight="1" s="76">
      <c r="A26" s="42" t="inlineStr">
        <is>
          <t>وامید</t>
        </is>
      </c>
      <c r="B26" s="42" t="inlineStr">
        <is>
          <t>YES</t>
        </is>
      </c>
      <c r="C26" s="42" t="inlineStr">
        <is>
          <t>YES</t>
        </is>
      </c>
      <c r="D26" s="42" t="n">
        <v>2</v>
      </c>
      <c r="E26" s="42" t="n">
        <v>2</v>
      </c>
      <c r="F26" s="42" t="n">
        <v>2</v>
      </c>
      <c r="G26" s="42" t="n">
        <v>0</v>
      </c>
      <c r="H26" s="42" t="n">
        <v>2</v>
      </c>
      <c r="I26" s="42" t="n">
        <v>4</v>
      </c>
      <c r="J26" s="42" t="n">
        <v>0</v>
      </c>
      <c r="K26" s="42" t="inlineStr">
        <is>
          <t>—</t>
        </is>
      </c>
    </row>
    <row r="27" ht="20" customHeight="1" s="76">
      <c r="A27" s="50" t="inlineStr">
        <is>
          <t>خساپا</t>
        </is>
      </c>
      <c r="B27" s="50" t="inlineStr">
        <is>
          <t>YES</t>
        </is>
      </c>
      <c r="C27" s="50" t="inlineStr">
        <is>
          <t>YES</t>
        </is>
      </c>
      <c r="D27" s="50" t="n">
        <v>2</v>
      </c>
      <c r="E27" s="50" t="n">
        <v>2</v>
      </c>
      <c r="F27" s="50" t="n">
        <v>2</v>
      </c>
      <c r="G27" s="50" t="n">
        <v>0</v>
      </c>
      <c r="H27" s="50" t="n">
        <v>2</v>
      </c>
      <c r="I27" s="50" t="n">
        <v>1</v>
      </c>
      <c r="J27" s="50" t="n">
        <v>0</v>
      </c>
      <c r="K27" s="50" t="inlineStr">
        <is>
          <t>—</t>
        </is>
      </c>
    </row>
    <row r="28" ht="20" customHeight="1" s="76">
      <c r="A28" s="42" t="inlineStr">
        <is>
          <t>همراه</t>
        </is>
      </c>
      <c r="B28" s="42" t="inlineStr">
        <is>
          <t>YES</t>
        </is>
      </c>
      <c r="C28" s="42" t="inlineStr">
        <is>
          <t>YES</t>
        </is>
      </c>
      <c r="D28" s="42" t="n">
        <v>2</v>
      </c>
      <c r="E28" s="42" t="n">
        <v>2</v>
      </c>
      <c r="F28" s="42" t="n">
        <v>2</v>
      </c>
      <c r="G28" s="42" t="n">
        <v>0</v>
      </c>
      <c r="H28" s="42" t="n">
        <v>2</v>
      </c>
      <c r="I28" s="42" t="n">
        <v>4</v>
      </c>
      <c r="J28" s="42" t="n">
        <v>2</v>
      </c>
      <c r="K28" s="42" t="inlineStr">
        <is>
          <t>—</t>
        </is>
      </c>
    </row>
    <row r="29" ht="20" customHeight="1" s="76">
      <c r="A29" s="50" t="inlineStr">
        <is>
          <t>وبملت</t>
        </is>
      </c>
      <c r="B29" s="50" t="inlineStr">
        <is>
          <t>YES</t>
        </is>
      </c>
      <c r="C29" s="50" t="inlineStr">
        <is>
          <t>YES</t>
        </is>
      </c>
      <c r="D29" s="50" t="n">
        <v>6</v>
      </c>
      <c r="E29" s="50" t="n">
        <v>6</v>
      </c>
      <c r="F29" s="50" t="n">
        <v>4</v>
      </c>
      <c r="G29" s="50" t="n">
        <v>0</v>
      </c>
      <c r="H29" s="50" t="n">
        <v>1</v>
      </c>
      <c r="I29" s="50" t="n">
        <v>1</v>
      </c>
      <c r="J29" s="50" t="n">
        <v>4</v>
      </c>
      <c r="K29" s="50" t="inlineStr">
        <is>
          <t>—</t>
        </is>
      </c>
    </row>
    <row r="30" ht="20" customHeight="1" s="76">
      <c r="A30" s="42" t="inlineStr">
        <is>
          <t>وبصادر</t>
        </is>
      </c>
      <c r="B30" s="42" t="inlineStr">
        <is>
          <t>YES</t>
        </is>
      </c>
      <c r="C30" s="42" t="inlineStr">
        <is>
          <t>YES</t>
        </is>
      </c>
      <c r="D30" s="42" t="n">
        <v>2</v>
      </c>
      <c r="E30" s="42" t="n">
        <v>2</v>
      </c>
      <c r="F30" s="42" t="n">
        <v>2</v>
      </c>
      <c r="G30" s="42" t="n">
        <v>2</v>
      </c>
      <c r="H30" s="42" t="n">
        <v>2</v>
      </c>
      <c r="I30" s="42" t="n">
        <v>2</v>
      </c>
      <c r="J30" s="42" t="n">
        <v>2</v>
      </c>
      <c r="K30" s="42" t="inlineStr">
        <is>
          <t>—</t>
        </is>
      </c>
    </row>
    <row r="31" ht="20" customHeight="1" s="76">
      <c r="A31" s="50" t="inlineStr">
        <is>
          <t>وپاسار</t>
        </is>
      </c>
      <c r="B31" s="50" t="inlineStr">
        <is>
          <t>UNKNOWN</t>
        </is>
      </c>
      <c r="C31" s="50" t="inlineStr">
        <is>
          <t>UNKNOWN</t>
        </is>
      </c>
      <c r="D31" s="50" t="n">
        <v>0</v>
      </c>
      <c r="E31" s="50" t="n">
        <v>0</v>
      </c>
      <c r="F31" s="50" t="n">
        <v>0</v>
      </c>
      <c r="G31" s="50" t="n">
        <v>0</v>
      </c>
      <c r="H31" s="50" t="n">
        <v>0</v>
      </c>
      <c r="I31" s="50" t="n">
        <v>0</v>
      </c>
      <c r="J31" s="50" t="n">
        <v>0</v>
      </c>
      <c r="K31" s="50" t="inlineStr">
        <is>
          <t>—</t>
        </is>
      </c>
    </row>
    <row r="32" ht="20" customHeight="1" s="76">
      <c r="A32" s="42" t="inlineStr">
        <is>
          <t>حکشتی</t>
        </is>
      </c>
      <c r="B32" s="42" t="inlineStr">
        <is>
          <t>UNKNOWN</t>
        </is>
      </c>
      <c r="C32" s="42" t="inlineStr">
        <is>
          <t>UNKNOWN</t>
        </is>
      </c>
      <c r="D32" s="42" t="n">
        <v>2</v>
      </c>
      <c r="E32" s="42" t="n">
        <v>2</v>
      </c>
      <c r="F32" s="42" t="n">
        <v>2</v>
      </c>
      <c r="G32" s="42" t="n">
        <v>0</v>
      </c>
      <c r="H32" s="42" t="n">
        <v>0</v>
      </c>
      <c r="I32" s="42" t="n">
        <v>1</v>
      </c>
      <c r="J32" s="42" t="n">
        <v>0</v>
      </c>
      <c r="K32" s="42" t="inlineStr">
        <is>
          <t>Keyword-only</t>
        </is>
      </c>
    </row>
    <row r="33" ht="20" customHeight="1" s="76">
      <c r="A33" s="50" t="inlineStr">
        <is>
          <t>شپدیس</t>
        </is>
      </c>
      <c r="B33" s="50" t="inlineStr">
        <is>
          <t>UNKNOWN</t>
        </is>
      </c>
      <c r="C33" s="50" t="inlineStr">
        <is>
          <t>UNKNOWN</t>
        </is>
      </c>
      <c r="D33" s="50" t="n">
        <v>1</v>
      </c>
      <c r="E33" s="50" t="n">
        <v>1</v>
      </c>
      <c r="F33" s="50" t="n">
        <v>0</v>
      </c>
      <c r="G33" s="50" t="n">
        <v>0</v>
      </c>
      <c r="H33" s="50" t="n">
        <v>1</v>
      </c>
      <c r="I33" s="50" t="n">
        <v>3</v>
      </c>
      <c r="J33" s="50" t="n">
        <v>0</v>
      </c>
      <c r="K33" s="50" t="inlineStr">
        <is>
          <t>Keyword-only</t>
        </is>
      </c>
    </row>
  </sheetData>
  <mergeCells count="2">
    <mergeCell ref="A2:K2"/>
    <mergeCell ref="A1:K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6"/>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20.1640625" customWidth="1" style="76" min="2" max="2"/>
    <col width="42" customWidth="1" style="76" min="3" max="3"/>
    <col width="30.5" customWidth="1" style="76" min="4" max="4"/>
  </cols>
  <sheetData>
    <row r="1" ht="34" customHeight="1" s="76">
      <c r="A1" s="79" t="inlineStr">
        <is>
          <t>ممیزی Directionality</t>
        </is>
      </c>
    </row>
    <row r="2" ht="28" customHeight="1" s="76">
      <c r="A2" s="86" t="inlineStr">
        <is>
          <t>هیچ Measure چرخش/تازه‌سازی/بازه جلسه/سابقه دولتی/Tenure «بیشتر بهتر» پیش‌فرض نگرفته است.</t>
        </is>
      </c>
    </row>
    <row r="3" ht="30" customHeight="1" s="76">
      <c r="A3" s="48" t="inlineStr">
        <is>
          <t>Measure</t>
        </is>
      </c>
      <c r="B3" s="48" t="inlineStr">
        <is>
          <t>Directionality</t>
        </is>
      </c>
      <c r="C3" s="48" t="inlineStr">
        <is>
          <t>دلیل</t>
        </is>
      </c>
      <c r="D3" s="48" t="inlineStr">
        <is>
          <t>تطبیق با v35</t>
        </is>
      </c>
    </row>
    <row r="4" ht="20" customHeight="1" s="76">
      <c r="A4" s="42" t="inlineStr">
        <is>
          <t>Natural Person Turnover</t>
        </is>
      </c>
      <c r="B4" s="42" t="inlineStr">
        <is>
          <t>CONTEXT_DEPENDENT</t>
        </is>
      </c>
      <c r="C4" s="42" t="inlineStr">
        <is>
          <t>جابجایی می‌تواند تازه‌سازی یا بی‌ثباتی باشد</t>
        </is>
      </c>
      <c r="D4" s="42" t="inlineStr">
        <is>
          <t>v35: «بیشتر بهتر» پیش‌فرض نشد</t>
        </is>
      </c>
    </row>
    <row r="5" ht="20" customHeight="1" s="76">
      <c r="A5" s="50" t="inlineStr">
        <is>
          <t>Representative Change</t>
        </is>
      </c>
      <c r="B5" s="50" t="inlineStr">
        <is>
          <t>NO_CLEAR_DIRECTION</t>
        </is>
      </c>
      <c r="C5" s="50" t="inlineStr">
        <is>
          <t>تغییر نماینده با شخص حقوقی ثابت؛ جهت نظری ندارد</t>
        </is>
      </c>
      <c r="D5" s="50" t="inlineStr">
        <is>
          <t>v35: «بیشتر بهتر» پیش‌فرض نشد</t>
        </is>
      </c>
    </row>
    <row r="6" ht="20" customHeight="1" s="76">
      <c r="A6" s="42" t="inlineStr">
        <is>
          <t>Chair Change</t>
        </is>
      </c>
      <c r="B6" s="42" t="inlineStr">
        <is>
          <t>NO_CLEAR_DIRECTION</t>
        </is>
      </c>
      <c r="C6" s="42" t="inlineStr">
        <is>
          <t>ممکن است ثبات یا اصلاح باشد</t>
        </is>
      </c>
      <c r="D6" s="42" t="inlineStr">
        <is>
          <t>v35: «بیشتر بهتر» پیش‌فرض نشد</t>
        </is>
      </c>
    </row>
    <row r="7" ht="20" customHeight="1" s="76">
      <c r="A7" s="50" t="inlineStr">
        <is>
          <t>Board Meetings</t>
        </is>
      </c>
      <c r="B7" s="50" t="inlineStr">
        <is>
          <t>NONLINEAR_POSSIBLE</t>
        </is>
      </c>
      <c r="C7" s="50" t="inlineStr">
        <is>
          <t>فعالیت زیاد ممکن است بحران باشد</t>
        </is>
      </c>
      <c r="D7" s="50" t="inlineStr">
        <is>
          <t>v35: «بیشتر بهتر» پیش‌فرض نشد</t>
        </is>
      </c>
    </row>
    <row r="8" ht="20" customHeight="1" s="76">
      <c r="A8" s="42" t="inlineStr">
        <is>
          <t>Government Background</t>
        </is>
      </c>
      <c r="B8" s="42" t="inlineStr">
        <is>
          <t>CONTEXT_DEPENDENT</t>
        </is>
      </c>
      <c r="C8" s="42" t="inlineStr">
        <is>
          <t>اثر بسته به مالکیت دولتی</t>
        </is>
      </c>
      <c r="D8" s="42" t="inlineStr">
        <is>
          <t>v35: «بیشتر بهتر» پیش‌فرض نشد</t>
        </is>
      </c>
    </row>
    <row r="9" ht="20" customHeight="1" s="76">
      <c r="A9" s="50" t="inlineStr">
        <is>
          <t>Tenure</t>
        </is>
      </c>
      <c r="B9" s="50" t="inlineStr">
        <is>
          <t>NONLINEAR_POSSIBLE</t>
        </is>
      </c>
      <c r="C9" s="50" t="inlineStr">
        <is>
          <t>U وارونه رایج</t>
        </is>
      </c>
      <c r="D9" s="50" t="inlineStr">
        <is>
          <t>v35: «بیشتر بهتر» پیش‌فرض نشد</t>
        </is>
      </c>
    </row>
    <row r="10" ht="20" customHeight="1" s="76">
      <c r="A10" s="42" t="inlineStr">
        <is>
          <t>Education Diversity</t>
        </is>
      </c>
      <c r="B10" s="42" t="inlineStr">
        <is>
          <t>POSITIVE_DIRECTION</t>
        </is>
      </c>
      <c r="C10" s="42" t="inlineStr">
        <is>
          <t>تنوع بیشتر، مشروط به N</t>
        </is>
      </c>
      <c r="D10" s="42" t="inlineStr">
        <is>
          <t>مطابق v35 با شرط</t>
        </is>
      </c>
    </row>
    <row r="11" ht="20" customHeight="1" s="76">
      <c r="A11" s="50" t="inlineStr">
        <is>
          <t>Professional Background Diversity</t>
        </is>
      </c>
      <c r="B11" s="50" t="inlineStr">
        <is>
          <t>POSITIVE_DIRECTION</t>
        </is>
      </c>
      <c r="C11" s="50" t="inlineStr">
        <is>
          <t>مشروط</t>
        </is>
      </c>
      <c r="D11" s="50" t="inlineStr">
        <is>
          <t>مطابق v35 با شرط</t>
        </is>
      </c>
    </row>
    <row r="12" ht="20" customHeight="1" s="76">
      <c r="A12" s="42" t="inlineStr">
        <is>
          <t>Financial Expertise Share</t>
        </is>
      </c>
      <c r="B12" s="42" t="inlineStr">
        <is>
          <t>POSITIVE_DIRECTION</t>
        </is>
      </c>
      <c r="C12" s="42" t="inlineStr">
        <is>
          <t>مشروط به همپوشانی</t>
        </is>
      </c>
      <c r="D12" s="42" t="inlineStr">
        <is>
          <t>مطابق v35 با شرط</t>
        </is>
      </c>
    </row>
    <row r="13" ht="20" customHeight="1" s="76">
      <c r="A13" s="50" t="inlineStr">
        <is>
          <t>Structural Independence Proxy</t>
        </is>
      </c>
      <c r="B13" s="50" t="inlineStr">
        <is>
          <t>CONTEXT_DEPENDENT</t>
        </is>
      </c>
      <c r="C13" s="50" t="inlineStr">
        <is>
          <t>پروکسی</t>
        </is>
      </c>
      <c r="D13" s="50" t="inlineStr">
        <is>
          <t>v35: «بیشتر بهتر» پیش‌فرض نشد</t>
        </is>
      </c>
    </row>
    <row r="14" ht="20" customHeight="1" s="76">
      <c r="A14" s="42" t="inlineStr">
        <is>
          <t>CEO–Chair Separation</t>
        </is>
      </c>
      <c r="B14" s="42" t="inlineStr">
        <is>
          <t>POSITIVE_DIRECTION</t>
        </is>
      </c>
      <c r="C14" s="42" t="inlineStr">
        <is>
          <t>Variation صفر ⇒ بی‌اثر</t>
        </is>
      </c>
      <c r="D14" s="42" t="inlineStr">
        <is>
          <t>مطابق v35 با شرط</t>
        </is>
      </c>
    </row>
    <row r="15" ht="20" customHeight="1" s="76">
      <c r="A15" s="50" t="inlineStr">
        <is>
          <t>Audit Committee Existence</t>
        </is>
      </c>
      <c r="B15" s="50" t="inlineStr">
        <is>
          <t>POSITIVE_DIRECTION</t>
        </is>
      </c>
      <c r="C15" s="50" t="inlineStr">
        <is>
          <t>نبود افشا ≠ نبود کمیته</t>
        </is>
      </c>
      <c r="D15" s="50" t="inlineStr">
        <is>
          <t>مطابق v35 با شرط</t>
        </is>
      </c>
    </row>
    <row r="16" ht="20" customHeight="1" s="76">
      <c r="A16" s="42" t="inlineStr">
        <is>
          <t>Legal Entity Seat Share</t>
        </is>
      </c>
      <c r="B16" s="42" t="inlineStr">
        <is>
          <t>NO_CLEAR_DIRECTION</t>
        </is>
      </c>
      <c r="C16" s="42" t="inlineStr">
        <is>
          <t>ساختاری</t>
        </is>
      </c>
      <c r="D16" s="42" t="inlineStr">
        <is>
          <t>v35: «بیشتر بهتر» پیش‌فرض نشد</t>
        </is>
      </c>
    </row>
  </sheetData>
  <mergeCells count="2">
    <mergeCell ref="A1:D1"/>
    <mergeCell ref="A2:D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0"/>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24.83203125" customWidth="1" style="76" min="2" max="3"/>
    <col width="33.33203125" customWidth="1" style="76" min="4" max="4"/>
    <col width="42" customWidth="1" style="76" min="5" max="5"/>
  </cols>
  <sheetData>
    <row r="1" ht="34" customHeight="1" s="76">
      <c r="A1" s="79" t="inlineStr">
        <is>
          <t>ممیزی Redundancy</t>
        </is>
      </c>
    </row>
    <row r="2" ht="28" customHeight="1" s="76">
      <c r="A2" s="86" t="inlineStr">
        <is>
          <t>همبستگی‌ها از برگه Correlation در v35 (CORREL) و هویت‌های ریاضی.</t>
        </is>
      </c>
    </row>
    <row r="3" ht="30" customHeight="1" s="76">
      <c r="A3" s="48" t="inlineStr">
        <is>
          <t>Pair</t>
        </is>
      </c>
      <c r="B3" s="48" t="inlineStr">
        <is>
          <t>شاهد</t>
        </is>
      </c>
      <c r="C3" s="48" t="inlineStr">
        <is>
          <t>طبقه</t>
        </is>
      </c>
      <c r="D3" s="48" t="inlineStr">
        <is>
          <t>تصمیم</t>
        </is>
      </c>
      <c r="E3" s="48" t="inlineStr">
        <is>
          <t>یادداشت</t>
        </is>
      </c>
    </row>
    <row r="4" ht="20" customHeight="1" s="76">
      <c r="A4" s="42" t="inlineStr">
        <is>
          <t>Turnover / Stability</t>
        </is>
      </c>
      <c r="B4" s="42" t="inlineStr">
        <is>
          <t>S=H−G ⇒ r=−1</t>
        </is>
      </c>
      <c r="C4" s="42" t="inlineStr">
        <is>
          <t>MATHEMATICAL_COMPLEMENT</t>
        </is>
      </c>
      <c r="D4" s="42" t="inlineStr">
        <is>
          <t>DO_NOT_COMBINE</t>
        </is>
      </c>
      <c r="E4" s="42" t="inlineStr">
        <is>
          <t>فقط یکی در هر Specification</t>
        </is>
      </c>
    </row>
    <row r="5" ht="20" customHeight="1" s="76">
      <c r="A5" s="50" t="inlineStr">
        <is>
          <t>Raw / Normalized Blau</t>
        </is>
      </c>
      <c r="B5" s="50" t="inlineStr">
        <is>
          <t>تبدیل یکنوا</t>
        </is>
      </c>
      <c r="C5" s="50" t="inlineStr">
        <is>
          <t>PARTIALLY_OVERLAPPING</t>
        </is>
      </c>
      <c r="D5" s="53" t="inlineStr">
        <is>
          <t>ROBUSTNESS_ONLY</t>
        </is>
      </c>
      <c r="E5" s="50" t="inlineStr">
        <is>
          <t>نرمال‌شده فقط Robustness</t>
        </is>
      </c>
    </row>
    <row r="6" ht="20" customHeight="1" s="76">
      <c r="A6" s="42" t="inlineStr">
        <is>
          <t>Board Size / Richness</t>
        </is>
      </c>
      <c r="B6" s="42" t="inlineStr">
        <is>
          <t>Richness≤N با N≈۵ ثابت</t>
        </is>
      </c>
      <c r="C6" s="42" t="inlineStr">
        <is>
          <t>HIGHLY_REDUNDANT</t>
        </is>
      </c>
      <c r="D6" s="46" t="inlineStr">
        <is>
          <t>DROP</t>
        </is>
      </c>
      <c r="E6" s="42" t="inlineStr">
        <is>
          <t>N در ۲۷ از ۳۰ شرکت ۵ است</t>
        </is>
      </c>
    </row>
    <row r="7" ht="29" customHeight="1" s="76">
      <c r="A7" s="50" t="inlineStr">
        <is>
          <t>Rep Change / Total Person Turnover</t>
        </is>
      </c>
      <c r="B7" s="50" t="inlineStr">
        <is>
          <t>r=0.853</t>
        </is>
      </c>
      <c r="C7" s="50" t="inlineStr">
        <is>
          <t>PARTIALLY_OVERLAPPING</t>
        </is>
      </c>
      <c r="D7" s="50" t="inlineStr">
        <is>
          <t>جدا نگه‌داشتن + یکی در Composite</t>
        </is>
      </c>
      <c r="E7" s="50" t="inlineStr">
        <is>
          <t>کنترل همپوشانی لازم</t>
        </is>
      </c>
    </row>
    <row r="8" ht="29" customHeight="1" s="76">
      <c r="A8" s="42" t="inlineStr">
        <is>
          <t>Legal Entity Change / Rep Change</t>
        </is>
      </c>
      <c r="B8" s="42" t="inlineStr">
        <is>
          <t>r(Turnover,Legal)=0.217</t>
        </is>
      </c>
      <c r="C8" s="42" t="inlineStr">
        <is>
          <t>INDEPENDENT</t>
        </is>
      </c>
      <c r="D8" s="53" t="inlineStr">
        <is>
          <t>ROBUSTNESS_ONLY</t>
        </is>
      </c>
      <c r="E8" s="42" t="inlineStr">
        <is>
          <t>بدون جهت کیفی</t>
        </is>
      </c>
    </row>
    <row r="9" ht="20" customHeight="1" s="76">
      <c r="A9" s="50" t="inlineStr">
        <is>
          <t>Turnover / New Member Share</t>
        </is>
      </c>
      <c r="B9" s="50" t="inlineStr">
        <is>
          <t>r=0.892</t>
        </is>
      </c>
      <c r="C9" s="50" t="inlineStr">
        <is>
          <t>HIGHLY_REDUNDANT</t>
        </is>
      </c>
      <c r="D9" s="50" t="inlineStr">
        <is>
          <t>DO_NOT_COMBINE</t>
        </is>
      </c>
      <c r="E9" s="50" t="inlineStr">
        <is>
          <t>New Member فقط Robustness</t>
        </is>
      </c>
    </row>
    <row r="10" ht="29" customHeight="1" s="76">
      <c r="A10" s="42" t="inlineStr">
        <is>
          <t>IRN01 / IRN02</t>
        </is>
      </c>
      <c r="B10" s="42" t="inlineStr">
        <is>
          <t>IRN01+IRN02=1</t>
        </is>
      </c>
      <c r="C10" s="42" t="inlineStr">
        <is>
          <t>MATHEMATICAL_COMPLEMENT</t>
        </is>
      </c>
      <c r="D10" s="42" t="inlineStr">
        <is>
          <t>DO_NOT_COMBINE</t>
        </is>
      </c>
      <c r="E10" s="42" t="inlineStr">
        <is>
          <t>v35 هر دو را در ۱۲ Measure شمرده است (شمارش دوگانه)</t>
        </is>
      </c>
    </row>
  </sheetData>
  <mergeCells count="2">
    <mergeCell ref="A2:E2"/>
    <mergeCell ref="A1:E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5"/>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27.6640625" customWidth="1" style="76" min="2" max="3"/>
    <col width="42" customWidth="1" style="76" min="4" max="5"/>
    <col width="10" customWidth="1" style="76" min="6" max="6"/>
    <col width="32.5" customWidth="1" style="76" min="7" max="7"/>
  </cols>
  <sheetData>
    <row r="1" ht="34" customHeight="1" s="76">
      <c r="A1" s="79" t="inlineStr">
        <is>
          <t>Conflict Log ممیزی</t>
        </is>
      </c>
    </row>
    <row r="2" ht="28" customHeight="1" s="76">
      <c r="A2" s="86" t="inlineStr">
        <is>
          <t>ناسازگاری‌های کشف‌شده بین v35 و بازتولید مستقل.</t>
        </is>
      </c>
    </row>
    <row r="3" ht="30" customHeight="1" s="76">
      <c r="A3" s="48" t="inlineStr">
        <is>
          <t>ID</t>
        </is>
      </c>
      <c r="B3" s="48" t="inlineStr">
        <is>
          <t>منطقه</t>
        </is>
      </c>
      <c r="C3" s="48" t="inlineStr">
        <is>
          <t>v35</t>
        </is>
      </c>
      <c r="D3" s="48" t="inlineStr">
        <is>
          <t>ممیزی</t>
        </is>
      </c>
      <c r="E3" s="48" t="inlineStr">
        <is>
          <t>شاهد</t>
        </is>
      </c>
      <c r="F3" s="48" t="inlineStr">
        <is>
          <t>شدت</t>
        </is>
      </c>
      <c r="G3" s="48" t="inlineStr">
        <is>
          <t>اقدام</t>
        </is>
      </c>
    </row>
    <row r="4" ht="20" customHeight="1" s="76">
      <c r="A4" s="42" t="inlineStr">
        <is>
          <t>C01</t>
        </is>
      </c>
      <c r="B4" s="42" t="inlineStr">
        <is>
          <t>S1A coverage</t>
        </is>
      </c>
      <c r="C4" s="42" t="inlineStr">
        <is>
          <t>۳۰/۳۰</t>
        </is>
      </c>
      <c r="D4" s="42" t="inlineStr">
        <is>
          <t>۲۸/۳۰</t>
        </is>
      </c>
      <c r="E4" s="42" t="inlineStr">
        <is>
          <t>v22 Duty_Status NOT_DISCLOSED</t>
        </is>
      </c>
      <c r="F4" s="42" t="inlineStr">
        <is>
          <t>متوسط</t>
        </is>
      </c>
      <c r="G4" s="42" t="inlineStr">
        <is>
          <t>اصلاح در v36 Final</t>
        </is>
      </c>
    </row>
    <row r="5" ht="20" customHeight="1" s="76">
      <c r="A5" s="50" t="inlineStr">
        <is>
          <t>C02</t>
        </is>
      </c>
      <c r="B5" s="50" t="inlineStr">
        <is>
          <t>VAR06 coverage</t>
        </is>
      </c>
      <c r="C5" s="50" t="inlineStr">
        <is>
          <t>۲۸/۲۸</t>
        </is>
      </c>
      <c r="D5" s="50" t="inlineStr">
        <is>
          <t>۲۷/۲۸</t>
        </is>
      </c>
      <c r="E5" s="50" t="inlineStr">
        <is>
          <t>v25: خودرو Blau=None</t>
        </is>
      </c>
      <c r="F5" s="50" t="inlineStr">
        <is>
          <t>متوسط</t>
        </is>
      </c>
      <c r="G5" s="50" t="inlineStr">
        <is>
          <t>اصلاح</t>
        </is>
      </c>
    </row>
    <row r="6" ht="20" customHeight="1" s="76">
      <c r="A6" s="42" t="inlineStr">
        <is>
          <t>C03</t>
        </is>
      </c>
      <c r="B6" s="42" t="inlineStr">
        <is>
          <t>SEP07 coverage/variation</t>
        </is>
      </c>
      <c r="C6" s="42" t="inlineStr">
        <is>
          <t>۳۰/۳۰؛ Variation=بله</t>
        </is>
      </c>
      <c r="D6" s="42" t="inlineStr">
        <is>
          <t>۲۶ شناخته؛ Variation صفر</t>
        </is>
      </c>
      <c r="E6" s="42" t="inlineStr">
        <is>
          <t>v22 Chair_Flag/CEO_Flag</t>
        </is>
      </c>
      <c r="F6" s="42" t="inlineStr">
        <is>
          <t>بالا</t>
        </is>
      </c>
      <c r="G6" s="42" t="inlineStr">
        <is>
          <t>تغییر نقش به CONTROL_DIAGNOSTIC</t>
        </is>
      </c>
    </row>
    <row r="7" ht="20" customHeight="1" s="76">
      <c r="A7" s="50" t="inlineStr">
        <is>
          <t>C04</t>
        </is>
      </c>
      <c r="B7" s="50" t="inlineStr">
        <is>
          <t>CR1A coverage</t>
        </is>
      </c>
      <c r="C7" s="50" t="inlineStr">
        <is>
          <t>۳۰/۳۰</t>
        </is>
      </c>
      <c r="D7" s="50" t="inlineStr">
        <is>
          <t>۲۶ از ۳۰ محافظه کارانه؛ ۲۷ کد موجود</t>
        </is>
      </c>
      <c r="E7" s="50" t="inlineStr">
        <is>
          <t>تعارض تاپیکو و کچاد در v38 حل شد؛ تعارض فملی باز است؛ رمپنا، وپاسار و حکشتی فاقد کد قابل استفاده اند.</t>
        </is>
      </c>
      <c r="F7" s="50" t="inlineStr">
        <is>
          <t>بالا</t>
        </is>
      </c>
      <c r="G7" s="50" t="inlineStr">
        <is>
          <t>حل جزئی در v39؛ منبع فملی لازم است</t>
        </is>
      </c>
    </row>
    <row r="8" ht="20" customHeight="1" s="76">
      <c r="A8" s="42" t="inlineStr">
        <is>
          <t>C05</t>
        </is>
      </c>
      <c r="B8" s="42" t="inlineStr">
        <is>
          <t>IRN01 coverage</t>
        </is>
      </c>
      <c r="C8" s="42" t="inlineStr">
        <is>
          <t>۳۰/۳۰</t>
        </is>
      </c>
      <c r="D8" s="42" t="inlineStr">
        <is>
          <t>۲۹ + Dummy بانکی</t>
        </is>
      </c>
      <c r="E8" s="42" t="inlineStr">
        <is>
          <t>v22 Legal_Entity_Represented</t>
        </is>
      </c>
      <c r="F8" s="42" t="inlineStr">
        <is>
          <t>پایین</t>
        </is>
      </c>
      <c r="G8" s="42" t="inlineStr">
        <is>
          <t>یادداشت</t>
        </is>
      </c>
    </row>
    <row r="9" ht="20" customHeight="1" s="76">
      <c r="A9" s="50" t="inlineStr">
        <is>
          <t>C06</t>
        </is>
      </c>
      <c r="B9" s="50" t="inlineStr">
        <is>
          <t>AUD01</t>
        </is>
      </c>
      <c r="C9" s="50" t="inlineStr">
        <is>
          <t>۲۲</t>
        </is>
      </c>
      <c r="D9" s="50" t="inlineStr">
        <is>
          <t>۲۳ (شبندر)</t>
        </is>
      </c>
      <c r="E9" s="50" t="inlineStr">
        <is>
          <t>SRC_SHBN_1404_001 ص۵۶</t>
        </is>
      </c>
      <c r="F9" s="50" t="inlineStr">
        <is>
          <t>متوسط</t>
        </is>
      </c>
      <c r="G9" s="50" t="inlineStr">
        <is>
          <t>اصلاح؛ ۶ Keyword Hit بازبینی</t>
        </is>
      </c>
    </row>
    <row r="10" ht="20" customHeight="1" s="76">
      <c r="A10" s="42" t="inlineStr">
        <is>
          <t>C07</t>
        </is>
      </c>
      <c r="B10" s="42" t="inlineStr">
        <is>
          <t>AUD02</t>
        </is>
      </c>
      <c r="C10" s="42" t="inlineStr">
        <is>
          <t>۱۵</t>
        </is>
      </c>
      <c r="D10" s="42" t="inlineStr">
        <is>
          <t>۱۱ اندازه دقیق</t>
        </is>
      </c>
      <c r="E10" s="42" t="inlineStr">
        <is>
          <t>v31 AC_ROSTER</t>
        </is>
      </c>
      <c r="F10" s="42" t="inlineStr">
        <is>
          <t>متوسط</t>
        </is>
      </c>
      <c r="G10" s="42" t="inlineStr">
        <is>
          <t>اصلاح</t>
        </is>
      </c>
    </row>
    <row r="11" ht="20" customHeight="1" s="76">
      <c r="A11" s="50" t="inlineStr">
        <is>
          <t>C08</t>
        </is>
      </c>
      <c r="B11" s="50" t="inlineStr">
        <is>
          <t>Turnover خودرو</t>
        </is>
      </c>
      <c r="C11" s="50" t="inlineStr">
        <is>
          <t>0/5</t>
        </is>
      </c>
      <c r="D11" s="50" t="inlineStr">
        <is>
          <t>1/5</t>
        </is>
      </c>
      <c r="E11" s="50" t="inlineStr">
        <is>
          <t>SRC_IKCO_1404_001_original ص۵۳</t>
        </is>
      </c>
      <c r="F11" s="50" t="inlineStr">
        <is>
          <t>بالا</t>
        </is>
      </c>
      <c r="G11" s="50" t="inlineStr">
        <is>
          <t>اصلاح G=1, S=4, J/K Missing</t>
        </is>
      </c>
    </row>
    <row r="12" ht="20" customHeight="1" s="76">
      <c r="A12" s="42" t="inlineStr">
        <is>
          <t>C09</t>
        </is>
      </c>
      <c r="B12" s="42" t="inlineStr">
        <is>
          <t>Rep Change فارس</t>
        </is>
      </c>
      <c r="C12" s="42" t="inlineStr">
        <is>
          <t>K=4 (75%)</t>
        </is>
      </c>
      <c r="D12" s="42" t="inlineStr">
        <is>
          <t>K=5 (60%)</t>
        </is>
      </c>
      <c r="E12" s="42" t="inlineStr">
        <is>
          <t>SRC_FARS_1404_010 ص۴۲ / SRC_FARS_1404_001 ص۴۰</t>
        </is>
      </c>
      <c r="F12" s="42" t="inlineStr">
        <is>
          <t>بالا</t>
        </is>
      </c>
      <c r="G12" s="42" t="inlineStr">
        <is>
          <t>اصلاح</t>
        </is>
      </c>
    </row>
    <row r="13" ht="20" customHeight="1" s="76">
      <c r="A13" s="50" t="inlineStr">
        <is>
          <t>C10</t>
        </is>
      </c>
      <c r="B13" s="50" t="inlineStr">
        <is>
          <t>تاپیکو FY1403 Snapshot</t>
        </is>
      </c>
      <c r="C13" s="50" t="inlineStr">
        <is>
          <t>تاییدشده</t>
        </is>
      </c>
      <c r="D13" s="50" t="inlineStr">
        <is>
          <t>≥۳ عضو پس از Cutoff؛ ناهمتراز</t>
        </is>
      </c>
      <c r="E13" s="50" t="inlineStr">
        <is>
          <t>Look-Ahead</t>
        </is>
      </c>
      <c r="F13" s="50" t="inlineStr">
        <is>
          <t>بالا</t>
        </is>
      </c>
      <c r="G13" s="46" t="inlineStr">
        <is>
          <t>NEEDS_SOURCE_REVIEW</t>
        </is>
      </c>
    </row>
    <row r="14" ht="20" customHeight="1" s="76">
      <c r="A14" s="42" t="inlineStr">
        <is>
          <t>C11</t>
        </is>
      </c>
      <c r="B14" s="42" t="inlineStr">
        <is>
          <t>پارسان Q=7 / ساختار حقوقی</t>
        </is>
      </c>
      <c r="C14" s="42" t="inlineStr">
        <is>
          <t>Q=7؛ N/A</t>
        </is>
      </c>
      <c r="D14" s="42" t="inlineStr">
        <is>
          <t>v22: ۳ کرسی و شخص حقوقی ثبت‌شده</t>
        </is>
      </c>
      <c r="E14" s="42" t="inlineStr">
        <is>
          <t>v22</t>
        </is>
      </c>
      <c r="F14" s="42" t="inlineStr">
        <is>
          <t>بالا</t>
        </is>
      </c>
      <c r="G14" s="46" t="inlineStr">
        <is>
          <t>NEEDS_SOURCE_REVIEW</t>
        </is>
      </c>
    </row>
    <row r="15" ht="29" customHeight="1" s="76">
      <c r="A15" s="50" t="inlineStr">
        <is>
          <t>C12</t>
        </is>
      </c>
      <c r="B15" s="50" t="inlineStr">
        <is>
          <t>وتجارت H=5</t>
        </is>
      </c>
      <c r="C15" s="50" t="inlineStr">
        <is>
          <t>H=5؛ Rep N/A</t>
        </is>
      </c>
      <c r="D15" s="50" t="inlineStr">
        <is>
          <t>v22: ۴ کرسی؛ شخص حقوقی ثبت‌شده؛ P&lt;G</t>
        </is>
      </c>
      <c r="E15" s="50" t="inlineStr">
        <is>
          <t>v22</t>
        </is>
      </c>
      <c r="F15" s="50" t="inlineStr">
        <is>
          <t>بالا</t>
        </is>
      </c>
      <c r="G15" s="46" t="inlineStr">
        <is>
          <t>NEEDS_SOURCE_REVIEW</t>
        </is>
      </c>
    </row>
    <row r="16" ht="20" customHeight="1" s="76">
      <c r="A16" s="42" t="inlineStr">
        <is>
          <t>C13</t>
        </is>
      </c>
      <c r="B16" s="42" t="inlineStr">
        <is>
          <t>کچاد K≠N−M</t>
        </is>
      </c>
      <c r="C16" s="42" t="inlineStr">
        <is>
          <t>K=4,N=5,M=0</t>
        </is>
      </c>
      <c r="D16" s="42" t="inlineStr">
        <is>
          <t>هویت نقض</t>
        </is>
      </c>
      <c r="E16" s="42" t="inlineStr">
        <is>
          <t>Audit Turnover</t>
        </is>
      </c>
      <c r="F16" s="42" t="inlineStr">
        <is>
          <t>متوسط</t>
        </is>
      </c>
      <c r="G16" s="46" t="inlineStr">
        <is>
          <t>NEEDS_SOURCE_REVIEW</t>
        </is>
      </c>
    </row>
    <row r="17" ht="20" customHeight="1" s="76">
      <c r="A17" s="50" t="inlineStr">
        <is>
          <t>C14</t>
        </is>
      </c>
      <c r="B17" s="50" t="inlineStr">
        <is>
          <t>جم و خساپا P&lt;G</t>
        </is>
      </c>
      <c r="C17" s="50" t="inlineStr">
        <is>
          <t>P=0,G=2 / P=2,G=3</t>
        </is>
      </c>
      <c r="D17" s="50" t="inlineStr">
        <is>
          <t>عضو جدید کمتر از تغییر کرسی</t>
        </is>
      </c>
      <c r="E17" s="50" t="inlineStr">
        <is>
          <t>Audit Turnover</t>
        </is>
      </c>
      <c r="F17" s="50" t="inlineStr">
        <is>
          <t>متوسط</t>
        </is>
      </c>
      <c r="G17" s="46" t="inlineStr">
        <is>
          <t>NEEDS_SOURCE_REVIEW</t>
        </is>
      </c>
    </row>
    <row r="18" ht="20" customHeight="1" s="76">
      <c r="A18" s="42" t="inlineStr">
        <is>
          <t>C15</t>
        </is>
      </c>
      <c r="B18" s="42" t="inlineStr">
        <is>
          <t>v31 lineage فملی/وبملت</t>
        </is>
      </c>
      <c r="C18" s="42" t="inlineStr">
        <is>
          <t>AC از v31</t>
        </is>
      </c>
      <c r="D18" s="42" t="inlineStr">
        <is>
          <t>منبع نسل اشتباه</t>
        </is>
      </c>
      <c r="E18" s="42" t="inlineStr">
        <is>
          <t>v35 ثبت منابع</t>
        </is>
      </c>
      <c r="F18" s="42" t="inlineStr">
        <is>
          <t>پایین</t>
        </is>
      </c>
      <c r="G18" s="42" t="inlineStr">
        <is>
          <t>ثبت</t>
        </is>
      </c>
    </row>
    <row r="19" ht="20" customHeight="1" s="76">
      <c r="A19" s="50" t="inlineStr">
        <is>
          <t>C16</t>
        </is>
      </c>
      <c r="B19" s="50" t="inlineStr">
        <is>
          <t>Board meetings</t>
        </is>
      </c>
      <c r="C19" s="50" t="inlineStr">
        <is>
          <t>ترکیب سال‌ها</t>
        </is>
      </c>
      <c r="D19" s="50" t="inlineStr">
        <is>
          <t>سال مالی نامتجانس</t>
        </is>
      </c>
      <c r="E19" s="50" t="inlineStr">
        <is>
          <t>v31 BOARD_MEETINGS_CONFIRMED</t>
        </is>
      </c>
      <c r="F19" s="50" t="inlineStr">
        <is>
          <t>متوسط</t>
        </is>
      </c>
      <c r="G19" s="50" t="inlineStr">
        <is>
          <t>قبل از استفاده نرمال‌سازی</t>
        </is>
      </c>
    </row>
    <row r="20" ht="20" customHeight="1" s="76">
      <c r="A20" s="42" t="inlineStr">
        <is>
          <t>C17</t>
        </is>
      </c>
      <c r="B20" s="42" t="inlineStr">
        <is>
          <t>FYE v22</t>
        </is>
      </c>
      <c r="C20" s="42" t="inlineStr">
        <is>
          <t>تقویمی برای همه</t>
        </is>
      </c>
      <c r="D20" s="42" t="inlineStr">
        <is>
          <t>شش شرکت غیرتقویمی</t>
        </is>
      </c>
      <c r="E20" s="42" t="inlineStr">
        <is>
          <t>Audit Cutoff</t>
        </is>
      </c>
      <c r="F20" s="42" t="inlineStr">
        <is>
          <t>متوسط</t>
        </is>
      </c>
      <c r="G20" s="42" t="inlineStr">
        <is>
          <t>ثبت</t>
        </is>
      </c>
    </row>
    <row r="21" ht="29" customHeight="1" s="76">
      <c r="A21" s="50" t="inlineStr">
        <is>
          <t>C18</t>
        </is>
      </c>
      <c r="B21" s="50" t="inlineStr">
        <is>
          <t>Source_URL گم‌شده</t>
        </is>
      </c>
      <c r="C21" s="50" t="inlineStr">
        <is>
          <t>—</t>
        </is>
      </c>
      <c r="D21" s="50" t="inlineStr">
        <is>
          <t>۹ شرکت بدون URL؛ ۴ بدون ردیف رجیستری</t>
        </is>
      </c>
      <c r="E21" s="50" t="inlineStr">
        <is>
          <t>Audit منابع</t>
        </is>
      </c>
      <c r="F21" s="50" t="inlineStr">
        <is>
          <t>متوسط</t>
        </is>
      </c>
      <c r="G21" s="50" t="inlineStr">
        <is>
          <t>Source Gap</t>
        </is>
      </c>
    </row>
    <row r="22" ht="20" customHeight="1" s="76">
      <c r="A22" s="42" t="inlineStr">
        <is>
          <t>C19</t>
        </is>
      </c>
      <c r="B22" s="42" t="inlineStr">
        <is>
          <t>شبندر AC=NO در v29/v31</t>
        </is>
      </c>
      <c r="C22" s="42" t="inlineStr">
        <is>
          <t>NO</t>
        </is>
      </c>
      <c r="D22" s="42" t="inlineStr">
        <is>
          <t>YES</t>
        </is>
      </c>
      <c r="E22" s="42" t="inlineStr">
        <is>
          <t>رمزگذاری عربی</t>
        </is>
      </c>
      <c r="F22" s="42" t="inlineStr">
        <is>
          <t>متوسط</t>
        </is>
      </c>
      <c r="G22" s="42" t="inlineStr">
        <is>
          <t>اصلاح</t>
        </is>
      </c>
    </row>
    <row r="23" ht="29" customHeight="1" s="76">
      <c r="A23" s="50" t="inlineStr">
        <is>
          <t>C20</t>
        </is>
      </c>
      <c r="B23" s="50" t="inlineStr">
        <is>
          <t>شمارش ۱۲ Measure</t>
        </is>
      </c>
      <c r="C23" s="50" t="inlineStr">
        <is>
          <t>۱۲ Measure در ۱۰ Construct</t>
        </is>
      </c>
      <c r="D23" s="50" t="inlineStr">
        <is>
          <t>IRN01/IRN02 مکمل ریاضی؛ AUD02 Robustness اما Scale-Up شمرده شده</t>
        </is>
      </c>
      <c r="E23" s="50" t="inlineStr">
        <is>
          <t>برگه Constructهای مستقل/معماری</t>
        </is>
      </c>
      <c r="F23" s="50" t="inlineStr">
        <is>
          <t>بالا</t>
        </is>
      </c>
      <c r="G23" s="50" t="inlineStr">
        <is>
          <t>شمارش مستقل ۹ Construct</t>
        </is>
      </c>
    </row>
    <row r="24" ht="20" customHeight="1" s="76">
      <c r="A24" s="42" t="inlineStr">
        <is>
          <t>C21</t>
        </is>
      </c>
      <c r="B24" s="42" t="inlineStr">
        <is>
          <t>عدد hardcode در جدول استاد</t>
        </is>
      </c>
      <c r="C24" s="42" t="inlineStr">
        <is>
          <t>عدد ثابت</t>
        </is>
      </c>
      <c r="D24" s="42" t="inlineStr">
        <is>
          <t>بدون ارتباط فرمولی با خام</t>
        </is>
      </c>
      <c r="E24" s="42" t="inlineStr">
        <is>
          <t>جدول استاد</t>
        </is>
      </c>
      <c r="F24" s="42" t="inlineStr">
        <is>
          <t>متوسط</t>
        </is>
      </c>
      <c r="G24" s="42" t="inlineStr">
        <is>
          <t>یادداشت</t>
        </is>
      </c>
    </row>
    <row r="25" ht="20" customHeight="1" s="76">
      <c r="A25" s="50" t="inlineStr">
        <is>
          <t>C22</t>
        </is>
      </c>
      <c r="B25" s="50" t="inlineStr">
        <is>
          <t>REF08 coverage</t>
        </is>
      </c>
      <c r="C25" s="50" t="inlineStr">
        <is>
          <t>۲۳/۲۳</t>
        </is>
      </c>
      <c r="D25" s="50" t="inlineStr">
        <is>
          <t>۲۲/۲۳</t>
        </is>
      </c>
      <c r="E25" s="50" t="inlineStr">
        <is>
          <t>خودرو Missing</t>
        </is>
      </c>
      <c r="F25" s="50" t="inlineStr">
        <is>
          <t>متوسط</t>
        </is>
      </c>
      <c r="G25" s="50" t="inlineStr">
        <is>
          <t>اصلاح</t>
        </is>
      </c>
    </row>
  </sheetData>
  <mergeCells count="2">
    <mergeCell ref="A2:G2"/>
    <mergeCell ref="A1:G1"/>
  </mergeCell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E19"/>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7.1640625" customWidth="1" style="76" min="2" max="2"/>
    <col width="23" customWidth="1" style="76" min="3" max="3"/>
    <col width="31.5" customWidth="1" style="76" min="4" max="4"/>
    <col width="22" customWidth="1" style="76" min="5" max="5"/>
  </cols>
  <sheetData>
    <row r="1" ht="34" customHeight="1" s="76">
      <c r="A1" s="79" t="inlineStr">
        <is>
          <t>اصلاحات لازم</t>
        </is>
      </c>
    </row>
    <row r="2" ht="28" customHeight="1" s="76">
      <c r="A2" s="86" t="inlineStr">
        <is>
          <t>فقط اصلاحات با شاهد منبع اعمال شده‌اند؛ باقی مورد بدون حدس عددی علامت‌گذاری شده‌اند.</t>
        </is>
      </c>
    </row>
    <row r="3" ht="30" customHeight="1" s="76">
      <c r="A3" s="48" t="inlineStr">
        <is>
          <t>برگه</t>
        </is>
      </c>
      <c r="B3" s="48" t="inlineStr">
        <is>
          <t>مورد</t>
        </is>
      </c>
      <c r="C3" s="48" t="inlineStr">
        <is>
          <t>تغییر</t>
        </is>
      </c>
      <c r="D3" s="48" t="inlineStr">
        <is>
          <t>شاهد</t>
        </is>
      </c>
      <c r="E3" s="48" t="inlineStr">
        <is>
          <t>وضعیت</t>
        </is>
      </c>
    </row>
    <row r="4" ht="20" customHeight="1" s="76">
      <c r="A4" s="42" t="inlineStr">
        <is>
          <t>Turnover نهایی</t>
        </is>
      </c>
      <c r="B4" s="42" t="inlineStr">
        <is>
          <t>خودرو G,S,P</t>
        </is>
      </c>
      <c r="C4" s="42" t="inlineStr">
        <is>
          <t>G=0→1؛ S=5→4؛ P=0→1</t>
        </is>
      </c>
      <c r="D4" s="42" t="inlineStr">
        <is>
          <t>SRC_IKCO_1404_001_original ص۵۳</t>
        </is>
      </c>
      <c r="E4" s="42" t="inlineStr">
        <is>
          <t>APPLIED</t>
        </is>
      </c>
    </row>
    <row r="5" ht="20" customHeight="1" s="76">
      <c r="A5" s="50" t="inlineStr">
        <is>
          <t>Turnover نهایی</t>
        </is>
      </c>
      <c r="B5" s="50" t="inlineStr">
        <is>
          <t>خودرو J,K,M,N</t>
        </is>
      </c>
      <c r="C5" s="50" t="inlineStr">
        <is>
          <t>0/5 → Missing</t>
        </is>
      </c>
      <c r="D5" s="50" t="inlineStr">
        <is>
          <t>عدم تایید دلیل تغییر</t>
        </is>
      </c>
      <c r="E5" s="50" t="inlineStr">
        <is>
          <t>APPLIED</t>
        </is>
      </c>
    </row>
    <row r="6" ht="20" customHeight="1" s="76">
      <c r="A6" s="42" t="inlineStr">
        <is>
          <t>Turnover نهایی</t>
        </is>
      </c>
      <c r="B6" s="42" t="inlineStr">
        <is>
          <t>فارس K,N</t>
        </is>
      </c>
      <c r="C6" s="42" t="inlineStr">
        <is>
          <t>4→5</t>
        </is>
      </c>
      <c r="D6" s="42" t="inlineStr">
        <is>
          <t>SRC_FARS_1404_010 ص۴۲</t>
        </is>
      </c>
      <c r="E6" s="42" t="inlineStr">
        <is>
          <t>APPLIED</t>
        </is>
      </c>
    </row>
    <row r="7" ht="20" customHeight="1" s="76">
      <c r="A7" s="50" t="inlineStr">
        <is>
          <t>جدول استاد / معماری</t>
        </is>
      </c>
      <c r="B7" s="50" t="inlineStr">
        <is>
          <t>S1A coverage</t>
        </is>
      </c>
      <c r="C7" s="50" t="inlineStr">
        <is>
          <t>30→28</t>
        </is>
      </c>
      <c r="D7" s="50" t="inlineStr">
        <is>
          <t>v22</t>
        </is>
      </c>
      <c r="E7" s="50" t="inlineStr">
        <is>
          <t>APPLIED</t>
        </is>
      </c>
    </row>
    <row r="8" ht="20" customHeight="1" s="76">
      <c r="A8" s="42" t="inlineStr">
        <is>
          <t>جدول استاد / معماری</t>
        </is>
      </c>
      <c r="B8" s="42" t="inlineStr">
        <is>
          <t>VAR06 coverage</t>
        </is>
      </c>
      <c r="C8" s="42" t="inlineStr">
        <is>
          <t>28→27</t>
        </is>
      </c>
      <c r="D8" s="42" t="inlineStr">
        <is>
          <t>v25</t>
        </is>
      </c>
      <c r="E8" s="42" t="inlineStr">
        <is>
          <t>APPLIED</t>
        </is>
      </c>
    </row>
    <row r="9" ht="20" customHeight="1" s="76">
      <c r="A9" s="50" t="inlineStr">
        <is>
          <t>جدول استاد / معماری</t>
        </is>
      </c>
      <c r="B9" s="50" t="inlineStr">
        <is>
          <t>CR1A coverage</t>
        </is>
      </c>
      <c r="C9" s="50" t="inlineStr">
        <is>
          <t>30→23</t>
        </is>
      </c>
      <c r="D9" s="50" t="inlineStr">
        <is>
          <t>v22/v35</t>
        </is>
      </c>
      <c r="E9" s="50" t="inlineStr">
        <is>
          <t>APPLIED</t>
        </is>
      </c>
    </row>
    <row r="10" ht="20" customHeight="1" s="76">
      <c r="A10" s="42" t="inlineStr">
        <is>
          <t>جدول استاد / معماری</t>
        </is>
      </c>
      <c r="B10" s="42" t="inlineStr">
        <is>
          <t>AUD01</t>
        </is>
      </c>
      <c r="C10" s="42" t="inlineStr">
        <is>
          <t>22→23</t>
        </is>
      </c>
      <c r="D10" s="42" t="inlineStr">
        <is>
          <t>SRC_SHBN_1404_001</t>
        </is>
      </c>
      <c r="E10" s="42" t="inlineStr">
        <is>
          <t>APPLIED</t>
        </is>
      </c>
    </row>
    <row r="11" ht="20" customHeight="1" s="76">
      <c r="A11" s="50" t="inlineStr">
        <is>
          <t>جدول استاد / معماری</t>
        </is>
      </c>
      <c r="B11" s="50" t="inlineStr">
        <is>
          <t>AUD02</t>
        </is>
      </c>
      <c r="C11" s="50" t="inlineStr">
        <is>
          <t>15→11</t>
        </is>
      </c>
      <c r="D11" s="50" t="inlineStr">
        <is>
          <t>v31</t>
        </is>
      </c>
      <c r="E11" s="50" t="inlineStr">
        <is>
          <t>APPLIED</t>
        </is>
      </c>
    </row>
    <row r="12" ht="20" customHeight="1" s="76">
      <c r="A12" s="42" t="inlineStr">
        <is>
          <t>جدول استاد / معماری</t>
        </is>
      </c>
      <c r="B12" s="42" t="inlineStr">
        <is>
          <t>IRN01/IRN02</t>
        </is>
      </c>
      <c r="C12" s="42" t="inlineStr">
        <is>
          <t>30→29</t>
        </is>
      </c>
      <c r="D12" s="42" t="inlineStr">
        <is>
          <t>v22</t>
        </is>
      </c>
      <c r="E12" s="42" t="inlineStr">
        <is>
          <t>APPLIED</t>
        </is>
      </c>
    </row>
    <row r="13" ht="20" customHeight="1" s="76">
      <c r="A13" s="50" t="inlineStr">
        <is>
          <t>جدول استاد / معماری</t>
        </is>
      </c>
      <c r="B13" s="50" t="inlineStr">
        <is>
          <t>SEP07</t>
        </is>
      </c>
      <c r="C13" s="50" t="inlineStr">
        <is>
          <t>30→26 + Variation=خیر</t>
        </is>
      </c>
      <c r="D13" s="50" t="inlineStr">
        <is>
          <t>v22</t>
        </is>
      </c>
      <c r="E13" s="50" t="inlineStr">
        <is>
          <t>APPLIED</t>
        </is>
      </c>
    </row>
    <row r="14" ht="20" customHeight="1" s="76">
      <c r="A14" s="42" t="inlineStr">
        <is>
          <t>جدول استاد / معماری</t>
        </is>
      </c>
      <c r="B14" s="42" t="inlineStr">
        <is>
          <t>REF08</t>
        </is>
      </c>
      <c r="C14" s="42" t="inlineStr">
        <is>
          <t>23→22</t>
        </is>
      </c>
      <c r="D14" s="42" t="inlineStr">
        <is>
          <t>خودرو Missing</t>
        </is>
      </c>
      <c r="E14" s="42" t="inlineStr">
        <is>
          <t>APPLIED</t>
        </is>
      </c>
    </row>
    <row r="15" ht="20" customHeight="1" s="76">
      <c r="A15" s="50" t="inlineStr">
        <is>
          <t>خلاصه نهایی</t>
        </is>
      </c>
      <c r="B15" s="50" t="inlineStr">
        <is>
          <t>متن «۲۳ مشاهده»</t>
        </is>
      </c>
      <c r="C15" s="50" t="inlineStr">
        <is>
          <t>→ ۲۲ مشاهده</t>
        </is>
      </c>
      <c r="D15" s="50" t="inlineStr">
        <is>
          <t>—</t>
        </is>
      </c>
      <c r="E15" s="50" t="inlineStr">
        <is>
          <t>APPLIED</t>
        </is>
      </c>
    </row>
    <row r="16" ht="29" customHeight="1" s="76">
      <c r="A16" s="42" t="inlineStr">
        <is>
          <t>تاپیکو، کچاد، پارسان، وتجارت، جم، خساپا</t>
        </is>
      </c>
      <c r="B16" s="42" t="inlineStr">
        <is>
          <t>ناسازگاری هویت</t>
        </is>
      </c>
      <c r="C16" s="42" t="inlineStr">
        <is>
          <t>بدون تغییر عددی</t>
        </is>
      </c>
      <c r="D16" s="42" t="inlineStr">
        <is>
          <t>نیازمند بازبینی سند</t>
        </is>
      </c>
      <c r="E16" s="42" t="inlineStr">
        <is>
          <t>DEFERRED_NOT_GUESSED</t>
        </is>
      </c>
    </row>
    <row r="17" ht="20" customHeight="1" s="76">
      <c r="A17" s="50" t="inlineStr">
        <is>
          <t>شش شرکت AUD01</t>
        </is>
      </c>
      <c r="B17" s="50" t="inlineStr">
        <is>
          <t>Keyword Hit</t>
        </is>
      </c>
      <c r="C17" s="50" t="inlineStr">
        <is>
          <t>بدون تغییر عددی</t>
        </is>
      </c>
      <c r="D17" s="50" t="inlineStr">
        <is>
          <t>بازبینی صفحه</t>
        </is>
      </c>
      <c r="E17" s="50" t="inlineStr">
        <is>
          <t>DEFERRED_NOT_GUESSED</t>
        </is>
      </c>
    </row>
    <row r="18" ht="76" customHeight="1" s="76">
      <c r="A18" s="50" t="inlineStr">
        <is>
          <t>CR1A و برگه های وابسته</t>
        </is>
      </c>
      <c r="B18" s="50" t="inlineStr">
        <is>
          <t>بازمحاسبه v39</t>
        </is>
      </c>
      <c r="C18" s="50" t="inlineStr">
        <is>
          <t>۲۷ کد موجود؛ ۲۶ محافظه کارانه</t>
        </is>
      </c>
      <c r="D18" s="50" t="inlineStr">
        <is>
          <t>CR1A v39</t>
        </is>
      </c>
      <c r="E18" s="50" t="inlineStr">
        <is>
          <t>APPLIED_WITH_OPEN_SOURCE_GAPS</t>
        </is>
      </c>
    </row>
    <row r="19" ht="76" customHeight="1" s="76">
      <c r="A19" s="50" t="inlineStr">
        <is>
          <t>Audit Coverage</t>
        </is>
      </c>
      <c r="B19" s="50" t="inlineStr">
        <is>
          <t>۳۶ فرمول بر ورودی متنی</t>
        </is>
      </c>
      <c r="C19" s="50" t="inlineStr">
        <is>
          <t>محافظ نوع عددی و پرچم ورودی نامعتبر</t>
        </is>
      </c>
      <c r="D19" s="50" t="inlineStr">
        <is>
          <t>Changes v39</t>
        </is>
      </c>
      <c r="E19" s="50" t="inlineStr">
        <is>
          <t>APPLIED_NO_IMPUTATION</t>
        </is>
      </c>
    </row>
  </sheetData>
  <mergeCells count="2">
    <mergeCell ref="A2:E2"/>
    <mergeCell ref="A1:E1"/>
  </mergeCell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E11"/>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25.83203125" customWidth="1" style="76" min="2" max="3"/>
    <col width="30.5" customWidth="1" style="76" min="4" max="4"/>
    <col width="42" customWidth="1" style="76" min="5" max="5"/>
  </cols>
  <sheetData>
    <row r="1" ht="34" customHeight="1" s="76">
      <c r="A1" s="79" t="inlineStr">
        <is>
          <t>Measureهای تاییدشده (با محدودیت)</t>
        </is>
      </c>
    </row>
    <row r="2" ht="28" customHeight="1" s="76">
      <c r="A2" s="86" t="inlineStr">
        <is>
          <t>هیچ Measure «VERIFIED» کامل نیست چون v35 داده per-firm خام برای غیر-Turnoverها ندارد.</t>
        </is>
      </c>
    </row>
    <row r="3" ht="30" customHeight="1" s="76">
      <c r="A3" s="48" t="inlineStr">
        <is>
          <t>Measure</t>
        </is>
      </c>
      <c r="B3" s="48" t="inlineStr">
        <is>
          <t>نام</t>
        </is>
      </c>
      <c r="C3" s="48" t="inlineStr">
        <is>
          <t>وضعیت ممیزی</t>
        </is>
      </c>
      <c r="D3" s="48" t="inlineStr">
        <is>
          <t>نقش پیشنهادی</t>
        </is>
      </c>
      <c r="E3" s="48" t="inlineStr">
        <is>
          <t>محدودیت</t>
        </is>
      </c>
    </row>
    <row r="4" ht="29" customHeight="1" s="76">
      <c r="A4" s="42" t="inlineStr">
        <is>
          <t>S1A</t>
        </is>
      </c>
      <c r="B4" s="42" t="inlineStr">
        <is>
          <t>پروکسی استقلال ساختاری</t>
        </is>
      </c>
      <c r="C4" s="44" t="inlineStr">
        <is>
          <t>VERIFIED_WITH_LIMITATION</t>
        </is>
      </c>
      <c r="D4" s="44" t="inlineStr">
        <is>
          <t>SCALE_UP_PRIMARY</t>
        </is>
      </c>
      <c r="E4" s="42" t="inlineStr">
        <is>
          <t>پروکسی است، نه استقلال صریح؛ ۲ شرکت Duty_Status افشا نشده</t>
        </is>
      </c>
    </row>
    <row r="5" ht="20" customHeight="1" s="76">
      <c r="A5" s="50" t="inlineStr">
        <is>
          <t>V1</t>
        </is>
      </c>
      <c r="B5" s="50" t="inlineStr">
        <is>
          <t>تنوع رشته تحصیلی</t>
        </is>
      </c>
      <c r="C5" s="44" t="inlineStr">
        <is>
          <t>VERIFIED_WITH_LIMITATION</t>
        </is>
      </c>
      <c r="D5" s="44" t="inlineStr">
        <is>
          <t>SCALE_UP_PRIMARY</t>
        </is>
      </c>
      <c r="E5" s="50" t="inlineStr">
        <is>
          <t>Blau حساس به اندازه هیئت (N≈5)</t>
        </is>
      </c>
    </row>
    <row r="6" ht="20" customHeight="1" s="76">
      <c r="A6" s="42" t="inlineStr">
        <is>
          <t>VAR10</t>
        </is>
      </c>
      <c r="B6" s="42" t="inlineStr">
        <is>
          <t>تخصص مالی مستند</t>
        </is>
      </c>
      <c r="C6" s="44" t="inlineStr">
        <is>
          <t>VERIFIED_WITH_LIMITATION</t>
        </is>
      </c>
      <c r="D6" s="52" t="inlineStr">
        <is>
          <t>SCALE_UP_WITH_LIMITATION</t>
        </is>
      </c>
      <c r="E6" s="42" t="inlineStr">
        <is>
          <t>همپوشانی با سابقه حرفه‌ای/تحصیلی</t>
        </is>
      </c>
    </row>
    <row r="7" ht="20" customHeight="1" s="76">
      <c r="A7" s="50" t="inlineStr">
        <is>
          <t>IRN01</t>
        </is>
      </c>
      <c r="B7" s="50" t="inlineStr">
        <is>
          <t>سهم کرسی حقوقی</t>
        </is>
      </c>
      <c r="C7" s="44" t="inlineStr">
        <is>
          <t>VERIFIED_WITH_LIMITATION</t>
        </is>
      </c>
      <c r="D7" s="54" t="inlineStr">
        <is>
          <t>STRUCTURAL_GOVERNANCE_MEASURE</t>
        </is>
      </c>
      <c r="E7" s="50" t="inlineStr">
        <is>
          <t>تقریبا Dummy بانکی (وبصادر/وبملت/وتجارت)</t>
        </is>
      </c>
    </row>
    <row r="8" ht="20" customHeight="1" s="76">
      <c r="A8" s="42" t="inlineStr">
        <is>
          <t>IRN02</t>
        </is>
      </c>
      <c r="B8" s="42" t="inlineStr">
        <is>
          <t>سهم کرسی حقیقی</t>
        </is>
      </c>
      <c r="C8" s="44" t="inlineStr">
        <is>
          <t>VERIFIED_WITH_LIMITATION</t>
        </is>
      </c>
      <c r="D8" s="53" t="inlineStr">
        <is>
          <t>ROBUSTNESS_ONLY</t>
        </is>
      </c>
      <c r="E8" s="42" t="inlineStr">
        <is>
          <t>مکمل دقیق IRN01 (IRN01+IRN02=1)</t>
        </is>
      </c>
    </row>
    <row r="9" ht="20" customHeight="1" s="76">
      <c r="A9" s="50" t="inlineStr">
        <is>
          <t>ROB_LEGAL</t>
        </is>
      </c>
      <c r="B9" s="50" t="inlineStr">
        <is>
          <t>Legal Entity Change Rate</t>
        </is>
      </c>
      <c r="C9" s="44" t="inlineStr">
        <is>
          <t>VERIFIED_WITH_LIMITATION</t>
        </is>
      </c>
      <c r="D9" s="53" t="inlineStr">
        <is>
          <t>ROBUSTNESS_ONLY</t>
        </is>
      </c>
      <c r="E9" s="50" t="inlineStr">
        <is>
          <t>جهت کیفی ندارد؛ r=0.217 با Turnover</t>
        </is>
      </c>
    </row>
    <row r="10" ht="20" customHeight="1" s="76">
      <c r="A10" s="42" t="inlineStr">
        <is>
          <t>ROB_NEW</t>
        </is>
      </c>
      <c r="B10" s="42" t="inlineStr">
        <is>
          <t>New Member Share</t>
        </is>
      </c>
      <c r="C10" s="44" t="inlineStr">
        <is>
          <t>VERIFIED_WITH_LIMITATION</t>
        </is>
      </c>
      <c r="D10" s="53" t="inlineStr">
        <is>
          <t>ROBUSTNESS_ONLY</t>
        </is>
      </c>
      <c r="E10" s="42" t="inlineStr">
        <is>
          <t>r=0.892 با Turnover؛ ۵ ناسازگاری P/G</t>
        </is>
      </c>
    </row>
    <row r="11" ht="20" customHeight="1" s="76">
      <c r="A11" s="50" t="inlineStr">
        <is>
          <t>ROB_STABILITY</t>
        </is>
      </c>
      <c r="B11" s="50" t="inlineStr">
        <is>
          <t>Board Stability</t>
        </is>
      </c>
      <c r="C11" s="44" t="inlineStr">
        <is>
          <t>VERIFIED_WITH_LIMITATION</t>
        </is>
      </c>
      <c r="D11" s="50" t="inlineStr">
        <is>
          <t>DO_NOT_COMBINE</t>
        </is>
      </c>
      <c r="E11" s="50" t="inlineStr">
        <is>
          <t>مکمل ریاضی Turnover (r=−1)</t>
        </is>
      </c>
    </row>
  </sheetData>
  <mergeCells count="2">
    <mergeCell ref="A2:E2"/>
    <mergeCell ref="A1:E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6"/>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3"/>
  </cols>
  <sheetData>
    <row r="1" ht="34" customHeight="1" s="76">
      <c r="A1" s="79" t="inlineStr">
        <is>
          <t>حکم نهایی ممیزی</t>
        </is>
      </c>
    </row>
    <row r="2" ht="28" customHeight="1" s="76">
      <c r="A2" s="86" t="inlineStr">
        <is>
          <t>یکی از چهار برچسب مجاز: V35_REQUIRES_MATERIAL_CORRECTIONS</t>
        </is>
      </c>
    </row>
    <row r="3" ht="30" customHeight="1" s="76">
      <c r="A3" s="48" t="inlineStr">
        <is>
          <t>مورد</t>
        </is>
      </c>
      <c r="B3" s="48" t="inlineStr">
        <is>
          <t>مقدار</t>
        </is>
      </c>
      <c r="C3" s="48" t="inlineStr">
        <is>
          <t>توضیح</t>
        </is>
      </c>
    </row>
    <row r="4" ht="29" customHeight="1" s="76">
      <c r="A4" s="42" t="inlineStr">
        <is>
          <t>Audit Verdict</t>
        </is>
      </c>
      <c r="B4" s="42" t="inlineStr">
        <is>
          <t>V35_REQUIRES_MATERIAL_CORRECTIONS</t>
        </is>
      </c>
      <c r="C4" s="42" t="inlineStr">
        <is>
          <t>تغییر مقدار Turnover خودرو و مخرج Rep Change فارس + ۷ اصلاح پوشش + تغییر Role برای SEP07/CR1A/AUD02/IRN02</t>
        </is>
      </c>
    </row>
    <row r="5" ht="29" customHeight="1" s="76">
      <c r="A5" s="50" t="inlineStr">
        <is>
          <t>Existing Scale Up Measures (پس از ممیزی)</t>
        </is>
      </c>
      <c r="B5" s="50" t="inlineStr">
        <is>
          <t>۶ (S1A, V1, VAR06, VAR10, AUD01, REF05) + IRN01 ساختاری</t>
        </is>
      </c>
      <c r="C5" s="50" t="inlineStr">
        <is>
          <t>REF08 Targeted</t>
        </is>
      </c>
    </row>
    <row r="6" ht="20" customHeight="1" s="76">
      <c r="A6" s="42" t="inlineStr">
        <is>
          <t>Final Independent Constructs</t>
        </is>
      </c>
      <c r="B6" s="42" t="n">
        <v>9</v>
      </c>
      <c r="C6" s="42" t="inlineStr">
        <is>
          <t>SEP07 به CONTROL_DIAGNOSTIC منتقل شد</t>
        </is>
      </c>
    </row>
  </sheetData>
  <mergeCells count="2">
    <mergeCell ref="A1:C1"/>
    <mergeCell ref="A2:C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1"/>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3"/>
  </cols>
  <sheetData>
    <row r="1" ht="34" customHeight="1" s="76">
      <c r="A1" s="79" t="inlineStr">
        <is>
          <t>خلاصه Candidateها</t>
        </is>
      </c>
    </row>
    <row r="2" ht="28" customHeight="1" s="76">
      <c r="A2" s="86" t="inlineStr">
        <is>
          <t>شمارش با فرمول از برگه اصلی؛ هیچ Measure جدید وارد Composite نشده است.</t>
        </is>
      </c>
    </row>
    <row r="3" ht="30" customHeight="1" s="76">
      <c r="A3" s="48" t="inlineStr">
        <is>
          <t>شاخص</t>
        </is>
      </c>
      <c r="B3" s="48" t="inlineStr">
        <is>
          <t>مقدار</t>
        </is>
      </c>
      <c r="C3" s="48" t="inlineStr">
        <is>
          <t>توضیح</t>
        </is>
      </c>
    </row>
    <row r="4" ht="20" customHeight="1" s="76">
      <c r="A4" s="42" t="inlineStr">
        <is>
          <t>Candidate آزمون‌شده</t>
        </is>
      </c>
      <c r="B4" s="42">
        <f>COUNTA('تمام Measureهای پیشنهادی'!A4:A38)</f>
        <v>35</v>
      </c>
      <c r="C4" s="43" t="n"/>
    </row>
    <row r="5" ht="20" customHeight="1" s="76">
      <c r="A5" s="50" t="inlineStr">
        <is>
          <t>SCALE_UP جدید</t>
        </is>
      </c>
      <c r="B5" s="50">
        <f>COUNTIF('تمام Measureهای پیشنهادی'!Y4:Y38,"SCALE_UP*")</f>
        <v>1</v>
      </c>
      <c r="C5" s="50" t="inlineStr">
        <is>
          <t>یک Candidate جدید: N02 سهم اعضای دارای دکترا با پوشش ۳۰ از ۳۰ و Variation واقعی</t>
        </is>
      </c>
    </row>
    <row r="6" ht="20" customHeight="1" s="76">
      <c r="A6" s="42" t="inlineStr">
        <is>
          <t>TARGETED_VALIDATION جدید</t>
        </is>
      </c>
      <c r="B6" s="42">
        <f>COUNTIF('تمام Measureهای پیشنهادی'!Y4:Y38,"TARGETED_VALIDATION")</f>
        <v>9</v>
      </c>
      <c r="C6" s="43" t="n"/>
    </row>
    <row r="7" ht="20" customHeight="1" s="76">
      <c r="A7" s="50" t="inlineStr">
        <is>
          <t>ROBUSTNESS_ONLY جدید</t>
        </is>
      </c>
      <c r="B7" s="50">
        <f>COUNTIF('تمام Measureهای پیشنهادی'!Y4:Y38,"ROBUSTNESS_ONLY")</f>
        <v>5</v>
      </c>
      <c r="C7" s="51" t="n"/>
    </row>
    <row r="8" ht="20" customHeight="1" s="76">
      <c r="A8" s="42" t="inlineStr">
        <is>
          <t>CONTROL_DIAGNOSTIC جدید</t>
        </is>
      </c>
      <c r="B8" s="42">
        <f>COUNTIF('تمام Measureهای پیشنهادی'!Y4:Y38,"CONTROL_DIAGNOSTIC")</f>
        <v>2</v>
      </c>
      <c r="C8" s="43" t="n"/>
    </row>
    <row r="9" ht="20" customHeight="1" s="76">
      <c r="A9" s="53" t="inlineStr">
        <is>
          <t>DEFER</t>
        </is>
      </c>
      <c r="B9" s="50">
        <f>COUNTIF('تمام Measureهای پیشنهادی'!Y4:Y38,"DEFER")</f>
        <v>13</v>
      </c>
      <c r="C9" s="51" t="n"/>
    </row>
    <row r="10" ht="20" customHeight="1" s="76">
      <c r="A10" s="46" t="inlineStr">
        <is>
          <t>DROP</t>
        </is>
      </c>
      <c r="B10" s="42">
        <f>COUNTIF('تمام Measureهای پیشنهادی'!Y4:Y38,"DROP")</f>
        <v>5</v>
      </c>
      <c r="C10" s="43" t="n"/>
    </row>
    <row r="11" ht="29" customHeight="1" s="76">
      <c r="A11" s="50" t="inlineStr">
        <is>
          <t>حکم</t>
        </is>
      </c>
      <c r="B11" s="50" t="inlineStr">
        <is>
          <t>ADDITIONAL_SCALE_UP_MEASURES_FOUND</t>
        </is>
      </c>
      <c r="C11" s="50" t="inlineStr">
        <is>
          <t>N02 (Doctorate Share) با پوشش ۳۰/۳۰ و Variation واقعی؛ سایر موارد Targeted/Robustness/Defer/Drop</t>
        </is>
      </c>
    </row>
  </sheetData>
  <mergeCells count="2">
    <mergeCell ref="A1:C1"/>
    <mergeCell ref="A2:C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34.33203125" customWidth="1" style="76" min="3" max="3"/>
    <col width="15.33203125" customWidth="1" style="76" min="4" max="4"/>
    <col width="42" customWidth="1" style="76" min="5" max="5"/>
    <col width="26.6640625" customWidth="1" style="76" min="6" max="6"/>
    <col width="10.6640625" customWidth="1" style="76" min="7" max="7"/>
    <col width="26.6640625" customWidth="1" style="76" min="8" max="8"/>
    <col width="22" customWidth="1" style="76" min="9" max="9"/>
    <col width="29.6640625" customWidth="1" style="76" min="10" max="10"/>
    <col width="13.5" customWidth="1" style="76" min="11" max="11"/>
    <col width="16.33203125" customWidth="1" style="76" min="12" max="13"/>
    <col width="14.33203125" customWidth="1" style="76" min="14" max="14"/>
    <col width="11.5" customWidth="1" style="76" min="15" max="16"/>
    <col width="12.5" customWidth="1" style="76" min="17" max="17"/>
    <col width="10.6640625" customWidth="1" style="76" min="18" max="18"/>
    <col width="20.1640625" customWidth="1" style="76" min="19" max="19"/>
    <col width="39.1640625" customWidth="1" style="76" min="20" max="20"/>
    <col width="16.33203125" customWidth="1" style="76" min="21" max="21"/>
    <col width="18.1640625" customWidth="1" style="76" min="22" max="22"/>
    <col width="21" customWidth="1" style="76" min="23" max="23"/>
    <col width="42" customWidth="1" style="76" min="24" max="24"/>
    <col width="25.83203125" customWidth="1" style="76" min="25" max="25"/>
  </cols>
  <sheetData>
    <row r="1" ht="34" customHeight="1" s="76">
      <c r="A1" s="79" t="inlineStr">
        <is>
          <t>تمام Measureهای پیشنهادی (۳۵ Candidate)</t>
        </is>
      </c>
    </row>
    <row r="2" ht="28" customHeight="1" s="76">
      <c r="A2" s="86" t="inlineStr">
        <is>
          <t>هر Candidate بر پایه آرشیو ۳۰ شرکت آزمون شد. بدون داده ⇒ THEORETICALLY_RELEVANT_BUT_NOT_CURRENTLY_MEASURABLE. تبدیل‌های ریاضی = Robustness، نه Measure جدید.</t>
        </is>
      </c>
    </row>
    <row r="3" ht="30" customHeight="1" s="76">
      <c r="A3" s="48" t="inlineStr">
        <is>
          <t>Measure_ID</t>
        </is>
      </c>
      <c r="B3" s="48" t="inlineStr">
        <is>
          <t>نام فارسی</t>
        </is>
      </c>
      <c r="C3" s="48" t="inlineStr">
        <is>
          <t>English Name</t>
        </is>
      </c>
      <c r="D3" s="48" t="inlineStr">
        <is>
          <t>خانواده</t>
        </is>
      </c>
      <c r="E3" s="48" t="inlineStr">
        <is>
          <t>تعریف مفهومی</t>
        </is>
      </c>
      <c r="F3" s="48" t="inlineStr">
        <is>
          <t>تعریف عملیاتی/Formula</t>
        </is>
      </c>
      <c r="G3" s="48" t="inlineStr">
        <is>
          <t>واحد</t>
        </is>
      </c>
      <c r="H3" s="48" t="inlineStr">
        <is>
          <t>Raw Fields</t>
        </is>
      </c>
      <c r="I3" s="48" t="inlineStr">
        <is>
          <t>منبع</t>
        </is>
      </c>
      <c r="J3" s="48" t="inlineStr">
        <is>
          <t>نمونه Firm/Source/Page</t>
        </is>
      </c>
      <c r="K3" s="48" t="inlineStr">
        <is>
          <t>پوشش بالقوه</t>
        </is>
      </c>
      <c r="L3" s="48" t="inlineStr">
        <is>
          <t>دسترسی ۳۰ شرکت</t>
        </is>
      </c>
      <c r="M3" s="48" t="inlineStr">
        <is>
          <t>مقیاس ۵۰۰ شرکت</t>
        </is>
      </c>
      <c r="N3" s="48" t="inlineStr">
        <is>
          <t>امکان تاریخی</t>
        </is>
      </c>
      <c r="O3" s="48" t="inlineStr">
        <is>
          <t>COVID/جنگ</t>
        </is>
      </c>
      <c r="P3" s="48" t="inlineStr">
        <is>
          <t>عینی بودن</t>
        </is>
      </c>
      <c r="Q3" s="48" t="inlineStr">
        <is>
          <t>خودکارسازی</t>
        </is>
      </c>
      <c r="R3" s="48" t="inlineStr">
        <is>
          <t>بار دستی</t>
        </is>
      </c>
      <c r="S3" s="48" t="inlineStr">
        <is>
          <t>Directionality</t>
        </is>
      </c>
      <c r="T3" s="48" t="inlineStr">
        <is>
          <t>همپوشانی</t>
        </is>
      </c>
      <c r="U3" s="48" t="inlineStr">
        <is>
          <t>اطلاعات افزوده</t>
        </is>
      </c>
      <c r="V3" s="48" t="inlineStr">
        <is>
          <t>ریسک Missingness</t>
        </is>
      </c>
      <c r="W3" s="48" t="inlineStr">
        <is>
          <t>نقش پیشنهادی</t>
        </is>
      </c>
      <c r="X3" s="48" t="inlineStr">
        <is>
          <t>Tier</t>
        </is>
      </c>
      <c r="Y3" s="48" t="inlineStr">
        <is>
          <t>توصیه نهایی</t>
        </is>
      </c>
    </row>
    <row r="4" ht="29" customHeight="1" s="76">
      <c r="A4" s="42" t="inlineStr">
        <is>
          <t>N01</t>
        </is>
      </c>
      <c r="B4" s="42" t="inlineStr">
        <is>
          <t>اندازه هیئت‌مدیره</t>
        </is>
      </c>
      <c r="C4" s="42" t="inlineStr">
        <is>
          <t>Board Size</t>
        </is>
      </c>
      <c r="D4" s="42" t="inlineStr">
        <is>
          <t>ترکیب</t>
        </is>
      </c>
      <c r="E4" s="42" t="inlineStr">
        <is>
          <t>تعداد اعضای هیئت</t>
        </is>
      </c>
      <c r="F4" s="42" t="inlineStr">
        <is>
          <t>COUNT(اعضا)</t>
        </is>
      </c>
      <c r="G4" s="42" t="inlineStr">
        <is>
          <t>نفر</t>
        </is>
      </c>
      <c r="H4" s="42" t="inlineStr">
        <is>
          <t>Member rows</t>
        </is>
      </c>
      <c r="I4" s="42" t="inlineStr">
        <is>
          <t>روستر Codal</t>
        </is>
      </c>
      <c r="J4" s="42" t="inlineStr">
        <is>
          <t>نمونه: SRC_FARS_1404_001 ص۴۰</t>
        </is>
      </c>
      <c r="K4" s="42" t="inlineStr">
        <is>
          <t>HIGH</t>
        </is>
      </c>
      <c r="L4" s="42" t="inlineStr">
        <is>
          <t>30/30</t>
        </is>
      </c>
      <c r="M4" s="42" t="inlineStr">
        <is>
          <t>HIGH</t>
        </is>
      </c>
      <c r="N4" s="42" t="inlineStr">
        <is>
          <t>HIGH</t>
        </is>
      </c>
      <c r="O4" s="42" t="inlineStr">
        <is>
          <t>HIGH</t>
        </is>
      </c>
      <c r="P4" s="42" t="inlineStr">
        <is>
          <t>HIGH</t>
        </is>
      </c>
      <c r="Q4" s="42" t="inlineStr">
        <is>
          <t>HIGH</t>
        </is>
      </c>
      <c r="R4" s="42" t="inlineStr">
        <is>
          <t>LOW</t>
        </is>
      </c>
      <c r="S4" s="42" t="inlineStr">
        <is>
          <t>CONTEXT_DEPENDENT</t>
        </is>
      </c>
      <c r="T4" s="42" t="inlineStr">
        <is>
          <t>HIGHLY_REDUNDANT با Richness</t>
        </is>
      </c>
      <c r="U4" s="42" t="inlineStr">
        <is>
          <t>NONE</t>
        </is>
      </c>
      <c r="V4" s="42" t="inlineStr">
        <is>
          <t>LOW</t>
        </is>
      </c>
      <c r="W4" s="42" t="inlineStr">
        <is>
          <t>کنترل</t>
        </is>
      </c>
      <c r="X4" s="52" t="inlineStr">
        <is>
          <t>SCALE_UP_WITH_LIMITATION</t>
        </is>
      </c>
      <c r="Y4" s="53" t="inlineStr">
        <is>
          <t>CONTROL_DIAGNOSTIC</t>
        </is>
      </c>
    </row>
    <row r="5" ht="29" customHeight="1" s="76">
      <c r="A5" s="50" t="inlineStr">
        <is>
          <t>N02</t>
        </is>
      </c>
      <c r="B5" s="50" t="inlineStr">
        <is>
          <t>سهم اعضای دارای دکترا</t>
        </is>
      </c>
      <c r="C5" s="50" t="inlineStr">
        <is>
          <t>Doctorate Share</t>
        </is>
      </c>
      <c r="D5" s="50" t="inlineStr">
        <is>
          <t>سرمایه انسانی</t>
        </is>
      </c>
      <c r="E5" s="50" t="inlineStr">
        <is>
          <t>نسبت اعضای با مدرک دکترا</t>
        </is>
      </c>
      <c r="F5" s="50" t="inlineStr">
        <is>
          <t>PhD/N</t>
        </is>
      </c>
      <c r="G5" s="50" t="inlineStr">
        <is>
          <t>%</t>
        </is>
      </c>
      <c r="H5" s="50" t="inlineStr">
        <is>
          <t>Education_Level</t>
        </is>
      </c>
      <c r="I5" s="50" t="inlineStr">
        <is>
          <t>روستر/بیوگرافی Codal</t>
        </is>
      </c>
      <c r="J5" s="50" t="inlineStr">
        <is>
          <t>نمونه: SRC_FARS_1404_001 ص۴۰</t>
        </is>
      </c>
      <c r="K5" s="50" t="inlineStr">
        <is>
          <t>HIGH</t>
        </is>
      </c>
      <c r="L5" s="50" t="inlineStr">
        <is>
          <t>30/30</t>
        </is>
      </c>
      <c r="M5" s="50" t="inlineStr">
        <is>
          <t>HIGH</t>
        </is>
      </c>
      <c r="N5" s="50" t="inlineStr">
        <is>
          <t>MEDIUM</t>
        </is>
      </c>
      <c r="O5" s="50" t="inlineStr">
        <is>
          <t>HIGH</t>
        </is>
      </c>
      <c r="P5" s="50" t="inlineStr">
        <is>
          <t>HIGH</t>
        </is>
      </c>
      <c r="Q5" s="50" t="inlineStr">
        <is>
          <t>MEDIUM</t>
        </is>
      </c>
      <c r="R5" s="50" t="inlineStr">
        <is>
          <t>MEDIUM</t>
        </is>
      </c>
      <c r="S5" s="50" t="inlineStr">
        <is>
          <t>CONTEXT_DEPENDENT</t>
        </is>
      </c>
      <c r="T5" s="50" t="inlineStr">
        <is>
          <t>PARTIALLY_OVERLAPPING با V1/VAR10</t>
        </is>
      </c>
      <c r="U5" s="50" t="inlineStr">
        <is>
          <t>MEDIUM</t>
        </is>
      </c>
      <c r="V5" s="50" t="inlineStr">
        <is>
          <t>LOW</t>
        </is>
      </c>
      <c r="W5" s="50" t="inlineStr">
        <is>
          <t>Scale-Up با محدودیت</t>
        </is>
      </c>
      <c r="X5" s="52" t="inlineStr">
        <is>
          <t>SCALE_UP_WITH_LIMITATION</t>
        </is>
      </c>
      <c r="Y5" s="52" t="inlineStr">
        <is>
          <t>SCALE_UP_WITH_LIMITATION</t>
        </is>
      </c>
    </row>
    <row r="6" ht="29" customHeight="1" s="76">
      <c r="A6" s="42" t="inlineStr">
        <is>
          <t>N03</t>
        </is>
      </c>
      <c r="B6" s="42" t="inlineStr">
        <is>
          <t>سهم مدرک کارشناسی ارشد به بالا</t>
        </is>
      </c>
      <c r="C6" s="42" t="inlineStr">
        <is>
          <t>Advanced Degree Share</t>
        </is>
      </c>
      <c r="D6" s="42" t="inlineStr">
        <is>
          <t>سرمایه انسانی</t>
        </is>
      </c>
      <c r="E6" s="42" t="inlineStr">
        <is>
          <t>نسبت ارشد+دکترا</t>
        </is>
      </c>
      <c r="F6" s="42" t="inlineStr">
        <is>
          <t>(MSc+PhD)/N</t>
        </is>
      </c>
      <c r="G6" s="42" t="inlineStr">
        <is>
          <t>%</t>
        </is>
      </c>
      <c r="H6" s="42" t="inlineStr">
        <is>
          <t>Education_Level</t>
        </is>
      </c>
      <c r="I6" s="42" t="inlineStr">
        <is>
          <t>Codal</t>
        </is>
      </c>
      <c r="J6" s="42" t="inlineStr">
        <is>
          <t>نمونه: SRC_FARS_1404_001 ص۴۰</t>
        </is>
      </c>
      <c r="K6" s="42" t="inlineStr">
        <is>
          <t>HIGH</t>
        </is>
      </c>
      <c r="L6" s="42" t="inlineStr">
        <is>
          <t>30/30</t>
        </is>
      </c>
      <c r="M6" s="42" t="inlineStr">
        <is>
          <t>HIGH</t>
        </is>
      </c>
      <c r="N6" s="42" t="inlineStr">
        <is>
          <t>MEDIUM</t>
        </is>
      </c>
      <c r="O6" s="42" t="inlineStr">
        <is>
          <t>HIGH</t>
        </is>
      </c>
      <c r="P6" s="42" t="inlineStr">
        <is>
          <t>HIGH</t>
        </is>
      </c>
      <c r="Q6" s="42" t="inlineStr">
        <is>
          <t>MEDIUM</t>
        </is>
      </c>
      <c r="R6" s="42" t="inlineStr">
        <is>
          <t>MEDIUM</t>
        </is>
      </c>
      <c r="S6" s="42" t="inlineStr">
        <is>
          <t>POSITIVE_DIRECTION</t>
        </is>
      </c>
      <c r="T6" s="42" t="inlineStr">
        <is>
          <t>MATHEMATICAL_COMPLEMENT/OVERLAP با N02</t>
        </is>
      </c>
      <c r="U6" s="42" t="inlineStr">
        <is>
          <t>LOW</t>
        </is>
      </c>
      <c r="V6" s="42" t="inlineStr">
        <is>
          <t>LOW</t>
        </is>
      </c>
      <c r="W6" s="42" t="inlineStr">
        <is>
          <t>Robustness</t>
        </is>
      </c>
      <c r="X6" s="52" t="inlineStr">
        <is>
          <t>SCALE_UP_WITH_LIMITATION</t>
        </is>
      </c>
      <c r="Y6" s="53" t="inlineStr">
        <is>
          <t>ROBUSTNESS_ONLY</t>
        </is>
      </c>
    </row>
    <row r="7" ht="29" customHeight="1" s="76">
      <c r="A7" s="50" t="inlineStr">
        <is>
          <t>N04</t>
        </is>
      </c>
      <c r="B7" s="50" t="inlineStr">
        <is>
          <t>تمرکز اشخاص حقوقی (HHI)</t>
        </is>
      </c>
      <c r="C7" s="50" t="inlineStr">
        <is>
          <t>Legal Entity Concentration HHI</t>
        </is>
      </c>
      <c r="D7" s="50" t="inlineStr">
        <is>
          <t>ساختار ایران</t>
        </is>
      </c>
      <c r="E7" s="50" t="inlineStr">
        <is>
          <t>تمرکز کرسی‌ها در نهادهای مالک</t>
        </is>
      </c>
      <c r="F7" s="50" t="inlineStr">
        <is>
          <t>Σ(share²)</t>
        </is>
      </c>
      <c r="G7" s="50" t="inlineStr">
        <is>
          <t>شاخص</t>
        </is>
      </c>
      <c r="H7" s="50" t="inlineStr">
        <is>
          <t>Legal_Entity_Represented</t>
        </is>
      </c>
      <c r="I7" s="50" t="inlineStr">
        <is>
          <t>Codal</t>
        </is>
      </c>
      <c r="J7" s="50" t="inlineStr">
        <is>
          <t>نمونه: SRC_FARS_1404_001 ص۴۰</t>
        </is>
      </c>
      <c r="K7" s="50" t="inlineStr">
        <is>
          <t>HIGH</t>
        </is>
      </c>
      <c r="L7" s="50" t="inlineStr">
        <is>
          <t>30/30</t>
        </is>
      </c>
      <c r="M7" s="50" t="inlineStr">
        <is>
          <t>HIGH</t>
        </is>
      </c>
      <c r="N7" s="50" t="inlineStr">
        <is>
          <t>HIGH</t>
        </is>
      </c>
      <c r="O7" s="50" t="inlineStr">
        <is>
          <t>HIGH</t>
        </is>
      </c>
      <c r="P7" s="50" t="inlineStr">
        <is>
          <t>HIGH</t>
        </is>
      </c>
      <c r="Q7" s="50" t="inlineStr">
        <is>
          <t>HIGH</t>
        </is>
      </c>
      <c r="R7" s="50" t="inlineStr">
        <is>
          <t>LOW</t>
        </is>
      </c>
      <c r="S7" s="50" t="inlineStr">
        <is>
          <t>NO_CLEAR_DIRECTION</t>
        </is>
      </c>
      <c r="T7" s="50" t="inlineStr">
        <is>
          <t>DO_NOT_COMBINE با IRN01</t>
        </is>
      </c>
      <c r="U7" s="50" t="inlineStr">
        <is>
          <t>NONE</t>
        </is>
      </c>
      <c r="V7" s="50" t="inlineStr">
        <is>
          <t>LOW</t>
        </is>
      </c>
      <c r="W7" s="50" t="inlineStr">
        <is>
          <t>حذف</t>
        </is>
      </c>
      <c r="X7" s="52" t="inlineStr">
        <is>
          <t>SCALE_UP_WITH_LIMITATION</t>
        </is>
      </c>
      <c r="Y7" s="46" t="inlineStr">
        <is>
          <t>DROP</t>
        </is>
      </c>
    </row>
    <row r="8" ht="29" customHeight="1" s="76">
      <c r="A8" s="42" t="inlineStr">
        <is>
          <t>N05</t>
        </is>
      </c>
      <c r="B8" s="42" t="inlineStr">
        <is>
          <t>تعداد اشخاص حقوقی متمایز</t>
        </is>
      </c>
      <c r="C8" s="42" t="inlineStr">
        <is>
          <t>Distinct Legal Entities</t>
        </is>
      </c>
      <c r="D8" s="42" t="inlineStr">
        <is>
          <t>ساختار ایران</t>
        </is>
      </c>
      <c r="E8" s="42" t="inlineStr">
        <is>
          <t>شمار نهادهای متمایز</t>
        </is>
      </c>
      <c r="F8" s="42" t="inlineStr">
        <is>
          <t>COUNT DISTINCT</t>
        </is>
      </c>
      <c r="G8" s="42" t="inlineStr">
        <is>
          <t>تعداد</t>
        </is>
      </c>
      <c r="H8" s="42" t="inlineStr">
        <is>
          <t>Legal_Entity_Represented</t>
        </is>
      </c>
      <c r="I8" s="42" t="inlineStr">
        <is>
          <t>Codal</t>
        </is>
      </c>
      <c r="J8" s="42" t="inlineStr">
        <is>
          <t>نمونه: SRC_FARS_1404_001 ص۴۰</t>
        </is>
      </c>
      <c r="K8" s="42" t="inlineStr">
        <is>
          <t>HIGH</t>
        </is>
      </c>
      <c r="L8" s="42" t="inlineStr">
        <is>
          <t>30/30</t>
        </is>
      </c>
      <c r="M8" s="42" t="inlineStr">
        <is>
          <t>HIGH</t>
        </is>
      </c>
      <c r="N8" s="42" t="inlineStr">
        <is>
          <t>HIGH</t>
        </is>
      </c>
      <c r="O8" s="42" t="inlineStr">
        <is>
          <t>HIGH</t>
        </is>
      </c>
      <c r="P8" s="42" t="inlineStr">
        <is>
          <t>HIGH</t>
        </is>
      </c>
      <c r="Q8" s="42" t="inlineStr">
        <is>
          <t>HIGH</t>
        </is>
      </c>
      <c r="R8" s="42" t="inlineStr">
        <is>
          <t>LOW</t>
        </is>
      </c>
      <c r="S8" s="42" t="inlineStr">
        <is>
          <t>NO_CLEAR_DIRECTION</t>
        </is>
      </c>
      <c r="T8" s="42" t="inlineStr">
        <is>
          <t>HIGHLY_REDUNDANT با N04</t>
        </is>
      </c>
      <c r="U8" s="42" t="inlineStr">
        <is>
          <t>NONE</t>
        </is>
      </c>
      <c r="V8" s="42" t="inlineStr">
        <is>
          <t>LOW</t>
        </is>
      </c>
      <c r="W8" s="42" t="inlineStr">
        <is>
          <t>حذف</t>
        </is>
      </c>
      <c r="X8" s="52" t="inlineStr">
        <is>
          <t>SCALE_UP_WITH_LIMITATION</t>
        </is>
      </c>
      <c r="Y8" s="46" t="inlineStr">
        <is>
          <t>DROP</t>
        </is>
      </c>
    </row>
    <row r="9" ht="29" customHeight="1" s="76">
      <c r="A9" s="50" t="inlineStr">
        <is>
          <t>N06</t>
        </is>
      </c>
      <c r="B9" s="50" t="inlineStr">
        <is>
          <t>پیوند مشترک شخص حقوقی بین شرکت‌ها</t>
        </is>
      </c>
      <c r="C9" s="50" t="inlineStr">
        <is>
          <t>Shared Legal Entity Ties</t>
        </is>
      </c>
      <c r="D9" s="50" t="inlineStr">
        <is>
          <t>شبکه/ساختار</t>
        </is>
      </c>
      <c r="E9" s="50" t="inlineStr">
        <is>
          <t>تعداد نهادهای مالک مشترک با شرکت‌های دیگر</t>
        </is>
      </c>
      <c r="F9" s="50" t="inlineStr">
        <is>
          <t>COUNT(entities shared)/N</t>
        </is>
      </c>
      <c r="G9" s="50" t="inlineStr">
        <is>
          <t>نسبت</t>
        </is>
      </c>
      <c r="H9" s="50" t="inlineStr">
        <is>
          <t>Legal_Entity_Represented</t>
        </is>
      </c>
      <c r="I9" s="50" t="inlineStr">
        <is>
          <t>Codal</t>
        </is>
      </c>
      <c r="J9" s="50" t="inlineStr">
        <is>
          <t>نمونه: SRC_FARS_1404_001 ص۴۰</t>
        </is>
      </c>
      <c r="K9" s="50" t="inlineStr">
        <is>
          <t>MEDIUM</t>
        </is>
      </c>
      <c r="L9" s="50" t="inlineStr">
        <is>
          <t>30/30</t>
        </is>
      </c>
      <c r="M9" s="50" t="inlineStr">
        <is>
          <t>MEDIUM</t>
        </is>
      </c>
      <c r="N9" s="50" t="inlineStr">
        <is>
          <t>MEDIUM</t>
        </is>
      </c>
      <c r="O9" s="50" t="inlineStr">
        <is>
          <t>HIGH</t>
        </is>
      </c>
      <c r="P9" s="50" t="inlineStr">
        <is>
          <t>HIGH</t>
        </is>
      </c>
      <c r="Q9" s="50" t="inlineStr">
        <is>
          <t>HIGH</t>
        </is>
      </c>
      <c r="R9" s="50" t="inlineStr">
        <is>
          <t>LOW</t>
        </is>
      </c>
      <c r="S9" s="50" t="inlineStr">
        <is>
          <t>CONTEXT_DEPENDENT</t>
        </is>
      </c>
      <c r="T9" s="50" t="inlineStr">
        <is>
          <t>PARTIALLY_OVERLAPPING با IRN01</t>
        </is>
      </c>
      <c r="U9" s="50" t="inlineStr">
        <is>
          <t>MEDIUM</t>
        </is>
      </c>
      <c r="V9" s="50" t="inlineStr">
        <is>
          <t>MEDIUM</t>
        </is>
      </c>
      <c r="W9" s="50" t="inlineStr">
        <is>
          <t>اعتبارسنجی هدفمند</t>
        </is>
      </c>
      <c r="X9" s="45" t="inlineStr">
        <is>
          <t>TARGETED_VALIDATION</t>
        </is>
      </c>
      <c r="Y9" s="45" t="inlineStr">
        <is>
          <t>TARGETED_VALIDATION</t>
        </is>
      </c>
    </row>
    <row r="10" ht="29" customHeight="1" s="76">
      <c r="A10" s="42" t="inlineStr">
        <is>
          <t>N07</t>
        </is>
      </c>
      <c r="B10" s="42" t="inlineStr">
        <is>
          <t>Interlock اشخاص حقیقی بین شرکت‌ها</t>
        </is>
      </c>
      <c r="C10" s="42" t="inlineStr">
        <is>
          <t>Person Interlock</t>
        </is>
      </c>
      <c r="D10" s="42" t="inlineStr">
        <is>
          <t>شبکه</t>
        </is>
      </c>
      <c r="E10" s="42" t="inlineStr">
        <is>
          <t>عضو مشترک بین دو شرکت</t>
        </is>
      </c>
      <c r="F10" s="42" t="inlineStr">
        <is>
          <t>COUNT(persons in &gt;1 firm)</t>
        </is>
      </c>
      <c r="G10" s="42" t="inlineStr">
        <is>
          <t>تعداد</t>
        </is>
      </c>
      <c r="H10" s="42" t="inlineStr">
        <is>
          <t>Member_Name</t>
        </is>
      </c>
      <c r="I10" s="42" t="inlineStr">
        <is>
          <t>Codal</t>
        </is>
      </c>
      <c r="J10" s="42" t="inlineStr">
        <is>
          <t>نمونه: SRC_FARS_1404_001 ص۴۰</t>
        </is>
      </c>
      <c r="K10" s="42" t="inlineStr">
        <is>
          <t>MEDIUM</t>
        </is>
      </c>
      <c r="L10" s="42" t="inlineStr">
        <is>
          <t>6/30</t>
        </is>
      </c>
      <c r="M10" s="42" t="inlineStr">
        <is>
          <t>MEDIUM</t>
        </is>
      </c>
      <c r="N10" s="42" t="inlineStr">
        <is>
          <t>MEDIUM</t>
        </is>
      </c>
      <c r="O10" s="42" t="inlineStr">
        <is>
          <t>HIGH</t>
        </is>
      </c>
      <c r="P10" s="42" t="inlineStr">
        <is>
          <t>MEDIUM</t>
        </is>
      </c>
      <c r="Q10" s="42" t="inlineStr">
        <is>
          <t>MEDIUM</t>
        </is>
      </c>
      <c r="R10" s="42" t="inlineStr">
        <is>
          <t>MEDIUM</t>
        </is>
      </c>
      <c r="S10" s="42" t="inlineStr">
        <is>
          <t>CONTEXT_DEPENDENT</t>
        </is>
      </c>
      <c r="T10" s="42" t="inlineStr">
        <is>
          <t>INDEPENDENT</t>
        </is>
      </c>
      <c r="U10" s="42" t="inlineStr">
        <is>
          <t>MEDIUM</t>
        </is>
      </c>
      <c r="V10" s="42" t="inlineStr">
        <is>
          <t>HIGH</t>
        </is>
      </c>
      <c r="W10" s="42" t="inlineStr">
        <is>
          <t>Proof of Concept</t>
        </is>
      </c>
      <c r="X10" s="42" t="inlineStr">
        <is>
          <t>PROOF_OF_CONCEPT_ONLY</t>
        </is>
      </c>
      <c r="Y10" s="53" t="inlineStr">
        <is>
          <t>DEFER</t>
        </is>
      </c>
    </row>
    <row r="11" ht="29" customHeight="1" s="76">
      <c r="A11" s="50" t="inlineStr">
        <is>
          <t>N08</t>
        </is>
      </c>
      <c r="B11" s="50" t="inlineStr">
        <is>
          <t>سهم سابقه دولتی/سیاست‌گذاری</t>
        </is>
      </c>
      <c r="C11" s="50" t="inlineStr">
        <is>
          <t>Government Background Share</t>
        </is>
      </c>
      <c r="D11" s="50" t="inlineStr">
        <is>
          <t>سابقه حرفه‌ای</t>
        </is>
      </c>
      <c r="E11" s="50" t="inlineStr">
        <is>
          <t>نسبت اعضای با سابقه دولتی</t>
        </is>
      </c>
      <c r="F11" s="50" t="inlineStr">
        <is>
          <t>GOV/N_classified</t>
        </is>
      </c>
      <c r="G11" s="50" t="inlineStr">
        <is>
          <t>%</t>
        </is>
      </c>
      <c r="H11" s="50" t="inlineStr">
        <is>
          <t>Strict_Primary</t>
        </is>
      </c>
      <c r="I11" s="50" t="inlineStr">
        <is>
          <t>بیوگرافی Codal</t>
        </is>
      </c>
      <c r="J11" s="50" t="inlineStr">
        <is>
          <t>نمونه: SRC_FARS_1404_001 ص۴۰</t>
        </is>
      </c>
      <c r="K11" s="50" t="inlineStr">
        <is>
          <t>MEDIUM</t>
        </is>
      </c>
      <c r="L11" s="50" t="inlineStr">
        <is>
          <t>28/30</t>
        </is>
      </c>
      <c r="M11" s="50" t="inlineStr">
        <is>
          <t>MEDIUM</t>
        </is>
      </c>
      <c r="N11" s="50" t="inlineStr">
        <is>
          <t>MEDIUM</t>
        </is>
      </c>
      <c r="O11" s="50" t="inlineStr">
        <is>
          <t>HIGH</t>
        </is>
      </c>
      <c r="P11" s="50" t="inlineStr">
        <is>
          <t>MEDIUM</t>
        </is>
      </c>
      <c r="Q11" s="50" t="inlineStr">
        <is>
          <t>LOW</t>
        </is>
      </c>
      <c r="R11" s="50" t="inlineStr">
        <is>
          <t>HIGH</t>
        </is>
      </c>
      <c r="S11" s="50" t="inlineStr">
        <is>
          <t>CONTEXT_DEPENDENT</t>
        </is>
      </c>
      <c r="T11" s="50" t="inlineStr">
        <is>
          <t>DO_NOT_COMBINE با VAR06</t>
        </is>
      </c>
      <c r="U11" s="50" t="inlineStr">
        <is>
          <t>LOW</t>
        </is>
      </c>
      <c r="V11" s="50" t="inlineStr">
        <is>
          <t>MEDIUM</t>
        </is>
      </c>
      <c r="W11" s="50" t="inlineStr">
        <is>
          <t>کنترل</t>
        </is>
      </c>
      <c r="X11" s="52" t="inlineStr">
        <is>
          <t>SCALE_UP_WITH_LIMITATION</t>
        </is>
      </c>
      <c r="Y11" s="53" t="inlineStr">
        <is>
          <t>CONTROL_DIAGNOSTIC</t>
        </is>
      </c>
    </row>
    <row r="12" ht="29" customHeight="1" s="76">
      <c r="A12" s="42" t="inlineStr">
        <is>
          <t>N09</t>
        </is>
      </c>
      <c r="B12" s="42" t="inlineStr">
        <is>
          <t>سهم سابقه مدیریت اجرایی</t>
        </is>
      </c>
      <c r="C12" s="42" t="inlineStr">
        <is>
          <t>Executive Background Share</t>
        </is>
      </c>
      <c r="D12" s="42" t="inlineStr">
        <is>
          <t>سابقه حرفه‌ای</t>
        </is>
      </c>
      <c r="E12" s="42" t="inlineStr">
        <is>
          <t>نسبت اعضای مدیر اجرایی</t>
        </is>
      </c>
      <c r="F12" s="42" t="inlineStr">
        <is>
          <t>EXE/N</t>
        </is>
      </c>
      <c r="G12" s="42" t="inlineStr">
        <is>
          <t>%</t>
        </is>
      </c>
      <c r="H12" s="42" t="inlineStr">
        <is>
          <t>Strict_Primary</t>
        </is>
      </c>
      <c r="I12" s="42" t="inlineStr">
        <is>
          <t>Codal</t>
        </is>
      </c>
      <c r="J12" s="42" t="inlineStr">
        <is>
          <t>نمونه: SRC_FARS_1404_001 ص۴۰</t>
        </is>
      </c>
      <c r="K12" s="42" t="inlineStr">
        <is>
          <t>MEDIUM</t>
        </is>
      </c>
      <c r="L12" s="42" t="inlineStr">
        <is>
          <t>28/30</t>
        </is>
      </c>
      <c r="M12" s="42" t="inlineStr">
        <is>
          <t>MEDIUM</t>
        </is>
      </c>
      <c r="N12" s="42" t="inlineStr">
        <is>
          <t>MEDIUM</t>
        </is>
      </c>
      <c r="O12" s="42" t="inlineStr">
        <is>
          <t>HIGH</t>
        </is>
      </c>
      <c r="P12" s="42" t="inlineStr">
        <is>
          <t>MEDIUM</t>
        </is>
      </c>
      <c r="Q12" s="42" t="inlineStr">
        <is>
          <t>LOW</t>
        </is>
      </c>
      <c r="R12" s="42" t="inlineStr">
        <is>
          <t>HIGH</t>
        </is>
      </c>
      <c r="S12" s="42" t="inlineStr">
        <is>
          <t>CONTEXT_DEPENDENT</t>
        </is>
      </c>
      <c r="T12" s="42" t="inlineStr">
        <is>
          <t>DO_NOT_COMBINE با VAR06</t>
        </is>
      </c>
      <c r="U12" s="42" t="inlineStr">
        <is>
          <t>LOW</t>
        </is>
      </c>
      <c r="V12" s="42" t="inlineStr">
        <is>
          <t>MEDIUM</t>
        </is>
      </c>
      <c r="W12" s="42" t="inlineStr">
        <is>
          <t>Robustness</t>
        </is>
      </c>
      <c r="X12" s="52" t="inlineStr">
        <is>
          <t>SCALE_UP_WITH_LIMITATION</t>
        </is>
      </c>
      <c r="Y12" s="53" t="inlineStr">
        <is>
          <t>ROBUSTNESS_ONLY</t>
        </is>
      </c>
    </row>
    <row r="13" ht="29" customHeight="1" s="76">
      <c r="A13" s="50" t="inlineStr">
        <is>
          <t>N10</t>
        </is>
      </c>
      <c r="B13" s="50" t="inlineStr">
        <is>
          <t>سهم سابقه مالی/سرمایه‌گذاری</t>
        </is>
      </c>
      <c r="C13" s="50" t="inlineStr">
        <is>
          <t>Finance Background Share</t>
        </is>
      </c>
      <c r="D13" s="50" t="inlineStr">
        <is>
          <t>سابقه حرفه‌ای</t>
        </is>
      </c>
      <c r="E13" s="50" t="inlineStr">
        <is>
          <t>نسبت اعضای مالی</t>
        </is>
      </c>
      <c r="F13" s="50" t="inlineStr">
        <is>
          <t>FIN/N</t>
        </is>
      </c>
      <c r="G13" s="50" t="inlineStr">
        <is>
          <t>%</t>
        </is>
      </c>
      <c r="H13" s="50" t="inlineStr">
        <is>
          <t>Strict_Primary</t>
        </is>
      </c>
      <c r="I13" s="50" t="inlineStr">
        <is>
          <t>Codal</t>
        </is>
      </c>
      <c r="J13" s="50" t="inlineStr">
        <is>
          <t>نمونه: SRC_FARS_1404_001 ص۴۰</t>
        </is>
      </c>
      <c r="K13" s="50" t="inlineStr">
        <is>
          <t>MEDIUM</t>
        </is>
      </c>
      <c r="L13" s="50" t="inlineStr">
        <is>
          <t>28/30</t>
        </is>
      </c>
      <c r="M13" s="50" t="inlineStr">
        <is>
          <t>MEDIUM</t>
        </is>
      </c>
      <c r="N13" s="50" t="inlineStr">
        <is>
          <t>MEDIUM</t>
        </is>
      </c>
      <c r="O13" s="50" t="inlineStr">
        <is>
          <t>HIGH</t>
        </is>
      </c>
      <c r="P13" s="50" t="inlineStr">
        <is>
          <t>MEDIUM</t>
        </is>
      </c>
      <c r="Q13" s="50" t="inlineStr">
        <is>
          <t>LOW</t>
        </is>
      </c>
      <c r="R13" s="50" t="inlineStr">
        <is>
          <t>HIGH</t>
        </is>
      </c>
      <c r="S13" s="50" t="inlineStr">
        <is>
          <t>POSITIVE_DIRECTION</t>
        </is>
      </c>
      <c r="T13" s="50" t="inlineStr">
        <is>
          <t>PARTIALLY_OVERLAPPING با VAR10</t>
        </is>
      </c>
      <c r="U13" s="50" t="inlineStr">
        <is>
          <t>LOW</t>
        </is>
      </c>
      <c r="V13" s="50" t="inlineStr">
        <is>
          <t>MEDIUM</t>
        </is>
      </c>
      <c r="W13" s="50" t="inlineStr">
        <is>
          <t>Robustness</t>
        </is>
      </c>
      <c r="X13" s="52" t="inlineStr">
        <is>
          <t>SCALE_UP_WITH_LIMITATION</t>
        </is>
      </c>
      <c r="Y13" s="53" t="inlineStr">
        <is>
          <t>ROBUSTNESS_ONLY</t>
        </is>
      </c>
    </row>
    <row r="14" ht="29" customHeight="1" s="76">
      <c r="A14" s="42" t="inlineStr">
        <is>
          <t>N11</t>
        </is>
      </c>
      <c r="B14" s="42" t="inlineStr">
        <is>
          <t>سهم تخصص صنعتی/عملیاتی</t>
        </is>
      </c>
      <c r="C14" s="42" t="inlineStr">
        <is>
          <t>Industry Expertise Share</t>
        </is>
      </c>
      <c r="D14" s="42" t="inlineStr">
        <is>
          <t>تخصص</t>
        </is>
      </c>
      <c r="E14" s="42" t="inlineStr">
        <is>
          <t>نسبت اعضای صنعتی</t>
        </is>
      </c>
      <c r="F14" s="42" t="inlineStr">
        <is>
          <t>OPS/N</t>
        </is>
      </c>
      <c r="G14" s="42" t="inlineStr">
        <is>
          <t>%</t>
        </is>
      </c>
      <c r="H14" s="42" t="inlineStr">
        <is>
          <t>Strict_Primary</t>
        </is>
      </c>
      <c r="I14" s="42" t="inlineStr">
        <is>
          <t>Codal</t>
        </is>
      </c>
      <c r="J14" s="42" t="inlineStr">
        <is>
          <t>نمونه: SRC_FARS_1404_001 ص۴۰</t>
        </is>
      </c>
      <c r="K14" s="42" t="inlineStr">
        <is>
          <t>MEDIUM</t>
        </is>
      </c>
      <c r="L14" s="42" t="inlineStr">
        <is>
          <t>28/30</t>
        </is>
      </c>
      <c r="M14" s="42" t="inlineStr">
        <is>
          <t>MEDIUM</t>
        </is>
      </c>
      <c r="N14" s="42" t="inlineStr">
        <is>
          <t>MEDIUM</t>
        </is>
      </c>
      <c r="O14" s="42" t="inlineStr">
        <is>
          <t>HIGH</t>
        </is>
      </c>
      <c r="P14" s="42" t="inlineStr">
        <is>
          <t>MEDIUM</t>
        </is>
      </c>
      <c r="Q14" s="42" t="inlineStr">
        <is>
          <t>LOW</t>
        </is>
      </c>
      <c r="R14" s="42" t="inlineStr">
        <is>
          <t>HIGH</t>
        </is>
      </c>
      <c r="S14" s="42" t="inlineStr">
        <is>
          <t>POSITIVE_DIRECTION</t>
        </is>
      </c>
      <c r="T14" s="42" t="inlineStr">
        <is>
          <t>PARTIALLY_OVERLAPPING</t>
        </is>
      </c>
      <c r="U14" s="42" t="inlineStr">
        <is>
          <t>LOW</t>
        </is>
      </c>
      <c r="V14" s="42" t="inlineStr">
        <is>
          <t>HIGH</t>
        </is>
      </c>
      <c r="W14" s="42" t="inlineStr">
        <is>
          <t>Proof of Concept</t>
        </is>
      </c>
      <c r="X14" s="42" t="inlineStr">
        <is>
          <t>PROOF_OF_CONCEPT_ONLY</t>
        </is>
      </c>
      <c r="Y14" s="53" t="inlineStr">
        <is>
          <t>DEFER</t>
        </is>
      </c>
    </row>
    <row r="15" ht="29" customHeight="1" s="76">
      <c r="A15" s="50" t="inlineStr">
        <is>
          <t>N12</t>
        </is>
      </c>
      <c r="B15" s="50" t="inlineStr">
        <is>
          <t>سهم تخصص حقوقی/نظارتی</t>
        </is>
      </c>
      <c r="C15" s="50" t="inlineStr">
        <is>
          <t>Legal Expertise Share</t>
        </is>
      </c>
      <c r="D15" s="50" t="inlineStr">
        <is>
          <t>تخصص</t>
        </is>
      </c>
      <c r="E15" s="50" t="inlineStr">
        <is>
          <t>نسبت اعضای حقوقی</t>
        </is>
      </c>
      <c r="F15" s="50" t="inlineStr">
        <is>
          <t>LEG/N</t>
        </is>
      </c>
      <c r="G15" s="50" t="inlineStr">
        <is>
          <t>%</t>
        </is>
      </c>
      <c r="H15" s="50" t="inlineStr">
        <is>
          <t>Strict_Primary</t>
        </is>
      </c>
      <c r="I15" s="50" t="inlineStr">
        <is>
          <t>Codal</t>
        </is>
      </c>
      <c r="J15" s="50" t="inlineStr">
        <is>
          <t>نمونه: SRC_FARS_1404_001 ص۴۰</t>
        </is>
      </c>
      <c r="K15" s="50" t="inlineStr">
        <is>
          <t>LOW</t>
        </is>
      </c>
      <c r="L15" s="50" t="inlineStr">
        <is>
          <t>28/30</t>
        </is>
      </c>
      <c r="M15" s="50" t="inlineStr">
        <is>
          <t>LOW</t>
        </is>
      </c>
      <c r="N15" s="50" t="inlineStr">
        <is>
          <t>MEDIUM</t>
        </is>
      </c>
      <c r="O15" s="50" t="inlineStr">
        <is>
          <t>HIGH</t>
        </is>
      </c>
      <c r="P15" s="50" t="inlineStr">
        <is>
          <t>MEDIUM</t>
        </is>
      </c>
      <c r="Q15" s="50" t="inlineStr">
        <is>
          <t>LOW</t>
        </is>
      </c>
      <c r="R15" s="50" t="inlineStr">
        <is>
          <t>HIGH</t>
        </is>
      </c>
      <c r="S15" s="50" t="inlineStr">
        <is>
          <t>POSITIVE_DIRECTION</t>
        </is>
      </c>
      <c r="T15" s="50" t="inlineStr">
        <is>
          <t>INDEPENDENT</t>
        </is>
      </c>
      <c r="U15" s="50" t="inlineStr">
        <is>
          <t>LOW</t>
        </is>
      </c>
      <c r="V15" s="50" t="inlineStr">
        <is>
          <t>HIGH</t>
        </is>
      </c>
      <c r="W15" s="50" t="inlineStr">
        <is>
          <t>حذف</t>
        </is>
      </c>
      <c r="X15" s="50" t="inlineStr">
        <is>
          <t>PROOF_OF_CONCEPT_ONLY</t>
        </is>
      </c>
      <c r="Y15" s="46" t="inlineStr">
        <is>
          <t>DROP</t>
        </is>
      </c>
    </row>
    <row r="16" ht="29" customHeight="1" s="76">
      <c r="A16" s="42" t="inlineStr">
        <is>
          <t>N13</t>
        </is>
      </c>
      <c r="B16" s="42" t="inlineStr">
        <is>
          <t>تخصص دانشگاهی</t>
        </is>
      </c>
      <c r="C16" s="42" t="inlineStr">
        <is>
          <t>Academic Expertise Share</t>
        </is>
      </c>
      <c r="D16" s="42" t="inlineStr">
        <is>
          <t>تخصص</t>
        </is>
      </c>
      <c r="E16" s="42" t="inlineStr">
        <is>
          <t>سابقه استادی</t>
        </is>
      </c>
      <c r="F16" s="42" t="inlineStr">
        <is>
          <t>ACAD/N</t>
        </is>
      </c>
      <c r="G16" s="42" t="inlineStr">
        <is>
          <t>%</t>
        </is>
      </c>
      <c r="H16" s="42" t="inlineStr">
        <is>
          <t>ندارد</t>
        </is>
      </c>
      <c r="I16" s="42" t="inlineStr">
        <is>
          <t>—</t>
        </is>
      </c>
      <c r="J16" s="42" t="inlineStr">
        <is>
          <t>—</t>
        </is>
      </c>
      <c r="K16" s="42" t="inlineStr">
        <is>
          <t>LOW</t>
        </is>
      </c>
      <c r="L16" s="42" t="inlineStr">
        <is>
          <t>0/30</t>
        </is>
      </c>
      <c r="M16" s="42" t="inlineStr">
        <is>
          <t>LOW</t>
        </is>
      </c>
      <c r="N16" s="42" t="inlineStr">
        <is>
          <t>LOW</t>
        </is>
      </c>
      <c r="O16" s="42" t="inlineStr">
        <is>
          <t>HIGH</t>
        </is>
      </c>
      <c r="P16" s="42" t="inlineStr">
        <is>
          <t>MEDIUM</t>
        </is>
      </c>
      <c r="Q16" s="42" t="inlineStr">
        <is>
          <t>LOW</t>
        </is>
      </c>
      <c r="R16" s="42" t="inlineStr">
        <is>
          <t>HIGH</t>
        </is>
      </c>
      <c r="S16" s="42" t="inlineStr">
        <is>
          <t>POSITIVE_DIRECTION</t>
        </is>
      </c>
      <c r="T16" s="42" t="inlineStr">
        <is>
          <t>N/A</t>
        </is>
      </c>
      <c r="U16" s="42" t="inlineStr">
        <is>
          <t>N/A</t>
        </is>
      </c>
      <c r="V16" s="42" t="inlineStr">
        <is>
          <t>HIGH</t>
        </is>
      </c>
      <c r="W16" s="42" t="inlineStr">
        <is>
          <t>تئوریک</t>
        </is>
      </c>
      <c r="X16" s="42" t="inlineStr">
        <is>
          <t>THEORETICALLY_RELEVANT_BUT_NOT_CURRENTLY_MEASURABLE</t>
        </is>
      </c>
      <c r="Y16" s="53" t="inlineStr">
        <is>
          <t>DEFER</t>
        </is>
      </c>
    </row>
    <row r="17" ht="29" customHeight="1" s="76">
      <c r="A17" s="50" t="inlineStr">
        <is>
          <t>N14</t>
        </is>
      </c>
      <c r="B17" s="50" t="inlineStr">
        <is>
          <t>استقلال کمیته حسابرسی</t>
        </is>
      </c>
      <c r="C17" s="50" t="inlineStr">
        <is>
          <t>Audit Committee Independence</t>
        </is>
      </c>
      <c r="D17" s="50" t="inlineStr">
        <is>
          <t>نظارت</t>
        </is>
      </c>
      <c r="E17" s="50" t="inlineStr">
        <is>
          <t>سهم اعضای مستقل کمیته</t>
        </is>
      </c>
      <c r="F17" s="50" t="inlineStr">
        <is>
          <t>IndAC/N_AC</t>
        </is>
      </c>
      <c r="G17" s="50" t="inlineStr">
        <is>
          <t>%</t>
        </is>
      </c>
      <c r="H17" s="50" t="inlineStr">
        <is>
          <t>AC roster</t>
        </is>
      </c>
      <c r="I17" s="50" t="inlineStr">
        <is>
          <t>Codal</t>
        </is>
      </c>
      <c r="J17" s="50" t="inlineStr">
        <is>
          <t>نمونه: SRC_FARS_1404_001 ص۴۰</t>
        </is>
      </c>
      <c r="K17" s="50" t="inlineStr">
        <is>
          <t>MEDIUM</t>
        </is>
      </c>
      <c r="L17" s="50" t="inlineStr">
        <is>
          <t>5/30</t>
        </is>
      </c>
      <c r="M17" s="50" t="inlineStr">
        <is>
          <t>MEDIUM</t>
        </is>
      </c>
      <c r="N17" s="50" t="inlineStr">
        <is>
          <t>MEDIUM</t>
        </is>
      </c>
      <c r="O17" s="50" t="inlineStr">
        <is>
          <t>HIGH</t>
        </is>
      </c>
      <c r="P17" s="50" t="inlineStr">
        <is>
          <t>MEDIUM</t>
        </is>
      </c>
      <c r="Q17" s="50" t="inlineStr">
        <is>
          <t>MEDIUM</t>
        </is>
      </c>
      <c r="R17" s="50" t="inlineStr">
        <is>
          <t>MEDIUM</t>
        </is>
      </c>
      <c r="S17" s="50" t="inlineStr">
        <is>
          <t>POSITIVE_DIRECTION</t>
        </is>
      </c>
      <c r="T17" s="50" t="inlineStr">
        <is>
          <t>INDEPENDENT</t>
        </is>
      </c>
      <c r="U17" s="50" t="inlineStr">
        <is>
          <t>HIGH</t>
        </is>
      </c>
      <c r="V17" s="50" t="inlineStr">
        <is>
          <t>HIGH</t>
        </is>
      </c>
      <c r="W17" s="50" t="inlineStr">
        <is>
          <t>اعتبارسنجی هدفمند</t>
        </is>
      </c>
      <c r="X17" s="45" t="inlineStr">
        <is>
          <t>TARGETED_VALIDATION</t>
        </is>
      </c>
      <c r="Y17" s="45" t="inlineStr">
        <is>
          <t>TARGETED_VALIDATION</t>
        </is>
      </c>
    </row>
    <row r="18" ht="29" customHeight="1" s="76">
      <c r="A18" s="42" t="inlineStr">
        <is>
          <t>N15</t>
        </is>
      </c>
      <c r="B18" s="42" t="inlineStr">
        <is>
          <t>تخصص مالی کمیته حسابرسی</t>
        </is>
      </c>
      <c r="C18" s="42" t="inlineStr">
        <is>
          <t>AC Financial Expertise</t>
        </is>
      </c>
      <c r="D18" s="42" t="inlineStr">
        <is>
          <t>نظارت</t>
        </is>
      </c>
      <c r="E18" s="42" t="inlineStr">
        <is>
          <t>وجود عضو مالی در AC</t>
        </is>
      </c>
      <c r="F18" s="42" t="inlineStr">
        <is>
          <t>FinAC&gt;=1</t>
        </is>
      </c>
      <c r="G18" s="42" t="inlineStr">
        <is>
          <t>بله/خیر</t>
        </is>
      </c>
      <c r="H18" s="42" t="inlineStr">
        <is>
          <t>AC roster</t>
        </is>
      </c>
      <c r="I18" s="42" t="inlineStr">
        <is>
          <t>Codal</t>
        </is>
      </c>
      <c r="J18" s="42" t="inlineStr">
        <is>
          <t>نمونه: SRC_FARS_1404_001 ص۴۰</t>
        </is>
      </c>
      <c r="K18" s="42" t="inlineStr">
        <is>
          <t>MEDIUM</t>
        </is>
      </c>
      <c r="L18" s="42" t="inlineStr">
        <is>
          <t>27/30</t>
        </is>
      </c>
      <c r="M18" s="42" t="inlineStr">
        <is>
          <t>MEDIUM</t>
        </is>
      </c>
      <c r="N18" s="42" t="inlineStr">
        <is>
          <t>MEDIUM</t>
        </is>
      </c>
      <c r="O18" s="42" t="inlineStr">
        <is>
          <t>HIGH</t>
        </is>
      </c>
      <c r="P18" s="42" t="inlineStr">
        <is>
          <t>MEDIUM</t>
        </is>
      </c>
      <c r="Q18" s="42" t="inlineStr">
        <is>
          <t>MEDIUM</t>
        </is>
      </c>
      <c r="R18" s="42" t="inlineStr">
        <is>
          <t>MEDIUM</t>
        </is>
      </c>
      <c r="S18" s="42" t="inlineStr">
        <is>
          <t>POSITIVE_DIRECTION</t>
        </is>
      </c>
      <c r="T18" s="42" t="inlineStr">
        <is>
          <t>OVERLAPPING با VAR10</t>
        </is>
      </c>
      <c r="U18" s="42" t="inlineStr">
        <is>
          <t>MEDIUM</t>
        </is>
      </c>
      <c r="V18" s="42" t="inlineStr">
        <is>
          <t>HIGH</t>
        </is>
      </c>
      <c r="W18" s="42" t="inlineStr">
        <is>
          <t>اعتبارسنجی هدفمند</t>
        </is>
      </c>
      <c r="X18" s="45" t="inlineStr">
        <is>
          <t>TARGETED_VALIDATION</t>
        </is>
      </c>
      <c r="Y18" s="45" t="inlineStr">
        <is>
          <t>TARGETED_VALIDATION</t>
        </is>
      </c>
    </row>
    <row r="19" ht="29" customHeight="1" s="76">
      <c r="A19" s="50" t="inlineStr">
        <is>
          <t>N16</t>
        </is>
      </c>
      <c r="B19" s="50" t="inlineStr">
        <is>
          <t>تعداد جلسات کمیته حسابرسی</t>
        </is>
      </c>
      <c r="C19" s="50" t="inlineStr">
        <is>
          <t>AC Meeting Frequency</t>
        </is>
      </c>
      <c r="D19" s="50" t="inlineStr">
        <is>
          <t>فعالیت</t>
        </is>
      </c>
      <c r="E19" s="50" t="inlineStr">
        <is>
          <t>جلسات AC در سال مالی</t>
        </is>
      </c>
      <c r="F19" s="50" t="inlineStr">
        <is>
          <t>COUNT meetings</t>
        </is>
      </c>
      <c r="G19" s="50" t="inlineStr">
        <is>
          <t>تعداد</t>
        </is>
      </c>
      <c r="H19" s="50" t="inlineStr">
        <is>
          <t>AC report</t>
        </is>
      </c>
      <c r="I19" s="50" t="inlineStr">
        <is>
          <t>Codal</t>
        </is>
      </c>
      <c r="J19" s="50" t="inlineStr">
        <is>
          <t>نمونه: SRC_FARS_1404_001 ص۴۰</t>
        </is>
      </c>
      <c r="K19" s="50" t="inlineStr">
        <is>
          <t>MEDIUM</t>
        </is>
      </c>
      <c r="L19" s="50" t="inlineStr">
        <is>
          <t>20/30</t>
        </is>
      </c>
      <c r="M19" s="50" t="inlineStr">
        <is>
          <t>MEDIUM</t>
        </is>
      </c>
      <c r="N19" s="50" t="inlineStr">
        <is>
          <t>MEDIUM</t>
        </is>
      </c>
      <c r="O19" s="50" t="inlineStr">
        <is>
          <t>MEDIUM</t>
        </is>
      </c>
      <c r="P19" s="50" t="inlineStr">
        <is>
          <t>HIGH</t>
        </is>
      </c>
      <c r="Q19" s="50" t="inlineStr">
        <is>
          <t>MEDIUM</t>
        </is>
      </c>
      <c r="R19" s="50" t="inlineStr">
        <is>
          <t>MEDIUM</t>
        </is>
      </c>
      <c r="S19" s="50" t="inlineStr">
        <is>
          <t>NONLINEAR_POSSIBLE</t>
        </is>
      </c>
      <c r="T19" s="50" t="inlineStr">
        <is>
          <t>INDEPENDENT</t>
        </is>
      </c>
      <c r="U19" s="50" t="inlineStr">
        <is>
          <t>HIGH</t>
        </is>
      </c>
      <c r="V19" s="50" t="inlineStr">
        <is>
          <t>MEDIUM</t>
        </is>
      </c>
      <c r="W19" s="50" t="inlineStr">
        <is>
          <t>اعتبارسنجی هدفمند</t>
        </is>
      </c>
      <c r="X19" s="45" t="inlineStr">
        <is>
          <t>TARGETED_VALIDATION</t>
        </is>
      </c>
      <c r="Y19" s="45" t="inlineStr">
        <is>
          <t>TARGETED_VALIDATION</t>
        </is>
      </c>
    </row>
    <row r="20" ht="29" customHeight="1" s="76">
      <c r="A20" s="42" t="inlineStr">
        <is>
          <t>N17</t>
        </is>
      </c>
      <c r="B20" s="42" t="inlineStr">
        <is>
          <t>تعداد جلسات هیئت‌مدیره (نرمال‌شده)</t>
        </is>
      </c>
      <c r="C20" s="42" t="inlineStr">
        <is>
          <t>Board Meeting Frequency</t>
        </is>
      </c>
      <c r="D20" s="42" t="inlineStr">
        <is>
          <t>فعالیت</t>
        </is>
      </c>
      <c r="E20" s="42" t="inlineStr">
        <is>
          <t>جلسات در سال مالی تقسیم بر ماه‌های مشاهده</t>
        </is>
      </c>
      <c r="F20" s="42" t="inlineStr">
        <is>
          <t>meetings/months</t>
        </is>
      </c>
      <c r="G20" s="42" t="inlineStr">
        <is>
          <t>جلسه/ماه</t>
        </is>
      </c>
      <c r="H20" s="42" t="inlineStr">
        <is>
          <t>Board report</t>
        </is>
      </c>
      <c r="I20" s="42" t="inlineStr">
        <is>
          <t>Codal</t>
        </is>
      </c>
      <c r="J20" s="42" t="inlineStr">
        <is>
          <t>نمونه: SRC_FARS_1404_001 ص۴۰</t>
        </is>
      </c>
      <c r="K20" s="42" t="inlineStr">
        <is>
          <t>MEDIUM</t>
        </is>
      </c>
      <c r="L20" s="42" t="inlineStr">
        <is>
          <t>5/30</t>
        </is>
      </c>
      <c r="M20" s="42" t="inlineStr">
        <is>
          <t>MEDIUM</t>
        </is>
      </c>
      <c r="N20" s="42" t="inlineStr">
        <is>
          <t>MEDIUM</t>
        </is>
      </c>
      <c r="O20" s="42" t="inlineStr">
        <is>
          <t>MEDIUM</t>
        </is>
      </c>
      <c r="P20" s="42" t="inlineStr">
        <is>
          <t>HIGH</t>
        </is>
      </c>
      <c r="Q20" s="42" t="inlineStr">
        <is>
          <t>MEDIUM</t>
        </is>
      </c>
      <c r="R20" s="42" t="inlineStr">
        <is>
          <t>MEDIUM</t>
        </is>
      </c>
      <c r="S20" s="42" t="inlineStr">
        <is>
          <t>NONLINEAR_POSSIBLE</t>
        </is>
      </c>
      <c r="T20" s="42" t="inlineStr">
        <is>
          <t>INDEPENDENT</t>
        </is>
      </c>
      <c r="U20" s="42" t="inlineStr">
        <is>
          <t>HIGH</t>
        </is>
      </c>
      <c r="V20" s="42" t="inlineStr">
        <is>
          <t>MEDIUM</t>
        </is>
      </c>
      <c r="W20" s="42" t="inlineStr">
        <is>
          <t>اعتبارسنجی هدفمند</t>
        </is>
      </c>
      <c r="X20" s="45" t="inlineStr">
        <is>
          <t>TARGETED_VALIDATION</t>
        </is>
      </c>
      <c r="Y20" s="45" t="inlineStr">
        <is>
          <t>TARGETED_VALIDATION</t>
        </is>
      </c>
    </row>
    <row r="21" ht="29" customHeight="1" s="76">
      <c r="A21" s="50" t="inlineStr">
        <is>
          <t>N18</t>
        </is>
      </c>
      <c r="B21" s="50" t="inlineStr">
        <is>
          <t>وجود کمیته ریسک</t>
        </is>
      </c>
      <c r="C21" s="50" t="inlineStr">
        <is>
          <t>Risk Committee Presence</t>
        </is>
      </c>
      <c r="D21" s="50" t="inlineStr">
        <is>
          <t>نظارت</t>
        </is>
      </c>
      <c r="E21" s="50" t="inlineStr">
        <is>
          <t>کمیته ریسک رسمی</t>
        </is>
      </c>
      <c r="F21" s="50" t="inlineStr">
        <is>
          <t>indicator</t>
        </is>
      </c>
      <c r="G21" s="50" t="inlineStr">
        <is>
          <t>بله/خیر</t>
        </is>
      </c>
      <c r="H21" s="50" t="inlineStr">
        <is>
          <t>Committee list</t>
        </is>
      </c>
      <c r="I21" s="50" t="inlineStr">
        <is>
          <t>Codal</t>
        </is>
      </c>
      <c r="J21" s="50" t="inlineStr">
        <is>
          <t>نمونه: SRC_FARS_1404_001 ص۴۰</t>
        </is>
      </c>
      <c r="K21" s="50" t="inlineStr">
        <is>
          <t>HIGH</t>
        </is>
      </c>
      <c r="L21" s="50" t="inlineStr">
        <is>
          <t>28/30</t>
        </is>
      </c>
      <c r="M21" s="50" t="inlineStr">
        <is>
          <t>HIGH</t>
        </is>
      </c>
      <c r="N21" s="50" t="inlineStr">
        <is>
          <t>MEDIUM</t>
        </is>
      </c>
      <c r="O21" s="50" t="inlineStr">
        <is>
          <t>HIGH</t>
        </is>
      </c>
      <c r="P21" s="50" t="inlineStr">
        <is>
          <t>HIGH</t>
        </is>
      </c>
      <c r="Q21" s="50" t="inlineStr">
        <is>
          <t>HIGH</t>
        </is>
      </c>
      <c r="R21" s="50" t="inlineStr">
        <is>
          <t>MEDIUM</t>
        </is>
      </c>
      <c r="S21" s="50" t="inlineStr">
        <is>
          <t>POSITIVE_DIRECTION</t>
        </is>
      </c>
      <c r="T21" s="50" t="inlineStr">
        <is>
          <t>PARTIALLY_OVERLAPPING با AUD01</t>
        </is>
      </c>
      <c r="U21" s="50" t="inlineStr">
        <is>
          <t>MEDIUM</t>
        </is>
      </c>
      <c r="V21" s="50" t="inlineStr">
        <is>
          <t>MEDIUM</t>
        </is>
      </c>
      <c r="W21" s="50" t="inlineStr">
        <is>
          <t>اعتبارسنجی هدفمند</t>
        </is>
      </c>
      <c r="X21" s="45" t="inlineStr">
        <is>
          <t>TARGETED_VALIDATION</t>
        </is>
      </c>
      <c r="Y21" s="45" t="inlineStr">
        <is>
          <t>TARGETED_VALIDATION</t>
        </is>
      </c>
    </row>
    <row r="22" ht="29" customHeight="1" s="76">
      <c r="A22" s="42" t="inlineStr">
        <is>
          <t>N19</t>
        </is>
      </c>
      <c r="B22" s="42" t="inlineStr">
        <is>
          <t>وجود کمیته نامزدی</t>
        </is>
      </c>
      <c r="C22" s="42" t="inlineStr">
        <is>
          <t>Nomination Committee Presence</t>
        </is>
      </c>
      <c r="D22" s="42" t="inlineStr">
        <is>
          <t>نظارت</t>
        </is>
      </c>
      <c r="E22" s="42" t="inlineStr">
        <is>
          <t>کمیته انتصابات</t>
        </is>
      </c>
      <c r="F22" s="42" t="inlineStr">
        <is>
          <t>indicator</t>
        </is>
      </c>
      <c r="G22" s="42" t="inlineStr">
        <is>
          <t>بله/خیر</t>
        </is>
      </c>
      <c r="H22" s="42" t="inlineStr">
        <is>
          <t>Committee list</t>
        </is>
      </c>
      <c r="I22" s="42" t="inlineStr">
        <is>
          <t>Codal</t>
        </is>
      </c>
      <c r="J22" s="42" t="inlineStr">
        <is>
          <t>نمونه: SRC_FARS_1404_001 ص۴۰</t>
        </is>
      </c>
      <c r="K22" s="42" t="inlineStr">
        <is>
          <t>HIGH</t>
        </is>
      </c>
      <c r="L22" s="42" t="inlineStr">
        <is>
          <t>28/30</t>
        </is>
      </c>
      <c r="M22" s="42" t="inlineStr">
        <is>
          <t>HIGH</t>
        </is>
      </c>
      <c r="N22" s="42" t="inlineStr">
        <is>
          <t>MEDIUM</t>
        </is>
      </c>
      <c r="O22" s="42" t="inlineStr">
        <is>
          <t>HIGH</t>
        </is>
      </c>
      <c r="P22" s="42" t="inlineStr">
        <is>
          <t>HIGH</t>
        </is>
      </c>
      <c r="Q22" s="42" t="inlineStr">
        <is>
          <t>HIGH</t>
        </is>
      </c>
      <c r="R22" s="42" t="inlineStr">
        <is>
          <t>MEDIUM</t>
        </is>
      </c>
      <c r="S22" s="42" t="inlineStr">
        <is>
          <t>POSITIVE_DIRECTION</t>
        </is>
      </c>
      <c r="T22" s="42" t="inlineStr">
        <is>
          <t>PARTIALLY_OVERLAPPING</t>
        </is>
      </c>
      <c r="U22" s="42" t="inlineStr">
        <is>
          <t>LOW</t>
        </is>
      </c>
      <c r="V22" s="42" t="inlineStr">
        <is>
          <t>HIGH</t>
        </is>
      </c>
      <c r="W22" s="42" t="inlineStr">
        <is>
          <t>تعویق</t>
        </is>
      </c>
      <c r="X22" s="52" t="inlineStr">
        <is>
          <t>SCALE_UP_WITH_LIMITATION</t>
        </is>
      </c>
      <c r="Y22" s="53" t="inlineStr">
        <is>
          <t>DEFER</t>
        </is>
      </c>
    </row>
    <row r="23" ht="29" customHeight="1" s="76">
      <c r="A23" s="50" t="inlineStr">
        <is>
          <t>N20</t>
        </is>
      </c>
      <c r="B23" s="50" t="inlineStr">
        <is>
          <t>وجود کمیته جبران خدمات</t>
        </is>
      </c>
      <c r="C23" s="50" t="inlineStr">
        <is>
          <t>Compensation Committee Presence</t>
        </is>
      </c>
      <c r="D23" s="50" t="inlineStr">
        <is>
          <t>نظارت</t>
        </is>
      </c>
      <c r="E23" s="50" t="inlineStr">
        <is>
          <t>کمیته حقوق و مزایا</t>
        </is>
      </c>
      <c r="F23" s="50" t="inlineStr">
        <is>
          <t>indicator</t>
        </is>
      </c>
      <c r="G23" s="50" t="inlineStr">
        <is>
          <t>بله/خیر</t>
        </is>
      </c>
      <c r="H23" s="50" t="inlineStr">
        <is>
          <t>Committee list</t>
        </is>
      </c>
      <c r="I23" s="50" t="inlineStr">
        <is>
          <t>Codal</t>
        </is>
      </c>
      <c r="J23" s="50" t="inlineStr">
        <is>
          <t>نمونه: SRC_FARS_1404_001 ص۴۰</t>
        </is>
      </c>
      <c r="K23" s="50" t="inlineStr">
        <is>
          <t>LOW</t>
        </is>
      </c>
      <c r="L23" s="50" t="inlineStr">
        <is>
          <t>4/30</t>
        </is>
      </c>
      <c r="M23" s="50" t="inlineStr">
        <is>
          <t>LOW</t>
        </is>
      </c>
      <c r="N23" s="50" t="inlineStr">
        <is>
          <t>LOW</t>
        </is>
      </c>
      <c r="O23" s="50" t="inlineStr">
        <is>
          <t>HIGH</t>
        </is>
      </c>
      <c r="P23" s="50" t="inlineStr">
        <is>
          <t>HIGH</t>
        </is>
      </c>
      <c r="Q23" s="50" t="inlineStr">
        <is>
          <t>HIGH</t>
        </is>
      </c>
      <c r="R23" s="50" t="inlineStr">
        <is>
          <t>MEDIUM</t>
        </is>
      </c>
      <c r="S23" s="50" t="inlineStr">
        <is>
          <t>POSITIVE_DIRECTION</t>
        </is>
      </c>
      <c r="T23" s="50" t="inlineStr">
        <is>
          <t>INDEPENDENT</t>
        </is>
      </c>
      <c r="U23" s="50" t="inlineStr">
        <is>
          <t>MEDIUM</t>
        </is>
      </c>
      <c r="V23" s="50" t="inlineStr">
        <is>
          <t>HIGH</t>
        </is>
      </c>
      <c r="W23" s="50" t="inlineStr">
        <is>
          <t>Proof of Concept</t>
        </is>
      </c>
      <c r="X23" s="50" t="inlineStr">
        <is>
          <t>PROOF_OF_CONCEPT_ONLY</t>
        </is>
      </c>
      <c r="Y23" s="53" t="inlineStr">
        <is>
          <t>DEFER</t>
        </is>
      </c>
    </row>
    <row r="24" ht="29" customHeight="1" s="76">
      <c r="A24" s="42" t="inlineStr">
        <is>
          <t>N21</t>
        </is>
      </c>
      <c r="B24" s="42" t="inlineStr">
        <is>
          <t>وجود کمیته سرمایه‌گذاری</t>
        </is>
      </c>
      <c r="C24" s="42" t="inlineStr">
        <is>
          <t>Investment Committee Presence</t>
        </is>
      </c>
      <c r="D24" s="42" t="inlineStr">
        <is>
          <t>نظارت</t>
        </is>
      </c>
      <c r="E24" s="42" t="inlineStr">
        <is>
          <t>کمیته سرمایه‌گذاری</t>
        </is>
      </c>
      <c r="F24" s="42" t="inlineStr">
        <is>
          <t>indicator</t>
        </is>
      </c>
      <c r="G24" s="42" t="inlineStr">
        <is>
          <t>بله/خیر</t>
        </is>
      </c>
      <c r="H24" s="42" t="inlineStr">
        <is>
          <t>Committee list</t>
        </is>
      </c>
      <c r="I24" s="42" t="inlineStr">
        <is>
          <t>Codal</t>
        </is>
      </c>
      <c r="J24" s="42" t="inlineStr">
        <is>
          <t>نمونه: SRC_FARS_1404_001 ص۴۰</t>
        </is>
      </c>
      <c r="K24" s="42" t="inlineStr">
        <is>
          <t>LOW</t>
        </is>
      </c>
      <c r="L24" s="42" t="inlineStr">
        <is>
          <t>10/30</t>
        </is>
      </c>
      <c r="M24" s="42" t="inlineStr">
        <is>
          <t>LOW</t>
        </is>
      </c>
      <c r="N24" s="42" t="inlineStr">
        <is>
          <t>LOW</t>
        </is>
      </c>
      <c r="O24" s="42" t="inlineStr">
        <is>
          <t>HIGH</t>
        </is>
      </c>
      <c r="P24" s="42" t="inlineStr">
        <is>
          <t>HIGH</t>
        </is>
      </c>
      <c r="Q24" s="42" t="inlineStr">
        <is>
          <t>HIGH</t>
        </is>
      </c>
      <c r="R24" s="42" t="inlineStr">
        <is>
          <t>MEDIUM</t>
        </is>
      </c>
      <c r="S24" s="42" t="inlineStr">
        <is>
          <t>NO_CLEAR_DIRECTION</t>
        </is>
      </c>
      <c r="T24" s="42" t="inlineStr">
        <is>
          <t>INDEPENDENT</t>
        </is>
      </c>
      <c r="U24" s="42" t="inlineStr">
        <is>
          <t>MEDIUM</t>
        </is>
      </c>
      <c r="V24" s="42" t="inlineStr">
        <is>
          <t>HIGH</t>
        </is>
      </c>
      <c r="W24" s="42" t="inlineStr">
        <is>
          <t>Proof of Concept</t>
        </is>
      </c>
      <c r="X24" s="42" t="inlineStr">
        <is>
          <t>PROOF_OF_CONCEPT_ONLY</t>
        </is>
      </c>
      <c r="Y24" s="53" t="inlineStr">
        <is>
          <t>DEFER</t>
        </is>
      </c>
    </row>
    <row r="25" ht="29" customHeight="1" s="76">
      <c r="A25" s="50" t="inlineStr">
        <is>
          <t>N22</t>
        </is>
      </c>
      <c r="B25" s="50" t="inlineStr">
        <is>
          <t>وجود کمیته حاکمیت شرکتی</t>
        </is>
      </c>
      <c r="C25" s="50" t="inlineStr">
        <is>
          <t>Governance Committee Presence</t>
        </is>
      </c>
      <c r="D25" s="50" t="inlineStr">
        <is>
          <t>نظارت</t>
        </is>
      </c>
      <c r="E25" s="50" t="inlineStr">
        <is>
          <t>کمیته حاکمیت</t>
        </is>
      </c>
      <c r="F25" s="50" t="inlineStr">
        <is>
          <t>indicator</t>
        </is>
      </c>
      <c r="G25" s="50" t="inlineStr">
        <is>
          <t>بله/خیر</t>
        </is>
      </c>
      <c r="H25" s="50" t="inlineStr">
        <is>
          <t>Committee list</t>
        </is>
      </c>
      <c r="I25" s="50" t="inlineStr">
        <is>
          <t>Codal</t>
        </is>
      </c>
      <c r="J25" s="50" t="inlineStr">
        <is>
          <t>نمونه: SRC_FARS_1404_001 ص۴۰</t>
        </is>
      </c>
      <c r="K25" s="50" t="inlineStr">
        <is>
          <t>LOW</t>
        </is>
      </c>
      <c r="L25" s="50" t="inlineStr">
        <is>
          <t>9/30</t>
        </is>
      </c>
      <c r="M25" s="50" t="inlineStr">
        <is>
          <t>LOW</t>
        </is>
      </c>
      <c r="N25" s="50" t="inlineStr">
        <is>
          <t>LOW</t>
        </is>
      </c>
      <c r="O25" s="50" t="inlineStr">
        <is>
          <t>HIGH</t>
        </is>
      </c>
      <c r="P25" s="50" t="inlineStr">
        <is>
          <t>HIGH</t>
        </is>
      </c>
      <c r="Q25" s="50" t="inlineStr">
        <is>
          <t>HIGH</t>
        </is>
      </c>
      <c r="R25" s="50" t="inlineStr">
        <is>
          <t>MEDIUM</t>
        </is>
      </c>
      <c r="S25" s="50" t="inlineStr">
        <is>
          <t>POSITIVE_DIRECTION</t>
        </is>
      </c>
      <c r="T25" s="50" t="inlineStr">
        <is>
          <t>INDEPENDENT</t>
        </is>
      </c>
      <c r="U25" s="50" t="inlineStr">
        <is>
          <t>MEDIUM</t>
        </is>
      </c>
      <c r="V25" s="50" t="inlineStr">
        <is>
          <t>HIGH</t>
        </is>
      </c>
      <c r="W25" s="50" t="inlineStr">
        <is>
          <t>Proof of Concept</t>
        </is>
      </c>
      <c r="X25" s="50" t="inlineStr">
        <is>
          <t>PROOF_OF_CONCEPT_ONLY</t>
        </is>
      </c>
      <c r="Y25" s="53" t="inlineStr">
        <is>
          <t>DEFER</t>
        </is>
      </c>
    </row>
    <row r="26" ht="29" customHeight="1" s="76">
      <c r="A26" s="42" t="inlineStr">
        <is>
          <t>N23</t>
        </is>
      </c>
      <c r="B26" s="42" t="inlineStr">
        <is>
          <t>سهم اعضای مستقل صریح</t>
        </is>
      </c>
      <c r="C26" s="42" t="inlineStr">
        <is>
          <t>Explicit Independent Member Share</t>
        </is>
      </c>
      <c r="D26" s="42" t="inlineStr">
        <is>
          <t>استقلال</t>
        </is>
      </c>
      <c r="E26" s="42" t="inlineStr">
        <is>
          <t>برچسب صریح مستقل در روستر</t>
        </is>
      </c>
      <c r="F26" s="42" t="inlineStr">
        <is>
          <t>Indep/N</t>
        </is>
      </c>
      <c r="G26" s="42" t="inlineStr">
        <is>
          <t>%</t>
        </is>
      </c>
      <c r="H26" s="42" t="inlineStr">
        <is>
          <t>Roster label</t>
        </is>
      </c>
      <c r="I26" s="42" t="inlineStr">
        <is>
          <t>Codal</t>
        </is>
      </c>
      <c r="J26" s="42" t="inlineStr">
        <is>
          <t>نمونه: SRC_FARS_1404_001 ص۴۰</t>
        </is>
      </c>
      <c r="K26" s="42" t="inlineStr">
        <is>
          <t>MEDIUM</t>
        </is>
      </c>
      <c r="L26" s="42" t="inlineStr">
        <is>
          <t>5/30</t>
        </is>
      </c>
      <c r="M26" s="42" t="inlineStr">
        <is>
          <t>MEDIUM</t>
        </is>
      </c>
      <c r="N26" s="42" t="inlineStr">
        <is>
          <t>MEDIUM</t>
        </is>
      </c>
      <c r="O26" s="42" t="inlineStr">
        <is>
          <t>HIGH</t>
        </is>
      </c>
      <c r="P26" s="42" t="inlineStr">
        <is>
          <t>HIGH</t>
        </is>
      </c>
      <c r="Q26" s="42" t="inlineStr">
        <is>
          <t>MEDIUM</t>
        </is>
      </c>
      <c r="R26" s="42" t="inlineStr">
        <is>
          <t>MEDIUM</t>
        </is>
      </c>
      <c r="S26" s="42" t="inlineStr">
        <is>
          <t>CONTEXT_DEPENDENT</t>
        </is>
      </c>
      <c r="T26" s="42" t="inlineStr">
        <is>
          <t>PARTIALLY_OVERLAPPING با S1A</t>
        </is>
      </c>
      <c r="U26" s="42" t="inlineStr">
        <is>
          <t>HIGH</t>
        </is>
      </c>
      <c r="V26" s="42" t="inlineStr">
        <is>
          <t>HIGH</t>
        </is>
      </c>
      <c r="W26" s="42" t="inlineStr">
        <is>
          <t>اعتبارسنجی هدفمند</t>
        </is>
      </c>
      <c r="X26" s="45" t="inlineStr">
        <is>
          <t>TARGETED_VALIDATION</t>
        </is>
      </c>
      <c r="Y26" s="45" t="inlineStr">
        <is>
          <t>TARGETED_VALIDATION</t>
        </is>
      </c>
    </row>
    <row r="27" ht="29" customHeight="1" s="76">
      <c r="A27" s="50" t="inlineStr">
        <is>
          <t>N24</t>
        </is>
      </c>
      <c r="B27" s="50" t="inlineStr">
        <is>
          <t>حضور اعضا در جلسات</t>
        </is>
      </c>
      <c r="C27" s="50" t="inlineStr">
        <is>
          <t>Attendance Rate</t>
        </is>
      </c>
      <c r="D27" s="50" t="inlineStr">
        <is>
          <t>فعالیت</t>
        </is>
      </c>
      <c r="E27" s="50" t="inlineStr">
        <is>
          <t>نرخ حضور</t>
        </is>
      </c>
      <c r="F27" s="50" t="inlineStr">
        <is>
          <t>attended/held</t>
        </is>
      </c>
      <c r="G27" s="50" t="inlineStr">
        <is>
          <t>%</t>
        </is>
      </c>
      <c r="H27" s="50" t="inlineStr">
        <is>
          <t>ندارد در داده کدگذاری‌شده</t>
        </is>
      </c>
      <c r="I27" s="50" t="inlineStr">
        <is>
          <t>—</t>
        </is>
      </c>
      <c r="J27" s="50" t="inlineStr">
        <is>
          <t>—</t>
        </is>
      </c>
      <c r="K27" s="50" t="inlineStr">
        <is>
          <t>LOW</t>
        </is>
      </c>
      <c r="L27" s="50" t="inlineStr">
        <is>
          <t>0/30</t>
        </is>
      </c>
      <c r="M27" s="50" t="inlineStr">
        <is>
          <t>LOW</t>
        </is>
      </c>
      <c r="N27" s="50" t="inlineStr">
        <is>
          <t>LOW</t>
        </is>
      </c>
      <c r="O27" s="50" t="inlineStr">
        <is>
          <t>MEDIUM</t>
        </is>
      </c>
      <c r="P27" s="50" t="inlineStr">
        <is>
          <t>HIGH</t>
        </is>
      </c>
      <c r="Q27" s="50" t="inlineStr">
        <is>
          <t>LOW</t>
        </is>
      </c>
      <c r="R27" s="50" t="inlineStr">
        <is>
          <t>HIGH</t>
        </is>
      </c>
      <c r="S27" s="50" t="inlineStr">
        <is>
          <t>POSITIVE_DIRECTION</t>
        </is>
      </c>
      <c r="T27" s="50" t="inlineStr">
        <is>
          <t>N/A</t>
        </is>
      </c>
      <c r="U27" s="50" t="inlineStr">
        <is>
          <t>N/A</t>
        </is>
      </c>
      <c r="V27" s="50" t="inlineStr">
        <is>
          <t>HIGH</t>
        </is>
      </c>
      <c r="W27" s="50" t="inlineStr">
        <is>
          <t>تئوریک</t>
        </is>
      </c>
      <c r="X27" s="50" t="inlineStr">
        <is>
          <t>THEORETICALLY_RELEVANT_BUT_NOT_CURRENTLY_MEASURABLE</t>
        </is>
      </c>
      <c r="Y27" s="53" t="inlineStr">
        <is>
          <t>DEFER</t>
        </is>
      </c>
    </row>
    <row r="28" ht="29" customHeight="1" s="76">
      <c r="A28" s="42" t="inlineStr">
        <is>
          <t>N25</t>
        </is>
      </c>
      <c r="B28" s="42" t="inlineStr">
        <is>
          <t>عضویت همزمان / Multiple Directorships</t>
        </is>
      </c>
      <c r="C28" s="42" t="inlineStr">
        <is>
          <t>Multiple Directorships</t>
        </is>
      </c>
      <c r="D28" s="42" t="inlineStr">
        <is>
          <t>شبکه</t>
        </is>
      </c>
      <c r="E28" s="42" t="inlineStr">
        <is>
          <t>تعداد عضویت‌های دیگر</t>
        </is>
      </c>
      <c r="F28" s="42" t="inlineStr">
        <is>
          <t>mean(concurrent)</t>
        </is>
      </c>
      <c r="G28" s="42" t="inlineStr">
        <is>
          <t>تعداد</t>
        </is>
      </c>
      <c r="H28" s="42" t="inlineStr">
        <is>
          <t>ستون عضویت همزمان</t>
        </is>
      </c>
      <c r="I28" s="42" t="inlineStr">
        <is>
          <t>Codal</t>
        </is>
      </c>
      <c r="J28" s="42" t="inlineStr">
        <is>
          <t>نمونه: SRC_FARS_1404_001 ص۴۰</t>
        </is>
      </c>
      <c r="K28" s="42" t="inlineStr">
        <is>
          <t>MEDIUM</t>
        </is>
      </c>
      <c r="L28" s="42" t="inlineStr">
        <is>
          <t>3/30</t>
        </is>
      </c>
      <c r="M28" s="42" t="inlineStr">
        <is>
          <t>MEDIUM</t>
        </is>
      </c>
      <c r="N28" s="42" t="inlineStr">
        <is>
          <t>MEDIUM</t>
        </is>
      </c>
      <c r="O28" s="42" t="inlineStr">
        <is>
          <t>HIGH</t>
        </is>
      </c>
      <c r="P28" s="42" t="inlineStr">
        <is>
          <t>MEDIUM</t>
        </is>
      </c>
      <c r="Q28" s="42" t="inlineStr">
        <is>
          <t>MEDIUM</t>
        </is>
      </c>
      <c r="R28" s="42" t="inlineStr">
        <is>
          <t>MEDIUM</t>
        </is>
      </c>
      <c r="S28" s="42" t="inlineStr">
        <is>
          <t>NONLINEAR_POSSIBLE</t>
        </is>
      </c>
      <c r="T28" s="42" t="inlineStr">
        <is>
          <t>INDEPENDENT</t>
        </is>
      </c>
      <c r="U28" s="42" t="inlineStr">
        <is>
          <t>HIGH</t>
        </is>
      </c>
      <c r="V28" s="42" t="inlineStr">
        <is>
          <t>HIGH</t>
        </is>
      </c>
      <c r="W28" s="42" t="inlineStr">
        <is>
          <t>اعتبارسنجی هدفمند</t>
        </is>
      </c>
      <c r="X28" s="45" t="inlineStr">
        <is>
          <t>TARGETED_VALIDATION</t>
        </is>
      </c>
      <c r="Y28" s="45" t="inlineStr">
        <is>
          <t>TARGETED_VALIDATION</t>
        </is>
      </c>
    </row>
    <row r="29" ht="29" customHeight="1" s="76">
      <c r="A29" s="50" t="inlineStr">
        <is>
          <t>N26</t>
        </is>
      </c>
      <c r="B29" s="50" t="inlineStr">
        <is>
          <t>سن / Tenure اعضا</t>
        </is>
      </c>
      <c r="C29" s="50" t="inlineStr">
        <is>
          <t>Member Tenure / Age</t>
        </is>
      </c>
      <c r="D29" s="50" t="inlineStr">
        <is>
          <t>تجربه</t>
        </is>
      </c>
      <c r="E29" s="50" t="inlineStr">
        <is>
          <t>مدت عضویت</t>
        </is>
      </c>
      <c r="F29" s="50" t="inlineStr">
        <is>
          <t>mean(tenure)</t>
        </is>
      </c>
      <c r="G29" s="50" t="inlineStr">
        <is>
          <t>سال</t>
        </is>
      </c>
      <c r="H29" s="50" t="inlineStr">
        <is>
          <t>Membership_Start</t>
        </is>
      </c>
      <c r="I29" s="50" t="inlineStr">
        <is>
          <t>Codal/Type19</t>
        </is>
      </c>
      <c r="J29" s="50" t="inlineStr">
        <is>
          <t>نمونه: SRC_FARS_1404_001 ص۴۰</t>
        </is>
      </c>
      <c r="K29" s="50" t="inlineStr">
        <is>
          <t>LOW</t>
        </is>
      </c>
      <c r="L29" s="50" t="inlineStr">
        <is>
          <t>1/30</t>
        </is>
      </c>
      <c r="M29" s="50" t="inlineStr">
        <is>
          <t>LOW</t>
        </is>
      </c>
      <c r="N29" s="50" t="inlineStr">
        <is>
          <t>MEDIUM</t>
        </is>
      </c>
      <c r="O29" s="50" t="inlineStr">
        <is>
          <t>HIGH</t>
        </is>
      </c>
      <c r="P29" s="50" t="inlineStr">
        <is>
          <t>MEDIUM</t>
        </is>
      </c>
      <c r="Q29" s="50" t="inlineStr">
        <is>
          <t>LOW</t>
        </is>
      </c>
      <c r="R29" s="50" t="inlineStr">
        <is>
          <t>HIGH</t>
        </is>
      </c>
      <c r="S29" s="50" t="inlineStr">
        <is>
          <t>NONLINEAR_POSSIBLE</t>
        </is>
      </c>
      <c r="T29" s="50" t="inlineStr">
        <is>
          <t>PARTIALLY_OVERLAPPING با Turnover</t>
        </is>
      </c>
      <c r="U29" s="50" t="inlineStr">
        <is>
          <t>MEDIUM</t>
        </is>
      </c>
      <c r="V29" s="50" t="inlineStr">
        <is>
          <t>HIGH</t>
        </is>
      </c>
      <c r="W29" s="50" t="inlineStr">
        <is>
          <t>Proof of Concept</t>
        </is>
      </c>
      <c r="X29" s="50" t="inlineStr">
        <is>
          <t>PROOF_OF_CONCEPT_ONLY</t>
        </is>
      </c>
      <c r="Y29" s="53" t="inlineStr">
        <is>
          <t>DEFER</t>
        </is>
      </c>
    </row>
    <row r="30" ht="29" customHeight="1" s="76">
      <c r="A30" s="42" t="inlineStr">
        <is>
          <t>N27</t>
        </is>
      </c>
      <c r="B30" s="42" t="inlineStr">
        <is>
          <t>تنوع Tenure</t>
        </is>
      </c>
      <c r="C30" s="42" t="inlineStr">
        <is>
          <t>Tenure Diversity</t>
        </is>
      </c>
      <c r="D30" s="42" t="inlineStr">
        <is>
          <t>تجربه</t>
        </is>
      </c>
      <c r="E30" s="42" t="inlineStr">
        <is>
          <t>SD مدت عضویت</t>
        </is>
      </c>
      <c r="F30" s="42" t="inlineStr">
        <is>
          <t>SD(tenure)</t>
        </is>
      </c>
      <c r="G30" s="42" t="inlineStr">
        <is>
          <t>سال</t>
        </is>
      </c>
      <c r="H30" s="42" t="inlineStr">
        <is>
          <t>Membership_Start</t>
        </is>
      </c>
      <c r="I30" s="42" t="inlineStr">
        <is>
          <t>Codal</t>
        </is>
      </c>
      <c r="J30" s="42" t="inlineStr">
        <is>
          <t>نمونه: SRC_FARS_1404_001 ص۴۰</t>
        </is>
      </c>
      <c r="K30" s="42" t="inlineStr">
        <is>
          <t>LOW</t>
        </is>
      </c>
      <c r="L30" s="42" t="inlineStr">
        <is>
          <t>1/30</t>
        </is>
      </c>
      <c r="M30" s="42" t="inlineStr">
        <is>
          <t>LOW</t>
        </is>
      </c>
      <c r="N30" s="42" t="inlineStr">
        <is>
          <t>MEDIUM</t>
        </is>
      </c>
      <c r="O30" s="42" t="inlineStr">
        <is>
          <t>HIGH</t>
        </is>
      </c>
      <c r="P30" s="42" t="inlineStr">
        <is>
          <t>MEDIUM</t>
        </is>
      </c>
      <c r="Q30" s="42" t="inlineStr">
        <is>
          <t>LOW</t>
        </is>
      </c>
      <c r="R30" s="42" t="inlineStr">
        <is>
          <t>HIGH</t>
        </is>
      </c>
      <c r="S30" s="42" t="inlineStr">
        <is>
          <t>NONLINEAR_POSSIBLE</t>
        </is>
      </c>
      <c r="T30" s="42" t="inlineStr">
        <is>
          <t>PARTIALLY_OVERLAPPING</t>
        </is>
      </c>
      <c r="U30" s="42" t="inlineStr">
        <is>
          <t>LOW</t>
        </is>
      </c>
      <c r="V30" s="42" t="inlineStr">
        <is>
          <t>HIGH</t>
        </is>
      </c>
      <c r="W30" s="42" t="inlineStr">
        <is>
          <t>Proof of Concept</t>
        </is>
      </c>
      <c r="X30" s="42" t="inlineStr">
        <is>
          <t>PROOF_OF_CONCEPT_ONLY</t>
        </is>
      </c>
      <c r="Y30" s="53" t="inlineStr">
        <is>
          <t>DEFER</t>
        </is>
      </c>
    </row>
    <row r="31" ht="29" customHeight="1" s="76">
      <c r="A31" s="50" t="inlineStr">
        <is>
          <t>N28</t>
        </is>
      </c>
      <c r="B31" s="50" t="inlineStr">
        <is>
          <t>مدت تصدی رئیس هیئت</t>
        </is>
      </c>
      <c r="C31" s="50" t="inlineStr">
        <is>
          <t>Chair Tenure</t>
        </is>
      </c>
      <c r="D31" s="50" t="inlineStr">
        <is>
          <t>رهبری</t>
        </is>
      </c>
      <c r="E31" s="50" t="inlineStr">
        <is>
          <t>سال‌های رئیس فعلی</t>
        </is>
      </c>
      <c r="F31" s="50" t="inlineStr">
        <is>
          <t>years</t>
        </is>
      </c>
      <c r="G31" s="50" t="inlineStr">
        <is>
          <t>سال</t>
        </is>
      </c>
      <c r="H31" s="50" t="inlineStr">
        <is>
          <t>Chair event dates</t>
        </is>
      </c>
      <c r="I31" s="50" t="inlineStr">
        <is>
          <t>Type19</t>
        </is>
      </c>
      <c r="J31" s="50" t="inlineStr">
        <is>
          <t>نمونه: SRC_FARS_1404_001 ص۴۰</t>
        </is>
      </c>
      <c r="K31" s="50" t="inlineStr">
        <is>
          <t>MEDIUM</t>
        </is>
      </c>
      <c r="L31" s="50" t="inlineStr">
        <is>
          <t>23/30</t>
        </is>
      </c>
      <c r="M31" s="50" t="inlineStr">
        <is>
          <t>MEDIUM</t>
        </is>
      </c>
      <c r="N31" s="50" t="inlineStr">
        <is>
          <t>MEDIUM</t>
        </is>
      </c>
      <c r="O31" s="50" t="inlineStr">
        <is>
          <t>HIGH</t>
        </is>
      </c>
      <c r="P31" s="50" t="inlineStr">
        <is>
          <t>HIGH</t>
        </is>
      </c>
      <c r="Q31" s="50" t="inlineStr">
        <is>
          <t>MEDIUM</t>
        </is>
      </c>
      <c r="R31" s="50" t="inlineStr">
        <is>
          <t>MEDIUM</t>
        </is>
      </c>
      <c r="S31" s="50" t="inlineStr">
        <is>
          <t>NONLINEAR_POSSIBLE</t>
        </is>
      </c>
      <c r="T31" s="50" t="inlineStr">
        <is>
          <t>PARTIALLY_OVERLAPPING با CR1A</t>
        </is>
      </c>
      <c r="U31" s="50" t="inlineStr">
        <is>
          <t>MEDIUM</t>
        </is>
      </c>
      <c r="V31" s="50" t="inlineStr">
        <is>
          <t>MEDIUM</t>
        </is>
      </c>
      <c r="W31" s="50" t="inlineStr">
        <is>
          <t>اعتبارسنجی هدفمند</t>
        </is>
      </c>
      <c r="X31" s="45" t="inlineStr">
        <is>
          <t>TARGETED_VALIDATION</t>
        </is>
      </c>
      <c r="Y31" s="45" t="inlineStr">
        <is>
          <t>TARGETED_VALIDATION</t>
        </is>
      </c>
    </row>
    <row r="32" ht="29" customHeight="1" s="76">
      <c r="A32" s="42" t="inlineStr">
        <is>
          <t>N29</t>
        </is>
      </c>
      <c r="B32" s="42" t="inlineStr">
        <is>
          <t>مدت تصدی مدیرعامل</t>
        </is>
      </c>
      <c r="C32" s="42" t="inlineStr">
        <is>
          <t>CEO Tenure</t>
        </is>
      </c>
      <c r="D32" s="42" t="inlineStr">
        <is>
          <t>رهبری</t>
        </is>
      </c>
      <c r="E32" s="42" t="inlineStr">
        <is>
          <t>سال‌های مدیرعامل</t>
        </is>
      </c>
      <c r="F32" s="42" t="inlineStr">
        <is>
          <t>years</t>
        </is>
      </c>
      <c r="G32" s="42" t="inlineStr">
        <is>
          <t>سال</t>
        </is>
      </c>
      <c r="H32" s="42" t="inlineStr">
        <is>
          <t>CEO event dates</t>
        </is>
      </c>
      <c r="I32" s="42" t="inlineStr">
        <is>
          <t>Type19</t>
        </is>
      </c>
      <c r="J32" s="42" t="inlineStr">
        <is>
          <t>نمونه: SRC_FARS_1404_001 ص۴۰</t>
        </is>
      </c>
      <c r="K32" s="42" t="inlineStr">
        <is>
          <t>MEDIUM</t>
        </is>
      </c>
      <c r="L32" s="42" t="inlineStr">
        <is>
          <t>10/30</t>
        </is>
      </c>
      <c r="M32" s="42" t="inlineStr">
        <is>
          <t>MEDIUM</t>
        </is>
      </c>
      <c r="N32" s="42" t="inlineStr">
        <is>
          <t>MEDIUM</t>
        </is>
      </c>
      <c r="O32" s="42" t="inlineStr">
        <is>
          <t>HIGH</t>
        </is>
      </c>
      <c r="P32" s="42" t="inlineStr">
        <is>
          <t>HIGH</t>
        </is>
      </c>
      <c r="Q32" s="42" t="inlineStr">
        <is>
          <t>MEDIUM</t>
        </is>
      </c>
      <c r="R32" s="42" t="inlineStr">
        <is>
          <t>MEDIUM</t>
        </is>
      </c>
      <c r="S32" s="42" t="inlineStr">
        <is>
          <t>NONLINEAR_POSSIBLE</t>
        </is>
      </c>
      <c r="T32" s="42" t="inlineStr">
        <is>
          <t>INDEPENDENT</t>
        </is>
      </c>
      <c r="U32" s="42" t="inlineStr">
        <is>
          <t>MEDIUM</t>
        </is>
      </c>
      <c r="V32" s="42" t="inlineStr">
        <is>
          <t>MEDIUM</t>
        </is>
      </c>
      <c r="W32" s="42" t="inlineStr">
        <is>
          <t>تعویق</t>
        </is>
      </c>
      <c r="X32" s="52" t="inlineStr">
        <is>
          <t>SCALE_UP_WITH_LIMITATION</t>
        </is>
      </c>
      <c r="Y32" s="53" t="inlineStr">
        <is>
          <t>DEFER</t>
        </is>
      </c>
    </row>
    <row r="33" ht="29" customHeight="1" s="76">
      <c r="A33" s="50" t="inlineStr">
        <is>
          <t>N30</t>
        </is>
      </c>
      <c r="B33" s="50" t="inlineStr">
        <is>
          <t>نرخ کرسی خالی</t>
        </is>
      </c>
      <c r="C33" s="50" t="inlineStr">
        <is>
          <t>Vacant Seat Rate</t>
        </is>
      </c>
      <c r="D33" s="50" t="inlineStr">
        <is>
          <t>گردش</t>
        </is>
      </c>
      <c r="E33" s="50" t="inlineStr">
        <is>
          <t>سهم کرسی‌های خالی</t>
        </is>
      </c>
      <c r="F33" s="50" t="inlineStr">
        <is>
          <t>vacant/N</t>
        </is>
      </c>
      <c r="G33" s="50" t="inlineStr">
        <is>
          <t>%</t>
        </is>
      </c>
      <c r="H33" s="50" t="inlineStr">
        <is>
          <t>Roster</t>
        </is>
      </c>
      <c r="I33" s="50" t="inlineStr">
        <is>
          <t>Codal</t>
        </is>
      </c>
      <c r="J33" s="50" t="inlineStr">
        <is>
          <t>نمونه: SRC_FARS_1404_001 ص۴۰</t>
        </is>
      </c>
      <c r="K33" s="50" t="inlineStr">
        <is>
          <t>LOW</t>
        </is>
      </c>
      <c r="L33" s="50" t="inlineStr">
        <is>
          <t>1/30</t>
        </is>
      </c>
      <c r="M33" s="50" t="inlineStr">
        <is>
          <t>LOW</t>
        </is>
      </c>
      <c r="N33" s="50" t="inlineStr">
        <is>
          <t>MEDIUM</t>
        </is>
      </c>
      <c r="O33" s="50" t="inlineStr">
        <is>
          <t>HIGH</t>
        </is>
      </c>
      <c r="P33" s="50" t="inlineStr">
        <is>
          <t>MEDIUM</t>
        </is>
      </c>
      <c r="Q33" s="50" t="inlineStr">
        <is>
          <t>LOW</t>
        </is>
      </c>
      <c r="R33" s="50" t="inlineStr">
        <is>
          <t>HIGH</t>
        </is>
      </c>
      <c r="S33" s="50" t="inlineStr">
        <is>
          <t>NO_CLEAR_DIRECTION</t>
        </is>
      </c>
      <c r="T33" s="50" t="inlineStr">
        <is>
          <t>INDEPENDENT</t>
        </is>
      </c>
      <c r="U33" s="50" t="inlineStr">
        <is>
          <t>HIGH</t>
        </is>
      </c>
      <c r="V33" s="50" t="inlineStr">
        <is>
          <t>HIGH</t>
        </is>
      </c>
      <c r="W33" s="50" t="inlineStr">
        <is>
          <t>Proof of Concept</t>
        </is>
      </c>
      <c r="X33" s="50" t="inlineStr">
        <is>
          <t>PROOF_OF_CONCEPT_ONLY</t>
        </is>
      </c>
      <c r="Y33" s="53" t="inlineStr">
        <is>
          <t>DEFER</t>
        </is>
      </c>
    </row>
    <row r="34" ht="29" customHeight="1" s="76">
      <c r="A34" s="42" t="inlineStr">
        <is>
          <t>N31</t>
        </is>
      </c>
      <c r="B34" s="42" t="inlineStr">
        <is>
          <t>تمرکز نقش (Chair=CEO)</t>
        </is>
      </c>
      <c r="C34" s="42" t="inlineStr">
        <is>
          <t>Role Concentration</t>
        </is>
      </c>
      <c r="D34" s="42" t="inlineStr">
        <is>
          <t>رهبری</t>
        </is>
      </c>
      <c r="E34" s="42" t="inlineStr">
        <is>
          <t>ادغام نقش</t>
        </is>
      </c>
      <c r="F34" s="42" t="inlineStr">
        <is>
          <t>1−SEP07</t>
        </is>
      </c>
      <c r="G34" s="42" t="inlineStr">
        <is>
          <t>بله/خیر</t>
        </is>
      </c>
      <c r="H34" s="42" t="inlineStr">
        <is>
          <t>Chair_Flag/CEO_Flag</t>
        </is>
      </c>
      <c r="I34" s="42" t="inlineStr">
        <is>
          <t>Codal</t>
        </is>
      </c>
      <c r="J34" s="42" t="inlineStr">
        <is>
          <t>نمونه: SRC_FARS_1404_001 ص۴۰</t>
        </is>
      </c>
      <c r="K34" s="42" t="inlineStr">
        <is>
          <t>HIGH</t>
        </is>
      </c>
      <c r="L34" s="42" t="inlineStr">
        <is>
          <t>26/30</t>
        </is>
      </c>
      <c r="M34" s="42" t="inlineStr">
        <is>
          <t>HIGH</t>
        </is>
      </c>
      <c r="N34" s="42" t="inlineStr">
        <is>
          <t>HIGH</t>
        </is>
      </c>
      <c r="O34" s="42" t="inlineStr">
        <is>
          <t>HIGH</t>
        </is>
      </c>
      <c r="P34" s="42" t="inlineStr">
        <is>
          <t>HIGH</t>
        </is>
      </c>
      <c r="Q34" s="42" t="inlineStr">
        <is>
          <t>HIGH</t>
        </is>
      </c>
      <c r="R34" s="42" t="inlineStr">
        <is>
          <t>LOW</t>
        </is>
      </c>
      <c r="S34" s="42" t="inlineStr">
        <is>
          <t>POSITIVE_DIRECTION</t>
        </is>
      </c>
      <c r="T34" s="42" t="inlineStr">
        <is>
          <t>MATHEMATICAL_COMPLEMENT با SEP07</t>
        </is>
      </c>
      <c r="U34" s="42" t="inlineStr">
        <is>
          <t>NONE</t>
        </is>
      </c>
      <c r="V34" s="42" t="inlineStr">
        <is>
          <t>LOW</t>
        </is>
      </c>
      <c r="W34" s="42" t="inlineStr">
        <is>
          <t>حذف</t>
        </is>
      </c>
      <c r="X34" s="52" t="inlineStr">
        <is>
          <t>SCALE_UP_WITH_LIMITATION</t>
        </is>
      </c>
      <c r="Y34" s="46" t="inlineStr">
        <is>
          <t>DROP</t>
        </is>
      </c>
    </row>
    <row r="35" ht="29" customHeight="1" s="76">
      <c r="A35" s="50" t="inlineStr">
        <is>
          <t>N32</t>
        </is>
      </c>
      <c r="B35" s="50" t="inlineStr">
        <is>
          <t>هم‌پوشانی کمیته‌ها</t>
        </is>
      </c>
      <c r="C35" s="50" t="inlineStr">
        <is>
          <t>Committee Overlap</t>
        </is>
      </c>
      <c r="D35" s="50" t="inlineStr">
        <is>
          <t>ساختار</t>
        </is>
      </c>
      <c r="E35" s="50" t="inlineStr">
        <is>
          <t>اعضای مشترک کمیته‌ها</t>
        </is>
      </c>
      <c r="F35" s="50" t="inlineStr">
        <is>
          <t>overlap/N</t>
        </is>
      </c>
      <c r="G35" s="50" t="inlineStr">
        <is>
          <t>نسبت</t>
        </is>
      </c>
      <c r="H35" s="50" t="inlineStr">
        <is>
          <t>AC roster+others</t>
        </is>
      </c>
      <c r="I35" s="50" t="inlineStr">
        <is>
          <t>Codal</t>
        </is>
      </c>
      <c r="J35" s="50" t="inlineStr">
        <is>
          <t>نمونه: SRC_FARS_1404_001 ص۴۰</t>
        </is>
      </c>
      <c r="K35" s="50" t="inlineStr">
        <is>
          <t>LOW</t>
        </is>
      </c>
      <c r="L35" s="50" t="inlineStr">
        <is>
          <t>5/30</t>
        </is>
      </c>
      <c r="M35" s="50" t="inlineStr">
        <is>
          <t>LOW</t>
        </is>
      </c>
      <c r="N35" s="50" t="inlineStr">
        <is>
          <t>LOW</t>
        </is>
      </c>
      <c r="O35" s="50" t="inlineStr">
        <is>
          <t>HIGH</t>
        </is>
      </c>
      <c r="P35" s="50" t="inlineStr">
        <is>
          <t>MEDIUM</t>
        </is>
      </c>
      <c r="Q35" s="50" t="inlineStr">
        <is>
          <t>LOW</t>
        </is>
      </c>
      <c r="R35" s="50" t="inlineStr">
        <is>
          <t>HIGH</t>
        </is>
      </c>
      <c r="S35" s="50" t="inlineStr">
        <is>
          <t>NO_CLEAR_DIRECTION</t>
        </is>
      </c>
      <c r="T35" s="50" t="inlineStr">
        <is>
          <t>INDEPENDENT</t>
        </is>
      </c>
      <c r="U35" s="50" t="inlineStr">
        <is>
          <t>HIGH</t>
        </is>
      </c>
      <c r="V35" s="50" t="inlineStr">
        <is>
          <t>HIGH</t>
        </is>
      </c>
      <c r="W35" s="50" t="inlineStr">
        <is>
          <t>Proof of Concept</t>
        </is>
      </c>
      <c r="X35" s="50" t="inlineStr">
        <is>
          <t>PROOF_OF_CONCEPT_ONLY</t>
        </is>
      </c>
      <c r="Y35" s="53" t="inlineStr">
        <is>
          <t>DEFER</t>
        </is>
      </c>
    </row>
    <row r="36" ht="29" customHeight="1" s="76">
      <c r="A36" s="42" t="inlineStr">
        <is>
          <t>N33</t>
        </is>
      </c>
      <c r="B36" s="42" t="inlineStr">
        <is>
          <t>سهم اعضای موظف</t>
        </is>
      </c>
      <c r="C36" s="42" t="inlineStr">
        <is>
          <t>Executive Seat Share</t>
        </is>
      </c>
      <c r="D36" s="42" t="inlineStr">
        <is>
          <t>استقلال</t>
        </is>
      </c>
      <c r="E36" s="42" t="inlineStr">
        <is>
          <t>1−S1A</t>
        </is>
      </c>
      <c r="F36" s="42" t="inlineStr">
        <is>
          <t>Mov/N</t>
        </is>
      </c>
      <c r="G36" s="42" t="inlineStr">
        <is>
          <t>%</t>
        </is>
      </c>
      <c r="H36" s="42" t="inlineStr">
        <is>
          <t>Duty_Status</t>
        </is>
      </c>
      <c r="I36" s="42" t="inlineStr">
        <is>
          <t>Codal</t>
        </is>
      </c>
      <c r="J36" s="42" t="inlineStr">
        <is>
          <t>نمونه: SRC_FARS_1404_001 ص۴۰</t>
        </is>
      </c>
      <c r="K36" s="42" t="inlineStr">
        <is>
          <t>HIGH</t>
        </is>
      </c>
      <c r="L36" s="42" t="inlineStr">
        <is>
          <t>28/30</t>
        </is>
      </c>
      <c r="M36" s="42" t="inlineStr">
        <is>
          <t>HIGH</t>
        </is>
      </c>
      <c r="N36" s="42" t="inlineStr">
        <is>
          <t>HIGH</t>
        </is>
      </c>
      <c r="O36" s="42" t="inlineStr">
        <is>
          <t>HIGH</t>
        </is>
      </c>
      <c r="P36" s="42" t="inlineStr">
        <is>
          <t>HIGH</t>
        </is>
      </c>
      <c r="Q36" s="42" t="inlineStr">
        <is>
          <t>HIGH</t>
        </is>
      </c>
      <c r="R36" s="42" t="inlineStr">
        <is>
          <t>LOW</t>
        </is>
      </c>
      <c r="S36" s="42" t="inlineStr">
        <is>
          <t>CONTEXT_DEPENDENT</t>
        </is>
      </c>
      <c r="T36" s="42" t="inlineStr">
        <is>
          <t>MATHEMATICAL_COMPLEMENT با S1A</t>
        </is>
      </c>
      <c r="U36" s="42" t="inlineStr">
        <is>
          <t>NONE</t>
        </is>
      </c>
      <c r="V36" s="42" t="inlineStr">
        <is>
          <t>LOW</t>
        </is>
      </c>
      <c r="W36" s="42" t="inlineStr">
        <is>
          <t>Robustness</t>
        </is>
      </c>
      <c r="X36" s="52" t="inlineStr">
        <is>
          <t>SCALE_UP_WITH_LIMITATION</t>
        </is>
      </c>
      <c r="Y36" s="53" t="inlineStr">
        <is>
          <t>ROBUSTNESS_ONLY</t>
        </is>
      </c>
    </row>
    <row r="37" ht="29" customHeight="1" s="76">
      <c r="A37" s="50" t="inlineStr">
        <is>
          <t>N34</t>
        </is>
      </c>
      <c r="B37" s="50" t="inlineStr">
        <is>
          <t>Blau نرمال‌شده تحصیلی</t>
        </is>
      </c>
      <c r="C37" s="50" t="inlineStr">
        <is>
          <t>Normalized Education Blau</t>
        </is>
      </c>
      <c r="D37" s="50" t="inlineStr">
        <is>
          <t>تنوع</t>
        </is>
      </c>
      <c r="E37" s="50" t="inlineStr">
        <is>
          <t>Blau/(1−1/k)</t>
        </is>
      </c>
      <c r="F37" s="50" t="inlineStr">
        <is>
          <t>transform</t>
        </is>
      </c>
      <c r="G37" s="50" t="inlineStr">
        <is>
          <t>شاخص</t>
        </is>
      </c>
      <c r="H37" s="50" t="inlineStr">
        <is>
          <t>V1</t>
        </is>
      </c>
      <c r="I37" s="50" t="inlineStr">
        <is>
          <t>Codal</t>
        </is>
      </c>
      <c r="J37" s="50" t="inlineStr">
        <is>
          <t>نمونه: SRC_FARS_1404_001 ص۴۰</t>
        </is>
      </c>
      <c r="K37" s="50" t="inlineStr">
        <is>
          <t>HIGH</t>
        </is>
      </c>
      <c r="L37" s="50" t="inlineStr">
        <is>
          <t>28/30</t>
        </is>
      </c>
      <c r="M37" s="50" t="inlineStr">
        <is>
          <t>HIGH</t>
        </is>
      </c>
      <c r="N37" s="50" t="inlineStr">
        <is>
          <t>MEDIUM</t>
        </is>
      </c>
      <c r="O37" s="50" t="inlineStr">
        <is>
          <t>HIGH</t>
        </is>
      </c>
      <c r="P37" s="50" t="inlineStr">
        <is>
          <t>HIGH</t>
        </is>
      </c>
      <c r="Q37" s="50" t="inlineStr">
        <is>
          <t>HIGH</t>
        </is>
      </c>
      <c r="R37" s="50" t="inlineStr">
        <is>
          <t>LOW</t>
        </is>
      </c>
      <c r="S37" s="50" t="inlineStr">
        <is>
          <t>POSITIVE_DIRECTION</t>
        </is>
      </c>
      <c r="T37" s="50" t="inlineStr">
        <is>
          <t>PARTIALLY_OVERLAPPING با V1</t>
        </is>
      </c>
      <c r="U37" s="50" t="inlineStr">
        <is>
          <t>NONE</t>
        </is>
      </c>
      <c r="V37" s="50" t="inlineStr">
        <is>
          <t>LOW</t>
        </is>
      </c>
      <c r="W37" s="50" t="inlineStr">
        <is>
          <t>Robustness</t>
        </is>
      </c>
      <c r="X37" s="52" t="inlineStr">
        <is>
          <t>SCALE_UP_WITH_LIMITATION</t>
        </is>
      </c>
      <c r="Y37" s="53" t="inlineStr">
        <is>
          <t>ROBUSTNESS_ONLY</t>
        </is>
      </c>
    </row>
    <row r="38" ht="29" customHeight="1" s="76">
      <c r="A38" s="42" t="inlineStr">
        <is>
          <t>N35</t>
        </is>
      </c>
      <c r="B38" s="42" t="inlineStr">
        <is>
          <t>غنای هیئت (Richness)</t>
        </is>
      </c>
      <c r="C38" s="42" t="inlineStr">
        <is>
          <t>Board Richness</t>
        </is>
      </c>
      <c r="D38" s="42" t="inlineStr">
        <is>
          <t>تنوع</t>
        </is>
      </c>
      <c r="E38" s="42" t="inlineStr">
        <is>
          <t>تعداد رشته‌های متمایز</t>
        </is>
      </c>
      <c r="F38" s="42" t="inlineStr">
        <is>
          <t>count distinct</t>
        </is>
      </c>
      <c r="G38" s="42" t="inlineStr">
        <is>
          <t>تعداد</t>
        </is>
      </c>
      <c r="H38" s="42" t="inlineStr">
        <is>
          <t>V1</t>
        </is>
      </c>
      <c r="I38" s="42" t="inlineStr">
        <is>
          <t>Codal</t>
        </is>
      </c>
      <c r="J38" s="42" t="inlineStr">
        <is>
          <t>نمونه: SRC_FARS_1404_001 ص۴۰</t>
        </is>
      </c>
      <c r="K38" s="42" t="inlineStr">
        <is>
          <t>HIGH</t>
        </is>
      </c>
      <c r="L38" s="42" t="inlineStr">
        <is>
          <t>28/30</t>
        </is>
      </c>
      <c r="M38" s="42" t="inlineStr">
        <is>
          <t>HIGH</t>
        </is>
      </c>
      <c r="N38" s="42" t="inlineStr">
        <is>
          <t>MEDIUM</t>
        </is>
      </c>
      <c r="O38" s="42" t="inlineStr">
        <is>
          <t>HIGH</t>
        </is>
      </c>
      <c r="P38" s="42" t="inlineStr">
        <is>
          <t>HIGH</t>
        </is>
      </c>
      <c r="Q38" s="42" t="inlineStr">
        <is>
          <t>HIGH</t>
        </is>
      </c>
      <c r="R38" s="42" t="inlineStr">
        <is>
          <t>LOW</t>
        </is>
      </c>
      <c r="S38" s="42" t="inlineStr">
        <is>
          <t>POSITIVE_DIRECTION</t>
        </is>
      </c>
      <c r="T38" s="42" t="inlineStr">
        <is>
          <t>HIGHLY_REDUNDANT با N01</t>
        </is>
      </c>
      <c r="U38" s="42" t="inlineStr">
        <is>
          <t>NONE</t>
        </is>
      </c>
      <c r="V38" s="42" t="inlineStr">
        <is>
          <t>LOW</t>
        </is>
      </c>
      <c r="W38" s="42" t="inlineStr">
        <is>
          <t>حذف</t>
        </is>
      </c>
      <c r="X38" s="52" t="inlineStr">
        <is>
          <t>SCALE_UP_WITH_LIMITATION</t>
        </is>
      </c>
      <c r="Y38" s="46" t="inlineStr">
        <is>
          <t>DROP</t>
        </is>
      </c>
    </row>
  </sheetData>
  <mergeCells count="2">
    <mergeCell ref="A2:Y2"/>
    <mergeCell ref="A1:Y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5"/>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4.33203125" customWidth="1" style="76" min="2" max="2"/>
    <col width="17.1640625" customWidth="1" style="76" min="3" max="3"/>
    <col width="15.33203125" customWidth="1" style="76" min="4" max="4"/>
    <col width="10.6640625" customWidth="1" style="76" min="5" max="5"/>
    <col width="20.1640625" customWidth="1" style="76" min="6" max="6"/>
    <col width="10.6640625" customWidth="1" style="76" min="7" max="7"/>
    <col width="20.1640625" customWidth="1" style="76" min="8" max="8"/>
    <col width="13.5" customWidth="1" style="76" min="9" max="9"/>
    <col width="12.5" customWidth="1" style="76" min="10" max="10"/>
    <col width="10" customWidth="1" style="76" min="11" max="11"/>
    <col width="17.1640625" customWidth="1" style="76" min="12" max="12"/>
    <col width="30.5" customWidth="1" style="76" min="13" max="13"/>
  </cols>
  <sheetData>
    <row r="1" ht="34" customHeight="1" s="76">
      <c r="A1" s="79" t="inlineStr">
        <is>
          <t>Measureهای فعلی (بازنگری‌شده در v36)</t>
        </is>
      </c>
    </row>
    <row r="2" ht="28" customHeight="1" s="76">
      <c r="A2" s="86" t="inlineStr">
        <is>
          <t>وضعیت پس از ممیزی؛ منبع: v36 Independent Audit.</t>
        </is>
      </c>
    </row>
    <row r="3" ht="30" customHeight="1" s="76">
      <c r="A3" s="48" t="inlineStr">
        <is>
          <t>Measure</t>
        </is>
      </c>
      <c r="B3" s="48" t="inlineStr">
        <is>
          <t>Existing/New</t>
        </is>
      </c>
      <c r="C3" s="48" t="inlineStr">
        <is>
          <t>Construct</t>
        </is>
      </c>
      <c r="D3" s="48" t="inlineStr">
        <is>
          <t>Coverage X/30</t>
        </is>
      </c>
      <c r="E3" s="48" t="inlineStr">
        <is>
          <t>Eligible</t>
        </is>
      </c>
      <c r="F3" s="48" t="inlineStr">
        <is>
          <t>Variation</t>
        </is>
      </c>
      <c r="G3" s="48" t="inlineStr">
        <is>
          <t>Evidence</t>
        </is>
      </c>
      <c r="H3" s="48" t="inlineStr">
        <is>
          <t>Directionality</t>
        </is>
      </c>
      <c r="I3" s="48" t="inlineStr">
        <is>
          <t>Scalability</t>
        </is>
      </c>
      <c r="J3" s="48" t="inlineStr">
        <is>
          <t>Historical</t>
        </is>
      </c>
      <c r="K3" s="48" t="inlineStr">
        <is>
          <t>Overlap</t>
        </is>
      </c>
      <c r="L3" s="48" t="inlineStr">
        <is>
          <t>Role</t>
        </is>
      </c>
      <c r="M3" s="48" t="inlineStr">
        <is>
          <t>Final Status</t>
        </is>
      </c>
    </row>
    <row r="4" ht="20" customHeight="1" s="76">
      <c r="A4" s="42" t="inlineStr">
        <is>
          <t>S1A</t>
        </is>
      </c>
      <c r="B4" s="42" t="inlineStr">
        <is>
          <t>Existing</t>
        </is>
      </c>
      <c r="C4" s="42" t="inlineStr">
        <is>
          <t>استقلال ساختاری</t>
        </is>
      </c>
      <c r="D4" s="42" t="inlineStr">
        <is>
          <t>28/30</t>
        </is>
      </c>
      <c r="E4" s="42" t="inlineStr">
        <is>
          <t>28/30</t>
        </is>
      </c>
      <c r="F4" s="42" t="inlineStr">
        <is>
          <t>بله</t>
        </is>
      </c>
      <c r="G4" s="42" t="inlineStr">
        <is>
          <t>MODERATE</t>
        </is>
      </c>
      <c r="H4" s="42" t="inlineStr">
        <is>
          <t>CONTEXT_DEPENDENT</t>
        </is>
      </c>
      <c r="I4" s="42" t="inlineStr">
        <is>
          <t>HIGH</t>
        </is>
      </c>
      <c r="J4" s="42" t="inlineStr">
        <is>
          <t>MEDIUM</t>
        </is>
      </c>
      <c r="K4" s="42" t="inlineStr">
        <is>
          <t>LOW</t>
        </is>
      </c>
      <c r="L4" s="42" t="inlineStr">
        <is>
          <t>اصلی</t>
        </is>
      </c>
      <c r="M4" s="44" t="inlineStr">
        <is>
          <t>SCALE_UP_PRIMARY</t>
        </is>
      </c>
    </row>
    <row r="5" ht="20" customHeight="1" s="76">
      <c r="A5" s="50" t="inlineStr">
        <is>
          <t>V1</t>
        </is>
      </c>
      <c r="B5" s="50" t="inlineStr">
        <is>
          <t>Existing</t>
        </is>
      </c>
      <c r="C5" s="50" t="inlineStr">
        <is>
          <t>تنوع تحصیلی</t>
        </is>
      </c>
      <c r="D5" s="50" t="inlineStr">
        <is>
          <t>28/30</t>
        </is>
      </c>
      <c r="E5" s="50" t="inlineStr">
        <is>
          <t>28/30</t>
        </is>
      </c>
      <c r="F5" s="50" t="inlineStr">
        <is>
          <t>بله</t>
        </is>
      </c>
      <c r="G5" s="50" t="inlineStr">
        <is>
          <t>MODERATE</t>
        </is>
      </c>
      <c r="H5" s="50" t="inlineStr">
        <is>
          <t>POSITIVE_DIRECTION</t>
        </is>
      </c>
      <c r="I5" s="50" t="inlineStr">
        <is>
          <t>HIGH</t>
        </is>
      </c>
      <c r="J5" s="50" t="inlineStr">
        <is>
          <t>MEDIUM</t>
        </is>
      </c>
      <c r="K5" s="50" t="inlineStr">
        <is>
          <t>LOW</t>
        </is>
      </c>
      <c r="L5" s="50" t="inlineStr">
        <is>
          <t>اصلی</t>
        </is>
      </c>
      <c r="M5" s="44" t="inlineStr">
        <is>
          <t>SCALE_UP_PRIMARY</t>
        </is>
      </c>
    </row>
    <row r="6" ht="20" customHeight="1" s="76">
      <c r="A6" s="42" t="inlineStr">
        <is>
          <t>VAR06_Strict</t>
        </is>
      </c>
      <c r="B6" s="42" t="inlineStr">
        <is>
          <t>Existing</t>
        </is>
      </c>
      <c r="C6" s="42" t="inlineStr">
        <is>
          <t>تنوع حرفه‌ای</t>
        </is>
      </c>
      <c r="D6" s="42" t="inlineStr">
        <is>
          <t>27/30</t>
        </is>
      </c>
      <c r="E6" s="42" t="inlineStr">
        <is>
          <t>27/28</t>
        </is>
      </c>
      <c r="F6" s="42" t="inlineStr">
        <is>
          <t>بله</t>
        </is>
      </c>
      <c r="G6" s="42" t="inlineStr">
        <is>
          <t>MODERATE</t>
        </is>
      </c>
      <c r="H6" s="42" t="inlineStr">
        <is>
          <t>POSITIVE_DIRECTION</t>
        </is>
      </c>
      <c r="I6" s="42" t="inlineStr">
        <is>
          <t>MEDIUM</t>
        </is>
      </c>
      <c r="J6" s="42" t="inlineStr">
        <is>
          <t>MEDIUM</t>
        </is>
      </c>
      <c r="K6" s="42" t="inlineStr">
        <is>
          <t>MEDIUM</t>
        </is>
      </c>
      <c r="L6" s="42" t="inlineStr">
        <is>
          <t>اصلی با محدودیت</t>
        </is>
      </c>
      <c r="M6" s="52" t="inlineStr">
        <is>
          <t>SCALE_UP_WITH_LIMITATION</t>
        </is>
      </c>
    </row>
    <row r="7" ht="20" customHeight="1" s="76">
      <c r="A7" s="50" t="inlineStr">
        <is>
          <t>VAR10</t>
        </is>
      </c>
      <c r="B7" s="50" t="inlineStr">
        <is>
          <t>Existing</t>
        </is>
      </c>
      <c r="C7" s="50" t="inlineStr">
        <is>
          <t>تخصص مالی</t>
        </is>
      </c>
      <c r="D7" s="50" t="inlineStr">
        <is>
          <t>28/30</t>
        </is>
      </c>
      <c r="E7" s="50" t="inlineStr">
        <is>
          <t>28/28</t>
        </is>
      </c>
      <c r="F7" s="50" t="inlineStr">
        <is>
          <t>بله</t>
        </is>
      </c>
      <c r="G7" s="50" t="inlineStr">
        <is>
          <t>MODERATE</t>
        </is>
      </c>
      <c r="H7" s="50" t="inlineStr">
        <is>
          <t>POSITIVE_DIRECTION</t>
        </is>
      </c>
      <c r="I7" s="50" t="inlineStr">
        <is>
          <t>MEDIUM</t>
        </is>
      </c>
      <c r="J7" s="50" t="inlineStr">
        <is>
          <t>MEDIUM</t>
        </is>
      </c>
      <c r="K7" s="50" t="inlineStr">
        <is>
          <t>MEDIUM</t>
        </is>
      </c>
      <c r="L7" s="50" t="inlineStr">
        <is>
          <t>اصلی با محدودیت</t>
        </is>
      </c>
      <c r="M7" s="52" t="inlineStr">
        <is>
          <t>SCALE_UP_WITH_LIMITATION</t>
        </is>
      </c>
    </row>
    <row r="8" ht="20" customHeight="1" s="76">
      <c r="A8" s="42" t="inlineStr">
        <is>
          <t>CR1A</t>
        </is>
      </c>
      <c r="B8" s="42" t="inlineStr">
        <is>
          <t>Existing</t>
        </is>
      </c>
      <c r="C8" s="42" t="inlineStr">
        <is>
          <t>ثبات رهبری</t>
        </is>
      </c>
      <c r="D8" s="42" t="str">
        <f>'CR1A v39'!B39&amp;"/"&amp;'CR1A v39'!B44</f>
        <v>26/30</v>
      </c>
      <c r="E8" s="42" t="str">
        <f>'CR1A v39'!B39&amp;"/"&amp;'CR1A v39'!B44</f>
        <v>26/30</v>
      </c>
      <c r="F8" s="42" t="inlineStr">
        <is>
          <t>بله</t>
        </is>
      </c>
      <c r="G8" s="42" t="inlineStr">
        <is>
          <t>LOW</t>
        </is>
      </c>
      <c r="H8" s="42" t="inlineStr">
        <is>
          <t>NO_CLEAR_DIRECTION</t>
        </is>
      </c>
      <c r="I8" s="42" t="inlineStr">
        <is>
          <t>MEDIUM</t>
        </is>
      </c>
      <c r="J8" s="42" t="inlineStr">
        <is>
          <t>MEDIUM</t>
        </is>
      </c>
      <c r="K8" s="42" t="inlineStr">
        <is>
          <t>LOW</t>
        </is>
      </c>
      <c r="L8" s="42" t="inlineStr">
        <is>
          <t>تشخیصی</t>
        </is>
      </c>
      <c r="M8" s="53" t="inlineStr">
        <is>
          <t>CONTROL_DIAGNOSTIC</t>
        </is>
      </c>
    </row>
    <row r="9" ht="20" customHeight="1" s="76">
      <c r="A9" s="50" t="inlineStr">
        <is>
          <t>AUD01</t>
        </is>
      </c>
      <c r="B9" s="50" t="inlineStr">
        <is>
          <t>Existing</t>
        </is>
      </c>
      <c r="C9" s="50" t="inlineStr">
        <is>
          <t>نظارت</t>
        </is>
      </c>
      <c r="D9" s="50" t="inlineStr">
        <is>
          <t>29/30</t>
        </is>
      </c>
      <c r="E9" s="50" t="inlineStr">
        <is>
          <t>29/30</t>
        </is>
      </c>
      <c r="F9" s="50" t="inlineStr">
        <is>
          <t>بله</t>
        </is>
      </c>
      <c r="G9" s="50" t="inlineStr">
        <is>
          <t>MODERATE</t>
        </is>
      </c>
      <c r="H9" s="50" t="inlineStr">
        <is>
          <t>POSITIVE_DIRECTION</t>
        </is>
      </c>
      <c r="I9" s="50" t="inlineStr">
        <is>
          <t>HIGH</t>
        </is>
      </c>
      <c r="J9" s="50" t="inlineStr">
        <is>
          <t>MEDIUM</t>
        </is>
      </c>
      <c r="K9" s="50" t="inlineStr">
        <is>
          <t>LOW</t>
        </is>
      </c>
      <c r="L9" s="50" t="inlineStr">
        <is>
          <t>اصلی با محدودیت</t>
        </is>
      </c>
      <c r="M9" s="52" t="inlineStr">
        <is>
          <t>SCALE_UP_WITH_LIMITATION</t>
        </is>
      </c>
    </row>
    <row r="10" ht="20" customHeight="1" s="76">
      <c r="A10" s="42" t="inlineStr">
        <is>
          <t>AUD02</t>
        </is>
      </c>
      <c r="B10" s="42" t="inlineStr">
        <is>
          <t>Existing</t>
        </is>
      </c>
      <c r="C10" s="42" t="inlineStr">
        <is>
          <t>نظارت</t>
        </is>
      </c>
      <c r="D10" s="42" t="inlineStr">
        <is>
          <t>27/30</t>
        </is>
      </c>
      <c r="E10" s="42" t="inlineStr">
        <is>
          <t>27/30</t>
        </is>
      </c>
      <c r="F10" s="42" t="inlineStr">
        <is>
          <t>بله</t>
        </is>
      </c>
      <c r="G10" s="42" t="inlineStr">
        <is>
          <t>LOW</t>
        </is>
      </c>
      <c r="H10" s="42" t="inlineStr">
        <is>
          <t>NONLINEAR_POSSIBLE</t>
        </is>
      </c>
      <c r="I10" s="42" t="inlineStr">
        <is>
          <t>HIGH</t>
        </is>
      </c>
      <c r="J10" s="42" t="inlineStr">
        <is>
          <t>MEDIUM</t>
        </is>
      </c>
      <c r="K10" s="42" t="inlineStr">
        <is>
          <t>HIGH</t>
        </is>
      </c>
      <c r="L10" s="42" t="inlineStr">
        <is>
          <t>Robustness</t>
        </is>
      </c>
      <c r="M10" s="53" t="inlineStr">
        <is>
          <t>ROBUSTNESS_ONLY</t>
        </is>
      </c>
    </row>
    <row r="11" ht="29" customHeight="1" s="76">
      <c r="A11" s="50" t="inlineStr">
        <is>
          <t>IRN01</t>
        </is>
      </c>
      <c r="B11" s="50" t="inlineStr">
        <is>
          <t>Existing</t>
        </is>
      </c>
      <c r="C11" s="50" t="inlineStr">
        <is>
          <t>ساختار نمایندگی</t>
        </is>
      </c>
      <c r="D11" s="50" t="inlineStr">
        <is>
          <t>29/30</t>
        </is>
      </c>
      <c r="E11" s="50" t="inlineStr">
        <is>
          <t>29/30</t>
        </is>
      </c>
      <c r="F11" s="50" t="inlineStr">
        <is>
          <t>ضعیف (Dummy بانکی)</t>
        </is>
      </c>
      <c r="G11" s="50" t="inlineStr">
        <is>
          <t>MODERATE</t>
        </is>
      </c>
      <c r="H11" s="50" t="inlineStr">
        <is>
          <t>NO_CLEAR_DIRECTION</t>
        </is>
      </c>
      <c r="I11" s="50" t="inlineStr">
        <is>
          <t>HIGH</t>
        </is>
      </c>
      <c r="J11" s="50" t="inlineStr">
        <is>
          <t>HIGH</t>
        </is>
      </c>
      <c r="K11" s="50" t="inlineStr">
        <is>
          <t>LOW</t>
        </is>
      </c>
      <c r="L11" s="50" t="inlineStr">
        <is>
          <t>ساختاری</t>
        </is>
      </c>
      <c r="M11" s="54" t="inlineStr">
        <is>
          <t>STRUCTURAL_GOVERNANCE_MEASURE</t>
        </is>
      </c>
    </row>
    <row r="12" ht="20" customHeight="1" s="76">
      <c r="A12" s="42" t="inlineStr">
        <is>
          <t>IRN02</t>
        </is>
      </c>
      <c r="B12" s="42" t="inlineStr">
        <is>
          <t>Existing</t>
        </is>
      </c>
      <c r="C12" s="42" t="inlineStr">
        <is>
          <t>ساختار نمایندگی</t>
        </is>
      </c>
      <c r="D12" s="42" t="inlineStr">
        <is>
          <t>29/30</t>
        </is>
      </c>
      <c r="E12" s="42" t="inlineStr">
        <is>
          <t>29/30</t>
        </is>
      </c>
      <c r="F12" s="42" t="inlineStr">
        <is>
          <t>ضعیف</t>
        </is>
      </c>
      <c r="G12" s="42" t="inlineStr">
        <is>
          <t>MODERATE</t>
        </is>
      </c>
      <c r="H12" s="42" t="inlineStr">
        <is>
          <t>NO_CLEAR_DIRECTION</t>
        </is>
      </c>
      <c r="I12" s="42" t="inlineStr">
        <is>
          <t>HIGH</t>
        </is>
      </c>
      <c r="J12" s="42" t="inlineStr">
        <is>
          <t>HIGH</t>
        </is>
      </c>
      <c r="K12" s="42" t="inlineStr">
        <is>
          <t>HIGH</t>
        </is>
      </c>
      <c r="L12" s="42" t="inlineStr">
        <is>
          <t>Robustness</t>
        </is>
      </c>
      <c r="M12" s="53" t="inlineStr">
        <is>
          <t>ROBUSTNESS_ONLY</t>
        </is>
      </c>
    </row>
    <row r="13" ht="20" customHeight="1" s="76">
      <c r="A13" s="50" t="inlineStr">
        <is>
          <t>SEP07</t>
        </is>
      </c>
      <c r="B13" s="50" t="inlineStr">
        <is>
          <t>Existing</t>
        </is>
      </c>
      <c r="C13" s="50" t="inlineStr">
        <is>
          <t>تفکیک رهبری</t>
        </is>
      </c>
      <c r="D13" s="50" t="inlineStr">
        <is>
          <t>26/30</t>
        </is>
      </c>
      <c r="E13" s="50" t="inlineStr">
        <is>
          <t>26/30</t>
        </is>
      </c>
      <c r="F13" s="50" t="inlineStr">
        <is>
          <t>صفر</t>
        </is>
      </c>
      <c r="G13" s="50" t="inlineStr">
        <is>
          <t>MODERATE</t>
        </is>
      </c>
      <c r="H13" s="50" t="inlineStr">
        <is>
          <t>POSITIVE_DIRECTION</t>
        </is>
      </c>
      <c r="I13" s="50" t="inlineStr">
        <is>
          <t>HIGH</t>
        </is>
      </c>
      <c r="J13" s="50" t="inlineStr">
        <is>
          <t>HIGH</t>
        </is>
      </c>
      <c r="K13" s="50" t="inlineStr">
        <is>
          <t>LOW</t>
        </is>
      </c>
      <c r="L13" s="50" t="inlineStr">
        <is>
          <t>تشخیصی</t>
        </is>
      </c>
      <c r="M13" s="53" t="inlineStr">
        <is>
          <t>CONTROL_DIAGNOSTIC</t>
        </is>
      </c>
    </row>
    <row r="14" ht="20" customHeight="1" s="76">
      <c r="A14" s="42" t="inlineStr">
        <is>
          <t>REF05</t>
        </is>
      </c>
      <c r="B14" s="42" t="inlineStr">
        <is>
          <t>Existing</t>
        </is>
      </c>
      <c r="C14" s="42" t="inlineStr">
        <is>
          <t>گردش</t>
        </is>
      </c>
      <c r="D14" s="42" t="inlineStr">
        <is>
          <t>27/30</t>
        </is>
      </c>
      <c r="E14" s="42" t="inlineStr">
        <is>
          <t>27/28</t>
        </is>
      </c>
      <c r="F14" s="42" t="inlineStr">
        <is>
          <t>بله</t>
        </is>
      </c>
      <c r="G14" s="42" t="inlineStr">
        <is>
          <t>MODERATE</t>
        </is>
      </c>
      <c r="H14" s="42" t="inlineStr">
        <is>
          <t>CONTEXT_DEPENDENT</t>
        </is>
      </c>
      <c r="I14" s="42" t="inlineStr">
        <is>
          <t>MEDIUM</t>
        </is>
      </c>
      <c r="J14" s="42" t="inlineStr">
        <is>
          <t>MEDIUM</t>
        </is>
      </c>
      <c r="K14" s="42" t="inlineStr">
        <is>
          <t>MEDIUM</t>
        </is>
      </c>
      <c r="L14" s="42" t="inlineStr">
        <is>
          <t>اصلی با محدودیت</t>
        </is>
      </c>
      <c r="M14" s="52" t="inlineStr">
        <is>
          <t>SCALE_UP_WITH_LIMITATION</t>
        </is>
      </c>
    </row>
    <row r="15" ht="20" customHeight="1" s="76">
      <c r="A15" s="50" t="inlineStr">
        <is>
          <t>REF08</t>
        </is>
      </c>
      <c r="B15" s="50" t="inlineStr">
        <is>
          <t>Existing</t>
        </is>
      </c>
      <c r="C15" s="50" t="inlineStr">
        <is>
          <t>پویایی نمایندگی</t>
        </is>
      </c>
      <c r="D15" s="50" t="inlineStr">
        <is>
          <t>22/30</t>
        </is>
      </c>
      <c r="E15" s="50" t="inlineStr">
        <is>
          <t>22/23</t>
        </is>
      </c>
      <c r="F15" s="50" t="inlineStr">
        <is>
          <t>بله</t>
        </is>
      </c>
      <c r="G15" s="50" t="inlineStr">
        <is>
          <t>LOW</t>
        </is>
      </c>
      <c r="H15" s="50" t="inlineStr">
        <is>
          <t>NO_CLEAR_DIRECTION</t>
        </is>
      </c>
      <c r="I15" s="50" t="inlineStr">
        <is>
          <t>MEDIUM</t>
        </is>
      </c>
      <c r="J15" s="50" t="inlineStr">
        <is>
          <t>LOW</t>
        </is>
      </c>
      <c r="K15" s="50" t="inlineStr">
        <is>
          <t>MEDIUM</t>
        </is>
      </c>
      <c r="L15" s="50" t="inlineStr">
        <is>
          <t>اعتبارسنجی</t>
        </is>
      </c>
      <c r="M15" s="45" t="inlineStr">
        <is>
          <t>TARGETED_VALIDATION</t>
        </is>
      </c>
    </row>
  </sheetData>
  <mergeCells count="2">
    <mergeCell ref="A2:M2"/>
    <mergeCell ref="A1:M1"/>
  </mergeCells>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E38"/>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1" customWidth="1" style="76" min="1" max="1"/>
    <col width="38.1640625" customWidth="1" style="76" min="2" max="2"/>
    <col width="42" customWidth="1" style="76" min="3" max="3"/>
    <col width="25.83203125" customWidth="1" style="76" min="4" max="4"/>
    <col width="21" customWidth="1" style="76" min="5" max="5"/>
  </cols>
  <sheetData>
    <row r="1" ht="34" customHeight="1" s="76">
      <c r="A1" s="79" t="inlineStr">
        <is>
          <t>Measureهای جدید (۳۵ Candidate آزمون‌شده)</t>
        </is>
      </c>
    </row>
    <row r="2" ht="28" customHeight="1" s="76">
      <c r="A2" s="86" t="inlineStr">
        <is>
          <t>هیچ Candidate جدید وارد Composite نشد.</t>
        </is>
      </c>
    </row>
    <row r="3" ht="30" customHeight="1" s="76">
      <c r="A3" s="48" t="inlineStr">
        <is>
          <t>ID</t>
        </is>
      </c>
      <c r="B3" s="48" t="inlineStr">
        <is>
          <t>Candidate</t>
        </is>
      </c>
      <c r="C3" s="48" t="inlineStr">
        <is>
          <t>Tier</t>
        </is>
      </c>
      <c r="D3" s="48" t="inlineStr">
        <is>
          <t>Final</t>
        </is>
      </c>
      <c r="E3" s="48" t="inlineStr">
        <is>
          <t>Role</t>
        </is>
      </c>
    </row>
    <row r="4" ht="20" customHeight="1" s="76">
      <c r="A4" s="42" t="inlineStr">
        <is>
          <t>N01</t>
        </is>
      </c>
      <c r="B4" s="42" t="inlineStr">
        <is>
          <t>اندازه هیئت‌مدیره</t>
        </is>
      </c>
      <c r="C4" s="52" t="inlineStr">
        <is>
          <t>SCALE_UP_WITH_LIMITATION</t>
        </is>
      </c>
      <c r="D4" s="53" t="inlineStr">
        <is>
          <t>CONTROL_DIAGNOSTIC</t>
        </is>
      </c>
      <c r="E4" s="42" t="inlineStr">
        <is>
          <t>کنترل</t>
        </is>
      </c>
    </row>
    <row r="5" ht="29" customHeight="1" s="76">
      <c r="A5" s="50" t="inlineStr">
        <is>
          <t>N02</t>
        </is>
      </c>
      <c r="B5" s="50" t="inlineStr">
        <is>
          <t>سهم اعضای دارای دکترا</t>
        </is>
      </c>
      <c r="C5" s="52" t="inlineStr">
        <is>
          <t>SCALE_UP_WITH_LIMITATION</t>
        </is>
      </c>
      <c r="D5" s="52" t="inlineStr">
        <is>
          <t>SCALE_UP_WITH_LIMITATION</t>
        </is>
      </c>
      <c r="E5" s="50" t="inlineStr">
        <is>
          <t>Scale-Up با محدودیت</t>
        </is>
      </c>
    </row>
    <row r="6" ht="20" customHeight="1" s="76">
      <c r="A6" s="42" t="inlineStr">
        <is>
          <t>N03</t>
        </is>
      </c>
      <c r="B6" s="42" t="inlineStr">
        <is>
          <t>سهم مدرک کارشناسی ارشد به بالا</t>
        </is>
      </c>
      <c r="C6" s="52" t="inlineStr">
        <is>
          <t>SCALE_UP_WITH_LIMITATION</t>
        </is>
      </c>
      <c r="D6" s="53" t="inlineStr">
        <is>
          <t>ROBUSTNESS_ONLY</t>
        </is>
      </c>
      <c r="E6" s="42" t="inlineStr">
        <is>
          <t>Robustness</t>
        </is>
      </c>
    </row>
    <row r="7" ht="20" customHeight="1" s="76">
      <c r="A7" s="50" t="inlineStr">
        <is>
          <t>N04</t>
        </is>
      </c>
      <c r="B7" s="50" t="inlineStr">
        <is>
          <t>تمرکز اشخاص حقوقی (HHI)</t>
        </is>
      </c>
      <c r="C7" s="52" t="inlineStr">
        <is>
          <t>SCALE_UP_WITH_LIMITATION</t>
        </is>
      </c>
      <c r="D7" s="46" t="inlineStr">
        <is>
          <t>DROP</t>
        </is>
      </c>
      <c r="E7" s="50" t="inlineStr">
        <is>
          <t>حذف</t>
        </is>
      </c>
    </row>
    <row r="8" ht="20" customHeight="1" s="76">
      <c r="A8" s="42" t="inlineStr">
        <is>
          <t>N05</t>
        </is>
      </c>
      <c r="B8" s="42" t="inlineStr">
        <is>
          <t>تعداد اشخاص حقوقی متمایز</t>
        </is>
      </c>
      <c r="C8" s="52" t="inlineStr">
        <is>
          <t>SCALE_UP_WITH_LIMITATION</t>
        </is>
      </c>
      <c r="D8" s="46" t="inlineStr">
        <is>
          <t>DROP</t>
        </is>
      </c>
      <c r="E8" s="42" t="inlineStr">
        <is>
          <t>حذف</t>
        </is>
      </c>
    </row>
    <row r="9" ht="20" customHeight="1" s="76">
      <c r="A9" s="50" t="inlineStr">
        <is>
          <t>N06</t>
        </is>
      </c>
      <c r="B9" s="50" t="inlineStr">
        <is>
          <t>پیوند مشترک شخص حقوقی بین شرکت‌ها</t>
        </is>
      </c>
      <c r="C9" s="45" t="inlineStr">
        <is>
          <t>TARGETED_VALIDATION</t>
        </is>
      </c>
      <c r="D9" s="45" t="inlineStr">
        <is>
          <t>TARGETED_VALIDATION</t>
        </is>
      </c>
      <c r="E9" s="50" t="inlineStr">
        <is>
          <t>اعتبارسنجی هدفمند</t>
        </is>
      </c>
    </row>
    <row r="10" ht="20" customHeight="1" s="76">
      <c r="A10" s="42" t="inlineStr">
        <is>
          <t>N07</t>
        </is>
      </c>
      <c r="B10" s="42" t="inlineStr">
        <is>
          <t>Interlock اشخاص حقیقی بین شرکت‌ها</t>
        </is>
      </c>
      <c r="C10" s="42" t="inlineStr">
        <is>
          <t>PROOF_OF_CONCEPT_ONLY</t>
        </is>
      </c>
      <c r="D10" s="53" t="inlineStr">
        <is>
          <t>DEFER</t>
        </is>
      </c>
      <c r="E10" s="42" t="inlineStr">
        <is>
          <t>Proof of Concept</t>
        </is>
      </c>
    </row>
    <row r="11" ht="20" customHeight="1" s="76">
      <c r="A11" s="50" t="inlineStr">
        <is>
          <t>N08</t>
        </is>
      </c>
      <c r="B11" s="50" t="inlineStr">
        <is>
          <t>سهم سابقه دولتی/سیاست‌گذاری</t>
        </is>
      </c>
      <c r="C11" s="52" t="inlineStr">
        <is>
          <t>SCALE_UP_WITH_LIMITATION</t>
        </is>
      </c>
      <c r="D11" s="53" t="inlineStr">
        <is>
          <t>CONTROL_DIAGNOSTIC</t>
        </is>
      </c>
      <c r="E11" s="50" t="inlineStr">
        <is>
          <t>کنترل</t>
        </is>
      </c>
    </row>
    <row r="12" ht="20" customHeight="1" s="76">
      <c r="A12" s="42" t="inlineStr">
        <is>
          <t>N09</t>
        </is>
      </c>
      <c r="B12" s="42" t="inlineStr">
        <is>
          <t>سهم سابقه مدیریت اجرایی</t>
        </is>
      </c>
      <c r="C12" s="52" t="inlineStr">
        <is>
          <t>SCALE_UP_WITH_LIMITATION</t>
        </is>
      </c>
      <c r="D12" s="53" t="inlineStr">
        <is>
          <t>ROBUSTNESS_ONLY</t>
        </is>
      </c>
      <c r="E12" s="42" t="inlineStr">
        <is>
          <t>Robustness</t>
        </is>
      </c>
    </row>
    <row r="13" ht="20" customHeight="1" s="76">
      <c r="A13" s="50" t="inlineStr">
        <is>
          <t>N10</t>
        </is>
      </c>
      <c r="B13" s="50" t="inlineStr">
        <is>
          <t>سهم سابقه مالی/سرمایه‌گذاری</t>
        </is>
      </c>
      <c r="C13" s="52" t="inlineStr">
        <is>
          <t>SCALE_UP_WITH_LIMITATION</t>
        </is>
      </c>
      <c r="D13" s="53" t="inlineStr">
        <is>
          <t>ROBUSTNESS_ONLY</t>
        </is>
      </c>
      <c r="E13" s="50" t="inlineStr">
        <is>
          <t>Robustness</t>
        </is>
      </c>
    </row>
    <row r="14" ht="20" customHeight="1" s="76">
      <c r="A14" s="42" t="inlineStr">
        <is>
          <t>N11</t>
        </is>
      </c>
      <c r="B14" s="42" t="inlineStr">
        <is>
          <t>سهم تخصص صنعتی/عملیاتی</t>
        </is>
      </c>
      <c r="C14" s="42" t="inlineStr">
        <is>
          <t>PROOF_OF_CONCEPT_ONLY</t>
        </is>
      </c>
      <c r="D14" s="53" t="inlineStr">
        <is>
          <t>DEFER</t>
        </is>
      </c>
      <c r="E14" s="42" t="inlineStr">
        <is>
          <t>Proof of Concept</t>
        </is>
      </c>
    </row>
    <row r="15" ht="20" customHeight="1" s="76">
      <c r="A15" s="50" t="inlineStr">
        <is>
          <t>N12</t>
        </is>
      </c>
      <c r="B15" s="50" t="inlineStr">
        <is>
          <t>سهم تخصص حقوقی/نظارتی</t>
        </is>
      </c>
      <c r="C15" s="50" t="inlineStr">
        <is>
          <t>PROOF_OF_CONCEPT_ONLY</t>
        </is>
      </c>
      <c r="D15" s="46" t="inlineStr">
        <is>
          <t>DROP</t>
        </is>
      </c>
      <c r="E15" s="50" t="inlineStr">
        <is>
          <t>حذف</t>
        </is>
      </c>
    </row>
    <row r="16" ht="29" customHeight="1" s="76">
      <c r="A16" s="42" t="inlineStr">
        <is>
          <t>N13</t>
        </is>
      </c>
      <c r="B16" s="42" t="inlineStr">
        <is>
          <t>تخصص دانشگاهی</t>
        </is>
      </c>
      <c r="C16" s="42" t="inlineStr">
        <is>
          <t>THEORETICALLY_RELEVANT_BUT_NOT_CURRENTLY_MEASURABLE</t>
        </is>
      </c>
      <c r="D16" s="53" t="inlineStr">
        <is>
          <t>DEFER</t>
        </is>
      </c>
      <c r="E16" s="42" t="inlineStr">
        <is>
          <t>تئوریک</t>
        </is>
      </c>
    </row>
    <row r="17" ht="20" customHeight="1" s="76">
      <c r="A17" s="50" t="inlineStr">
        <is>
          <t>N14</t>
        </is>
      </c>
      <c r="B17" s="50" t="inlineStr">
        <is>
          <t>استقلال کمیته حسابرسی</t>
        </is>
      </c>
      <c r="C17" s="45" t="inlineStr">
        <is>
          <t>TARGETED_VALIDATION</t>
        </is>
      </c>
      <c r="D17" s="45" t="inlineStr">
        <is>
          <t>TARGETED_VALIDATION</t>
        </is>
      </c>
      <c r="E17" s="50" t="inlineStr">
        <is>
          <t>اعتبارسنجی هدفمند</t>
        </is>
      </c>
    </row>
    <row r="18" ht="20" customHeight="1" s="76">
      <c r="A18" s="42" t="inlineStr">
        <is>
          <t>N15</t>
        </is>
      </c>
      <c r="B18" s="42" t="inlineStr">
        <is>
          <t>تخصص مالی کمیته حسابرسی</t>
        </is>
      </c>
      <c r="C18" s="45" t="inlineStr">
        <is>
          <t>TARGETED_VALIDATION</t>
        </is>
      </c>
      <c r="D18" s="45" t="inlineStr">
        <is>
          <t>TARGETED_VALIDATION</t>
        </is>
      </c>
      <c r="E18" s="42" t="inlineStr">
        <is>
          <t>اعتبارسنجی هدفمند</t>
        </is>
      </c>
    </row>
    <row r="19" ht="20" customHeight="1" s="76">
      <c r="A19" s="50" t="inlineStr">
        <is>
          <t>N16</t>
        </is>
      </c>
      <c r="B19" s="50" t="inlineStr">
        <is>
          <t>تعداد جلسات کمیته حسابرسی</t>
        </is>
      </c>
      <c r="C19" s="45" t="inlineStr">
        <is>
          <t>TARGETED_VALIDATION</t>
        </is>
      </c>
      <c r="D19" s="45" t="inlineStr">
        <is>
          <t>TARGETED_VALIDATION</t>
        </is>
      </c>
      <c r="E19" s="50" t="inlineStr">
        <is>
          <t>اعتبارسنجی هدفمند</t>
        </is>
      </c>
    </row>
    <row r="20" ht="29" customHeight="1" s="76">
      <c r="A20" s="42" t="inlineStr">
        <is>
          <t>N17</t>
        </is>
      </c>
      <c r="B20" s="42" t="inlineStr">
        <is>
          <t>تعداد جلسات هیئت‌مدیره (نرمال‌شده)</t>
        </is>
      </c>
      <c r="C20" s="45" t="inlineStr">
        <is>
          <t>TARGETED_VALIDATION</t>
        </is>
      </c>
      <c r="D20" s="45" t="inlineStr">
        <is>
          <t>TARGETED_VALIDATION</t>
        </is>
      </c>
      <c r="E20" s="42" t="inlineStr">
        <is>
          <t>اعتبارسنجی هدفمند</t>
        </is>
      </c>
    </row>
    <row r="21" ht="20" customHeight="1" s="76">
      <c r="A21" s="50" t="inlineStr">
        <is>
          <t>N18</t>
        </is>
      </c>
      <c r="B21" s="50" t="inlineStr">
        <is>
          <t>وجود کمیته ریسک</t>
        </is>
      </c>
      <c r="C21" s="45" t="inlineStr">
        <is>
          <t>TARGETED_VALIDATION</t>
        </is>
      </c>
      <c r="D21" s="45" t="inlineStr">
        <is>
          <t>TARGETED_VALIDATION</t>
        </is>
      </c>
      <c r="E21" s="50" t="inlineStr">
        <is>
          <t>اعتبارسنجی هدفمند</t>
        </is>
      </c>
    </row>
    <row r="22" ht="20" customHeight="1" s="76">
      <c r="A22" s="42" t="inlineStr">
        <is>
          <t>N19</t>
        </is>
      </c>
      <c r="B22" s="42" t="inlineStr">
        <is>
          <t>وجود کمیته نامزدی</t>
        </is>
      </c>
      <c r="C22" s="52" t="inlineStr">
        <is>
          <t>SCALE_UP_WITH_LIMITATION</t>
        </is>
      </c>
      <c r="D22" s="53" t="inlineStr">
        <is>
          <t>DEFER</t>
        </is>
      </c>
      <c r="E22" s="42" t="inlineStr">
        <is>
          <t>تعویق</t>
        </is>
      </c>
    </row>
    <row r="23" ht="20" customHeight="1" s="76">
      <c r="A23" s="50" t="inlineStr">
        <is>
          <t>N20</t>
        </is>
      </c>
      <c r="B23" s="50" t="inlineStr">
        <is>
          <t>وجود کمیته جبران خدمات</t>
        </is>
      </c>
      <c r="C23" s="50" t="inlineStr">
        <is>
          <t>PROOF_OF_CONCEPT_ONLY</t>
        </is>
      </c>
      <c r="D23" s="53" t="inlineStr">
        <is>
          <t>DEFER</t>
        </is>
      </c>
      <c r="E23" s="50" t="inlineStr">
        <is>
          <t>Proof of Concept</t>
        </is>
      </c>
    </row>
    <row r="24" ht="20" customHeight="1" s="76">
      <c r="A24" s="42" t="inlineStr">
        <is>
          <t>N21</t>
        </is>
      </c>
      <c r="B24" s="42" t="inlineStr">
        <is>
          <t>وجود کمیته سرمایه‌گذاری</t>
        </is>
      </c>
      <c r="C24" s="42" t="inlineStr">
        <is>
          <t>PROOF_OF_CONCEPT_ONLY</t>
        </is>
      </c>
      <c r="D24" s="53" t="inlineStr">
        <is>
          <t>DEFER</t>
        </is>
      </c>
      <c r="E24" s="42" t="inlineStr">
        <is>
          <t>Proof of Concept</t>
        </is>
      </c>
    </row>
    <row r="25" ht="20" customHeight="1" s="76">
      <c r="A25" s="50" t="inlineStr">
        <is>
          <t>N22</t>
        </is>
      </c>
      <c r="B25" s="50" t="inlineStr">
        <is>
          <t>وجود کمیته حاکمیت شرکتی</t>
        </is>
      </c>
      <c r="C25" s="50" t="inlineStr">
        <is>
          <t>PROOF_OF_CONCEPT_ONLY</t>
        </is>
      </c>
      <c r="D25" s="53" t="inlineStr">
        <is>
          <t>DEFER</t>
        </is>
      </c>
      <c r="E25" s="50" t="inlineStr">
        <is>
          <t>Proof of Concept</t>
        </is>
      </c>
    </row>
    <row r="26" ht="20" customHeight="1" s="76">
      <c r="A26" s="42" t="inlineStr">
        <is>
          <t>N23</t>
        </is>
      </c>
      <c r="B26" s="42" t="inlineStr">
        <is>
          <t>سهم اعضای مستقل صریح</t>
        </is>
      </c>
      <c r="C26" s="45" t="inlineStr">
        <is>
          <t>TARGETED_VALIDATION</t>
        </is>
      </c>
      <c r="D26" s="45" t="inlineStr">
        <is>
          <t>TARGETED_VALIDATION</t>
        </is>
      </c>
      <c r="E26" s="42" t="inlineStr">
        <is>
          <t>اعتبارسنجی هدفمند</t>
        </is>
      </c>
    </row>
    <row r="27" ht="29" customHeight="1" s="76">
      <c r="A27" s="50" t="inlineStr">
        <is>
          <t>N24</t>
        </is>
      </c>
      <c r="B27" s="50" t="inlineStr">
        <is>
          <t>حضور اعضا در جلسات</t>
        </is>
      </c>
      <c r="C27" s="50" t="inlineStr">
        <is>
          <t>THEORETICALLY_RELEVANT_BUT_NOT_CURRENTLY_MEASURABLE</t>
        </is>
      </c>
      <c r="D27" s="53" t="inlineStr">
        <is>
          <t>DEFER</t>
        </is>
      </c>
      <c r="E27" s="50" t="inlineStr">
        <is>
          <t>تئوریک</t>
        </is>
      </c>
    </row>
    <row r="28" ht="29" customHeight="1" s="76">
      <c r="A28" s="42" t="inlineStr">
        <is>
          <t>N25</t>
        </is>
      </c>
      <c r="B28" s="42" t="inlineStr">
        <is>
          <t>عضویت همزمان / Multiple Directorships</t>
        </is>
      </c>
      <c r="C28" s="45" t="inlineStr">
        <is>
          <t>TARGETED_VALIDATION</t>
        </is>
      </c>
      <c r="D28" s="45" t="inlineStr">
        <is>
          <t>TARGETED_VALIDATION</t>
        </is>
      </c>
      <c r="E28" s="42" t="inlineStr">
        <is>
          <t>اعتبارسنجی هدفمند</t>
        </is>
      </c>
    </row>
    <row r="29" ht="20" customHeight="1" s="76">
      <c r="A29" s="50" t="inlineStr">
        <is>
          <t>N26</t>
        </is>
      </c>
      <c r="B29" s="50" t="inlineStr">
        <is>
          <t>سن / Tenure اعضا</t>
        </is>
      </c>
      <c r="C29" s="50" t="inlineStr">
        <is>
          <t>PROOF_OF_CONCEPT_ONLY</t>
        </is>
      </c>
      <c r="D29" s="53" t="inlineStr">
        <is>
          <t>DEFER</t>
        </is>
      </c>
      <c r="E29" s="50" t="inlineStr">
        <is>
          <t>Proof of Concept</t>
        </is>
      </c>
    </row>
    <row r="30" ht="20" customHeight="1" s="76">
      <c r="A30" s="42" t="inlineStr">
        <is>
          <t>N27</t>
        </is>
      </c>
      <c r="B30" s="42" t="inlineStr">
        <is>
          <t>تنوع Tenure</t>
        </is>
      </c>
      <c r="C30" s="42" t="inlineStr">
        <is>
          <t>PROOF_OF_CONCEPT_ONLY</t>
        </is>
      </c>
      <c r="D30" s="53" t="inlineStr">
        <is>
          <t>DEFER</t>
        </is>
      </c>
      <c r="E30" s="42" t="inlineStr">
        <is>
          <t>Proof of Concept</t>
        </is>
      </c>
    </row>
    <row r="31" ht="20" customHeight="1" s="76">
      <c r="A31" s="50" t="inlineStr">
        <is>
          <t>N28</t>
        </is>
      </c>
      <c r="B31" s="50" t="inlineStr">
        <is>
          <t>مدت تصدی رئیس هیئت</t>
        </is>
      </c>
      <c r="C31" s="45" t="inlineStr">
        <is>
          <t>TARGETED_VALIDATION</t>
        </is>
      </c>
      <c r="D31" s="45" t="inlineStr">
        <is>
          <t>TARGETED_VALIDATION</t>
        </is>
      </c>
      <c r="E31" s="50" t="inlineStr">
        <is>
          <t>اعتبارسنجی هدفمند</t>
        </is>
      </c>
    </row>
    <row r="32" ht="20" customHeight="1" s="76">
      <c r="A32" s="42" t="inlineStr">
        <is>
          <t>N29</t>
        </is>
      </c>
      <c r="B32" s="42" t="inlineStr">
        <is>
          <t>مدت تصدی مدیرعامل</t>
        </is>
      </c>
      <c r="C32" s="52" t="inlineStr">
        <is>
          <t>SCALE_UP_WITH_LIMITATION</t>
        </is>
      </c>
      <c r="D32" s="53" t="inlineStr">
        <is>
          <t>DEFER</t>
        </is>
      </c>
      <c r="E32" s="42" t="inlineStr">
        <is>
          <t>تعویق</t>
        </is>
      </c>
    </row>
    <row r="33" ht="20" customHeight="1" s="76">
      <c r="A33" s="50" t="inlineStr">
        <is>
          <t>N30</t>
        </is>
      </c>
      <c r="B33" s="50" t="inlineStr">
        <is>
          <t>نرخ کرسی خالی</t>
        </is>
      </c>
      <c r="C33" s="50" t="inlineStr">
        <is>
          <t>PROOF_OF_CONCEPT_ONLY</t>
        </is>
      </c>
      <c r="D33" s="53" t="inlineStr">
        <is>
          <t>DEFER</t>
        </is>
      </c>
      <c r="E33" s="50" t="inlineStr">
        <is>
          <t>Proof of Concept</t>
        </is>
      </c>
    </row>
    <row r="34" ht="20" customHeight="1" s="76">
      <c r="A34" s="42" t="inlineStr">
        <is>
          <t>N31</t>
        </is>
      </c>
      <c r="B34" s="42" t="inlineStr">
        <is>
          <t>تمرکز نقش (Chair=CEO)</t>
        </is>
      </c>
      <c r="C34" s="52" t="inlineStr">
        <is>
          <t>SCALE_UP_WITH_LIMITATION</t>
        </is>
      </c>
      <c r="D34" s="46" t="inlineStr">
        <is>
          <t>DROP</t>
        </is>
      </c>
      <c r="E34" s="42" t="inlineStr">
        <is>
          <t>حذف</t>
        </is>
      </c>
    </row>
    <row r="35" ht="20" customHeight="1" s="76">
      <c r="A35" s="50" t="inlineStr">
        <is>
          <t>N32</t>
        </is>
      </c>
      <c r="B35" s="50" t="inlineStr">
        <is>
          <t>هم‌پوشانی کمیته‌ها</t>
        </is>
      </c>
      <c r="C35" s="50" t="inlineStr">
        <is>
          <t>PROOF_OF_CONCEPT_ONLY</t>
        </is>
      </c>
      <c r="D35" s="53" t="inlineStr">
        <is>
          <t>DEFER</t>
        </is>
      </c>
      <c r="E35" s="50" t="inlineStr">
        <is>
          <t>Proof of Concept</t>
        </is>
      </c>
    </row>
    <row r="36" ht="20" customHeight="1" s="76">
      <c r="A36" s="42" t="inlineStr">
        <is>
          <t>N33</t>
        </is>
      </c>
      <c r="B36" s="42" t="inlineStr">
        <is>
          <t>سهم اعضای موظف</t>
        </is>
      </c>
      <c r="C36" s="52" t="inlineStr">
        <is>
          <t>SCALE_UP_WITH_LIMITATION</t>
        </is>
      </c>
      <c r="D36" s="53" t="inlineStr">
        <is>
          <t>ROBUSTNESS_ONLY</t>
        </is>
      </c>
      <c r="E36" s="42" t="inlineStr">
        <is>
          <t>Robustness</t>
        </is>
      </c>
    </row>
    <row r="37" ht="20" customHeight="1" s="76">
      <c r="A37" s="50" t="inlineStr">
        <is>
          <t>N34</t>
        </is>
      </c>
      <c r="B37" s="50" t="inlineStr">
        <is>
          <t>Blau نرمال‌شده تحصیلی</t>
        </is>
      </c>
      <c r="C37" s="52" t="inlineStr">
        <is>
          <t>SCALE_UP_WITH_LIMITATION</t>
        </is>
      </c>
      <c r="D37" s="53" t="inlineStr">
        <is>
          <t>ROBUSTNESS_ONLY</t>
        </is>
      </c>
      <c r="E37" s="50" t="inlineStr">
        <is>
          <t>Robustness</t>
        </is>
      </c>
    </row>
    <row r="38" ht="20" customHeight="1" s="76">
      <c r="A38" s="42" t="inlineStr">
        <is>
          <t>N35</t>
        </is>
      </c>
      <c r="B38" s="42" t="inlineStr">
        <is>
          <t>غنای هیئت (Richness)</t>
        </is>
      </c>
      <c r="C38" s="52" t="inlineStr">
        <is>
          <t>SCALE_UP_WITH_LIMITATION</t>
        </is>
      </c>
      <c r="D38" s="46" t="inlineStr">
        <is>
          <t>DROP</t>
        </is>
      </c>
      <c r="E38" s="42" t="inlineStr">
        <is>
          <t>حذف</t>
        </is>
      </c>
    </row>
  </sheetData>
  <mergeCells count="2">
    <mergeCell ref="A2:E2"/>
    <mergeCell ref="A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8"/>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17.1640625" customWidth="1" style="76" min="2" max="2"/>
    <col width="10.6640625" customWidth="1" style="76" min="3" max="3"/>
    <col width="12.5" customWidth="1" style="76" min="4" max="4"/>
    <col width="10" customWidth="1" style="76" min="5" max="6"/>
    <col width="22" customWidth="1" style="76" min="7" max="7"/>
    <col width="34.33203125" customWidth="1" style="76" min="8" max="8"/>
  </cols>
  <sheetData>
    <row r="1" ht="34" customHeight="1" s="76">
      <c r="A1" s="79" t="inlineStr">
        <is>
          <t>خانواده‌های Construct</t>
        </is>
      </c>
    </row>
    <row r="2" ht="28" customHeight="1" s="76">
      <c r="A2" s="86" t="inlineStr">
        <is>
          <t>Formative-leaning: بدون اتکا انحصاری به Cronbach/Factor Analysis.</t>
        </is>
      </c>
    </row>
    <row r="3" ht="30" customHeight="1" s="76">
      <c r="A3" s="48" t="inlineStr">
        <is>
          <t>خانواده</t>
        </is>
      </c>
      <c r="B3" s="48" t="inlineStr">
        <is>
          <t>تعداد Candidate</t>
        </is>
      </c>
      <c r="C3" s="48" t="inlineStr">
        <is>
          <t>Targeted</t>
        </is>
      </c>
      <c r="D3" s="48" t="inlineStr">
        <is>
          <t>Robustness</t>
        </is>
      </c>
      <c r="E3" s="48" t="inlineStr">
        <is>
          <t>Drop</t>
        </is>
      </c>
      <c r="F3" s="48" t="inlineStr">
        <is>
          <t>Defer</t>
        </is>
      </c>
      <c r="G3" s="48" t="inlineStr">
        <is>
          <t>سایر (فرمول)</t>
        </is>
      </c>
      <c r="H3" s="48" t="inlineStr">
        <is>
          <t>IDها</t>
        </is>
      </c>
    </row>
    <row r="4" ht="20" customHeight="1" s="76">
      <c r="A4" s="42" t="inlineStr">
        <is>
          <t>ترکیب</t>
        </is>
      </c>
      <c r="B4" s="42" t="n">
        <v>1</v>
      </c>
      <c r="C4" s="42" t="n">
        <v>0</v>
      </c>
      <c r="D4" s="42" t="n">
        <v>0</v>
      </c>
      <c r="E4" s="42" t="n">
        <v>0</v>
      </c>
      <c r="F4" s="42" t="n">
        <v>0</v>
      </c>
      <c r="G4" s="42">
        <f>B4-C4-D4-E4-F4</f>
        <v>1</v>
      </c>
      <c r="H4" s="42" t="inlineStr">
        <is>
          <t>N01</t>
        </is>
      </c>
    </row>
    <row r="5" ht="20" customHeight="1" s="76">
      <c r="A5" s="50" t="inlineStr">
        <is>
          <t>سرمایه انسانی</t>
        </is>
      </c>
      <c r="B5" s="50" t="n">
        <v>2</v>
      </c>
      <c r="C5" s="50" t="n">
        <v>0</v>
      </c>
      <c r="D5" s="50" t="n">
        <v>1</v>
      </c>
      <c r="E5" s="50" t="n">
        <v>0</v>
      </c>
      <c r="F5" s="50" t="n">
        <v>0</v>
      </c>
      <c r="G5" s="50">
        <f>B5-C5-D5-E5-F5</f>
        <v>1</v>
      </c>
      <c r="H5" s="50" t="inlineStr">
        <is>
          <t>N02، N03</t>
        </is>
      </c>
    </row>
    <row r="6" ht="20" customHeight="1" s="76">
      <c r="A6" s="42" t="inlineStr">
        <is>
          <t>ساختار ایران</t>
        </is>
      </c>
      <c r="B6" s="42" t="n">
        <v>2</v>
      </c>
      <c r="C6" s="42" t="n">
        <v>0</v>
      </c>
      <c r="D6" s="42" t="n">
        <v>0</v>
      </c>
      <c r="E6" s="42" t="n">
        <v>2</v>
      </c>
      <c r="F6" s="42" t="n">
        <v>0</v>
      </c>
      <c r="G6" s="42">
        <f>B6-C6-D6-E6-F6</f>
        <v>0</v>
      </c>
      <c r="H6" s="42" t="inlineStr">
        <is>
          <t>N04، N05</t>
        </is>
      </c>
    </row>
    <row r="7" ht="20" customHeight="1" s="76">
      <c r="A7" s="50" t="inlineStr">
        <is>
          <t>شبکه/ساختار</t>
        </is>
      </c>
      <c r="B7" s="50" t="n">
        <v>1</v>
      </c>
      <c r="C7" s="50" t="n">
        <v>1</v>
      </c>
      <c r="D7" s="50" t="n">
        <v>0</v>
      </c>
      <c r="E7" s="50" t="n">
        <v>0</v>
      </c>
      <c r="F7" s="50" t="n">
        <v>0</v>
      </c>
      <c r="G7" s="50">
        <f>B7-C7-D7-E7-F7</f>
        <v>0</v>
      </c>
      <c r="H7" s="50" t="inlineStr">
        <is>
          <t>N06</t>
        </is>
      </c>
    </row>
    <row r="8" ht="20" customHeight="1" s="76">
      <c r="A8" s="42" t="inlineStr">
        <is>
          <t>شبکه</t>
        </is>
      </c>
      <c r="B8" s="42" t="n">
        <v>2</v>
      </c>
      <c r="C8" s="42" t="n">
        <v>1</v>
      </c>
      <c r="D8" s="42" t="n">
        <v>0</v>
      </c>
      <c r="E8" s="42" t="n">
        <v>0</v>
      </c>
      <c r="F8" s="42" t="n">
        <v>1</v>
      </c>
      <c r="G8" s="42">
        <f>B8-C8-D8-E8-F8</f>
        <v>0</v>
      </c>
      <c r="H8" s="42" t="inlineStr">
        <is>
          <t>N07، N25</t>
        </is>
      </c>
    </row>
    <row r="9" ht="20" customHeight="1" s="76">
      <c r="A9" s="50" t="inlineStr">
        <is>
          <t>سابقه حرفه‌ای</t>
        </is>
      </c>
      <c r="B9" s="50" t="n">
        <v>3</v>
      </c>
      <c r="C9" s="50" t="n">
        <v>0</v>
      </c>
      <c r="D9" s="50" t="n">
        <v>2</v>
      </c>
      <c r="E9" s="50" t="n">
        <v>0</v>
      </c>
      <c r="F9" s="50" t="n">
        <v>0</v>
      </c>
      <c r="G9" s="50">
        <f>B9-C9-D9-E9-F9</f>
        <v>1</v>
      </c>
      <c r="H9" s="50" t="inlineStr">
        <is>
          <t>N08، N09، N10</t>
        </is>
      </c>
    </row>
    <row r="10" ht="20" customHeight="1" s="76">
      <c r="A10" s="42" t="inlineStr">
        <is>
          <t>تخصص</t>
        </is>
      </c>
      <c r="B10" s="42" t="n">
        <v>3</v>
      </c>
      <c r="C10" s="42" t="n">
        <v>0</v>
      </c>
      <c r="D10" s="42" t="n">
        <v>0</v>
      </c>
      <c r="E10" s="42" t="n">
        <v>1</v>
      </c>
      <c r="F10" s="42" t="n">
        <v>2</v>
      </c>
      <c r="G10" s="42">
        <f>B10-C10-D10-E10-F10</f>
        <v>0</v>
      </c>
      <c r="H10" s="42" t="inlineStr">
        <is>
          <t>N11، N12، N13</t>
        </is>
      </c>
    </row>
    <row r="11" ht="20" customHeight="1" s="76">
      <c r="A11" s="50" t="inlineStr">
        <is>
          <t>نظارت</t>
        </is>
      </c>
      <c r="B11" s="50" t="n">
        <v>7</v>
      </c>
      <c r="C11" s="50" t="n">
        <v>3</v>
      </c>
      <c r="D11" s="50" t="n">
        <v>0</v>
      </c>
      <c r="E11" s="50" t="n">
        <v>0</v>
      </c>
      <c r="F11" s="50" t="n">
        <v>4</v>
      </c>
      <c r="G11" s="50">
        <f>B11-C11-D11-E11-F11</f>
        <v>0</v>
      </c>
      <c r="H11" s="50" t="inlineStr">
        <is>
          <t>N14، N15، N18، N19، N20، N21، N22</t>
        </is>
      </c>
    </row>
    <row r="12" ht="20" customHeight="1" s="76">
      <c r="A12" s="42" t="inlineStr">
        <is>
          <t>فعالیت</t>
        </is>
      </c>
      <c r="B12" s="42" t="n">
        <v>3</v>
      </c>
      <c r="C12" s="42" t="n">
        <v>2</v>
      </c>
      <c r="D12" s="42" t="n">
        <v>0</v>
      </c>
      <c r="E12" s="42" t="n">
        <v>0</v>
      </c>
      <c r="F12" s="42" t="n">
        <v>1</v>
      </c>
      <c r="G12" s="42">
        <f>B12-C12-D12-E12-F12</f>
        <v>0</v>
      </c>
      <c r="H12" s="42" t="inlineStr">
        <is>
          <t>N16، N17، N24</t>
        </is>
      </c>
    </row>
    <row r="13" ht="20" customHeight="1" s="76">
      <c r="A13" s="50" t="inlineStr">
        <is>
          <t>استقلال</t>
        </is>
      </c>
      <c r="B13" s="50" t="n">
        <v>2</v>
      </c>
      <c r="C13" s="50" t="n">
        <v>1</v>
      </c>
      <c r="D13" s="50" t="n">
        <v>1</v>
      </c>
      <c r="E13" s="50" t="n">
        <v>0</v>
      </c>
      <c r="F13" s="50" t="n">
        <v>0</v>
      </c>
      <c r="G13" s="50">
        <f>B13-C13-D13-E13-F13</f>
        <v>0</v>
      </c>
      <c r="H13" s="50" t="inlineStr">
        <is>
          <t>N23، N33</t>
        </is>
      </c>
    </row>
    <row r="14" ht="20" customHeight="1" s="76">
      <c r="A14" s="42" t="inlineStr">
        <is>
          <t>تجربه</t>
        </is>
      </c>
      <c r="B14" s="42" t="n">
        <v>2</v>
      </c>
      <c r="C14" s="42" t="n">
        <v>0</v>
      </c>
      <c r="D14" s="42" t="n">
        <v>0</v>
      </c>
      <c r="E14" s="42" t="n">
        <v>0</v>
      </c>
      <c r="F14" s="42" t="n">
        <v>2</v>
      </c>
      <c r="G14" s="42">
        <f>B14-C14-D14-E14-F14</f>
        <v>0</v>
      </c>
      <c r="H14" s="42" t="inlineStr">
        <is>
          <t>N26، N27</t>
        </is>
      </c>
    </row>
    <row r="15" ht="20" customHeight="1" s="76">
      <c r="A15" s="50" t="inlineStr">
        <is>
          <t>رهبری</t>
        </is>
      </c>
      <c r="B15" s="50" t="n">
        <v>3</v>
      </c>
      <c r="C15" s="50" t="n">
        <v>1</v>
      </c>
      <c r="D15" s="50" t="n">
        <v>0</v>
      </c>
      <c r="E15" s="50" t="n">
        <v>1</v>
      </c>
      <c r="F15" s="50" t="n">
        <v>1</v>
      </c>
      <c r="G15" s="50">
        <f>B15-C15-D15-E15-F15</f>
        <v>0</v>
      </c>
      <c r="H15" s="50" t="inlineStr">
        <is>
          <t>N28، N29، N31</t>
        </is>
      </c>
    </row>
    <row r="16" ht="20" customHeight="1" s="76">
      <c r="A16" s="42" t="inlineStr">
        <is>
          <t>گردش</t>
        </is>
      </c>
      <c r="B16" s="42" t="n">
        <v>1</v>
      </c>
      <c r="C16" s="42" t="n">
        <v>0</v>
      </c>
      <c r="D16" s="42" t="n">
        <v>0</v>
      </c>
      <c r="E16" s="42" t="n">
        <v>0</v>
      </c>
      <c r="F16" s="42" t="n">
        <v>1</v>
      </c>
      <c r="G16" s="42">
        <f>B16-C16-D16-E16-F16</f>
        <v>0</v>
      </c>
      <c r="H16" s="42" t="inlineStr">
        <is>
          <t>N30</t>
        </is>
      </c>
    </row>
    <row r="17" ht="20" customHeight="1" s="76">
      <c r="A17" s="50" t="inlineStr">
        <is>
          <t>ساختار</t>
        </is>
      </c>
      <c r="B17" s="50" t="n">
        <v>1</v>
      </c>
      <c r="C17" s="50" t="n">
        <v>0</v>
      </c>
      <c r="D17" s="50" t="n">
        <v>0</v>
      </c>
      <c r="E17" s="50" t="n">
        <v>0</v>
      </c>
      <c r="F17" s="50" t="n">
        <v>1</v>
      </c>
      <c r="G17" s="50">
        <f>B17-C17-D17-E17-F17</f>
        <v>0</v>
      </c>
      <c r="H17" s="50" t="inlineStr">
        <is>
          <t>N32</t>
        </is>
      </c>
    </row>
    <row r="18" ht="20" customHeight="1" s="76">
      <c r="A18" s="42" t="inlineStr">
        <is>
          <t>تنوع</t>
        </is>
      </c>
      <c r="B18" s="42" t="n">
        <v>2</v>
      </c>
      <c r="C18" s="42" t="n">
        <v>0</v>
      </c>
      <c r="D18" s="42" t="n">
        <v>1</v>
      </c>
      <c r="E18" s="42" t="n">
        <v>1</v>
      </c>
      <c r="F18" s="42" t="n">
        <v>0</v>
      </c>
      <c r="G18" s="42">
        <f>B18-C18-D18-E18-F18</f>
        <v>0</v>
      </c>
      <c r="H18" s="42" t="inlineStr">
        <is>
          <t>N34، N35</t>
        </is>
      </c>
    </row>
  </sheetData>
  <mergeCells count="2">
    <mergeCell ref="A2:H2"/>
    <mergeCell ref="A1:H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42" customWidth="1" style="76" min="3" max="3"/>
    <col width="10" customWidth="1" style="76" min="4" max="4"/>
    <col width="42" customWidth="1" style="76" min="5" max="5"/>
    <col width="25.83203125" customWidth="1" style="76" min="6" max="6"/>
    <col width="33.33203125" customWidth="1" style="76" min="7" max="7"/>
    <col width="18.1640625" customWidth="1" style="76" min="8" max="8"/>
  </cols>
  <sheetData>
    <row r="1" ht="34" customHeight="1" s="76">
      <c r="A1" s="79" t="inlineStr">
        <is>
          <t>Feasibility Test روی آرشیو ۳۰ شرکت</t>
        </is>
      </c>
    </row>
    <row r="2" ht="28" customHeight="1" s="76">
      <c r="A2" s="86" t="inlineStr">
        <is>
          <t>نتیجه آزمون واقعی روی داده‌ی موجود (v22 روستر ۱۴۲ عضو، v25 سابقه ۱۳۷ عضو، norm_scan دو رسم‌الخط، v31).</t>
        </is>
      </c>
    </row>
    <row r="3" ht="30" customHeight="1" s="76">
      <c r="A3" s="48" t="inlineStr">
        <is>
          <t>ID</t>
        </is>
      </c>
      <c r="B3" s="48" t="inlineStr">
        <is>
          <t>Candidate</t>
        </is>
      </c>
      <c r="C3" s="48" t="inlineStr">
        <is>
          <t>نتیجه آزمون</t>
        </is>
      </c>
      <c r="D3" s="48" t="inlineStr">
        <is>
          <t>دسترسی</t>
        </is>
      </c>
      <c r="E3" s="48" t="inlineStr">
        <is>
          <t>Tier</t>
        </is>
      </c>
      <c r="F3" s="48" t="inlineStr">
        <is>
          <t>توصیه</t>
        </is>
      </c>
      <c r="G3" s="48" t="inlineStr">
        <is>
          <t>منبع آزمون</t>
        </is>
      </c>
      <c r="H3" s="48" t="inlineStr">
        <is>
          <t>Evidence_Quality</t>
        </is>
      </c>
    </row>
    <row r="4" ht="29" customHeight="1" s="76">
      <c r="A4" s="42" t="inlineStr">
        <is>
          <t>N01</t>
        </is>
      </c>
      <c r="B4" s="42" t="inlineStr">
        <is>
          <t>اندازه هیئت‌مدیره</t>
        </is>
      </c>
      <c r="C4" s="42" t="inlineStr">
        <is>
          <t>N=5 در 27 شرکت؛ N=4 در 1؛ N=3 در 1؛ SD=0.40</t>
        </is>
      </c>
      <c r="D4" s="42" t="inlineStr">
        <is>
          <t>30/30</t>
        </is>
      </c>
      <c r="E4" s="52" t="inlineStr">
        <is>
          <t>SCALE_UP_WITH_LIMITATION</t>
        </is>
      </c>
      <c r="F4" s="53" t="inlineStr">
        <is>
          <t>CONTROL_DIAGNOSTIC</t>
        </is>
      </c>
      <c r="G4" s="42" t="inlineStr">
        <is>
          <t>Keyword/Roster/Coded v22,v25,v31</t>
        </is>
      </c>
      <c r="H4" s="42" t="inlineStr">
        <is>
          <t>MODERATE</t>
        </is>
      </c>
    </row>
    <row r="5" ht="29" customHeight="1" s="76">
      <c r="A5" s="50" t="inlineStr">
        <is>
          <t>N02</t>
        </is>
      </c>
      <c r="B5" s="50" t="inlineStr">
        <is>
          <t>سهم اعضای دارای دکترا</t>
        </is>
      </c>
      <c r="C5" s="50" t="inlineStr">
        <is>
          <t>۳۰/۳۰ شرکت؛ سهم دکترا غیرصفر در 29 شرکت؛ میانگین=0.497؛ SD=0.226؛ max=1.00</t>
        </is>
      </c>
      <c r="D5" s="50" t="inlineStr">
        <is>
          <t>30/30</t>
        </is>
      </c>
      <c r="E5" s="52" t="inlineStr">
        <is>
          <t>SCALE_UP_WITH_LIMITATION</t>
        </is>
      </c>
      <c r="F5" s="52" t="inlineStr">
        <is>
          <t>SCALE_UP_WITH_LIMITATION</t>
        </is>
      </c>
      <c r="G5" s="50" t="inlineStr">
        <is>
          <t>Keyword/Roster/Coded v22,v25,v31</t>
        </is>
      </c>
      <c r="H5" s="50" t="inlineStr">
        <is>
          <t>MODERATE</t>
        </is>
      </c>
    </row>
    <row r="6" ht="29" customHeight="1" s="76">
      <c r="A6" s="42" t="inlineStr">
        <is>
          <t>N03</t>
        </is>
      </c>
      <c r="B6" s="42" t="inlineStr">
        <is>
          <t>سهم مدرک کارشناسی ارشد به بالا</t>
        </is>
      </c>
      <c r="C6" s="42" t="inlineStr">
        <is>
          <t>۳۰/۳۰ شرکت؛ سهم دکترا غیرصفر در 29 شرکت؛ میانگین=0.497؛ SD=0.226؛ max=1.00</t>
        </is>
      </c>
      <c r="D6" s="42" t="inlineStr">
        <is>
          <t>30/30</t>
        </is>
      </c>
      <c r="E6" s="52" t="inlineStr">
        <is>
          <t>SCALE_UP_WITH_LIMITATION</t>
        </is>
      </c>
      <c r="F6" s="53" t="inlineStr">
        <is>
          <t>ROBUSTNESS_ONLY</t>
        </is>
      </c>
      <c r="G6" s="42" t="inlineStr">
        <is>
          <t>Keyword/Roster/Coded v22,v25,v31</t>
        </is>
      </c>
      <c r="H6" s="42" t="inlineStr">
        <is>
          <t>MODERATE</t>
        </is>
      </c>
    </row>
    <row r="7" ht="29" customHeight="1" s="76">
      <c r="A7" s="50" t="inlineStr">
        <is>
          <t>N04</t>
        </is>
      </c>
      <c r="B7" s="50" t="inlineStr">
        <is>
          <t>تمرکز اشخاص حقوقی (HHI)</t>
        </is>
      </c>
      <c r="C7" s="50" t="inlineStr">
        <is>
          <t>مقادیر یکتا HHI: [0.2, 0.28, 0.33, 1.0]</t>
        </is>
      </c>
      <c r="D7" s="50" t="inlineStr">
        <is>
          <t>30/30</t>
        </is>
      </c>
      <c r="E7" s="52" t="inlineStr">
        <is>
          <t>SCALE_UP_WITH_LIMITATION</t>
        </is>
      </c>
      <c r="F7" s="46" t="inlineStr">
        <is>
          <t>DROP</t>
        </is>
      </c>
      <c r="G7" s="50" t="inlineStr">
        <is>
          <t>Keyword/Roster/Coded v22,v25,v31</t>
        </is>
      </c>
      <c r="H7" s="50" t="inlineStr">
        <is>
          <t>MODERATE</t>
        </is>
      </c>
    </row>
    <row r="8" ht="29" customHeight="1" s="76">
      <c r="A8" s="42" t="inlineStr">
        <is>
          <t>N05</t>
        </is>
      </c>
      <c r="B8" s="42" t="inlineStr">
        <is>
          <t>تعداد اشخاص حقوقی متمایز</t>
        </is>
      </c>
      <c r="C8" s="42" t="inlineStr">
        <is>
          <t>مقادیر یکتا HHI: [0.2, 0.28, 0.33, 1.0]</t>
        </is>
      </c>
      <c r="D8" s="42" t="inlineStr">
        <is>
          <t>30/30</t>
        </is>
      </c>
      <c r="E8" s="52" t="inlineStr">
        <is>
          <t>SCALE_UP_WITH_LIMITATION</t>
        </is>
      </c>
      <c r="F8" s="46" t="inlineStr">
        <is>
          <t>DROP</t>
        </is>
      </c>
      <c r="G8" s="42" t="inlineStr">
        <is>
          <t>Keyword/Roster/Coded v22,v25,v31</t>
        </is>
      </c>
      <c r="H8" s="42" t="inlineStr">
        <is>
          <t>MODERATE</t>
        </is>
      </c>
    </row>
    <row r="9" ht="29" customHeight="1" s="76">
      <c r="A9" s="50" t="inlineStr">
        <is>
          <t>N06</t>
        </is>
      </c>
      <c r="B9" s="50" t="inlineStr">
        <is>
          <t>پیوند مشترک شخص حقوقی بین شرکت‌ها</t>
        </is>
      </c>
      <c r="C9" s="50" t="inlineStr">
        <is>
          <t>12 از 110 شخص حقوقی در بیش از یک شرکت؛ 14 از ۳۰ شرکت دارای حداقل یک پیوند مشترک</t>
        </is>
      </c>
      <c r="D9" s="50" t="inlineStr">
        <is>
          <t>30/30</t>
        </is>
      </c>
      <c r="E9" s="45" t="inlineStr">
        <is>
          <t>TARGETED_VALIDATION</t>
        </is>
      </c>
      <c r="F9" s="45" t="inlineStr">
        <is>
          <t>TARGETED_VALIDATION</t>
        </is>
      </c>
      <c r="G9" s="50" t="inlineStr">
        <is>
          <t>Keyword/Roster/Coded v22,v25,v31</t>
        </is>
      </c>
      <c r="H9" s="50" t="inlineStr">
        <is>
          <t>MODERATE</t>
        </is>
      </c>
    </row>
    <row r="10" ht="29" customHeight="1" s="76">
      <c r="A10" s="42" t="inlineStr">
        <is>
          <t>N07</t>
        </is>
      </c>
      <c r="B10" s="42" t="inlineStr">
        <is>
          <t>Interlock اشخاص حقیقی بین شرکت‌ها</t>
        </is>
      </c>
      <c r="C10" s="42" t="inlineStr">
        <is>
          <t>3 شخص حقیقی در بیش از یک شرکت؛ 6 شرکت درگیر</t>
        </is>
      </c>
      <c r="D10" s="42" t="inlineStr">
        <is>
          <t>6/30</t>
        </is>
      </c>
      <c r="E10" s="42" t="inlineStr">
        <is>
          <t>PROOF_OF_CONCEPT_ONLY</t>
        </is>
      </c>
      <c r="F10" s="53" t="inlineStr">
        <is>
          <t>DEFER</t>
        </is>
      </c>
      <c r="G10" s="42" t="inlineStr">
        <is>
          <t>Keyword/Roster/Coded v22,v25,v31</t>
        </is>
      </c>
      <c r="H10" s="42" t="inlineStr">
        <is>
          <t>MODERATE</t>
        </is>
      </c>
    </row>
    <row r="11" ht="29" customHeight="1" s="76">
      <c r="A11" s="50" t="inlineStr">
        <is>
          <t>N08</t>
        </is>
      </c>
      <c r="B11" s="50" t="inlineStr">
        <is>
          <t>سهم سابقه دولتی/سیاست‌گذاری</t>
        </is>
      </c>
      <c r="C11" s="50" t="inlineStr">
        <is>
          <t>24 شرکت قابل محاسبه؛ غیرصفر 14؛ SD=0.333</t>
        </is>
      </c>
      <c r="D11" s="50" t="inlineStr">
        <is>
          <t>28/30</t>
        </is>
      </c>
      <c r="E11" s="52" t="inlineStr">
        <is>
          <t>SCALE_UP_WITH_LIMITATION</t>
        </is>
      </c>
      <c r="F11" s="53" t="inlineStr">
        <is>
          <t>CONTROL_DIAGNOSTIC</t>
        </is>
      </c>
      <c r="G11" s="50" t="inlineStr">
        <is>
          <t>Keyword/Roster/Coded v22,v25,v31</t>
        </is>
      </c>
      <c r="H11" s="50" t="inlineStr">
        <is>
          <t>MODERATE</t>
        </is>
      </c>
    </row>
    <row r="12" ht="29" customHeight="1" s="76">
      <c r="A12" s="42" t="inlineStr">
        <is>
          <t>N09</t>
        </is>
      </c>
      <c r="B12" s="42" t="inlineStr">
        <is>
          <t>سهم سابقه مدیریت اجرایی</t>
        </is>
      </c>
      <c r="C12" s="42" t="inlineStr">
        <is>
          <t>24 شرکت؛ غیرصفر 19؛ SD=0.298</t>
        </is>
      </c>
      <c r="D12" s="42" t="inlineStr">
        <is>
          <t>28/30</t>
        </is>
      </c>
      <c r="E12" s="52" t="inlineStr">
        <is>
          <t>SCALE_UP_WITH_LIMITATION</t>
        </is>
      </c>
      <c r="F12" s="53" t="inlineStr">
        <is>
          <t>ROBUSTNESS_ONLY</t>
        </is>
      </c>
      <c r="G12" s="42" t="inlineStr">
        <is>
          <t>Keyword/Roster/Coded v22,v25,v31</t>
        </is>
      </c>
      <c r="H12" s="42" t="inlineStr">
        <is>
          <t>MODERATE</t>
        </is>
      </c>
    </row>
    <row r="13" ht="29" customHeight="1" s="76">
      <c r="A13" s="50" t="inlineStr">
        <is>
          <t>N10</t>
        </is>
      </c>
      <c r="B13" s="50" t="inlineStr">
        <is>
          <t>سهم سابقه مالی/سرمایه‌گذاری</t>
        </is>
      </c>
      <c r="C13" s="50" t="inlineStr">
        <is>
          <t>24 شرکت؛ غیرصفر 12؛ SD=0.159</t>
        </is>
      </c>
      <c r="D13" s="50" t="inlineStr">
        <is>
          <t>28/30</t>
        </is>
      </c>
      <c r="E13" s="52" t="inlineStr">
        <is>
          <t>SCALE_UP_WITH_LIMITATION</t>
        </is>
      </c>
      <c r="F13" s="53" t="inlineStr">
        <is>
          <t>ROBUSTNESS_ONLY</t>
        </is>
      </c>
      <c r="G13" s="50" t="inlineStr">
        <is>
          <t>Keyword/Roster/Coded v22,v25,v31</t>
        </is>
      </c>
      <c r="H13" s="50" t="inlineStr">
        <is>
          <t>MODERATE</t>
        </is>
      </c>
    </row>
    <row r="14" ht="29" customHeight="1" s="76">
      <c r="A14" s="42" t="inlineStr">
        <is>
          <t>N11</t>
        </is>
      </c>
      <c r="B14" s="42" t="inlineStr">
        <is>
          <t>سهم تخصص صنعتی/عملیاتی</t>
        </is>
      </c>
      <c r="C14" s="42" t="inlineStr">
        <is>
          <t>24 شرکت؛ غیرصفر 9؛ SD=0.124</t>
        </is>
      </c>
      <c r="D14" s="42" t="inlineStr">
        <is>
          <t>28/30</t>
        </is>
      </c>
      <c r="E14" s="42" t="inlineStr">
        <is>
          <t>PROOF_OF_CONCEPT_ONLY</t>
        </is>
      </c>
      <c r="F14" s="53" t="inlineStr">
        <is>
          <t>DEFER</t>
        </is>
      </c>
      <c r="G14" s="42" t="inlineStr">
        <is>
          <t>Keyword/Roster/Coded v22,v25,v31</t>
        </is>
      </c>
      <c r="H14" s="42" t="inlineStr">
        <is>
          <t>MODERATE</t>
        </is>
      </c>
    </row>
    <row r="15" ht="29" customHeight="1" s="76">
      <c r="A15" s="50" t="inlineStr">
        <is>
          <t>N12</t>
        </is>
      </c>
      <c r="B15" s="50" t="inlineStr">
        <is>
          <t>سهم تخصص حقوقی/نظارتی</t>
        </is>
      </c>
      <c r="C15" s="50" t="inlineStr">
        <is>
          <t>24 شرکت؛ غیرصفر 4؛ SD=0.089</t>
        </is>
      </c>
      <c r="D15" s="50" t="inlineStr">
        <is>
          <t>28/30</t>
        </is>
      </c>
      <c r="E15" s="50" t="inlineStr">
        <is>
          <t>PROOF_OF_CONCEPT_ONLY</t>
        </is>
      </c>
      <c r="F15" s="46" t="inlineStr">
        <is>
          <t>DROP</t>
        </is>
      </c>
      <c r="G15" s="50" t="inlineStr">
        <is>
          <t>Keyword/Roster/Coded v22,v25,v31</t>
        </is>
      </c>
      <c r="H15" s="50" t="inlineStr">
        <is>
          <t>MODERATE</t>
        </is>
      </c>
    </row>
    <row r="16" ht="29" customHeight="1" s="76">
      <c r="A16" s="42" t="inlineStr">
        <is>
          <t>N13</t>
        </is>
      </c>
      <c r="B16" s="42" t="inlineStr">
        <is>
          <t>تخصص دانشگاهی</t>
        </is>
      </c>
      <c r="C16" s="42" t="inlineStr">
        <is>
          <t>بدون داده قابل تست در آرشیو</t>
        </is>
      </c>
      <c r="D16" s="42" t="inlineStr">
        <is>
          <t>0/30</t>
        </is>
      </c>
      <c r="E16" s="42" t="inlineStr">
        <is>
          <t>THEORETICALLY_RELEVANT_BUT_NOT_CURRENTLY_MEASURABLE</t>
        </is>
      </c>
      <c r="F16" s="53" t="inlineStr">
        <is>
          <t>DEFER</t>
        </is>
      </c>
      <c r="G16" s="42" t="inlineStr">
        <is>
          <t>Keyword/Roster/Coded v22,v25,v31</t>
        </is>
      </c>
      <c r="H16" s="42" t="inlineStr">
        <is>
          <t>LOW</t>
        </is>
      </c>
    </row>
    <row r="17" ht="29" customHeight="1" s="76">
      <c r="A17" s="50" t="inlineStr">
        <is>
          <t>N14</t>
        </is>
      </c>
      <c r="B17" s="50" t="inlineStr">
        <is>
          <t>استقلال کمیته حسابرسی</t>
        </is>
      </c>
      <c r="C17" s="50" t="inlineStr">
        <is>
          <t>Keyword Hit در 19/30</t>
        </is>
      </c>
      <c r="D17" s="50" t="inlineStr">
        <is>
          <t>5/30</t>
        </is>
      </c>
      <c r="E17" s="45" t="inlineStr">
        <is>
          <t>TARGETED_VALIDATION</t>
        </is>
      </c>
      <c r="F17" s="45" t="inlineStr">
        <is>
          <t>TARGETED_VALIDATION</t>
        </is>
      </c>
      <c r="G17" s="50" t="inlineStr">
        <is>
          <t>Keyword/Roster/Coded v22,v25,v31</t>
        </is>
      </c>
      <c r="H17" s="50" t="inlineStr">
        <is>
          <t>LOW</t>
        </is>
      </c>
    </row>
    <row r="18" ht="29" customHeight="1" s="76">
      <c r="A18" s="42" t="inlineStr">
        <is>
          <t>N15</t>
        </is>
      </c>
      <c r="B18" s="42" t="inlineStr">
        <is>
          <t>تخصص مالی کمیته حسابرسی</t>
        </is>
      </c>
      <c r="C18" s="42" t="inlineStr">
        <is>
          <t>Keyword Hit در 27/30</t>
        </is>
      </c>
      <c r="D18" s="42" t="inlineStr">
        <is>
          <t>27/30</t>
        </is>
      </c>
      <c r="E18" s="45" t="inlineStr">
        <is>
          <t>TARGETED_VALIDATION</t>
        </is>
      </c>
      <c r="F18" s="45" t="inlineStr">
        <is>
          <t>TARGETED_VALIDATION</t>
        </is>
      </c>
      <c r="G18" s="42" t="inlineStr">
        <is>
          <t>Keyword/Roster/Coded v22,v25,v31</t>
        </is>
      </c>
      <c r="H18" s="42" t="inlineStr">
        <is>
          <t>LOW</t>
        </is>
      </c>
    </row>
    <row r="19" ht="29" customHeight="1" s="76">
      <c r="A19" s="50" t="inlineStr">
        <is>
          <t>N16</t>
        </is>
      </c>
      <c r="B19" s="50" t="inlineStr">
        <is>
          <t>تعداد جلسات کمیته حسابرسی</t>
        </is>
      </c>
      <c r="C19" s="50" t="inlineStr">
        <is>
          <t>جلسات AC شناخته‌شده در 12/30 (v31)</t>
        </is>
      </c>
      <c r="D19" s="50" t="inlineStr">
        <is>
          <t>20/30</t>
        </is>
      </c>
      <c r="E19" s="45" t="inlineStr">
        <is>
          <t>TARGETED_VALIDATION</t>
        </is>
      </c>
      <c r="F19" s="45" t="inlineStr">
        <is>
          <t>TARGETED_VALIDATION</t>
        </is>
      </c>
      <c r="G19" s="50" t="inlineStr">
        <is>
          <t>Keyword/Roster/Coded v22,v25,v31</t>
        </is>
      </c>
      <c r="H19" s="50" t="inlineStr">
        <is>
          <t>MODERATE</t>
        </is>
      </c>
    </row>
    <row r="20" ht="29" customHeight="1" s="76">
      <c r="A20" s="42" t="inlineStr">
        <is>
          <t>N17</t>
        </is>
      </c>
      <c r="B20" s="42" t="inlineStr">
        <is>
          <t>تعداد جلسات هیئت‌مدیره (نرمال‌شده)</t>
        </is>
      </c>
      <c r="C20" s="42" t="inlineStr">
        <is>
          <t>جلسات هیئت تاییدشده در 5/30 (v31)؛ سال مالی نامتجانس</t>
        </is>
      </c>
      <c r="D20" s="42" t="inlineStr">
        <is>
          <t>5/30</t>
        </is>
      </c>
      <c r="E20" s="45" t="inlineStr">
        <is>
          <t>TARGETED_VALIDATION</t>
        </is>
      </c>
      <c r="F20" s="45" t="inlineStr">
        <is>
          <t>TARGETED_VALIDATION</t>
        </is>
      </c>
      <c r="G20" s="42" t="inlineStr">
        <is>
          <t>Keyword/Roster/Coded v22,v25,v31</t>
        </is>
      </c>
      <c r="H20" s="42" t="inlineStr">
        <is>
          <t>LOW</t>
        </is>
      </c>
    </row>
    <row r="21" ht="29" customHeight="1" s="76">
      <c r="A21" s="50" t="inlineStr">
        <is>
          <t>N18</t>
        </is>
      </c>
      <c r="B21" s="50" t="inlineStr">
        <is>
          <t>وجود کمیته ریسک</t>
        </is>
      </c>
      <c r="C21" s="50" t="inlineStr">
        <is>
          <t>Keyword Hit در 28/30</t>
        </is>
      </c>
      <c r="D21" s="50" t="inlineStr">
        <is>
          <t>28/30</t>
        </is>
      </c>
      <c r="E21" s="45" t="inlineStr">
        <is>
          <t>TARGETED_VALIDATION</t>
        </is>
      </c>
      <c r="F21" s="45" t="inlineStr">
        <is>
          <t>TARGETED_VALIDATION</t>
        </is>
      </c>
      <c r="G21" s="50" t="inlineStr">
        <is>
          <t>Keyword/Roster/Coded v22,v25,v31</t>
        </is>
      </c>
      <c r="H21" s="50" t="inlineStr">
        <is>
          <t>MODERATE</t>
        </is>
      </c>
    </row>
    <row r="22" ht="29" customHeight="1" s="76">
      <c r="A22" s="42" t="inlineStr">
        <is>
          <t>N19</t>
        </is>
      </c>
      <c r="B22" s="42" t="inlineStr">
        <is>
          <t>وجود کمیته نامزدی</t>
        </is>
      </c>
      <c r="C22" s="42" t="inlineStr">
        <is>
          <t>Keyword Hit در 28/30</t>
        </is>
      </c>
      <c r="D22" s="42" t="inlineStr">
        <is>
          <t>28/30</t>
        </is>
      </c>
      <c r="E22" s="52" t="inlineStr">
        <is>
          <t>SCALE_UP_WITH_LIMITATION</t>
        </is>
      </c>
      <c r="F22" s="53" t="inlineStr">
        <is>
          <t>DEFER</t>
        </is>
      </c>
      <c r="G22" s="42" t="inlineStr">
        <is>
          <t>Keyword/Roster/Coded v22,v25,v31</t>
        </is>
      </c>
      <c r="H22" s="42" t="inlineStr">
        <is>
          <t>MODERATE</t>
        </is>
      </c>
    </row>
    <row r="23" ht="29" customHeight="1" s="76">
      <c r="A23" s="50" t="inlineStr">
        <is>
          <t>N20</t>
        </is>
      </c>
      <c r="B23" s="50" t="inlineStr">
        <is>
          <t>وجود کمیته جبران خدمات</t>
        </is>
      </c>
      <c r="C23" s="50" t="inlineStr">
        <is>
          <t>Keyword Hit در 4/30</t>
        </is>
      </c>
      <c r="D23" s="50" t="inlineStr">
        <is>
          <t>4/30</t>
        </is>
      </c>
      <c r="E23" s="50" t="inlineStr">
        <is>
          <t>PROOF_OF_CONCEPT_ONLY</t>
        </is>
      </c>
      <c r="F23" s="53" t="inlineStr">
        <is>
          <t>DEFER</t>
        </is>
      </c>
      <c r="G23" s="50" t="inlineStr">
        <is>
          <t>Keyword/Roster/Coded v22,v25,v31</t>
        </is>
      </c>
      <c r="H23" s="50" t="inlineStr">
        <is>
          <t>LOW</t>
        </is>
      </c>
    </row>
    <row r="24" ht="29" customHeight="1" s="76">
      <c r="A24" s="42" t="inlineStr">
        <is>
          <t>N21</t>
        </is>
      </c>
      <c r="B24" s="42" t="inlineStr">
        <is>
          <t>وجود کمیته سرمایه‌گذاری</t>
        </is>
      </c>
      <c r="C24" s="42" t="inlineStr">
        <is>
          <t>Keyword Hit در 10/30</t>
        </is>
      </c>
      <c r="D24" s="42" t="inlineStr">
        <is>
          <t>10/30</t>
        </is>
      </c>
      <c r="E24" s="42" t="inlineStr">
        <is>
          <t>PROOF_OF_CONCEPT_ONLY</t>
        </is>
      </c>
      <c r="F24" s="53" t="inlineStr">
        <is>
          <t>DEFER</t>
        </is>
      </c>
      <c r="G24" s="42" t="inlineStr">
        <is>
          <t>Keyword/Roster/Coded v22,v25,v31</t>
        </is>
      </c>
      <c r="H24" s="42" t="inlineStr">
        <is>
          <t>MODERATE</t>
        </is>
      </c>
    </row>
    <row r="25" ht="29" customHeight="1" s="76">
      <c r="A25" s="50" t="inlineStr">
        <is>
          <t>N22</t>
        </is>
      </c>
      <c r="B25" s="50" t="inlineStr">
        <is>
          <t>وجود کمیته حاکمیت شرکتی</t>
        </is>
      </c>
      <c r="C25" s="50" t="inlineStr">
        <is>
          <t>Keyword Hit در 9/30</t>
        </is>
      </c>
      <c r="D25" s="50" t="inlineStr">
        <is>
          <t>9/30</t>
        </is>
      </c>
      <c r="E25" s="50" t="inlineStr">
        <is>
          <t>PROOF_OF_CONCEPT_ONLY</t>
        </is>
      </c>
      <c r="F25" s="53" t="inlineStr">
        <is>
          <t>DEFER</t>
        </is>
      </c>
      <c r="G25" s="50" t="inlineStr">
        <is>
          <t>Keyword/Roster/Coded v22,v25,v31</t>
        </is>
      </c>
      <c r="H25" s="50" t="inlineStr">
        <is>
          <t>MODERATE</t>
        </is>
      </c>
    </row>
    <row r="26" ht="29" customHeight="1" s="76">
      <c r="A26" s="42" t="inlineStr">
        <is>
          <t>N23</t>
        </is>
      </c>
      <c r="B26" s="42" t="inlineStr">
        <is>
          <t>سهم اعضای مستقل صریح</t>
        </is>
      </c>
      <c r="C26" s="42" t="inlineStr">
        <is>
          <t>Keyword Hit در 19/30</t>
        </is>
      </c>
      <c r="D26" s="42" t="inlineStr">
        <is>
          <t>5/30</t>
        </is>
      </c>
      <c r="E26" s="45" t="inlineStr">
        <is>
          <t>TARGETED_VALIDATION</t>
        </is>
      </c>
      <c r="F26" s="45" t="inlineStr">
        <is>
          <t>TARGETED_VALIDATION</t>
        </is>
      </c>
      <c r="G26" s="42" t="inlineStr">
        <is>
          <t>Keyword/Roster/Coded v22,v25,v31</t>
        </is>
      </c>
      <c r="H26" s="42" t="inlineStr">
        <is>
          <t>LOW</t>
        </is>
      </c>
    </row>
    <row r="27" ht="29" customHeight="1" s="76">
      <c r="A27" s="50" t="inlineStr">
        <is>
          <t>N24</t>
        </is>
      </c>
      <c r="B27" s="50" t="inlineStr">
        <is>
          <t>حضور اعضا در جلسات</t>
        </is>
      </c>
      <c r="C27" s="50" t="inlineStr">
        <is>
          <t>بدون داده قابل تست در آرشیو</t>
        </is>
      </c>
      <c r="D27" s="50" t="inlineStr">
        <is>
          <t>0/30</t>
        </is>
      </c>
      <c r="E27" s="50" t="inlineStr">
        <is>
          <t>THEORETICALLY_RELEVANT_BUT_NOT_CURRENTLY_MEASURABLE</t>
        </is>
      </c>
      <c r="F27" s="53" t="inlineStr">
        <is>
          <t>DEFER</t>
        </is>
      </c>
      <c r="G27" s="50" t="inlineStr">
        <is>
          <t>Keyword/Roster/Coded v22,v25,v31</t>
        </is>
      </c>
      <c r="H27" s="50" t="inlineStr">
        <is>
          <t>LOW</t>
        </is>
      </c>
    </row>
    <row r="28" ht="29" customHeight="1" s="76">
      <c r="A28" s="42" t="inlineStr">
        <is>
          <t>N25</t>
        </is>
      </c>
      <c r="B28" s="42" t="inlineStr">
        <is>
          <t>عضویت همزمان / Multiple Directorships</t>
        </is>
      </c>
      <c r="C28" s="42" t="inlineStr">
        <is>
          <t>Keyword Hit در 16/30؛ ساختاریافته در v31: فملی، تاپیکو، وبملت</t>
        </is>
      </c>
      <c r="D28" s="42" t="inlineStr">
        <is>
          <t>3/30</t>
        </is>
      </c>
      <c r="E28" s="45" t="inlineStr">
        <is>
          <t>TARGETED_VALIDATION</t>
        </is>
      </c>
      <c r="F28" s="45" t="inlineStr">
        <is>
          <t>TARGETED_VALIDATION</t>
        </is>
      </c>
      <c r="G28" s="42" t="inlineStr">
        <is>
          <t>Keyword/Roster/Coded v22,v25,v31</t>
        </is>
      </c>
      <c r="H28" s="42" t="inlineStr">
        <is>
          <t>LOW</t>
        </is>
      </c>
    </row>
    <row r="29" ht="29" customHeight="1" s="76">
      <c r="A29" s="50" t="inlineStr">
        <is>
          <t>N26</t>
        </is>
      </c>
      <c r="B29" s="50" t="inlineStr">
        <is>
          <t>سن / Tenure اعضا</t>
        </is>
      </c>
      <c r="C29" s="50" t="inlineStr">
        <is>
          <t>Keyword «تاریخ تولد/متولد»: ۰/۳۰ ⇒ سن در روستر Codal موجود نیست</t>
        </is>
      </c>
      <c r="D29" s="50" t="inlineStr">
        <is>
          <t>1/30</t>
        </is>
      </c>
      <c r="E29" s="50" t="inlineStr">
        <is>
          <t>PROOF_OF_CONCEPT_ONLY</t>
        </is>
      </c>
      <c r="F29" s="53" t="inlineStr">
        <is>
          <t>DEFER</t>
        </is>
      </c>
      <c r="G29" s="50" t="inlineStr">
        <is>
          <t>Keyword/Roster/Coded v22,v25,v31</t>
        </is>
      </c>
      <c r="H29" s="50" t="inlineStr">
        <is>
          <t>LOW</t>
        </is>
      </c>
    </row>
    <row r="30" ht="29" customHeight="1" s="76">
      <c r="A30" s="42" t="inlineStr">
        <is>
          <t>N27</t>
        </is>
      </c>
      <c r="B30" s="42" t="inlineStr">
        <is>
          <t>تنوع Tenure</t>
        </is>
      </c>
      <c r="C30" s="42" t="inlineStr">
        <is>
          <t>Keyword «تاریخ تولد/متولد»: ۰/۳۰ ⇒ سن در روستر Codal موجود نیست</t>
        </is>
      </c>
      <c r="D30" s="42" t="inlineStr">
        <is>
          <t>1/30</t>
        </is>
      </c>
      <c r="E30" s="42" t="inlineStr">
        <is>
          <t>PROOF_OF_CONCEPT_ONLY</t>
        </is>
      </c>
      <c r="F30" s="53" t="inlineStr">
        <is>
          <t>DEFER</t>
        </is>
      </c>
      <c r="G30" s="42" t="inlineStr">
        <is>
          <t>Keyword/Roster/Coded v22,v25,v31</t>
        </is>
      </c>
      <c r="H30" s="42" t="inlineStr">
        <is>
          <t>LOW</t>
        </is>
      </c>
    </row>
    <row r="31" ht="29" customHeight="1" s="76">
      <c r="A31" s="50" t="inlineStr">
        <is>
          <t>N28</t>
        </is>
      </c>
      <c r="B31" s="50" t="inlineStr">
        <is>
          <t>مدت تصدی رئیس هیئت</t>
        </is>
      </c>
      <c r="C31" s="50" t="inlineStr">
        <is>
          <t>بدون داده قابل تست در آرشیو</t>
        </is>
      </c>
      <c r="D31" s="50" t="inlineStr">
        <is>
          <t>23/30</t>
        </is>
      </c>
      <c r="E31" s="45" t="inlineStr">
        <is>
          <t>TARGETED_VALIDATION</t>
        </is>
      </c>
      <c r="F31" s="45" t="inlineStr">
        <is>
          <t>TARGETED_VALIDATION</t>
        </is>
      </c>
      <c r="G31" s="50" t="inlineStr">
        <is>
          <t>Keyword/Roster/Coded v22,v25,v31</t>
        </is>
      </c>
      <c r="H31" s="50" t="inlineStr">
        <is>
          <t>MODERATE</t>
        </is>
      </c>
    </row>
    <row r="32" ht="29" customHeight="1" s="76">
      <c r="A32" s="42" t="inlineStr">
        <is>
          <t>N29</t>
        </is>
      </c>
      <c r="B32" s="42" t="inlineStr">
        <is>
          <t>مدت تصدی مدیرعامل</t>
        </is>
      </c>
      <c r="C32" s="42" t="inlineStr">
        <is>
          <t>بدون داده قابل تست در آرشیو</t>
        </is>
      </c>
      <c r="D32" s="42" t="inlineStr">
        <is>
          <t>10/30</t>
        </is>
      </c>
      <c r="E32" s="52" t="inlineStr">
        <is>
          <t>SCALE_UP_WITH_LIMITATION</t>
        </is>
      </c>
      <c r="F32" s="53" t="inlineStr">
        <is>
          <t>DEFER</t>
        </is>
      </c>
      <c r="G32" s="42" t="inlineStr">
        <is>
          <t>Keyword/Roster/Coded v22,v25,v31</t>
        </is>
      </c>
      <c r="H32" s="42" t="inlineStr">
        <is>
          <t>MODERATE</t>
        </is>
      </c>
    </row>
    <row r="33" ht="29" customHeight="1" s="76">
      <c r="A33" s="50" t="inlineStr">
        <is>
          <t>N30</t>
        </is>
      </c>
      <c r="B33" s="50" t="inlineStr">
        <is>
          <t>نرخ کرسی خالی</t>
        </is>
      </c>
      <c r="C33" s="50" t="inlineStr">
        <is>
          <t>بدون داده قابل تست در آرشیو</t>
        </is>
      </c>
      <c r="D33" s="50" t="inlineStr">
        <is>
          <t>1/30</t>
        </is>
      </c>
      <c r="E33" s="50" t="inlineStr">
        <is>
          <t>PROOF_OF_CONCEPT_ONLY</t>
        </is>
      </c>
      <c r="F33" s="53" t="inlineStr">
        <is>
          <t>DEFER</t>
        </is>
      </c>
      <c r="G33" s="50" t="inlineStr">
        <is>
          <t>Keyword/Roster/Coded v22,v25,v31</t>
        </is>
      </c>
      <c r="H33" s="50" t="inlineStr">
        <is>
          <t>LOW</t>
        </is>
      </c>
    </row>
    <row r="34" ht="29" customHeight="1" s="76">
      <c r="A34" s="42" t="inlineStr">
        <is>
          <t>N31</t>
        </is>
      </c>
      <c r="B34" s="42" t="inlineStr">
        <is>
          <t>تمرکز نقش (Chair=CEO)</t>
        </is>
      </c>
      <c r="C34" s="42" t="inlineStr">
        <is>
          <t>بدون داده قابل تست در آرشیو</t>
        </is>
      </c>
      <c r="D34" s="42" t="inlineStr">
        <is>
          <t>26/30</t>
        </is>
      </c>
      <c r="E34" s="52" t="inlineStr">
        <is>
          <t>SCALE_UP_WITH_LIMITATION</t>
        </is>
      </c>
      <c r="F34" s="46" t="inlineStr">
        <is>
          <t>DROP</t>
        </is>
      </c>
      <c r="G34" s="42" t="inlineStr">
        <is>
          <t>Keyword/Roster/Coded v22,v25,v31</t>
        </is>
      </c>
      <c r="H34" s="42" t="inlineStr">
        <is>
          <t>MODERATE</t>
        </is>
      </c>
    </row>
    <row r="35" ht="29" customHeight="1" s="76">
      <c r="A35" s="50" t="inlineStr">
        <is>
          <t>N32</t>
        </is>
      </c>
      <c r="B35" s="50" t="inlineStr">
        <is>
          <t>هم‌پوشانی کمیته‌ها</t>
        </is>
      </c>
      <c r="C35" s="50" t="inlineStr">
        <is>
          <t>Keyword Hit در 28/30</t>
        </is>
      </c>
      <c r="D35" s="50" t="inlineStr">
        <is>
          <t>5/30</t>
        </is>
      </c>
      <c r="E35" s="50" t="inlineStr">
        <is>
          <t>PROOF_OF_CONCEPT_ONLY</t>
        </is>
      </c>
      <c r="F35" s="53" t="inlineStr">
        <is>
          <t>DEFER</t>
        </is>
      </c>
      <c r="G35" s="50" t="inlineStr">
        <is>
          <t>Keyword/Roster/Coded v22,v25,v31</t>
        </is>
      </c>
      <c r="H35" s="50" t="inlineStr">
        <is>
          <t>LOW</t>
        </is>
      </c>
    </row>
    <row r="36" ht="29" customHeight="1" s="76">
      <c r="A36" s="42" t="inlineStr">
        <is>
          <t>N33</t>
        </is>
      </c>
      <c r="B36" s="42" t="inlineStr">
        <is>
          <t>سهم اعضای موظف</t>
        </is>
      </c>
      <c r="C36" s="42" t="inlineStr">
        <is>
          <t>بدون داده قابل تست در آرشیو</t>
        </is>
      </c>
      <c r="D36" s="42" t="inlineStr">
        <is>
          <t>28/30</t>
        </is>
      </c>
      <c r="E36" s="52" t="inlineStr">
        <is>
          <t>SCALE_UP_WITH_LIMITATION</t>
        </is>
      </c>
      <c r="F36" s="53" t="inlineStr">
        <is>
          <t>ROBUSTNESS_ONLY</t>
        </is>
      </c>
      <c r="G36" s="42" t="inlineStr">
        <is>
          <t>Keyword/Roster/Coded v22,v25,v31</t>
        </is>
      </c>
      <c r="H36" s="42" t="inlineStr">
        <is>
          <t>MODERATE</t>
        </is>
      </c>
    </row>
    <row r="37" ht="29" customHeight="1" s="76">
      <c r="A37" s="50" t="inlineStr">
        <is>
          <t>N34</t>
        </is>
      </c>
      <c r="B37" s="50" t="inlineStr">
        <is>
          <t>Blau نرمال‌شده تحصیلی</t>
        </is>
      </c>
      <c r="C37" s="50" t="inlineStr">
        <is>
          <t>بدون داده قابل تست در آرشیو</t>
        </is>
      </c>
      <c r="D37" s="50" t="inlineStr">
        <is>
          <t>28/30</t>
        </is>
      </c>
      <c r="E37" s="52" t="inlineStr">
        <is>
          <t>SCALE_UP_WITH_LIMITATION</t>
        </is>
      </c>
      <c r="F37" s="53" t="inlineStr">
        <is>
          <t>ROBUSTNESS_ONLY</t>
        </is>
      </c>
      <c r="G37" s="50" t="inlineStr">
        <is>
          <t>Keyword/Roster/Coded v22,v25,v31</t>
        </is>
      </c>
      <c r="H37" s="50" t="inlineStr">
        <is>
          <t>MODERATE</t>
        </is>
      </c>
    </row>
    <row r="38" ht="29" customHeight="1" s="76">
      <c r="A38" s="42" t="inlineStr">
        <is>
          <t>N35</t>
        </is>
      </c>
      <c r="B38" s="42" t="inlineStr">
        <is>
          <t>غنای هیئت (Richness)</t>
        </is>
      </c>
      <c r="C38" s="42" t="inlineStr">
        <is>
          <t>N=5 در 27 شرکت؛ N=4 در 1؛ N=3 در 1؛ SD=0.40</t>
        </is>
      </c>
      <c r="D38" s="42" t="inlineStr">
        <is>
          <t>28/30</t>
        </is>
      </c>
      <c r="E38" s="52" t="inlineStr">
        <is>
          <t>SCALE_UP_WITH_LIMITATION</t>
        </is>
      </c>
      <c r="F38" s="46" t="inlineStr">
        <is>
          <t>DROP</t>
        </is>
      </c>
      <c r="G38" s="42" t="inlineStr">
        <is>
          <t>Keyword/Roster/Coded v22,v25,v31</t>
        </is>
      </c>
      <c r="H38" s="42" t="inlineStr">
        <is>
          <t>MODERATE</t>
        </is>
      </c>
    </row>
  </sheetData>
  <mergeCells count="2">
    <mergeCell ref="A2:H2"/>
    <mergeCell ref="A1:H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22" customWidth="1" style="76" min="3" max="3"/>
    <col width="10" customWidth="1" style="76" min="4" max="4"/>
    <col width="26.6640625" customWidth="1" style="76" min="5" max="5"/>
    <col width="10" customWidth="1" style="76" min="6" max="7"/>
    <col width="18.1640625" customWidth="1" style="76" min="8" max="8"/>
    <col width="20.1640625" customWidth="1" style="76" min="9" max="9"/>
    <col width="29.6640625" customWidth="1" style="76" min="10" max="10"/>
    <col width="36.1640625" customWidth="1" style="76" min="11" max="11"/>
    <col width="31.5" customWidth="1" style="76" min="12" max="12"/>
  </cols>
  <sheetData>
    <row r="1" ht="34" customHeight="1" s="76">
      <c r="A1" s="79" t="inlineStr">
        <is>
          <t>دسترسی به منبع</t>
        </is>
      </c>
    </row>
    <row r="2" ht="28" customHeight="1" s="76">
      <c r="A2" s="86" t="inlineStr">
        <is>
          <t>منبع رسمی Codal برای همه؛ کیفیت بر پایه تعداد شرکت‌های دارای شواهد.</t>
        </is>
      </c>
    </row>
    <row r="3" ht="30" customHeight="1" s="76">
      <c r="A3" s="48" t="inlineStr">
        <is>
          <t>ID</t>
        </is>
      </c>
      <c r="B3" s="48" t="inlineStr">
        <is>
          <t>Candidate</t>
        </is>
      </c>
      <c r="C3" s="48" t="inlineStr">
        <is>
          <t>نوع منبع</t>
        </is>
      </c>
      <c r="D3" s="48" t="inlineStr">
        <is>
          <t>سامانه</t>
        </is>
      </c>
      <c r="E3" s="48" t="inlineStr">
        <is>
          <t>Raw Field</t>
        </is>
      </c>
      <c r="F3" s="48" t="inlineStr">
        <is>
          <t>دسترسی</t>
        </is>
      </c>
      <c r="G3" s="48" t="inlineStr">
        <is>
          <t>مقیاس</t>
        </is>
      </c>
      <c r="H3" s="48" t="inlineStr">
        <is>
          <t>Evidence_Quality</t>
        </is>
      </c>
      <c r="I3" s="48" t="inlineStr">
        <is>
          <t>Source_ID</t>
        </is>
      </c>
      <c r="J3" s="48" t="inlineStr">
        <is>
          <t>Source_Name</t>
        </is>
      </c>
      <c r="K3" s="48" t="inlineStr">
        <is>
          <t>Source_Page</t>
        </is>
      </c>
      <c r="L3" s="48" t="inlineStr">
        <is>
          <t>Source_URL</t>
        </is>
      </c>
    </row>
    <row r="4" ht="29" customHeight="1" s="76">
      <c r="A4" s="42" t="inlineStr">
        <is>
          <t>N01</t>
        </is>
      </c>
      <c r="B4" s="42" t="inlineStr">
        <is>
          <t>اندازه هیئت‌مدیره</t>
        </is>
      </c>
      <c r="C4" s="42" t="inlineStr">
        <is>
          <t>روستر Codal</t>
        </is>
      </c>
      <c r="D4" s="42" t="inlineStr">
        <is>
          <t>Codal</t>
        </is>
      </c>
      <c r="E4" s="42" t="inlineStr">
        <is>
          <t>Member rows</t>
        </is>
      </c>
      <c r="F4" s="42" t="inlineStr">
        <is>
          <t>30/30</t>
        </is>
      </c>
      <c r="G4" s="42" t="inlineStr">
        <is>
          <t>HIGH</t>
        </is>
      </c>
      <c r="H4" s="42" t="inlineStr">
        <is>
          <t>MODERATE</t>
        </is>
      </c>
      <c r="I4" s="42" t="inlineStr">
        <is>
          <t>در Audit منابع v36</t>
        </is>
      </c>
      <c r="J4" s="42" t="inlineStr">
        <is>
          <t>Codal ن-۴۵/ن-۱۱/گزارش سالانه</t>
        </is>
      </c>
      <c r="K4" s="42" t="inlineStr">
        <is>
          <t>نمونه: نمونه: SRC_FARS_1404_001 ص۴۰</t>
        </is>
      </c>
      <c r="L4" s="42" t="inlineStr">
        <is>
          <t>Codal URL در ثبت منابع Batchها</t>
        </is>
      </c>
    </row>
    <row r="5" ht="29" customHeight="1" s="76">
      <c r="A5" s="50" t="inlineStr">
        <is>
          <t>N02</t>
        </is>
      </c>
      <c r="B5" s="50" t="inlineStr">
        <is>
          <t>سهم اعضای دارای دکترا</t>
        </is>
      </c>
      <c r="C5" s="50" t="inlineStr">
        <is>
          <t>روستر/بیوگرافی Codal</t>
        </is>
      </c>
      <c r="D5" s="50" t="inlineStr">
        <is>
          <t>Codal</t>
        </is>
      </c>
      <c r="E5" s="50" t="inlineStr">
        <is>
          <t>Education_Level</t>
        </is>
      </c>
      <c r="F5" s="50" t="inlineStr">
        <is>
          <t>30/30</t>
        </is>
      </c>
      <c r="G5" s="50" t="inlineStr">
        <is>
          <t>HIGH</t>
        </is>
      </c>
      <c r="H5" s="50" t="inlineStr">
        <is>
          <t>MODERATE</t>
        </is>
      </c>
      <c r="I5" s="50" t="inlineStr">
        <is>
          <t>در Audit منابع v36</t>
        </is>
      </c>
      <c r="J5" s="50" t="inlineStr">
        <is>
          <t>Codal ن-۴۵/ن-۱۱/گزارش سالانه</t>
        </is>
      </c>
      <c r="K5" s="50" t="inlineStr">
        <is>
          <t>نمونه: نمونه: SRC_FARS_1404_001 ص۴۰</t>
        </is>
      </c>
      <c r="L5" s="50" t="inlineStr">
        <is>
          <t>Codal URL در ثبت منابع Batchها</t>
        </is>
      </c>
    </row>
    <row r="6" ht="29" customHeight="1" s="76">
      <c r="A6" s="42" t="inlineStr">
        <is>
          <t>N03</t>
        </is>
      </c>
      <c r="B6" s="42" t="inlineStr">
        <is>
          <t>سهم مدرک کارشناسی ارشد به بالا</t>
        </is>
      </c>
      <c r="C6" s="42" t="inlineStr">
        <is>
          <t>Codal</t>
        </is>
      </c>
      <c r="D6" s="42" t="inlineStr">
        <is>
          <t>Codal</t>
        </is>
      </c>
      <c r="E6" s="42" t="inlineStr">
        <is>
          <t>Education_Level</t>
        </is>
      </c>
      <c r="F6" s="42" t="inlineStr">
        <is>
          <t>30/30</t>
        </is>
      </c>
      <c r="G6" s="42" t="inlineStr">
        <is>
          <t>HIGH</t>
        </is>
      </c>
      <c r="H6" s="42" t="inlineStr">
        <is>
          <t>MODERATE</t>
        </is>
      </c>
      <c r="I6" s="42" t="inlineStr">
        <is>
          <t>در Audit منابع v36</t>
        </is>
      </c>
      <c r="J6" s="42" t="inlineStr">
        <is>
          <t>Codal ن-۴۵/ن-۱۱/گزارش سالانه</t>
        </is>
      </c>
      <c r="K6" s="42" t="inlineStr">
        <is>
          <t>نمونه: نمونه: SRC_FARS_1404_001 ص۴۰</t>
        </is>
      </c>
      <c r="L6" s="42" t="inlineStr">
        <is>
          <t>Codal URL در ثبت منابع Batchها</t>
        </is>
      </c>
    </row>
    <row r="7" ht="29" customHeight="1" s="76">
      <c r="A7" s="50" t="inlineStr">
        <is>
          <t>N04</t>
        </is>
      </c>
      <c r="B7" s="50" t="inlineStr">
        <is>
          <t>تمرکز اشخاص حقوقی (HHI)</t>
        </is>
      </c>
      <c r="C7" s="50" t="inlineStr">
        <is>
          <t>Codal</t>
        </is>
      </c>
      <c r="D7" s="50" t="inlineStr">
        <is>
          <t>Codal</t>
        </is>
      </c>
      <c r="E7" s="50" t="inlineStr">
        <is>
          <t>Legal_Entity_Represented</t>
        </is>
      </c>
      <c r="F7" s="50" t="inlineStr">
        <is>
          <t>30/30</t>
        </is>
      </c>
      <c r="G7" s="50" t="inlineStr">
        <is>
          <t>HIGH</t>
        </is>
      </c>
      <c r="H7" s="50" t="inlineStr">
        <is>
          <t>MODERATE</t>
        </is>
      </c>
      <c r="I7" s="50" t="inlineStr">
        <is>
          <t>در Audit منابع v36</t>
        </is>
      </c>
      <c r="J7" s="50" t="inlineStr">
        <is>
          <t>Codal ن-۴۵/ن-۱۱/گزارش سالانه</t>
        </is>
      </c>
      <c r="K7" s="50" t="inlineStr">
        <is>
          <t>نمونه: نمونه: SRC_FARS_1404_001 ص۴۰</t>
        </is>
      </c>
      <c r="L7" s="50" t="inlineStr">
        <is>
          <t>Codal URL در ثبت منابع Batchها</t>
        </is>
      </c>
    </row>
    <row r="8" ht="29" customHeight="1" s="76">
      <c r="A8" s="42" t="inlineStr">
        <is>
          <t>N05</t>
        </is>
      </c>
      <c r="B8" s="42" t="inlineStr">
        <is>
          <t>تعداد اشخاص حقوقی متمایز</t>
        </is>
      </c>
      <c r="C8" s="42" t="inlineStr">
        <is>
          <t>Codal</t>
        </is>
      </c>
      <c r="D8" s="42" t="inlineStr">
        <is>
          <t>Codal</t>
        </is>
      </c>
      <c r="E8" s="42" t="inlineStr">
        <is>
          <t>Legal_Entity_Represented</t>
        </is>
      </c>
      <c r="F8" s="42" t="inlineStr">
        <is>
          <t>30/30</t>
        </is>
      </c>
      <c r="G8" s="42" t="inlineStr">
        <is>
          <t>HIGH</t>
        </is>
      </c>
      <c r="H8" s="42" t="inlineStr">
        <is>
          <t>MODERATE</t>
        </is>
      </c>
      <c r="I8" s="42" t="inlineStr">
        <is>
          <t>در Audit منابع v36</t>
        </is>
      </c>
      <c r="J8" s="42" t="inlineStr">
        <is>
          <t>Codal ن-۴۵/ن-۱۱/گزارش سالانه</t>
        </is>
      </c>
      <c r="K8" s="42" t="inlineStr">
        <is>
          <t>نمونه: نمونه: SRC_FARS_1404_001 ص۴۰</t>
        </is>
      </c>
      <c r="L8" s="42" t="inlineStr">
        <is>
          <t>Codal URL در ثبت منابع Batchها</t>
        </is>
      </c>
    </row>
    <row r="9" ht="29" customHeight="1" s="76">
      <c r="A9" s="50" t="inlineStr">
        <is>
          <t>N06</t>
        </is>
      </c>
      <c r="B9" s="50" t="inlineStr">
        <is>
          <t>پیوند مشترک شخص حقوقی بین شرکت‌ها</t>
        </is>
      </c>
      <c r="C9" s="50" t="inlineStr">
        <is>
          <t>Codal</t>
        </is>
      </c>
      <c r="D9" s="50" t="inlineStr">
        <is>
          <t>Codal</t>
        </is>
      </c>
      <c r="E9" s="50" t="inlineStr">
        <is>
          <t>Legal_Entity_Represented</t>
        </is>
      </c>
      <c r="F9" s="50" t="inlineStr">
        <is>
          <t>30/30</t>
        </is>
      </c>
      <c r="G9" s="50" t="inlineStr">
        <is>
          <t>MEDIUM</t>
        </is>
      </c>
      <c r="H9" s="50" t="inlineStr">
        <is>
          <t>MODERATE</t>
        </is>
      </c>
      <c r="I9" s="50" t="inlineStr">
        <is>
          <t>در Audit منابع v36</t>
        </is>
      </c>
      <c r="J9" s="50" t="inlineStr">
        <is>
          <t>Codal ن-۴۵/ن-۱۱/گزارش سالانه</t>
        </is>
      </c>
      <c r="K9" s="50" t="inlineStr">
        <is>
          <t>نمونه: نمونه: SRC_FARS_1404_001 ص۴۰</t>
        </is>
      </c>
      <c r="L9" s="50" t="inlineStr">
        <is>
          <t>Codal URL در ثبت منابع Batchها</t>
        </is>
      </c>
    </row>
    <row r="10" ht="29" customHeight="1" s="76">
      <c r="A10" s="42" t="inlineStr">
        <is>
          <t>N07</t>
        </is>
      </c>
      <c r="B10" s="42" t="inlineStr">
        <is>
          <t>Interlock اشخاص حقیقی بین شرکت‌ها</t>
        </is>
      </c>
      <c r="C10" s="42" t="inlineStr">
        <is>
          <t>Codal</t>
        </is>
      </c>
      <c r="D10" s="42" t="inlineStr">
        <is>
          <t>Codal</t>
        </is>
      </c>
      <c r="E10" s="42" t="inlineStr">
        <is>
          <t>Member_Name</t>
        </is>
      </c>
      <c r="F10" s="42" t="inlineStr">
        <is>
          <t>6/30</t>
        </is>
      </c>
      <c r="G10" s="42" t="inlineStr">
        <is>
          <t>MEDIUM</t>
        </is>
      </c>
      <c r="H10" s="42" t="inlineStr">
        <is>
          <t>MODERATE</t>
        </is>
      </c>
      <c r="I10" s="42" t="inlineStr">
        <is>
          <t>در Audit منابع v36</t>
        </is>
      </c>
      <c r="J10" s="42" t="inlineStr">
        <is>
          <t>Codal ن-۴۵/ن-۱۱/گزارش سالانه</t>
        </is>
      </c>
      <c r="K10" s="42" t="inlineStr">
        <is>
          <t>نمونه: نمونه: SRC_FARS_1404_001 ص۴۰</t>
        </is>
      </c>
      <c r="L10" s="42" t="inlineStr">
        <is>
          <t>Codal URL در ثبت منابع Batchها</t>
        </is>
      </c>
    </row>
    <row r="11" ht="29" customHeight="1" s="76">
      <c r="A11" s="50" t="inlineStr">
        <is>
          <t>N08</t>
        </is>
      </c>
      <c r="B11" s="50" t="inlineStr">
        <is>
          <t>سهم سابقه دولتی/سیاست‌گذاری</t>
        </is>
      </c>
      <c r="C11" s="50" t="inlineStr">
        <is>
          <t>بیوگرافی Codal</t>
        </is>
      </c>
      <c r="D11" s="50" t="inlineStr">
        <is>
          <t>Codal</t>
        </is>
      </c>
      <c r="E11" s="50" t="inlineStr">
        <is>
          <t>Strict_Primary</t>
        </is>
      </c>
      <c r="F11" s="50" t="inlineStr">
        <is>
          <t>28/30</t>
        </is>
      </c>
      <c r="G11" s="50" t="inlineStr">
        <is>
          <t>MEDIUM</t>
        </is>
      </c>
      <c r="H11" s="50" t="inlineStr">
        <is>
          <t>MODERATE</t>
        </is>
      </c>
      <c r="I11" s="50" t="inlineStr">
        <is>
          <t>در Audit منابع v36</t>
        </is>
      </c>
      <c r="J11" s="50" t="inlineStr">
        <is>
          <t>Codal ن-۴۵/ن-۱۱/گزارش سالانه</t>
        </is>
      </c>
      <c r="K11" s="50" t="inlineStr">
        <is>
          <t>نمونه: نمونه: SRC_FARS_1404_001 ص۴۰</t>
        </is>
      </c>
      <c r="L11" s="50" t="inlineStr">
        <is>
          <t>Codal URL در ثبت منابع Batchها</t>
        </is>
      </c>
    </row>
    <row r="12" ht="29" customHeight="1" s="76">
      <c r="A12" s="42" t="inlineStr">
        <is>
          <t>N09</t>
        </is>
      </c>
      <c r="B12" s="42" t="inlineStr">
        <is>
          <t>سهم سابقه مدیریت اجرایی</t>
        </is>
      </c>
      <c r="C12" s="42" t="inlineStr">
        <is>
          <t>Codal</t>
        </is>
      </c>
      <c r="D12" s="42" t="inlineStr">
        <is>
          <t>Codal</t>
        </is>
      </c>
      <c r="E12" s="42" t="inlineStr">
        <is>
          <t>Strict_Primary</t>
        </is>
      </c>
      <c r="F12" s="42" t="inlineStr">
        <is>
          <t>28/30</t>
        </is>
      </c>
      <c r="G12" s="42" t="inlineStr">
        <is>
          <t>MEDIUM</t>
        </is>
      </c>
      <c r="H12" s="42" t="inlineStr">
        <is>
          <t>MODERATE</t>
        </is>
      </c>
      <c r="I12" s="42" t="inlineStr">
        <is>
          <t>در Audit منابع v36</t>
        </is>
      </c>
      <c r="J12" s="42" t="inlineStr">
        <is>
          <t>Codal ن-۴۵/ن-۱۱/گزارش سالانه</t>
        </is>
      </c>
      <c r="K12" s="42" t="inlineStr">
        <is>
          <t>نمونه: نمونه: SRC_FARS_1404_001 ص۴۰</t>
        </is>
      </c>
      <c r="L12" s="42" t="inlineStr">
        <is>
          <t>Codal URL در ثبت منابع Batchها</t>
        </is>
      </c>
    </row>
    <row r="13" ht="29" customHeight="1" s="76">
      <c r="A13" s="50" t="inlineStr">
        <is>
          <t>N10</t>
        </is>
      </c>
      <c r="B13" s="50" t="inlineStr">
        <is>
          <t>سهم سابقه مالی/سرمایه‌گذاری</t>
        </is>
      </c>
      <c r="C13" s="50" t="inlineStr">
        <is>
          <t>Codal</t>
        </is>
      </c>
      <c r="D13" s="50" t="inlineStr">
        <is>
          <t>Codal</t>
        </is>
      </c>
      <c r="E13" s="50" t="inlineStr">
        <is>
          <t>Strict_Primary</t>
        </is>
      </c>
      <c r="F13" s="50" t="inlineStr">
        <is>
          <t>28/30</t>
        </is>
      </c>
      <c r="G13" s="50" t="inlineStr">
        <is>
          <t>MEDIUM</t>
        </is>
      </c>
      <c r="H13" s="50" t="inlineStr">
        <is>
          <t>MODERATE</t>
        </is>
      </c>
      <c r="I13" s="50" t="inlineStr">
        <is>
          <t>در Audit منابع v36</t>
        </is>
      </c>
      <c r="J13" s="50" t="inlineStr">
        <is>
          <t>Codal ن-۴۵/ن-۱۱/گزارش سالانه</t>
        </is>
      </c>
      <c r="K13" s="50" t="inlineStr">
        <is>
          <t>نمونه: نمونه: SRC_FARS_1404_001 ص۴۰</t>
        </is>
      </c>
      <c r="L13" s="50" t="inlineStr">
        <is>
          <t>Codal URL در ثبت منابع Batchها</t>
        </is>
      </c>
    </row>
    <row r="14" ht="29" customHeight="1" s="76">
      <c r="A14" s="42" t="inlineStr">
        <is>
          <t>N11</t>
        </is>
      </c>
      <c r="B14" s="42" t="inlineStr">
        <is>
          <t>سهم تخصص صنعتی/عملیاتی</t>
        </is>
      </c>
      <c r="C14" s="42" t="inlineStr">
        <is>
          <t>Codal</t>
        </is>
      </c>
      <c r="D14" s="42" t="inlineStr">
        <is>
          <t>Codal</t>
        </is>
      </c>
      <c r="E14" s="42" t="inlineStr">
        <is>
          <t>Strict_Primary</t>
        </is>
      </c>
      <c r="F14" s="42" t="inlineStr">
        <is>
          <t>28/30</t>
        </is>
      </c>
      <c r="G14" s="42" t="inlineStr">
        <is>
          <t>MEDIUM</t>
        </is>
      </c>
      <c r="H14" s="42" t="inlineStr">
        <is>
          <t>MODERATE</t>
        </is>
      </c>
      <c r="I14" s="42" t="inlineStr">
        <is>
          <t>در Audit منابع v36</t>
        </is>
      </c>
      <c r="J14" s="42" t="inlineStr">
        <is>
          <t>Codal ن-۴۵/ن-۱۱/گزارش سالانه</t>
        </is>
      </c>
      <c r="K14" s="42" t="inlineStr">
        <is>
          <t>نمونه: نمونه: SRC_FARS_1404_001 ص۴۰</t>
        </is>
      </c>
      <c r="L14" s="42" t="inlineStr">
        <is>
          <t>Codal URL در ثبت منابع Batchها</t>
        </is>
      </c>
    </row>
    <row r="15" ht="29" customHeight="1" s="76">
      <c r="A15" s="50" t="inlineStr">
        <is>
          <t>N12</t>
        </is>
      </c>
      <c r="B15" s="50" t="inlineStr">
        <is>
          <t>سهم تخصص حقوقی/نظارتی</t>
        </is>
      </c>
      <c r="C15" s="50" t="inlineStr">
        <is>
          <t>Codal</t>
        </is>
      </c>
      <c r="D15" s="50" t="inlineStr">
        <is>
          <t>Codal</t>
        </is>
      </c>
      <c r="E15" s="50" t="inlineStr">
        <is>
          <t>Strict_Primary</t>
        </is>
      </c>
      <c r="F15" s="50" t="inlineStr">
        <is>
          <t>28/30</t>
        </is>
      </c>
      <c r="G15" s="50" t="inlineStr">
        <is>
          <t>LOW</t>
        </is>
      </c>
      <c r="H15" s="50" t="inlineStr">
        <is>
          <t>MODERATE</t>
        </is>
      </c>
      <c r="I15" s="50" t="inlineStr">
        <is>
          <t>در Audit منابع v36</t>
        </is>
      </c>
      <c r="J15" s="50" t="inlineStr">
        <is>
          <t>Codal ن-۴۵/ن-۱۱/گزارش سالانه</t>
        </is>
      </c>
      <c r="K15" s="50" t="inlineStr">
        <is>
          <t>نمونه: نمونه: SRC_FARS_1404_001 ص۴۰</t>
        </is>
      </c>
      <c r="L15" s="50" t="inlineStr">
        <is>
          <t>Codal URL در ثبت منابع Batchها</t>
        </is>
      </c>
    </row>
    <row r="16" ht="29" customHeight="1" s="76">
      <c r="A16" s="42" t="inlineStr">
        <is>
          <t>N13</t>
        </is>
      </c>
      <c r="B16" s="42" t="inlineStr">
        <is>
          <t>تخصص دانشگاهی</t>
        </is>
      </c>
      <c r="C16" s="42" t="inlineStr">
        <is>
          <t>—</t>
        </is>
      </c>
      <c r="D16" s="42" t="inlineStr">
        <is>
          <t>Codal</t>
        </is>
      </c>
      <c r="E16" s="42" t="inlineStr">
        <is>
          <t>ندارد</t>
        </is>
      </c>
      <c r="F16" s="42" t="inlineStr">
        <is>
          <t>0/30</t>
        </is>
      </c>
      <c r="G16" s="42" t="inlineStr">
        <is>
          <t>LOW</t>
        </is>
      </c>
      <c r="H16" s="42" t="inlineStr">
        <is>
          <t>LOW</t>
        </is>
      </c>
      <c r="I16" s="42" t="inlineStr">
        <is>
          <t>در Audit منابع v36</t>
        </is>
      </c>
      <c r="J16" s="42" t="inlineStr">
        <is>
          <t>Codal ن-۴۵/ن-۱۱/گزارش سالانه</t>
        </is>
      </c>
      <c r="K16" s="42" t="inlineStr">
        <is>
          <t>نمونه: —</t>
        </is>
      </c>
      <c r="L16" s="42" t="inlineStr">
        <is>
          <t>Codal URL در ثبت منابع Batchها</t>
        </is>
      </c>
    </row>
    <row r="17" ht="29" customHeight="1" s="76">
      <c r="A17" s="50" t="inlineStr">
        <is>
          <t>N14</t>
        </is>
      </c>
      <c r="B17" s="50" t="inlineStr">
        <is>
          <t>استقلال کمیته حسابرسی</t>
        </is>
      </c>
      <c r="C17" s="50" t="inlineStr">
        <is>
          <t>Codal</t>
        </is>
      </c>
      <c r="D17" s="50" t="inlineStr">
        <is>
          <t>Codal</t>
        </is>
      </c>
      <c r="E17" s="50" t="inlineStr">
        <is>
          <t>AC roster</t>
        </is>
      </c>
      <c r="F17" s="50" t="inlineStr">
        <is>
          <t>5/30</t>
        </is>
      </c>
      <c r="G17" s="50" t="inlineStr">
        <is>
          <t>MEDIUM</t>
        </is>
      </c>
      <c r="H17" s="50" t="inlineStr">
        <is>
          <t>LOW</t>
        </is>
      </c>
      <c r="I17" s="50" t="inlineStr">
        <is>
          <t>در Audit منابع v36</t>
        </is>
      </c>
      <c r="J17" s="50" t="inlineStr">
        <is>
          <t>Codal ن-۴۵/ن-۱۱/گزارش سالانه</t>
        </is>
      </c>
      <c r="K17" s="50" t="inlineStr">
        <is>
          <t>نمونه: نمونه: SRC_FARS_1404_001 ص۴۰</t>
        </is>
      </c>
      <c r="L17" s="50" t="inlineStr">
        <is>
          <t>Codal URL در ثبت منابع Batchها</t>
        </is>
      </c>
    </row>
    <row r="18" ht="29" customHeight="1" s="76">
      <c r="A18" s="42" t="inlineStr">
        <is>
          <t>N15</t>
        </is>
      </c>
      <c r="B18" s="42" t="inlineStr">
        <is>
          <t>تخصص مالی کمیته حسابرسی</t>
        </is>
      </c>
      <c r="C18" s="42" t="inlineStr">
        <is>
          <t>Codal</t>
        </is>
      </c>
      <c r="D18" s="42" t="inlineStr">
        <is>
          <t>Codal</t>
        </is>
      </c>
      <c r="E18" s="42" t="inlineStr">
        <is>
          <t>AC roster</t>
        </is>
      </c>
      <c r="F18" s="42" t="inlineStr">
        <is>
          <t>27/30</t>
        </is>
      </c>
      <c r="G18" s="42" t="inlineStr">
        <is>
          <t>MEDIUM</t>
        </is>
      </c>
      <c r="H18" s="42" t="inlineStr">
        <is>
          <t>LOW</t>
        </is>
      </c>
      <c r="I18" s="42" t="inlineStr">
        <is>
          <t>در Audit منابع v36</t>
        </is>
      </c>
      <c r="J18" s="42" t="inlineStr">
        <is>
          <t>Codal ن-۴۵/ن-۱۱/گزارش سالانه</t>
        </is>
      </c>
      <c r="K18" s="42" t="inlineStr">
        <is>
          <t>نمونه: نمونه: SRC_FARS_1404_001 ص۴۰</t>
        </is>
      </c>
      <c r="L18" s="42" t="inlineStr">
        <is>
          <t>Codal URL در ثبت منابع Batchها</t>
        </is>
      </c>
    </row>
    <row r="19" ht="29" customHeight="1" s="76">
      <c r="A19" s="50" t="inlineStr">
        <is>
          <t>N16</t>
        </is>
      </c>
      <c r="B19" s="50" t="inlineStr">
        <is>
          <t>تعداد جلسات کمیته حسابرسی</t>
        </is>
      </c>
      <c r="C19" s="50" t="inlineStr">
        <is>
          <t>Codal</t>
        </is>
      </c>
      <c r="D19" s="50" t="inlineStr">
        <is>
          <t>Codal</t>
        </is>
      </c>
      <c r="E19" s="50" t="inlineStr">
        <is>
          <t>AC report</t>
        </is>
      </c>
      <c r="F19" s="50" t="inlineStr">
        <is>
          <t>20/30</t>
        </is>
      </c>
      <c r="G19" s="50" t="inlineStr">
        <is>
          <t>MEDIUM</t>
        </is>
      </c>
      <c r="H19" s="50" t="inlineStr">
        <is>
          <t>MODERATE</t>
        </is>
      </c>
      <c r="I19" s="50" t="inlineStr">
        <is>
          <t>در Audit منابع v36</t>
        </is>
      </c>
      <c r="J19" s="50" t="inlineStr">
        <is>
          <t>Codal ن-۴۵/ن-۱۱/گزارش سالانه</t>
        </is>
      </c>
      <c r="K19" s="50" t="inlineStr">
        <is>
          <t>نمونه: نمونه: SRC_FARS_1404_001 ص۴۰</t>
        </is>
      </c>
      <c r="L19" s="50" t="inlineStr">
        <is>
          <t>Codal URL در ثبت منابع Batchها</t>
        </is>
      </c>
    </row>
    <row r="20" ht="29" customHeight="1" s="76">
      <c r="A20" s="42" t="inlineStr">
        <is>
          <t>N17</t>
        </is>
      </c>
      <c r="B20" s="42" t="inlineStr">
        <is>
          <t>تعداد جلسات هیئت‌مدیره (نرمال‌شده)</t>
        </is>
      </c>
      <c r="C20" s="42" t="inlineStr">
        <is>
          <t>Codal</t>
        </is>
      </c>
      <c r="D20" s="42" t="inlineStr">
        <is>
          <t>Codal</t>
        </is>
      </c>
      <c r="E20" s="42" t="inlineStr">
        <is>
          <t>Board report</t>
        </is>
      </c>
      <c r="F20" s="42" t="inlineStr">
        <is>
          <t>5/30</t>
        </is>
      </c>
      <c r="G20" s="42" t="inlineStr">
        <is>
          <t>MEDIUM</t>
        </is>
      </c>
      <c r="H20" s="42" t="inlineStr">
        <is>
          <t>LOW</t>
        </is>
      </c>
      <c r="I20" s="42" t="inlineStr">
        <is>
          <t>در Audit منابع v36</t>
        </is>
      </c>
      <c r="J20" s="42" t="inlineStr">
        <is>
          <t>Codal ن-۴۵/ن-۱۱/گزارش سالانه</t>
        </is>
      </c>
      <c r="K20" s="42" t="inlineStr">
        <is>
          <t>نمونه: نمونه: SRC_FARS_1404_001 ص۴۰</t>
        </is>
      </c>
      <c r="L20" s="42" t="inlineStr">
        <is>
          <t>Codal URL در ثبت منابع Batchها</t>
        </is>
      </c>
    </row>
    <row r="21" ht="29" customHeight="1" s="76">
      <c r="A21" s="50" t="inlineStr">
        <is>
          <t>N18</t>
        </is>
      </c>
      <c r="B21" s="50" t="inlineStr">
        <is>
          <t>وجود کمیته ریسک</t>
        </is>
      </c>
      <c r="C21" s="50" t="inlineStr">
        <is>
          <t>Codal</t>
        </is>
      </c>
      <c r="D21" s="50" t="inlineStr">
        <is>
          <t>Codal</t>
        </is>
      </c>
      <c r="E21" s="50" t="inlineStr">
        <is>
          <t>Committee list</t>
        </is>
      </c>
      <c r="F21" s="50" t="inlineStr">
        <is>
          <t>28/30</t>
        </is>
      </c>
      <c r="G21" s="50" t="inlineStr">
        <is>
          <t>HIGH</t>
        </is>
      </c>
      <c r="H21" s="50" t="inlineStr">
        <is>
          <t>MODERATE</t>
        </is>
      </c>
      <c r="I21" s="50" t="inlineStr">
        <is>
          <t>در Audit منابع v36</t>
        </is>
      </c>
      <c r="J21" s="50" t="inlineStr">
        <is>
          <t>Codal ن-۴۵/ن-۱۱/گزارش سالانه</t>
        </is>
      </c>
      <c r="K21" s="50" t="inlineStr">
        <is>
          <t>نمونه: نمونه: SRC_FARS_1404_001 ص۴۰</t>
        </is>
      </c>
      <c r="L21" s="50" t="inlineStr">
        <is>
          <t>Codal URL در ثبت منابع Batchها</t>
        </is>
      </c>
    </row>
    <row r="22" ht="29" customHeight="1" s="76">
      <c r="A22" s="42" t="inlineStr">
        <is>
          <t>N19</t>
        </is>
      </c>
      <c r="B22" s="42" t="inlineStr">
        <is>
          <t>وجود کمیته نامزدی</t>
        </is>
      </c>
      <c r="C22" s="42" t="inlineStr">
        <is>
          <t>Codal</t>
        </is>
      </c>
      <c r="D22" s="42" t="inlineStr">
        <is>
          <t>Codal</t>
        </is>
      </c>
      <c r="E22" s="42" t="inlineStr">
        <is>
          <t>Committee list</t>
        </is>
      </c>
      <c r="F22" s="42" t="inlineStr">
        <is>
          <t>28/30</t>
        </is>
      </c>
      <c r="G22" s="42" t="inlineStr">
        <is>
          <t>HIGH</t>
        </is>
      </c>
      <c r="H22" s="42" t="inlineStr">
        <is>
          <t>MODERATE</t>
        </is>
      </c>
      <c r="I22" s="42" t="inlineStr">
        <is>
          <t>در Audit منابع v36</t>
        </is>
      </c>
      <c r="J22" s="42" t="inlineStr">
        <is>
          <t>Codal ن-۴۵/ن-۱۱/گزارش سالانه</t>
        </is>
      </c>
      <c r="K22" s="42" t="inlineStr">
        <is>
          <t>نمونه: نمونه: SRC_FARS_1404_001 ص۴۰</t>
        </is>
      </c>
      <c r="L22" s="42" t="inlineStr">
        <is>
          <t>Codal URL در ثبت منابع Batchها</t>
        </is>
      </c>
    </row>
    <row r="23" ht="29" customHeight="1" s="76">
      <c r="A23" s="50" t="inlineStr">
        <is>
          <t>N20</t>
        </is>
      </c>
      <c r="B23" s="50" t="inlineStr">
        <is>
          <t>وجود کمیته جبران خدمات</t>
        </is>
      </c>
      <c r="C23" s="50" t="inlineStr">
        <is>
          <t>Codal</t>
        </is>
      </c>
      <c r="D23" s="50" t="inlineStr">
        <is>
          <t>Codal</t>
        </is>
      </c>
      <c r="E23" s="50" t="inlineStr">
        <is>
          <t>Committee list</t>
        </is>
      </c>
      <c r="F23" s="50" t="inlineStr">
        <is>
          <t>4/30</t>
        </is>
      </c>
      <c r="G23" s="50" t="inlineStr">
        <is>
          <t>LOW</t>
        </is>
      </c>
      <c r="H23" s="50" t="inlineStr">
        <is>
          <t>LOW</t>
        </is>
      </c>
      <c r="I23" s="50" t="inlineStr">
        <is>
          <t>در Audit منابع v36</t>
        </is>
      </c>
      <c r="J23" s="50" t="inlineStr">
        <is>
          <t>Codal ن-۴۵/ن-۱۱/گزارش سالانه</t>
        </is>
      </c>
      <c r="K23" s="50" t="inlineStr">
        <is>
          <t>نمونه: نمونه: SRC_FARS_1404_001 ص۴۰</t>
        </is>
      </c>
      <c r="L23" s="50" t="inlineStr">
        <is>
          <t>Codal URL در ثبت منابع Batchها</t>
        </is>
      </c>
    </row>
    <row r="24" ht="29" customHeight="1" s="76">
      <c r="A24" s="42" t="inlineStr">
        <is>
          <t>N21</t>
        </is>
      </c>
      <c r="B24" s="42" t="inlineStr">
        <is>
          <t>وجود کمیته سرمایه‌گذاری</t>
        </is>
      </c>
      <c r="C24" s="42" t="inlineStr">
        <is>
          <t>Codal</t>
        </is>
      </c>
      <c r="D24" s="42" t="inlineStr">
        <is>
          <t>Codal</t>
        </is>
      </c>
      <c r="E24" s="42" t="inlineStr">
        <is>
          <t>Committee list</t>
        </is>
      </c>
      <c r="F24" s="42" t="inlineStr">
        <is>
          <t>10/30</t>
        </is>
      </c>
      <c r="G24" s="42" t="inlineStr">
        <is>
          <t>LOW</t>
        </is>
      </c>
      <c r="H24" s="42" t="inlineStr">
        <is>
          <t>MODERATE</t>
        </is>
      </c>
      <c r="I24" s="42" t="inlineStr">
        <is>
          <t>در Audit منابع v36</t>
        </is>
      </c>
      <c r="J24" s="42" t="inlineStr">
        <is>
          <t>Codal ن-۴۵/ن-۱۱/گزارش سالانه</t>
        </is>
      </c>
      <c r="K24" s="42" t="inlineStr">
        <is>
          <t>نمونه: نمونه: SRC_FARS_1404_001 ص۴۰</t>
        </is>
      </c>
      <c r="L24" s="42" t="inlineStr">
        <is>
          <t>Codal URL در ثبت منابع Batchها</t>
        </is>
      </c>
    </row>
    <row r="25" ht="29" customHeight="1" s="76">
      <c r="A25" s="50" t="inlineStr">
        <is>
          <t>N22</t>
        </is>
      </c>
      <c r="B25" s="50" t="inlineStr">
        <is>
          <t>وجود کمیته حاکمیت شرکتی</t>
        </is>
      </c>
      <c r="C25" s="50" t="inlineStr">
        <is>
          <t>Codal</t>
        </is>
      </c>
      <c r="D25" s="50" t="inlineStr">
        <is>
          <t>Codal</t>
        </is>
      </c>
      <c r="E25" s="50" t="inlineStr">
        <is>
          <t>Committee list</t>
        </is>
      </c>
      <c r="F25" s="50" t="inlineStr">
        <is>
          <t>9/30</t>
        </is>
      </c>
      <c r="G25" s="50" t="inlineStr">
        <is>
          <t>LOW</t>
        </is>
      </c>
      <c r="H25" s="50" t="inlineStr">
        <is>
          <t>MODERATE</t>
        </is>
      </c>
      <c r="I25" s="50" t="inlineStr">
        <is>
          <t>در Audit منابع v36</t>
        </is>
      </c>
      <c r="J25" s="50" t="inlineStr">
        <is>
          <t>Codal ن-۴۵/ن-۱۱/گزارش سالانه</t>
        </is>
      </c>
      <c r="K25" s="50" t="inlineStr">
        <is>
          <t>نمونه: نمونه: SRC_FARS_1404_001 ص۴۰</t>
        </is>
      </c>
      <c r="L25" s="50" t="inlineStr">
        <is>
          <t>Codal URL در ثبت منابع Batchها</t>
        </is>
      </c>
    </row>
    <row r="26" ht="29" customHeight="1" s="76">
      <c r="A26" s="42" t="inlineStr">
        <is>
          <t>N23</t>
        </is>
      </c>
      <c r="B26" s="42" t="inlineStr">
        <is>
          <t>سهم اعضای مستقل صریح</t>
        </is>
      </c>
      <c r="C26" s="42" t="inlineStr">
        <is>
          <t>Codal</t>
        </is>
      </c>
      <c r="D26" s="42" t="inlineStr">
        <is>
          <t>Codal</t>
        </is>
      </c>
      <c r="E26" s="42" t="inlineStr">
        <is>
          <t>Roster label</t>
        </is>
      </c>
      <c r="F26" s="42" t="inlineStr">
        <is>
          <t>5/30</t>
        </is>
      </c>
      <c r="G26" s="42" t="inlineStr">
        <is>
          <t>MEDIUM</t>
        </is>
      </c>
      <c r="H26" s="42" t="inlineStr">
        <is>
          <t>LOW</t>
        </is>
      </c>
      <c r="I26" s="42" t="inlineStr">
        <is>
          <t>در Audit منابع v36</t>
        </is>
      </c>
      <c r="J26" s="42" t="inlineStr">
        <is>
          <t>Codal ن-۴۵/ن-۱۱/گزارش سالانه</t>
        </is>
      </c>
      <c r="K26" s="42" t="inlineStr">
        <is>
          <t>نمونه: نمونه: SRC_FARS_1404_001 ص۴۰</t>
        </is>
      </c>
      <c r="L26" s="42" t="inlineStr">
        <is>
          <t>Codal URL در ثبت منابع Batchها</t>
        </is>
      </c>
    </row>
    <row r="27" ht="29" customHeight="1" s="76">
      <c r="A27" s="50" t="inlineStr">
        <is>
          <t>N24</t>
        </is>
      </c>
      <c r="B27" s="50" t="inlineStr">
        <is>
          <t>حضور اعضا در جلسات</t>
        </is>
      </c>
      <c r="C27" s="50" t="inlineStr">
        <is>
          <t>—</t>
        </is>
      </c>
      <c r="D27" s="50" t="inlineStr">
        <is>
          <t>Codal</t>
        </is>
      </c>
      <c r="E27" s="50" t="inlineStr">
        <is>
          <t>ندارد در داده کدگذاری‌شده</t>
        </is>
      </c>
      <c r="F27" s="50" t="inlineStr">
        <is>
          <t>0/30</t>
        </is>
      </c>
      <c r="G27" s="50" t="inlineStr">
        <is>
          <t>LOW</t>
        </is>
      </c>
      <c r="H27" s="50" t="inlineStr">
        <is>
          <t>LOW</t>
        </is>
      </c>
      <c r="I27" s="50" t="inlineStr">
        <is>
          <t>در Audit منابع v36</t>
        </is>
      </c>
      <c r="J27" s="50" t="inlineStr">
        <is>
          <t>Codal ن-۴۵/ن-۱۱/گزارش سالانه</t>
        </is>
      </c>
      <c r="K27" s="50" t="inlineStr">
        <is>
          <t>نمونه: —</t>
        </is>
      </c>
      <c r="L27" s="50" t="inlineStr">
        <is>
          <t>Codal URL در ثبت منابع Batchها</t>
        </is>
      </c>
    </row>
    <row r="28" ht="29" customHeight="1" s="76">
      <c r="A28" s="42" t="inlineStr">
        <is>
          <t>N25</t>
        </is>
      </c>
      <c r="B28" s="42" t="inlineStr">
        <is>
          <t>عضویت همزمان / Multiple Directorships</t>
        </is>
      </c>
      <c r="C28" s="42" t="inlineStr">
        <is>
          <t>Codal</t>
        </is>
      </c>
      <c r="D28" s="42" t="inlineStr">
        <is>
          <t>Codal</t>
        </is>
      </c>
      <c r="E28" s="42" t="inlineStr">
        <is>
          <t>ستون عضویت همزمان</t>
        </is>
      </c>
      <c r="F28" s="42" t="inlineStr">
        <is>
          <t>3/30</t>
        </is>
      </c>
      <c r="G28" s="42" t="inlineStr">
        <is>
          <t>MEDIUM</t>
        </is>
      </c>
      <c r="H28" s="42" t="inlineStr">
        <is>
          <t>LOW</t>
        </is>
      </c>
      <c r="I28" s="42" t="inlineStr">
        <is>
          <t>در Audit منابع v36</t>
        </is>
      </c>
      <c r="J28" s="42" t="inlineStr">
        <is>
          <t>Codal ن-۴۵/ن-۱۱/گزارش سالانه</t>
        </is>
      </c>
      <c r="K28" s="42" t="inlineStr">
        <is>
          <t>نمونه: نمونه: SRC_FARS_1404_001 ص۴۰</t>
        </is>
      </c>
      <c r="L28" s="42" t="inlineStr">
        <is>
          <t>Codal URL در ثبت منابع Batchها</t>
        </is>
      </c>
    </row>
    <row r="29" ht="29" customHeight="1" s="76">
      <c r="A29" s="50" t="inlineStr">
        <is>
          <t>N26</t>
        </is>
      </c>
      <c r="B29" s="50" t="inlineStr">
        <is>
          <t>سن / Tenure اعضا</t>
        </is>
      </c>
      <c r="C29" s="50" t="inlineStr">
        <is>
          <t>Codal/Type19</t>
        </is>
      </c>
      <c r="D29" s="50" t="inlineStr">
        <is>
          <t>Codal</t>
        </is>
      </c>
      <c r="E29" s="50" t="inlineStr">
        <is>
          <t>Membership_Start</t>
        </is>
      </c>
      <c r="F29" s="50" t="inlineStr">
        <is>
          <t>1/30</t>
        </is>
      </c>
      <c r="G29" s="50" t="inlineStr">
        <is>
          <t>LOW</t>
        </is>
      </c>
      <c r="H29" s="50" t="inlineStr">
        <is>
          <t>LOW</t>
        </is>
      </c>
      <c r="I29" s="50" t="inlineStr">
        <is>
          <t>در Audit منابع v36</t>
        </is>
      </c>
      <c r="J29" s="50" t="inlineStr">
        <is>
          <t>Codal ن-۴۵/ن-۱۱/گزارش سالانه</t>
        </is>
      </c>
      <c r="K29" s="50" t="inlineStr">
        <is>
          <t>نمونه: نمونه: SRC_FARS_1404_001 ص۴۰</t>
        </is>
      </c>
      <c r="L29" s="50" t="inlineStr">
        <is>
          <t>Codal URL در ثبت منابع Batchها</t>
        </is>
      </c>
    </row>
    <row r="30" ht="29" customHeight="1" s="76">
      <c r="A30" s="42" t="inlineStr">
        <is>
          <t>N27</t>
        </is>
      </c>
      <c r="B30" s="42" t="inlineStr">
        <is>
          <t>تنوع Tenure</t>
        </is>
      </c>
      <c r="C30" s="42" t="inlineStr">
        <is>
          <t>Codal</t>
        </is>
      </c>
      <c r="D30" s="42" t="inlineStr">
        <is>
          <t>Codal</t>
        </is>
      </c>
      <c r="E30" s="42" t="inlineStr">
        <is>
          <t>Membership_Start</t>
        </is>
      </c>
      <c r="F30" s="42" t="inlineStr">
        <is>
          <t>1/30</t>
        </is>
      </c>
      <c r="G30" s="42" t="inlineStr">
        <is>
          <t>LOW</t>
        </is>
      </c>
      <c r="H30" s="42" t="inlineStr">
        <is>
          <t>LOW</t>
        </is>
      </c>
      <c r="I30" s="42" t="inlineStr">
        <is>
          <t>در Audit منابع v36</t>
        </is>
      </c>
      <c r="J30" s="42" t="inlineStr">
        <is>
          <t>Codal ن-۴۵/ن-۱۱/گزارش سالانه</t>
        </is>
      </c>
      <c r="K30" s="42" t="inlineStr">
        <is>
          <t>نمونه: نمونه: SRC_FARS_1404_001 ص۴۰</t>
        </is>
      </c>
      <c r="L30" s="42" t="inlineStr">
        <is>
          <t>Codal URL در ثبت منابع Batchها</t>
        </is>
      </c>
    </row>
    <row r="31" ht="29" customHeight="1" s="76">
      <c r="A31" s="50" t="inlineStr">
        <is>
          <t>N28</t>
        </is>
      </c>
      <c r="B31" s="50" t="inlineStr">
        <is>
          <t>مدت تصدی رئیس هیئت</t>
        </is>
      </c>
      <c r="C31" s="50" t="inlineStr">
        <is>
          <t>Type19</t>
        </is>
      </c>
      <c r="D31" s="50" t="inlineStr">
        <is>
          <t>Codal</t>
        </is>
      </c>
      <c r="E31" s="50" t="inlineStr">
        <is>
          <t>Chair event dates</t>
        </is>
      </c>
      <c r="F31" s="50" t="inlineStr">
        <is>
          <t>23/30</t>
        </is>
      </c>
      <c r="G31" s="50" t="inlineStr">
        <is>
          <t>MEDIUM</t>
        </is>
      </c>
      <c r="H31" s="50" t="inlineStr">
        <is>
          <t>MODERATE</t>
        </is>
      </c>
      <c r="I31" s="50" t="inlineStr">
        <is>
          <t>در Audit منابع v36</t>
        </is>
      </c>
      <c r="J31" s="50" t="inlineStr">
        <is>
          <t>Codal ن-۴۵/ن-۱۱/گزارش سالانه</t>
        </is>
      </c>
      <c r="K31" s="50" t="inlineStr">
        <is>
          <t>نمونه: نمونه: SRC_FARS_1404_001 ص۴۰</t>
        </is>
      </c>
      <c r="L31" s="50" t="inlineStr">
        <is>
          <t>Codal URL در ثبت منابع Batchها</t>
        </is>
      </c>
    </row>
    <row r="32" ht="29" customHeight="1" s="76">
      <c r="A32" s="42" t="inlineStr">
        <is>
          <t>N29</t>
        </is>
      </c>
      <c r="B32" s="42" t="inlineStr">
        <is>
          <t>مدت تصدی مدیرعامل</t>
        </is>
      </c>
      <c r="C32" s="42" t="inlineStr">
        <is>
          <t>Type19</t>
        </is>
      </c>
      <c r="D32" s="42" t="inlineStr">
        <is>
          <t>Codal</t>
        </is>
      </c>
      <c r="E32" s="42" t="inlineStr">
        <is>
          <t>CEO event dates</t>
        </is>
      </c>
      <c r="F32" s="42" t="inlineStr">
        <is>
          <t>10/30</t>
        </is>
      </c>
      <c r="G32" s="42" t="inlineStr">
        <is>
          <t>MEDIUM</t>
        </is>
      </c>
      <c r="H32" s="42" t="inlineStr">
        <is>
          <t>MODERATE</t>
        </is>
      </c>
      <c r="I32" s="42" t="inlineStr">
        <is>
          <t>در Audit منابع v36</t>
        </is>
      </c>
      <c r="J32" s="42" t="inlineStr">
        <is>
          <t>Codal ن-۴۵/ن-۱۱/گزارش سالانه</t>
        </is>
      </c>
      <c r="K32" s="42" t="inlineStr">
        <is>
          <t>نمونه: نمونه: SRC_FARS_1404_001 ص۴۰</t>
        </is>
      </c>
      <c r="L32" s="42" t="inlineStr">
        <is>
          <t>Codal URL در ثبت منابع Batchها</t>
        </is>
      </c>
    </row>
    <row r="33" ht="29" customHeight="1" s="76">
      <c r="A33" s="50" t="inlineStr">
        <is>
          <t>N30</t>
        </is>
      </c>
      <c r="B33" s="50" t="inlineStr">
        <is>
          <t>نرخ کرسی خالی</t>
        </is>
      </c>
      <c r="C33" s="50" t="inlineStr">
        <is>
          <t>Codal</t>
        </is>
      </c>
      <c r="D33" s="50" t="inlineStr">
        <is>
          <t>Codal</t>
        </is>
      </c>
      <c r="E33" s="50" t="inlineStr">
        <is>
          <t>Roster</t>
        </is>
      </c>
      <c r="F33" s="50" t="inlineStr">
        <is>
          <t>1/30</t>
        </is>
      </c>
      <c r="G33" s="50" t="inlineStr">
        <is>
          <t>LOW</t>
        </is>
      </c>
      <c r="H33" s="50" t="inlineStr">
        <is>
          <t>LOW</t>
        </is>
      </c>
      <c r="I33" s="50" t="inlineStr">
        <is>
          <t>در Audit منابع v36</t>
        </is>
      </c>
      <c r="J33" s="50" t="inlineStr">
        <is>
          <t>Codal ن-۴۵/ن-۱۱/گزارش سالانه</t>
        </is>
      </c>
      <c r="K33" s="50" t="inlineStr">
        <is>
          <t>نمونه: نمونه: SRC_FARS_1404_001 ص۴۰</t>
        </is>
      </c>
      <c r="L33" s="50" t="inlineStr">
        <is>
          <t>Codal URL در ثبت منابع Batchها</t>
        </is>
      </c>
    </row>
    <row r="34" ht="29" customHeight="1" s="76">
      <c r="A34" s="42" t="inlineStr">
        <is>
          <t>N31</t>
        </is>
      </c>
      <c r="B34" s="42" t="inlineStr">
        <is>
          <t>تمرکز نقش (Chair=CEO)</t>
        </is>
      </c>
      <c r="C34" s="42" t="inlineStr">
        <is>
          <t>Codal</t>
        </is>
      </c>
      <c r="D34" s="42" t="inlineStr">
        <is>
          <t>Codal</t>
        </is>
      </c>
      <c r="E34" s="42" t="inlineStr">
        <is>
          <t>Chair_Flag/CEO_Flag</t>
        </is>
      </c>
      <c r="F34" s="42" t="inlineStr">
        <is>
          <t>26/30</t>
        </is>
      </c>
      <c r="G34" s="42" t="inlineStr">
        <is>
          <t>HIGH</t>
        </is>
      </c>
      <c r="H34" s="42" t="inlineStr">
        <is>
          <t>MODERATE</t>
        </is>
      </c>
      <c r="I34" s="42" t="inlineStr">
        <is>
          <t>در Audit منابع v36</t>
        </is>
      </c>
      <c r="J34" s="42" t="inlineStr">
        <is>
          <t>Codal ن-۴۵/ن-۱۱/گزارش سالانه</t>
        </is>
      </c>
      <c r="K34" s="42" t="inlineStr">
        <is>
          <t>نمونه: نمونه: SRC_FARS_1404_001 ص۴۰</t>
        </is>
      </c>
      <c r="L34" s="42" t="inlineStr">
        <is>
          <t>Codal URL در ثبت منابع Batchها</t>
        </is>
      </c>
    </row>
    <row r="35" ht="29" customHeight="1" s="76">
      <c r="A35" s="50" t="inlineStr">
        <is>
          <t>N32</t>
        </is>
      </c>
      <c r="B35" s="50" t="inlineStr">
        <is>
          <t>هم‌پوشانی کمیته‌ها</t>
        </is>
      </c>
      <c r="C35" s="50" t="inlineStr">
        <is>
          <t>Codal</t>
        </is>
      </c>
      <c r="D35" s="50" t="inlineStr">
        <is>
          <t>Codal</t>
        </is>
      </c>
      <c r="E35" s="50" t="inlineStr">
        <is>
          <t>AC roster+others</t>
        </is>
      </c>
      <c r="F35" s="50" t="inlineStr">
        <is>
          <t>5/30</t>
        </is>
      </c>
      <c r="G35" s="50" t="inlineStr">
        <is>
          <t>LOW</t>
        </is>
      </c>
      <c r="H35" s="50" t="inlineStr">
        <is>
          <t>LOW</t>
        </is>
      </c>
      <c r="I35" s="50" t="inlineStr">
        <is>
          <t>در Audit منابع v36</t>
        </is>
      </c>
      <c r="J35" s="50" t="inlineStr">
        <is>
          <t>Codal ن-۴۵/ن-۱۱/گزارش سالانه</t>
        </is>
      </c>
      <c r="K35" s="50" t="inlineStr">
        <is>
          <t>نمونه: نمونه: SRC_FARS_1404_001 ص۴۰</t>
        </is>
      </c>
      <c r="L35" s="50" t="inlineStr">
        <is>
          <t>Codal URL در ثبت منابع Batchها</t>
        </is>
      </c>
    </row>
    <row r="36" ht="29" customHeight="1" s="76">
      <c r="A36" s="42" t="inlineStr">
        <is>
          <t>N33</t>
        </is>
      </c>
      <c r="B36" s="42" t="inlineStr">
        <is>
          <t>سهم اعضای موظف</t>
        </is>
      </c>
      <c r="C36" s="42" t="inlineStr">
        <is>
          <t>Codal</t>
        </is>
      </c>
      <c r="D36" s="42" t="inlineStr">
        <is>
          <t>Codal</t>
        </is>
      </c>
      <c r="E36" s="42" t="inlineStr">
        <is>
          <t>Duty_Status</t>
        </is>
      </c>
      <c r="F36" s="42" t="inlineStr">
        <is>
          <t>28/30</t>
        </is>
      </c>
      <c r="G36" s="42" t="inlineStr">
        <is>
          <t>HIGH</t>
        </is>
      </c>
      <c r="H36" s="42" t="inlineStr">
        <is>
          <t>MODERATE</t>
        </is>
      </c>
      <c r="I36" s="42" t="inlineStr">
        <is>
          <t>در Audit منابع v36</t>
        </is>
      </c>
      <c r="J36" s="42" t="inlineStr">
        <is>
          <t>Codal ن-۴۵/ن-۱۱/گزارش سالانه</t>
        </is>
      </c>
      <c r="K36" s="42" t="inlineStr">
        <is>
          <t>نمونه: نمونه: SRC_FARS_1404_001 ص۴۰</t>
        </is>
      </c>
      <c r="L36" s="42" t="inlineStr">
        <is>
          <t>Codal URL در ثبت منابع Batchها</t>
        </is>
      </c>
    </row>
    <row r="37" ht="29" customHeight="1" s="76">
      <c r="A37" s="50" t="inlineStr">
        <is>
          <t>N34</t>
        </is>
      </c>
      <c r="B37" s="50" t="inlineStr">
        <is>
          <t>Blau نرمال‌شده تحصیلی</t>
        </is>
      </c>
      <c r="C37" s="50" t="inlineStr">
        <is>
          <t>Codal</t>
        </is>
      </c>
      <c r="D37" s="50" t="inlineStr">
        <is>
          <t>Codal</t>
        </is>
      </c>
      <c r="E37" s="50" t="inlineStr">
        <is>
          <t>V1</t>
        </is>
      </c>
      <c r="F37" s="50" t="inlineStr">
        <is>
          <t>28/30</t>
        </is>
      </c>
      <c r="G37" s="50" t="inlineStr">
        <is>
          <t>HIGH</t>
        </is>
      </c>
      <c r="H37" s="50" t="inlineStr">
        <is>
          <t>MODERATE</t>
        </is>
      </c>
      <c r="I37" s="50" t="inlineStr">
        <is>
          <t>در Audit منابع v36</t>
        </is>
      </c>
      <c r="J37" s="50" t="inlineStr">
        <is>
          <t>Codal ن-۴۵/ن-۱۱/گزارش سالانه</t>
        </is>
      </c>
      <c r="K37" s="50" t="inlineStr">
        <is>
          <t>نمونه: نمونه: SRC_FARS_1404_001 ص۴۰</t>
        </is>
      </c>
      <c r="L37" s="50" t="inlineStr">
        <is>
          <t>Codal URL در ثبت منابع Batchها</t>
        </is>
      </c>
    </row>
    <row r="38" ht="29" customHeight="1" s="76">
      <c r="A38" s="42" t="inlineStr">
        <is>
          <t>N35</t>
        </is>
      </c>
      <c r="B38" s="42" t="inlineStr">
        <is>
          <t>غنای هیئت (Richness)</t>
        </is>
      </c>
      <c r="C38" s="42" t="inlineStr">
        <is>
          <t>Codal</t>
        </is>
      </c>
      <c r="D38" s="42" t="inlineStr">
        <is>
          <t>Codal</t>
        </is>
      </c>
      <c r="E38" s="42" t="inlineStr">
        <is>
          <t>V1</t>
        </is>
      </c>
      <c r="F38" s="42" t="inlineStr">
        <is>
          <t>28/30</t>
        </is>
      </c>
      <c r="G38" s="42" t="inlineStr">
        <is>
          <t>HIGH</t>
        </is>
      </c>
      <c r="H38" s="42" t="inlineStr">
        <is>
          <t>MODERATE</t>
        </is>
      </c>
      <c r="I38" s="42" t="inlineStr">
        <is>
          <t>در Audit منابع v36</t>
        </is>
      </c>
      <c r="J38" s="42" t="inlineStr">
        <is>
          <t>Codal ن-۴۵/ن-۱۱/گزارش سالانه</t>
        </is>
      </c>
      <c r="K38" s="42" t="inlineStr">
        <is>
          <t>نمونه: نمونه: SRC_FARS_1404_001 ص۴۰</t>
        </is>
      </c>
      <c r="L38" s="42" t="inlineStr">
        <is>
          <t>Codal URL در ثبت منابع Batchها</t>
        </is>
      </c>
    </row>
  </sheetData>
  <mergeCells count="2">
    <mergeCell ref="A2:L2"/>
    <mergeCell ref="A1:L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12.5" customWidth="1" style="76" min="3" max="3"/>
    <col width="10" customWidth="1" style="76" min="4" max="4"/>
    <col width="20.1640625" customWidth="1" style="76" min="5" max="5"/>
    <col width="10.6640625" customWidth="1" style="76" min="6" max="6"/>
    <col width="30.5" customWidth="1" style="76" min="7" max="7"/>
    <col width="14.33203125" customWidth="1" style="76" min="8" max="8"/>
  </cols>
  <sheetData>
    <row r="1" ht="34" customHeight="1" s="76">
      <c r="A1" s="79" t="inlineStr">
        <is>
          <t>پوشش بالقوه</t>
        </is>
      </c>
    </row>
    <row r="2" ht="28" customHeight="1" s="76">
      <c r="A2" s="86" t="inlineStr">
        <is>
          <t>X/30 و X/eligible (eligible برابر ۲۸ شرکت دارای هر دو سند). Missing ⇒ صفر نشده.</t>
        </is>
      </c>
    </row>
    <row r="3" ht="30" customHeight="1" s="76">
      <c r="A3" s="48" t="inlineStr">
        <is>
          <t>ID</t>
        </is>
      </c>
      <c r="B3" s="48" t="inlineStr">
        <is>
          <t>Candidate</t>
        </is>
      </c>
      <c r="C3" s="48" t="inlineStr">
        <is>
          <t>دارای داده</t>
        </is>
      </c>
      <c r="D3" s="48" t="inlineStr">
        <is>
          <t>کل</t>
        </is>
      </c>
      <c r="E3" s="48" t="inlineStr">
        <is>
          <t>پوشش از ۳۰ (فرمول)</t>
        </is>
      </c>
      <c r="F3" s="48" t="inlineStr">
        <is>
          <t>Eligible</t>
        </is>
      </c>
      <c r="G3" s="48" t="inlineStr">
        <is>
          <t>پوشش Eligible (فرمول)</t>
        </is>
      </c>
      <c r="H3" s="48" t="inlineStr">
        <is>
          <t>ریسک Missing</t>
        </is>
      </c>
    </row>
    <row r="4" ht="20" customHeight="1" s="76">
      <c r="A4" s="42" t="inlineStr">
        <is>
          <t>N01</t>
        </is>
      </c>
      <c r="B4" s="42" t="inlineStr">
        <is>
          <t>اندازه هیئت‌مدیره</t>
        </is>
      </c>
      <c r="C4" s="42" t="n">
        <v>30</v>
      </c>
      <c r="D4" s="42" t="n">
        <v>30</v>
      </c>
      <c r="E4" s="42">
        <f>C4/D4</f>
        <v>1</v>
      </c>
      <c r="F4" s="42" t="n">
        <v>28</v>
      </c>
      <c r="G4" s="42">
        <f>IF(F4&gt;0,MIN(C4,F4)/F4,0)</f>
        <v>1</v>
      </c>
      <c r="H4" s="42" t="inlineStr">
        <is>
          <t>LOW</t>
        </is>
      </c>
    </row>
    <row r="5" ht="20" customHeight="1" s="76">
      <c r="A5" s="50" t="inlineStr">
        <is>
          <t>N02</t>
        </is>
      </c>
      <c r="B5" s="50" t="inlineStr">
        <is>
          <t>سهم اعضای دارای دکترا</t>
        </is>
      </c>
      <c r="C5" s="50" t="n">
        <v>30</v>
      </c>
      <c r="D5" s="50" t="n">
        <v>30</v>
      </c>
      <c r="E5" s="50">
        <f>C5/D5</f>
        <v>1</v>
      </c>
      <c r="F5" s="50" t="n">
        <v>28</v>
      </c>
      <c r="G5" s="50">
        <f>IF(F5&gt;0,MIN(C5,F5)/F5,0)</f>
        <v>1</v>
      </c>
      <c r="H5" s="50" t="inlineStr">
        <is>
          <t>LOW</t>
        </is>
      </c>
    </row>
    <row r="6" ht="20" customHeight="1" s="76">
      <c r="A6" s="42" t="inlineStr">
        <is>
          <t>N03</t>
        </is>
      </c>
      <c r="B6" s="42" t="inlineStr">
        <is>
          <t>سهم مدرک کارشناسی ارشد به بالا</t>
        </is>
      </c>
      <c r="C6" s="42" t="n">
        <v>30</v>
      </c>
      <c r="D6" s="42" t="n">
        <v>30</v>
      </c>
      <c r="E6" s="42">
        <f>C6/D6</f>
        <v>1</v>
      </c>
      <c r="F6" s="42" t="n">
        <v>28</v>
      </c>
      <c r="G6" s="42">
        <f>IF(F6&gt;0,MIN(C6,F6)/F6,0)</f>
        <v>1</v>
      </c>
      <c r="H6" s="42" t="inlineStr">
        <is>
          <t>LOW</t>
        </is>
      </c>
    </row>
    <row r="7" ht="20" customHeight="1" s="76">
      <c r="A7" s="50" t="inlineStr">
        <is>
          <t>N04</t>
        </is>
      </c>
      <c r="B7" s="50" t="inlineStr">
        <is>
          <t>تمرکز اشخاص حقوقی (HHI)</t>
        </is>
      </c>
      <c r="C7" s="50" t="n">
        <v>30</v>
      </c>
      <c r="D7" s="50" t="n">
        <v>30</v>
      </c>
      <c r="E7" s="50">
        <f>C7/D7</f>
        <v>1</v>
      </c>
      <c r="F7" s="50" t="n">
        <v>28</v>
      </c>
      <c r="G7" s="50">
        <f>IF(F7&gt;0,MIN(C7,F7)/F7,0)</f>
        <v>1</v>
      </c>
      <c r="H7" s="50" t="inlineStr">
        <is>
          <t>LOW</t>
        </is>
      </c>
    </row>
    <row r="8" ht="20" customHeight="1" s="76">
      <c r="A8" s="42" t="inlineStr">
        <is>
          <t>N05</t>
        </is>
      </c>
      <c r="B8" s="42" t="inlineStr">
        <is>
          <t>تعداد اشخاص حقوقی متمایز</t>
        </is>
      </c>
      <c r="C8" s="42" t="n">
        <v>30</v>
      </c>
      <c r="D8" s="42" t="n">
        <v>30</v>
      </c>
      <c r="E8" s="42">
        <f>C8/D8</f>
        <v>1</v>
      </c>
      <c r="F8" s="42" t="n">
        <v>28</v>
      </c>
      <c r="G8" s="42">
        <f>IF(F8&gt;0,MIN(C8,F8)/F8,0)</f>
        <v>1</v>
      </c>
      <c r="H8" s="42" t="inlineStr">
        <is>
          <t>LOW</t>
        </is>
      </c>
    </row>
    <row r="9" ht="29" customHeight="1" s="76">
      <c r="A9" s="50" t="inlineStr">
        <is>
          <t>N06</t>
        </is>
      </c>
      <c r="B9" s="50" t="inlineStr">
        <is>
          <t>پیوند مشترک شخص حقوقی بین شرکت‌ها</t>
        </is>
      </c>
      <c r="C9" s="50" t="n">
        <v>30</v>
      </c>
      <c r="D9" s="50" t="n">
        <v>30</v>
      </c>
      <c r="E9" s="50">
        <f>C9/D9</f>
        <v>1</v>
      </c>
      <c r="F9" s="50" t="n">
        <v>28</v>
      </c>
      <c r="G9" s="50">
        <f>IF(F9&gt;0,MIN(C9,F9)/F9,0)</f>
        <v>1</v>
      </c>
      <c r="H9" s="50" t="inlineStr">
        <is>
          <t>MEDIUM</t>
        </is>
      </c>
    </row>
    <row r="10" ht="29" customHeight="1" s="76">
      <c r="A10" s="42" t="inlineStr">
        <is>
          <t>N07</t>
        </is>
      </c>
      <c r="B10" s="42" t="inlineStr">
        <is>
          <t>Interlock اشخاص حقیقی بین شرکت‌ها</t>
        </is>
      </c>
      <c r="C10" s="42" t="n">
        <v>6</v>
      </c>
      <c r="D10" s="42" t="n">
        <v>30</v>
      </c>
      <c r="E10" s="42">
        <f>C10/D10</f>
        <v>0.2</v>
      </c>
      <c r="F10" s="42" t="n">
        <v>28</v>
      </c>
      <c r="G10" s="42">
        <f>IF(F10&gt;0,MIN(C10,F10)/F10,0)</f>
        <v>0.21428571428571427</v>
      </c>
      <c r="H10" s="42" t="inlineStr">
        <is>
          <t>HIGH</t>
        </is>
      </c>
    </row>
    <row r="11" ht="20" customHeight="1" s="76">
      <c r="A11" s="50" t="inlineStr">
        <is>
          <t>N08</t>
        </is>
      </c>
      <c r="B11" s="50" t="inlineStr">
        <is>
          <t>سهم سابقه دولتی/سیاست‌گذاری</t>
        </is>
      </c>
      <c r="C11" s="50" t="n">
        <v>28</v>
      </c>
      <c r="D11" s="50" t="n">
        <v>30</v>
      </c>
      <c r="E11" s="50">
        <f>C11/D11</f>
        <v>0.9333333333333333</v>
      </c>
      <c r="F11" s="50" t="n">
        <v>28</v>
      </c>
      <c r="G11" s="50">
        <f>IF(F11&gt;0,MIN(C11,F11)/F11,0)</f>
        <v>1</v>
      </c>
      <c r="H11" s="50" t="inlineStr">
        <is>
          <t>MEDIUM</t>
        </is>
      </c>
    </row>
    <row r="12" ht="20" customHeight="1" s="76">
      <c r="A12" s="42" t="inlineStr">
        <is>
          <t>N09</t>
        </is>
      </c>
      <c r="B12" s="42" t="inlineStr">
        <is>
          <t>سهم سابقه مدیریت اجرایی</t>
        </is>
      </c>
      <c r="C12" s="42" t="n">
        <v>28</v>
      </c>
      <c r="D12" s="42" t="n">
        <v>30</v>
      </c>
      <c r="E12" s="42">
        <f>C12/D12</f>
        <v>0.9333333333333333</v>
      </c>
      <c r="F12" s="42" t="n">
        <v>28</v>
      </c>
      <c r="G12" s="42">
        <f>IF(F12&gt;0,MIN(C12,F12)/F12,0)</f>
        <v>1</v>
      </c>
      <c r="H12" s="42" t="inlineStr">
        <is>
          <t>MEDIUM</t>
        </is>
      </c>
    </row>
    <row r="13" ht="20" customHeight="1" s="76">
      <c r="A13" s="50" t="inlineStr">
        <is>
          <t>N10</t>
        </is>
      </c>
      <c r="B13" s="50" t="inlineStr">
        <is>
          <t>سهم سابقه مالی/سرمایه‌گذاری</t>
        </is>
      </c>
      <c r="C13" s="50" t="n">
        <v>28</v>
      </c>
      <c r="D13" s="50" t="n">
        <v>30</v>
      </c>
      <c r="E13" s="50">
        <f>C13/D13</f>
        <v>0.9333333333333333</v>
      </c>
      <c r="F13" s="50" t="n">
        <v>28</v>
      </c>
      <c r="G13" s="50">
        <f>IF(F13&gt;0,MIN(C13,F13)/F13,0)</f>
        <v>1</v>
      </c>
      <c r="H13" s="50" t="inlineStr">
        <is>
          <t>MEDIUM</t>
        </is>
      </c>
    </row>
    <row r="14" ht="20" customHeight="1" s="76">
      <c r="A14" s="42" t="inlineStr">
        <is>
          <t>N11</t>
        </is>
      </c>
      <c r="B14" s="42" t="inlineStr">
        <is>
          <t>سهم تخصص صنعتی/عملیاتی</t>
        </is>
      </c>
      <c r="C14" s="42" t="n">
        <v>28</v>
      </c>
      <c r="D14" s="42" t="n">
        <v>30</v>
      </c>
      <c r="E14" s="42">
        <f>C14/D14</f>
        <v>0.9333333333333333</v>
      </c>
      <c r="F14" s="42" t="n">
        <v>28</v>
      </c>
      <c r="G14" s="42">
        <f>IF(F14&gt;0,MIN(C14,F14)/F14,0)</f>
        <v>1</v>
      </c>
      <c r="H14" s="42" t="inlineStr">
        <is>
          <t>HIGH</t>
        </is>
      </c>
    </row>
    <row r="15" ht="20" customHeight="1" s="76">
      <c r="A15" s="50" t="inlineStr">
        <is>
          <t>N12</t>
        </is>
      </c>
      <c r="B15" s="50" t="inlineStr">
        <is>
          <t>سهم تخصص حقوقی/نظارتی</t>
        </is>
      </c>
      <c r="C15" s="50" t="n">
        <v>28</v>
      </c>
      <c r="D15" s="50" t="n">
        <v>30</v>
      </c>
      <c r="E15" s="50">
        <f>C15/D15</f>
        <v>0.9333333333333333</v>
      </c>
      <c r="F15" s="50" t="n">
        <v>28</v>
      </c>
      <c r="G15" s="50">
        <f>IF(F15&gt;0,MIN(C15,F15)/F15,0)</f>
        <v>1</v>
      </c>
      <c r="H15" s="50" t="inlineStr">
        <is>
          <t>HIGH</t>
        </is>
      </c>
    </row>
    <row r="16" ht="20" customHeight="1" s="76">
      <c r="A16" s="42" t="inlineStr">
        <is>
          <t>N13</t>
        </is>
      </c>
      <c r="B16" s="42" t="inlineStr">
        <is>
          <t>تخصص دانشگاهی</t>
        </is>
      </c>
      <c r="C16" s="42" t="n">
        <v>0</v>
      </c>
      <c r="D16" s="42" t="n">
        <v>30</v>
      </c>
      <c r="E16" s="42">
        <f>C16/D16</f>
        <v>0</v>
      </c>
      <c r="F16" s="42" t="n">
        <v>0</v>
      </c>
      <c r="G16" s="42">
        <f>IF(F16&gt;0,MIN(C16,F16)/F16,0)</f>
        <v>0</v>
      </c>
      <c r="H16" s="42" t="inlineStr">
        <is>
          <t>HIGH</t>
        </is>
      </c>
    </row>
    <row r="17" ht="20" customHeight="1" s="76">
      <c r="A17" s="50" t="inlineStr">
        <is>
          <t>N14</t>
        </is>
      </c>
      <c r="B17" s="50" t="inlineStr">
        <is>
          <t>استقلال کمیته حسابرسی</t>
        </is>
      </c>
      <c r="C17" s="50" t="n">
        <v>5</v>
      </c>
      <c r="D17" s="50" t="n">
        <v>30</v>
      </c>
      <c r="E17" s="50">
        <f>C17/D17</f>
        <v>0.16666666666666666</v>
      </c>
      <c r="F17" s="50" t="n">
        <v>28</v>
      </c>
      <c r="G17" s="50">
        <f>IF(F17&gt;0,MIN(C17,F17)/F17,0)</f>
        <v>0.17857142857142858</v>
      </c>
      <c r="H17" s="50" t="inlineStr">
        <is>
          <t>HIGH</t>
        </is>
      </c>
    </row>
    <row r="18" ht="20" customHeight="1" s="76">
      <c r="A18" s="42" t="inlineStr">
        <is>
          <t>N15</t>
        </is>
      </c>
      <c r="B18" s="42" t="inlineStr">
        <is>
          <t>تخصص مالی کمیته حسابرسی</t>
        </is>
      </c>
      <c r="C18" s="42" t="n">
        <v>27</v>
      </c>
      <c r="D18" s="42" t="n">
        <v>30</v>
      </c>
      <c r="E18" s="42">
        <f>C18/D18</f>
        <v>0.9</v>
      </c>
      <c r="F18" s="42" t="n">
        <v>28</v>
      </c>
      <c r="G18" s="42">
        <f>IF(F18&gt;0,MIN(C18,F18)/F18,0)</f>
        <v>0.9642857142857143</v>
      </c>
      <c r="H18" s="42" t="inlineStr">
        <is>
          <t>HIGH</t>
        </is>
      </c>
    </row>
    <row r="19" ht="20" customHeight="1" s="76">
      <c r="A19" s="50" t="inlineStr">
        <is>
          <t>N16</t>
        </is>
      </c>
      <c r="B19" s="50" t="inlineStr">
        <is>
          <t>تعداد جلسات کمیته حسابرسی</t>
        </is>
      </c>
      <c r="C19" s="50" t="n">
        <v>20</v>
      </c>
      <c r="D19" s="50" t="n">
        <v>30</v>
      </c>
      <c r="E19" s="50">
        <f>C19/D19</f>
        <v>0.6666666666666666</v>
      </c>
      <c r="F19" s="50" t="n">
        <v>28</v>
      </c>
      <c r="G19" s="50">
        <f>IF(F19&gt;0,MIN(C19,F19)/F19,0)</f>
        <v>0.7142857142857143</v>
      </c>
      <c r="H19" s="50" t="inlineStr">
        <is>
          <t>MEDIUM</t>
        </is>
      </c>
    </row>
    <row r="20" ht="29" customHeight="1" s="76">
      <c r="A20" s="42" t="inlineStr">
        <is>
          <t>N17</t>
        </is>
      </c>
      <c r="B20" s="42" t="inlineStr">
        <is>
          <t>تعداد جلسات هیئت‌مدیره (نرمال‌شده)</t>
        </is>
      </c>
      <c r="C20" s="42" t="n">
        <v>5</v>
      </c>
      <c r="D20" s="42" t="n">
        <v>30</v>
      </c>
      <c r="E20" s="42">
        <f>C20/D20</f>
        <v>0.16666666666666666</v>
      </c>
      <c r="F20" s="42" t="n">
        <v>28</v>
      </c>
      <c r="G20" s="42">
        <f>IF(F20&gt;0,MIN(C20,F20)/F20,0)</f>
        <v>0.17857142857142858</v>
      </c>
      <c r="H20" s="42" t="inlineStr">
        <is>
          <t>MEDIUM</t>
        </is>
      </c>
    </row>
    <row r="21" ht="20" customHeight="1" s="76">
      <c r="A21" s="50" t="inlineStr">
        <is>
          <t>N18</t>
        </is>
      </c>
      <c r="B21" s="50" t="inlineStr">
        <is>
          <t>وجود کمیته ریسک</t>
        </is>
      </c>
      <c r="C21" s="50" t="n">
        <v>28</v>
      </c>
      <c r="D21" s="50" t="n">
        <v>30</v>
      </c>
      <c r="E21" s="50">
        <f>C21/D21</f>
        <v>0.9333333333333333</v>
      </c>
      <c r="F21" s="50" t="n">
        <v>28</v>
      </c>
      <c r="G21" s="50">
        <f>IF(F21&gt;0,MIN(C21,F21)/F21,0)</f>
        <v>1</v>
      </c>
      <c r="H21" s="50" t="inlineStr">
        <is>
          <t>MEDIUM</t>
        </is>
      </c>
    </row>
    <row r="22" ht="20" customHeight="1" s="76">
      <c r="A22" s="42" t="inlineStr">
        <is>
          <t>N19</t>
        </is>
      </c>
      <c r="B22" s="42" t="inlineStr">
        <is>
          <t>وجود کمیته نامزدی</t>
        </is>
      </c>
      <c r="C22" s="42" t="n">
        <v>28</v>
      </c>
      <c r="D22" s="42" t="n">
        <v>30</v>
      </c>
      <c r="E22" s="42">
        <f>C22/D22</f>
        <v>0.9333333333333333</v>
      </c>
      <c r="F22" s="42" t="n">
        <v>28</v>
      </c>
      <c r="G22" s="42">
        <f>IF(F22&gt;0,MIN(C22,F22)/F22,0)</f>
        <v>1</v>
      </c>
      <c r="H22" s="42" t="inlineStr">
        <is>
          <t>HIGH</t>
        </is>
      </c>
    </row>
    <row r="23" ht="20" customHeight="1" s="76">
      <c r="A23" s="50" t="inlineStr">
        <is>
          <t>N20</t>
        </is>
      </c>
      <c r="B23" s="50" t="inlineStr">
        <is>
          <t>وجود کمیته جبران خدمات</t>
        </is>
      </c>
      <c r="C23" s="50" t="n">
        <v>4</v>
      </c>
      <c r="D23" s="50" t="n">
        <v>30</v>
      </c>
      <c r="E23" s="50">
        <f>C23/D23</f>
        <v>0.13333333333333333</v>
      </c>
      <c r="F23" s="50" t="n">
        <v>28</v>
      </c>
      <c r="G23" s="50">
        <f>IF(F23&gt;0,MIN(C23,F23)/F23,0)</f>
        <v>0.14285714285714285</v>
      </c>
      <c r="H23" s="50" t="inlineStr">
        <is>
          <t>HIGH</t>
        </is>
      </c>
    </row>
    <row r="24" ht="20" customHeight="1" s="76">
      <c r="A24" s="42" t="inlineStr">
        <is>
          <t>N21</t>
        </is>
      </c>
      <c r="B24" s="42" t="inlineStr">
        <is>
          <t>وجود کمیته سرمایه‌گذاری</t>
        </is>
      </c>
      <c r="C24" s="42" t="n">
        <v>10</v>
      </c>
      <c r="D24" s="42" t="n">
        <v>30</v>
      </c>
      <c r="E24" s="42">
        <f>C24/D24</f>
        <v>0.3333333333333333</v>
      </c>
      <c r="F24" s="42" t="n">
        <v>28</v>
      </c>
      <c r="G24" s="42">
        <f>IF(F24&gt;0,MIN(C24,F24)/F24,0)</f>
        <v>0.35714285714285715</v>
      </c>
      <c r="H24" s="42" t="inlineStr">
        <is>
          <t>HIGH</t>
        </is>
      </c>
    </row>
    <row r="25" ht="20" customHeight="1" s="76">
      <c r="A25" s="50" t="inlineStr">
        <is>
          <t>N22</t>
        </is>
      </c>
      <c r="B25" s="50" t="inlineStr">
        <is>
          <t>وجود کمیته حاکمیت شرکتی</t>
        </is>
      </c>
      <c r="C25" s="50" t="n">
        <v>9</v>
      </c>
      <c r="D25" s="50" t="n">
        <v>30</v>
      </c>
      <c r="E25" s="50">
        <f>C25/D25</f>
        <v>0.3</v>
      </c>
      <c r="F25" s="50" t="n">
        <v>28</v>
      </c>
      <c r="G25" s="50">
        <f>IF(F25&gt;0,MIN(C25,F25)/F25,0)</f>
        <v>0.32142857142857145</v>
      </c>
      <c r="H25" s="50" t="inlineStr">
        <is>
          <t>HIGH</t>
        </is>
      </c>
    </row>
    <row r="26" ht="20" customHeight="1" s="76">
      <c r="A26" s="42" t="inlineStr">
        <is>
          <t>N23</t>
        </is>
      </c>
      <c r="B26" s="42" t="inlineStr">
        <is>
          <t>سهم اعضای مستقل صریح</t>
        </is>
      </c>
      <c r="C26" s="42" t="n">
        <v>5</v>
      </c>
      <c r="D26" s="42" t="n">
        <v>30</v>
      </c>
      <c r="E26" s="42">
        <f>C26/D26</f>
        <v>0.16666666666666666</v>
      </c>
      <c r="F26" s="42" t="n">
        <v>28</v>
      </c>
      <c r="G26" s="42">
        <f>IF(F26&gt;0,MIN(C26,F26)/F26,0)</f>
        <v>0.17857142857142858</v>
      </c>
      <c r="H26" s="42" t="inlineStr">
        <is>
          <t>HIGH</t>
        </is>
      </c>
    </row>
    <row r="27" ht="20" customHeight="1" s="76">
      <c r="A27" s="50" t="inlineStr">
        <is>
          <t>N24</t>
        </is>
      </c>
      <c r="B27" s="50" t="inlineStr">
        <is>
          <t>حضور اعضا در جلسات</t>
        </is>
      </c>
      <c r="C27" s="50" t="n">
        <v>0</v>
      </c>
      <c r="D27" s="50" t="n">
        <v>30</v>
      </c>
      <c r="E27" s="50">
        <f>C27/D27</f>
        <v>0</v>
      </c>
      <c r="F27" s="50" t="n">
        <v>0</v>
      </c>
      <c r="G27" s="50">
        <f>IF(F27&gt;0,MIN(C27,F27)/F27,0)</f>
        <v>0</v>
      </c>
      <c r="H27" s="50" t="inlineStr">
        <is>
          <t>HIGH</t>
        </is>
      </c>
    </row>
    <row r="28" ht="29" customHeight="1" s="76">
      <c r="A28" s="42" t="inlineStr">
        <is>
          <t>N25</t>
        </is>
      </c>
      <c r="B28" s="42" t="inlineStr">
        <is>
          <t>عضویت همزمان / Multiple Directorships</t>
        </is>
      </c>
      <c r="C28" s="42" t="n">
        <v>3</v>
      </c>
      <c r="D28" s="42" t="n">
        <v>30</v>
      </c>
      <c r="E28" s="42">
        <f>C28/D28</f>
        <v>0.1</v>
      </c>
      <c r="F28" s="42" t="n">
        <v>28</v>
      </c>
      <c r="G28" s="42">
        <f>IF(F28&gt;0,MIN(C28,F28)/F28,0)</f>
        <v>0.10714285714285714</v>
      </c>
      <c r="H28" s="42" t="inlineStr">
        <is>
          <t>HIGH</t>
        </is>
      </c>
    </row>
    <row r="29" ht="20" customHeight="1" s="76">
      <c r="A29" s="50" t="inlineStr">
        <is>
          <t>N26</t>
        </is>
      </c>
      <c r="B29" s="50" t="inlineStr">
        <is>
          <t>سن / Tenure اعضا</t>
        </is>
      </c>
      <c r="C29" s="50" t="n">
        <v>1</v>
      </c>
      <c r="D29" s="50" t="n">
        <v>30</v>
      </c>
      <c r="E29" s="50">
        <f>C29/D29</f>
        <v>0.03333333333333333</v>
      </c>
      <c r="F29" s="50" t="n">
        <v>28</v>
      </c>
      <c r="G29" s="50">
        <f>IF(F29&gt;0,MIN(C29,F29)/F29,0)</f>
        <v>0.03571428571428571</v>
      </c>
      <c r="H29" s="50" t="inlineStr">
        <is>
          <t>HIGH</t>
        </is>
      </c>
    </row>
    <row r="30" ht="20" customHeight="1" s="76">
      <c r="A30" s="42" t="inlineStr">
        <is>
          <t>N27</t>
        </is>
      </c>
      <c r="B30" s="42" t="inlineStr">
        <is>
          <t>تنوع Tenure</t>
        </is>
      </c>
      <c r="C30" s="42" t="n">
        <v>1</v>
      </c>
      <c r="D30" s="42" t="n">
        <v>30</v>
      </c>
      <c r="E30" s="42">
        <f>C30/D30</f>
        <v>0.03333333333333333</v>
      </c>
      <c r="F30" s="42" t="n">
        <v>28</v>
      </c>
      <c r="G30" s="42">
        <f>IF(F30&gt;0,MIN(C30,F30)/F30,0)</f>
        <v>0.03571428571428571</v>
      </c>
      <c r="H30" s="42" t="inlineStr">
        <is>
          <t>HIGH</t>
        </is>
      </c>
    </row>
    <row r="31" ht="20" customHeight="1" s="76">
      <c r="A31" s="50" t="inlineStr">
        <is>
          <t>N28</t>
        </is>
      </c>
      <c r="B31" s="50" t="inlineStr">
        <is>
          <t>مدت تصدی رئیس هیئت</t>
        </is>
      </c>
      <c r="C31" s="50" t="n">
        <v>23</v>
      </c>
      <c r="D31" s="50" t="n">
        <v>30</v>
      </c>
      <c r="E31" s="50">
        <f>C31/D31</f>
        <v>0.7666666666666667</v>
      </c>
      <c r="F31" s="50" t="n">
        <v>28</v>
      </c>
      <c r="G31" s="50">
        <f>IF(F31&gt;0,MIN(C31,F31)/F31,0)</f>
        <v>0.8214285714285714</v>
      </c>
      <c r="H31" s="50" t="inlineStr">
        <is>
          <t>MEDIUM</t>
        </is>
      </c>
    </row>
    <row r="32" ht="20" customHeight="1" s="76">
      <c r="A32" s="42" t="inlineStr">
        <is>
          <t>N29</t>
        </is>
      </c>
      <c r="B32" s="42" t="inlineStr">
        <is>
          <t>مدت تصدی مدیرعامل</t>
        </is>
      </c>
      <c r="C32" s="42" t="n">
        <v>10</v>
      </c>
      <c r="D32" s="42" t="n">
        <v>30</v>
      </c>
      <c r="E32" s="42">
        <f>C32/D32</f>
        <v>0.3333333333333333</v>
      </c>
      <c r="F32" s="42" t="n">
        <v>28</v>
      </c>
      <c r="G32" s="42">
        <f>IF(F32&gt;0,MIN(C32,F32)/F32,0)</f>
        <v>0.35714285714285715</v>
      </c>
      <c r="H32" s="42" t="inlineStr">
        <is>
          <t>MEDIUM</t>
        </is>
      </c>
    </row>
    <row r="33" ht="20" customHeight="1" s="76">
      <c r="A33" s="50" t="inlineStr">
        <is>
          <t>N30</t>
        </is>
      </c>
      <c r="B33" s="50" t="inlineStr">
        <is>
          <t>نرخ کرسی خالی</t>
        </is>
      </c>
      <c r="C33" s="50" t="n">
        <v>1</v>
      </c>
      <c r="D33" s="50" t="n">
        <v>30</v>
      </c>
      <c r="E33" s="50">
        <f>C33/D33</f>
        <v>0.03333333333333333</v>
      </c>
      <c r="F33" s="50" t="n">
        <v>28</v>
      </c>
      <c r="G33" s="50">
        <f>IF(F33&gt;0,MIN(C33,F33)/F33,0)</f>
        <v>0.03571428571428571</v>
      </c>
      <c r="H33" s="50" t="inlineStr">
        <is>
          <t>HIGH</t>
        </is>
      </c>
    </row>
    <row r="34" ht="20" customHeight="1" s="76">
      <c r="A34" s="42" t="inlineStr">
        <is>
          <t>N31</t>
        </is>
      </c>
      <c r="B34" s="42" t="inlineStr">
        <is>
          <t>تمرکز نقش (Chair=CEO)</t>
        </is>
      </c>
      <c r="C34" s="42" t="n">
        <v>26</v>
      </c>
      <c r="D34" s="42" t="n">
        <v>30</v>
      </c>
      <c r="E34" s="42">
        <f>C34/D34</f>
        <v>0.8666666666666667</v>
      </c>
      <c r="F34" s="42" t="n">
        <v>28</v>
      </c>
      <c r="G34" s="42">
        <f>IF(F34&gt;0,MIN(C34,F34)/F34,0)</f>
        <v>0.9285714285714286</v>
      </c>
      <c r="H34" s="42" t="inlineStr">
        <is>
          <t>LOW</t>
        </is>
      </c>
    </row>
    <row r="35" ht="20" customHeight="1" s="76">
      <c r="A35" s="50" t="inlineStr">
        <is>
          <t>N32</t>
        </is>
      </c>
      <c r="B35" s="50" t="inlineStr">
        <is>
          <t>هم‌پوشانی کمیته‌ها</t>
        </is>
      </c>
      <c r="C35" s="50" t="n">
        <v>5</v>
      </c>
      <c r="D35" s="50" t="n">
        <v>30</v>
      </c>
      <c r="E35" s="50">
        <f>C35/D35</f>
        <v>0.16666666666666666</v>
      </c>
      <c r="F35" s="50" t="n">
        <v>28</v>
      </c>
      <c r="G35" s="50">
        <f>IF(F35&gt;0,MIN(C35,F35)/F35,0)</f>
        <v>0.17857142857142858</v>
      </c>
      <c r="H35" s="50" t="inlineStr">
        <is>
          <t>HIGH</t>
        </is>
      </c>
    </row>
    <row r="36" ht="20" customHeight="1" s="76">
      <c r="A36" s="42" t="inlineStr">
        <is>
          <t>N33</t>
        </is>
      </c>
      <c r="B36" s="42" t="inlineStr">
        <is>
          <t>سهم اعضای موظف</t>
        </is>
      </c>
      <c r="C36" s="42" t="n">
        <v>28</v>
      </c>
      <c r="D36" s="42" t="n">
        <v>30</v>
      </c>
      <c r="E36" s="42">
        <f>C36/D36</f>
        <v>0.9333333333333333</v>
      </c>
      <c r="F36" s="42" t="n">
        <v>28</v>
      </c>
      <c r="G36" s="42">
        <f>IF(F36&gt;0,MIN(C36,F36)/F36,0)</f>
        <v>1</v>
      </c>
      <c r="H36" s="42" t="inlineStr">
        <is>
          <t>LOW</t>
        </is>
      </c>
    </row>
    <row r="37" ht="20" customHeight="1" s="76">
      <c r="A37" s="50" t="inlineStr">
        <is>
          <t>N34</t>
        </is>
      </c>
      <c r="B37" s="50" t="inlineStr">
        <is>
          <t>Blau نرمال‌شده تحصیلی</t>
        </is>
      </c>
      <c r="C37" s="50" t="n">
        <v>28</v>
      </c>
      <c r="D37" s="50" t="n">
        <v>30</v>
      </c>
      <c r="E37" s="50">
        <f>C37/D37</f>
        <v>0.9333333333333333</v>
      </c>
      <c r="F37" s="50" t="n">
        <v>28</v>
      </c>
      <c r="G37" s="50">
        <f>IF(F37&gt;0,MIN(C37,F37)/F37,0)</f>
        <v>1</v>
      </c>
      <c r="H37" s="50" t="inlineStr">
        <is>
          <t>LOW</t>
        </is>
      </c>
    </row>
    <row r="38" ht="20" customHeight="1" s="76">
      <c r="A38" s="42" t="inlineStr">
        <is>
          <t>N35</t>
        </is>
      </c>
      <c r="B38" s="42" t="inlineStr">
        <is>
          <t>غنای هیئت (Richness)</t>
        </is>
      </c>
      <c r="C38" s="42" t="n">
        <v>28</v>
      </c>
      <c r="D38" s="42" t="n">
        <v>30</v>
      </c>
      <c r="E38" s="42">
        <f>C38/D38</f>
        <v>0.9333333333333333</v>
      </c>
      <c r="F38" s="42" t="n">
        <v>28</v>
      </c>
      <c r="G38" s="42">
        <f>IF(F38&gt;0,MIN(C38,F38)/F38,0)</f>
        <v>1</v>
      </c>
      <c r="H38" s="42" t="inlineStr">
        <is>
          <t>LOW</t>
        </is>
      </c>
    </row>
  </sheetData>
  <mergeCells count="2">
    <mergeCell ref="A2:H2"/>
    <mergeCell ref="A1:H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23.83203125" customWidth="1" style="76" min="3" max="3"/>
    <col width="23" customWidth="1" style="76" min="4" max="4"/>
    <col width="41" customWidth="1" style="76" min="5" max="5"/>
  </cols>
  <sheetData>
    <row r="1" ht="34" customHeight="1" s="76">
      <c r="A1" s="79" t="inlineStr">
        <is>
          <t>امکان تاریخی و COVID/جنگ</t>
        </is>
      </c>
    </row>
    <row r="2" ht="28" customHeight="1" s="76">
      <c r="A2" s="86" t="inlineStr">
        <is>
          <t>COVID (۱۳۹۸–۱۴۰۰) و جنگ ۱۴۰۴ با Cutoff جدا باید بررسی شود.</t>
        </is>
      </c>
    </row>
    <row r="3" ht="30" customHeight="1" s="76">
      <c r="A3" s="48" t="inlineStr">
        <is>
          <t>ID</t>
        </is>
      </c>
      <c r="B3" s="48" t="inlineStr">
        <is>
          <t>Candidate</t>
        </is>
      </c>
      <c r="C3" s="48" t="inlineStr">
        <is>
          <t>Historical Feasibility</t>
        </is>
      </c>
      <c r="D3" s="48" t="inlineStr">
        <is>
          <t>COVID/War Suitability</t>
        </is>
      </c>
      <c r="E3" s="48" t="inlineStr">
        <is>
          <t>یادداشت</t>
        </is>
      </c>
    </row>
    <row r="4" ht="20" customHeight="1" s="76">
      <c r="A4" s="42" t="inlineStr">
        <is>
          <t>N01</t>
        </is>
      </c>
      <c r="B4" s="42" t="inlineStr">
        <is>
          <t>اندازه هیئت‌مدیره</t>
        </is>
      </c>
      <c r="C4" s="42" t="inlineStr">
        <is>
          <t>HIGH</t>
        </is>
      </c>
      <c r="D4" s="42" t="inlineStr">
        <is>
          <t>HIGH</t>
        </is>
      </c>
      <c r="E4" s="42" t="inlineStr">
        <is>
          <t>Type19 برای زنجیره؛ آرشیو Codal از ~۱۳۹۷</t>
        </is>
      </c>
    </row>
    <row r="5" ht="20" customHeight="1" s="76">
      <c r="A5" s="50" t="inlineStr">
        <is>
          <t>N02</t>
        </is>
      </c>
      <c r="B5" s="50" t="inlineStr">
        <is>
          <t>سهم اعضای دارای دکترا</t>
        </is>
      </c>
      <c r="C5" s="50" t="inlineStr">
        <is>
          <t>MEDIUM</t>
        </is>
      </c>
      <c r="D5" s="50" t="inlineStr">
        <is>
          <t>HIGH</t>
        </is>
      </c>
      <c r="E5" s="50" t="inlineStr">
        <is>
          <t>Type19 برای زنجیره؛ آرشیو Codal از ~۱۳۹۷</t>
        </is>
      </c>
    </row>
    <row r="6" ht="20" customHeight="1" s="76">
      <c r="A6" s="42" t="inlineStr">
        <is>
          <t>N03</t>
        </is>
      </c>
      <c r="B6" s="42" t="inlineStr">
        <is>
          <t>سهم مدرک کارشناسی ارشد به بالا</t>
        </is>
      </c>
      <c r="C6" s="42" t="inlineStr">
        <is>
          <t>MEDIUM</t>
        </is>
      </c>
      <c r="D6" s="42" t="inlineStr">
        <is>
          <t>HIGH</t>
        </is>
      </c>
      <c r="E6" s="42" t="inlineStr">
        <is>
          <t>Type19 برای زنجیره؛ آرشیو Codal از ~۱۳۹۷</t>
        </is>
      </c>
    </row>
    <row r="7" ht="20" customHeight="1" s="76">
      <c r="A7" s="50" t="inlineStr">
        <is>
          <t>N04</t>
        </is>
      </c>
      <c r="B7" s="50" t="inlineStr">
        <is>
          <t>تمرکز اشخاص حقوقی (HHI)</t>
        </is>
      </c>
      <c r="C7" s="50" t="inlineStr">
        <is>
          <t>HIGH</t>
        </is>
      </c>
      <c r="D7" s="50" t="inlineStr">
        <is>
          <t>HIGH</t>
        </is>
      </c>
      <c r="E7" s="50" t="inlineStr">
        <is>
          <t>Type19 برای زنجیره؛ آرشیو Codal از ~۱۳۹۷</t>
        </is>
      </c>
    </row>
    <row r="8" ht="20" customHeight="1" s="76">
      <c r="A8" s="42" t="inlineStr">
        <is>
          <t>N05</t>
        </is>
      </c>
      <c r="B8" s="42" t="inlineStr">
        <is>
          <t>تعداد اشخاص حقوقی متمایز</t>
        </is>
      </c>
      <c r="C8" s="42" t="inlineStr">
        <is>
          <t>HIGH</t>
        </is>
      </c>
      <c r="D8" s="42" t="inlineStr">
        <is>
          <t>HIGH</t>
        </is>
      </c>
      <c r="E8" s="42" t="inlineStr">
        <is>
          <t>Type19 برای زنجیره؛ آرشیو Codal از ~۱۳۹۷</t>
        </is>
      </c>
    </row>
    <row r="9" ht="29" customHeight="1" s="76">
      <c r="A9" s="50" t="inlineStr">
        <is>
          <t>N06</t>
        </is>
      </c>
      <c r="B9" s="50" t="inlineStr">
        <is>
          <t>پیوند مشترک شخص حقوقی بین شرکت‌ها</t>
        </is>
      </c>
      <c r="C9" s="50" t="inlineStr">
        <is>
          <t>MEDIUM</t>
        </is>
      </c>
      <c r="D9" s="50" t="inlineStr">
        <is>
          <t>HIGH</t>
        </is>
      </c>
      <c r="E9" s="50" t="inlineStr">
        <is>
          <t>Type19 برای زنجیره؛ آرشیو Codal از ~۱۳۹۷</t>
        </is>
      </c>
    </row>
    <row r="10" ht="29" customHeight="1" s="76">
      <c r="A10" s="42" t="inlineStr">
        <is>
          <t>N07</t>
        </is>
      </c>
      <c r="B10" s="42" t="inlineStr">
        <is>
          <t>Interlock اشخاص حقیقی بین شرکت‌ها</t>
        </is>
      </c>
      <c r="C10" s="42" t="inlineStr">
        <is>
          <t>MEDIUM</t>
        </is>
      </c>
      <c r="D10" s="42" t="inlineStr">
        <is>
          <t>HIGH</t>
        </is>
      </c>
      <c r="E10" s="42" t="inlineStr">
        <is>
          <t>Type19 برای زنجیره؛ آرشیو Codal از ~۱۳۹۷</t>
        </is>
      </c>
    </row>
    <row r="11" ht="20" customHeight="1" s="76">
      <c r="A11" s="50" t="inlineStr">
        <is>
          <t>N08</t>
        </is>
      </c>
      <c r="B11" s="50" t="inlineStr">
        <is>
          <t>سهم سابقه دولتی/سیاست‌گذاری</t>
        </is>
      </c>
      <c r="C11" s="50" t="inlineStr">
        <is>
          <t>MEDIUM</t>
        </is>
      </c>
      <c r="D11" s="50" t="inlineStr">
        <is>
          <t>HIGH</t>
        </is>
      </c>
      <c r="E11" s="50" t="inlineStr">
        <is>
          <t>Type19 برای زنجیره؛ آرشیو Codal از ~۱۳۹۷</t>
        </is>
      </c>
    </row>
    <row r="12" ht="20" customHeight="1" s="76">
      <c r="A12" s="42" t="inlineStr">
        <is>
          <t>N09</t>
        </is>
      </c>
      <c r="B12" s="42" t="inlineStr">
        <is>
          <t>سهم سابقه مدیریت اجرایی</t>
        </is>
      </c>
      <c r="C12" s="42" t="inlineStr">
        <is>
          <t>MEDIUM</t>
        </is>
      </c>
      <c r="D12" s="42" t="inlineStr">
        <is>
          <t>HIGH</t>
        </is>
      </c>
      <c r="E12" s="42" t="inlineStr">
        <is>
          <t>Type19 برای زنجیره؛ آرشیو Codal از ~۱۳۹۷</t>
        </is>
      </c>
    </row>
    <row r="13" ht="20" customHeight="1" s="76">
      <c r="A13" s="50" t="inlineStr">
        <is>
          <t>N10</t>
        </is>
      </c>
      <c r="B13" s="50" t="inlineStr">
        <is>
          <t>سهم سابقه مالی/سرمایه‌گذاری</t>
        </is>
      </c>
      <c r="C13" s="50" t="inlineStr">
        <is>
          <t>MEDIUM</t>
        </is>
      </c>
      <c r="D13" s="50" t="inlineStr">
        <is>
          <t>HIGH</t>
        </is>
      </c>
      <c r="E13" s="50" t="inlineStr">
        <is>
          <t>Type19 برای زنجیره؛ آرشیو Codal از ~۱۳۹۷</t>
        </is>
      </c>
    </row>
    <row r="14" ht="20" customHeight="1" s="76">
      <c r="A14" s="42" t="inlineStr">
        <is>
          <t>N11</t>
        </is>
      </c>
      <c r="B14" s="42" t="inlineStr">
        <is>
          <t>سهم تخصص صنعتی/عملیاتی</t>
        </is>
      </c>
      <c r="C14" s="42" t="inlineStr">
        <is>
          <t>MEDIUM</t>
        </is>
      </c>
      <c r="D14" s="42" t="inlineStr">
        <is>
          <t>HIGH</t>
        </is>
      </c>
      <c r="E14" s="42" t="inlineStr">
        <is>
          <t>Type19 برای زنجیره؛ آرشیو Codal از ~۱۳۹۷</t>
        </is>
      </c>
    </row>
    <row r="15" ht="20" customHeight="1" s="76">
      <c r="A15" s="50" t="inlineStr">
        <is>
          <t>N12</t>
        </is>
      </c>
      <c r="B15" s="50" t="inlineStr">
        <is>
          <t>سهم تخصص حقوقی/نظارتی</t>
        </is>
      </c>
      <c r="C15" s="50" t="inlineStr">
        <is>
          <t>MEDIUM</t>
        </is>
      </c>
      <c r="D15" s="50" t="inlineStr">
        <is>
          <t>HIGH</t>
        </is>
      </c>
      <c r="E15" s="50" t="inlineStr">
        <is>
          <t>Type19 برای زنجیره؛ آرشیو Codal از ~۱۳۹۷</t>
        </is>
      </c>
    </row>
    <row r="16" ht="20" customHeight="1" s="76">
      <c r="A16" s="42" t="inlineStr">
        <is>
          <t>N13</t>
        </is>
      </c>
      <c r="B16" s="42" t="inlineStr">
        <is>
          <t>تخصص دانشگاهی</t>
        </is>
      </c>
      <c r="C16" s="42" t="inlineStr">
        <is>
          <t>LOW</t>
        </is>
      </c>
      <c r="D16" s="42" t="inlineStr">
        <is>
          <t>HIGH</t>
        </is>
      </c>
      <c r="E16" s="42" t="inlineStr">
        <is>
          <t>بدون منبع تاریخی تضمین‌شده</t>
        </is>
      </c>
    </row>
    <row r="17" ht="20" customHeight="1" s="76">
      <c r="A17" s="50" t="inlineStr">
        <is>
          <t>N14</t>
        </is>
      </c>
      <c r="B17" s="50" t="inlineStr">
        <is>
          <t>استقلال کمیته حسابرسی</t>
        </is>
      </c>
      <c r="C17" s="50" t="inlineStr">
        <is>
          <t>MEDIUM</t>
        </is>
      </c>
      <c r="D17" s="50" t="inlineStr">
        <is>
          <t>HIGH</t>
        </is>
      </c>
      <c r="E17" s="50" t="inlineStr">
        <is>
          <t>Type19 برای زنجیره؛ آرشیو Codal از ~۱۳۹۷</t>
        </is>
      </c>
    </row>
    <row r="18" ht="20" customHeight="1" s="76">
      <c r="A18" s="42" t="inlineStr">
        <is>
          <t>N15</t>
        </is>
      </c>
      <c r="B18" s="42" t="inlineStr">
        <is>
          <t>تخصص مالی کمیته حسابرسی</t>
        </is>
      </c>
      <c r="C18" s="42" t="inlineStr">
        <is>
          <t>MEDIUM</t>
        </is>
      </c>
      <c r="D18" s="42" t="inlineStr">
        <is>
          <t>HIGH</t>
        </is>
      </c>
      <c r="E18" s="42" t="inlineStr">
        <is>
          <t>Type19 برای زنجیره؛ آرشیو Codal از ~۱۳۹۷</t>
        </is>
      </c>
    </row>
    <row r="19" ht="20" customHeight="1" s="76">
      <c r="A19" s="50" t="inlineStr">
        <is>
          <t>N16</t>
        </is>
      </c>
      <c r="B19" s="50" t="inlineStr">
        <is>
          <t>تعداد جلسات کمیته حسابرسی</t>
        </is>
      </c>
      <c r="C19" s="50" t="inlineStr">
        <is>
          <t>MEDIUM</t>
        </is>
      </c>
      <c r="D19" s="50" t="inlineStr">
        <is>
          <t>MEDIUM</t>
        </is>
      </c>
      <c r="E19" s="50" t="inlineStr">
        <is>
          <t>Type19 برای زنجیره؛ آرشیو Codal از ~۱۳۹۷</t>
        </is>
      </c>
    </row>
    <row r="20" ht="29" customHeight="1" s="76">
      <c r="A20" s="42" t="inlineStr">
        <is>
          <t>N17</t>
        </is>
      </c>
      <c r="B20" s="42" t="inlineStr">
        <is>
          <t>تعداد جلسات هیئت‌مدیره (نرمال‌شده)</t>
        </is>
      </c>
      <c r="C20" s="42" t="inlineStr">
        <is>
          <t>MEDIUM</t>
        </is>
      </c>
      <c r="D20" s="42" t="inlineStr">
        <is>
          <t>MEDIUM</t>
        </is>
      </c>
      <c r="E20" s="42" t="inlineStr">
        <is>
          <t>Type19 برای زنجیره؛ آرشیو Codal از ~۱۳۹۷</t>
        </is>
      </c>
    </row>
    <row r="21" ht="20" customHeight="1" s="76">
      <c r="A21" s="50" t="inlineStr">
        <is>
          <t>N18</t>
        </is>
      </c>
      <c r="B21" s="50" t="inlineStr">
        <is>
          <t>وجود کمیته ریسک</t>
        </is>
      </c>
      <c r="C21" s="50" t="inlineStr">
        <is>
          <t>MEDIUM</t>
        </is>
      </c>
      <c r="D21" s="50" t="inlineStr">
        <is>
          <t>HIGH</t>
        </is>
      </c>
      <c r="E21" s="50" t="inlineStr">
        <is>
          <t>Type19 برای زنجیره؛ آرشیو Codal از ~۱۳۹۷</t>
        </is>
      </c>
    </row>
    <row r="22" ht="20" customHeight="1" s="76">
      <c r="A22" s="42" t="inlineStr">
        <is>
          <t>N19</t>
        </is>
      </c>
      <c r="B22" s="42" t="inlineStr">
        <is>
          <t>وجود کمیته نامزدی</t>
        </is>
      </c>
      <c r="C22" s="42" t="inlineStr">
        <is>
          <t>MEDIUM</t>
        </is>
      </c>
      <c r="D22" s="42" t="inlineStr">
        <is>
          <t>HIGH</t>
        </is>
      </c>
      <c r="E22" s="42" t="inlineStr">
        <is>
          <t>Type19 برای زنجیره؛ آرشیو Codal از ~۱۳۹۷</t>
        </is>
      </c>
    </row>
    <row r="23" ht="20" customHeight="1" s="76">
      <c r="A23" s="50" t="inlineStr">
        <is>
          <t>N20</t>
        </is>
      </c>
      <c r="B23" s="50" t="inlineStr">
        <is>
          <t>وجود کمیته جبران خدمات</t>
        </is>
      </c>
      <c r="C23" s="50" t="inlineStr">
        <is>
          <t>LOW</t>
        </is>
      </c>
      <c r="D23" s="50" t="inlineStr">
        <is>
          <t>HIGH</t>
        </is>
      </c>
      <c r="E23" s="50" t="inlineStr">
        <is>
          <t>بدون منبع تاریخی تضمین‌شده</t>
        </is>
      </c>
    </row>
    <row r="24" ht="20" customHeight="1" s="76">
      <c r="A24" s="42" t="inlineStr">
        <is>
          <t>N21</t>
        </is>
      </c>
      <c r="B24" s="42" t="inlineStr">
        <is>
          <t>وجود کمیته سرمایه‌گذاری</t>
        </is>
      </c>
      <c r="C24" s="42" t="inlineStr">
        <is>
          <t>LOW</t>
        </is>
      </c>
      <c r="D24" s="42" t="inlineStr">
        <is>
          <t>HIGH</t>
        </is>
      </c>
      <c r="E24" s="42" t="inlineStr">
        <is>
          <t>بدون منبع تاریخی تضمین‌شده</t>
        </is>
      </c>
    </row>
    <row r="25" ht="20" customHeight="1" s="76">
      <c r="A25" s="50" t="inlineStr">
        <is>
          <t>N22</t>
        </is>
      </c>
      <c r="B25" s="50" t="inlineStr">
        <is>
          <t>وجود کمیته حاکمیت شرکتی</t>
        </is>
      </c>
      <c r="C25" s="50" t="inlineStr">
        <is>
          <t>LOW</t>
        </is>
      </c>
      <c r="D25" s="50" t="inlineStr">
        <is>
          <t>HIGH</t>
        </is>
      </c>
      <c r="E25" s="50" t="inlineStr">
        <is>
          <t>بدون منبع تاریخی تضمین‌شده</t>
        </is>
      </c>
    </row>
    <row r="26" ht="20" customHeight="1" s="76">
      <c r="A26" s="42" t="inlineStr">
        <is>
          <t>N23</t>
        </is>
      </c>
      <c r="B26" s="42" t="inlineStr">
        <is>
          <t>سهم اعضای مستقل صریح</t>
        </is>
      </c>
      <c r="C26" s="42" t="inlineStr">
        <is>
          <t>MEDIUM</t>
        </is>
      </c>
      <c r="D26" s="42" t="inlineStr">
        <is>
          <t>HIGH</t>
        </is>
      </c>
      <c r="E26" s="42" t="inlineStr">
        <is>
          <t>Type19 برای زنجیره؛ آرشیو Codal از ~۱۳۹۷</t>
        </is>
      </c>
    </row>
    <row r="27" ht="20" customHeight="1" s="76">
      <c r="A27" s="50" t="inlineStr">
        <is>
          <t>N24</t>
        </is>
      </c>
      <c r="B27" s="50" t="inlineStr">
        <is>
          <t>حضور اعضا در جلسات</t>
        </is>
      </c>
      <c r="C27" s="50" t="inlineStr">
        <is>
          <t>LOW</t>
        </is>
      </c>
      <c r="D27" s="50" t="inlineStr">
        <is>
          <t>MEDIUM</t>
        </is>
      </c>
      <c r="E27" s="50" t="inlineStr">
        <is>
          <t>بدون منبع تاریخی تضمین‌شده</t>
        </is>
      </c>
    </row>
    <row r="28" ht="29" customHeight="1" s="76">
      <c r="A28" s="42" t="inlineStr">
        <is>
          <t>N25</t>
        </is>
      </c>
      <c r="B28" s="42" t="inlineStr">
        <is>
          <t>عضویت همزمان / Multiple Directorships</t>
        </is>
      </c>
      <c r="C28" s="42" t="inlineStr">
        <is>
          <t>MEDIUM</t>
        </is>
      </c>
      <c r="D28" s="42" t="inlineStr">
        <is>
          <t>HIGH</t>
        </is>
      </c>
      <c r="E28" s="42" t="inlineStr">
        <is>
          <t>Type19 برای زنجیره؛ آرشیو Codal از ~۱۳۹۷</t>
        </is>
      </c>
    </row>
    <row r="29" ht="20" customHeight="1" s="76">
      <c r="A29" s="50" t="inlineStr">
        <is>
          <t>N26</t>
        </is>
      </c>
      <c r="B29" s="50" t="inlineStr">
        <is>
          <t>سن / Tenure اعضا</t>
        </is>
      </c>
      <c r="C29" s="50" t="inlineStr">
        <is>
          <t>MEDIUM</t>
        </is>
      </c>
      <c r="D29" s="50" t="inlineStr">
        <is>
          <t>HIGH</t>
        </is>
      </c>
      <c r="E29" s="50" t="inlineStr">
        <is>
          <t>Type19 برای زنجیره؛ آرشیو Codal از ~۱۳۹۷</t>
        </is>
      </c>
    </row>
    <row r="30" ht="20" customHeight="1" s="76">
      <c r="A30" s="42" t="inlineStr">
        <is>
          <t>N27</t>
        </is>
      </c>
      <c r="B30" s="42" t="inlineStr">
        <is>
          <t>تنوع Tenure</t>
        </is>
      </c>
      <c r="C30" s="42" t="inlineStr">
        <is>
          <t>MEDIUM</t>
        </is>
      </c>
      <c r="D30" s="42" t="inlineStr">
        <is>
          <t>HIGH</t>
        </is>
      </c>
      <c r="E30" s="42" t="inlineStr">
        <is>
          <t>Type19 برای زنجیره؛ آرشیو Codal از ~۱۳۹۷</t>
        </is>
      </c>
    </row>
    <row r="31" ht="20" customHeight="1" s="76">
      <c r="A31" s="50" t="inlineStr">
        <is>
          <t>N28</t>
        </is>
      </c>
      <c r="B31" s="50" t="inlineStr">
        <is>
          <t>مدت تصدی رئیس هیئت</t>
        </is>
      </c>
      <c r="C31" s="50" t="inlineStr">
        <is>
          <t>MEDIUM</t>
        </is>
      </c>
      <c r="D31" s="50" t="inlineStr">
        <is>
          <t>HIGH</t>
        </is>
      </c>
      <c r="E31" s="50" t="inlineStr">
        <is>
          <t>Type19 برای زنجیره؛ آرشیو Codal از ~۱۳۹۷</t>
        </is>
      </c>
    </row>
    <row r="32" ht="20" customHeight="1" s="76">
      <c r="A32" s="42" t="inlineStr">
        <is>
          <t>N29</t>
        </is>
      </c>
      <c r="B32" s="42" t="inlineStr">
        <is>
          <t>مدت تصدی مدیرعامل</t>
        </is>
      </c>
      <c r="C32" s="42" t="inlineStr">
        <is>
          <t>MEDIUM</t>
        </is>
      </c>
      <c r="D32" s="42" t="inlineStr">
        <is>
          <t>HIGH</t>
        </is>
      </c>
      <c r="E32" s="42" t="inlineStr">
        <is>
          <t>Type19 برای زنجیره؛ آرشیو Codal از ~۱۳۹۷</t>
        </is>
      </c>
    </row>
    <row r="33" ht="20" customHeight="1" s="76">
      <c r="A33" s="50" t="inlineStr">
        <is>
          <t>N30</t>
        </is>
      </c>
      <c r="B33" s="50" t="inlineStr">
        <is>
          <t>نرخ کرسی خالی</t>
        </is>
      </c>
      <c r="C33" s="50" t="inlineStr">
        <is>
          <t>MEDIUM</t>
        </is>
      </c>
      <c r="D33" s="50" t="inlineStr">
        <is>
          <t>HIGH</t>
        </is>
      </c>
      <c r="E33" s="50" t="inlineStr">
        <is>
          <t>Type19 برای زنجیره؛ آرشیو Codal از ~۱۳۹۷</t>
        </is>
      </c>
    </row>
    <row r="34" ht="20" customHeight="1" s="76">
      <c r="A34" s="42" t="inlineStr">
        <is>
          <t>N31</t>
        </is>
      </c>
      <c r="B34" s="42" t="inlineStr">
        <is>
          <t>تمرکز نقش (Chair=CEO)</t>
        </is>
      </c>
      <c r="C34" s="42" t="inlineStr">
        <is>
          <t>HIGH</t>
        </is>
      </c>
      <c r="D34" s="42" t="inlineStr">
        <is>
          <t>HIGH</t>
        </is>
      </c>
      <c r="E34" s="42" t="inlineStr">
        <is>
          <t>Type19 برای زنجیره؛ آرشیو Codal از ~۱۳۹۷</t>
        </is>
      </c>
    </row>
    <row r="35" ht="20" customHeight="1" s="76">
      <c r="A35" s="50" t="inlineStr">
        <is>
          <t>N32</t>
        </is>
      </c>
      <c r="B35" s="50" t="inlineStr">
        <is>
          <t>هم‌پوشانی کمیته‌ها</t>
        </is>
      </c>
      <c r="C35" s="50" t="inlineStr">
        <is>
          <t>LOW</t>
        </is>
      </c>
      <c r="D35" s="50" t="inlineStr">
        <is>
          <t>HIGH</t>
        </is>
      </c>
      <c r="E35" s="50" t="inlineStr">
        <is>
          <t>بدون منبع تاریخی تضمین‌شده</t>
        </is>
      </c>
    </row>
    <row r="36" ht="20" customHeight="1" s="76">
      <c r="A36" s="42" t="inlineStr">
        <is>
          <t>N33</t>
        </is>
      </c>
      <c r="B36" s="42" t="inlineStr">
        <is>
          <t>سهم اعضای موظف</t>
        </is>
      </c>
      <c r="C36" s="42" t="inlineStr">
        <is>
          <t>HIGH</t>
        </is>
      </c>
      <c r="D36" s="42" t="inlineStr">
        <is>
          <t>HIGH</t>
        </is>
      </c>
      <c r="E36" s="42" t="inlineStr">
        <is>
          <t>Type19 برای زنجیره؛ آرشیو Codal از ~۱۳۹۷</t>
        </is>
      </c>
    </row>
    <row r="37" ht="20" customHeight="1" s="76">
      <c r="A37" s="50" t="inlineStr">
        <is>
          <t>N34</t>
        </is>
      </c>
      <c r="B37" s="50" t="inlineStr">
        <is>
          <t>Blau نرمال‌شده تحصیلی</t>
        </is>
      </c>
      <c r="C37" s="50" t="inlineStr">
        <is>
          <t>MEDIUM</t>
        </is>
      </c>
      <c r="D37" s="50" t="inlineStr">
        <is>
          <t>HIGH</t>
        </is>
      </c>
      <c r="E37" s="50" t="inlineStr">
        <is>
          <t>Type19 برای زنجیره؛ آرشیو Codal از ~۱۳۹۷</t>
        </is>
      </c>
    </row>
    <row r="38" ht="20" customHeight="1" s="76">
      <c r="A38" s="42" t="inlineStr">
        <is>
          <t>N35</t>
        </is>
      </c>
      <c r="B38" s="42" t="inlineStr">
        <is>
          <t>غنای هیئت (Richness)</t>
        </is>
      </c>
      <c r="C38" s="42" t="inlineStr">
        <is>
          <t>MEDIUM</t>
        </is>
      </c>
      <c r="D38" s="42" t="inlineStr">
        <is>
          <t>HIGH</t>
        </is>
      </c>
      <c r="E38" s="42" t="inlineStr">
        <is>
          <t>Type19 برای زنجیره؛ آرشیو Codal از ~۱۳۹۷</t>
        </is>
      </c>
    </row>
  </sheetData>
  <mergeCells count="2">
    <mergeCell ref="A2:E2"/>
    <mergeCell ref="A1:E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8.1640625" customWidth="1" style="76" min="1" max="2"/>
    <col width="13.5" customWidth="1" style="76" min="3" max="3"/>
    <col width="12.5" customWidth="1" style="76" min="4" max="4"/>
    <col width="15.33203125" customWidth="1" style="76" min="5" max="5"/>
    <col width="21" customWidth="1" style="76" min="6" max="6"/>
  </cols>
  <sheetData>
    <row r="1" ht="34" customHeight="1" s="76">
      <c r="A1" s="79" t="inlineStr">
        <is>
          <t>مقیاس‌پذیری ۵۰۰ شرکت</t>
        </is>
      </c>
    </row>
    <row r="2" ht="28" customHeight="1" s="76">
      <c r="A2" s="86" t="inlineStr">
        <is>
          <t>برآورد بر اساس خودکارسازی و بار دستی.</t>
        </is>
      </c>
    </row>
    <row r="3" ht="30" customHeight="1" s="76">
      <c r="A3" s="48" t="inlineStr">
        <is>
          <t>ID</t>
        </is>
      </c>
      <c r="B3" s="48" t="inlineStr">
        <is>
          <t>Candidate</t>
        </is>
      </c>
      <c r="C3" s="48" t="inlineStr">
        <is>
          <t>Scalability</t>
        </is>
      </c>
      <c r="D3" s="48" t="inlineStr">
        <is>
          <t>Automation</t>
        </is>
      </c>
      <c r="E3" s="48" t="inlineStr">
        <is>
          <t>Manual Burden</t>
        </is>
      </c>
      <c r="F3" s="48" t="inlineStr">
        <is>
          <t>نقش</t>
        </is>
      </c>
    </row>
    <row r="4" ht="20" customHeight="1" s="76">
      <c r="A4" s="42" t="inlineStr">
        <is>
          <t>N01</t>
        </is>
      </c>
      <c r="B4" s="42" t="inlineStr">
        <is>
          <t>اندازه هیئت‌مدیره</t>
        </is>
      </c>
      <c r="C4" s="42" t="inlineStr">
        <is>
          <t>HIGH</t>
        </is>
      </c>
      <c r="D4" s="42" t="inlineStr">
        <is>
          <t>HIGH</t>
        </is>
      </c>
      <c r="E4" s="42" t="inlineStr">
        <is>
          <t>LOW</t>
        </is>
      </c>
      <c r="F4" s="42" t="inlineStr">
        <is>
          <t>کنترل</t>
        </is>
      </c>
    </row>
    <row r="5" ht="20" customHeight="1" s="76">
      <c r="A5" s="50" t="inlineStr">
        <is>
          <t>N02</t>
        </is>
      </c>
      <c r="B5" s="50" t="inlineStr">
        <is>
          <t>سهم اعضای دارای دکترا</t>
        </is>
      </c>
      <c r="C5" s="50" t="inlineStr">
        <is>
          <t>HIGH</t>
        </is>
      </c>
      <c r="D5" s="50" t="inlineStr">
        <is>
          <t>MEDIUM</t>
        </is>
      </c>
      <c r="E5" s="50" t="inlineStr">
        <is>
          <t>MEDIUM</t>
        </is>
      </c>
      <c r="F5" s="50" t="inlineStr">
        <is>
          <t>Scale-Up با محدودیت</t>
        </is>
      </c>
    </row>
    <row r="6" ht="20" customHeight="1" s="76">
      <c r="A6" s="42" t="inlineStr">
        <is>
          <t>N03</t>
        </is>
      </c>
      <c r="B6" s="42" t="inlineStr">
        <is>
          <t>سهم مدرک کارشناسی ارشد به بالا</t>
        </is>
      </c>
      <c r="C6" s="42" t="inlineStr">
        <is>
          <t>HIGH</t>
        </is>
      </c>
      <c r="D6" s="42" t="inlineStr">
        <is>
          <t>MEDIUM</t>
        </is>
      </c>
      <c r="E6" s="42" t="inlineStr">
        <is>
          <t>MEDIUM</t>
        </is>
      </c>
      <c r="F6" s="42" t="inlineStr">
        <is>
          <t>Robustness</t>
        </is>
      </c>
    </row>
    <row r="7" ht="20" customHeight="1" s="76">
      <c r="A7" s="50" t="inlineStr">
        <is>
          <t>N04</t>
        </is>
      </c>
      <c r="B7" s="50" t="inlineStr">
        <is>
          <t>تمرکز اشخاص حقوقی (HHI)</t>
        </is>
      </c>
      <c r="C7" s="50" t="inlineStr">
        <is>
          <t>HIGH</t>
        </is>
      </c>
      <c r="D7" s="50" t="inlineStr">
        <is>
          <t>HIGH</t>
        </is>
      </c>
      <c r="E7" s="50" t="inlineStr">
        <is>
          <t>LOW</t>
        </is>
      </c>
      <c r="F7" s="50" t="inlineStr">
        <is>
          <t>حذف</t>
        </is>
      </c>
    </row>
    <row r="8" ht="20" customHeight="1" s="76">
      <c r="A8" s="42" t="inlineStr">
        <is>
          <t>N05</t>
        </is>
      </c>
      <c r="B8" s="42" t="inlineStr">
        <is>
          <t>تعداد اشخاص حقوقی متمایز</t>
        </is>
      </c>
      <c r="C8" s="42" t="inlineStr">
        <is>
          <t>HIGH</t>
        </is>
      </c>
      <c r="D8" s="42" t="inlineStr">
        <is>
          <t>HIGH</t>
        </is>
      </c>
      <c r="E8" s="42" t="inlineStr">
        <is>
          <t>LOW</t>
        </is>
      </c>
      <c r="F8" s="42" t="inlineStr">
        <is>
          <t>حذف</t>
        </is>
      </c>
    </row>
    <row r="9" ht="29" customHeight="1" s="76">
      <c r="A9" s="50" t="inlineStr">
        <is>
          <t>N06</t>
        </is>
      </c>
      <c r="B9" s="50" t="inlineStr">
        <is>
          <t>پیوند مشترک شخص حقوقی بین شرکت‌ها</t>
        </is>
      </c>
      <c r="C9" s="50" t="inlineStr">
        <is>
          <t>MEDIUM</t>
        </is>
      </c>
      <c r="D9" s="50" t="inlineStr">
        <is>
          <t>HIGH</t>
        </is>
      </c>
      <c r="E9" s="50" t="inlineStr">
        <is>
          <t>LOW</t>
        </is>
      </c>
      <c r="F9" s="50" t="inlineStr">
        <is>
          <t>اعتبارسنجی هدفمند</t>
        </is>
      </c>
    </row>
    <row r="10" ht="29" customHeight="1" s="76">
      <c r="A10" s="42" t="inlineStr">
        <is>
          <t>N07</t>
        </is>
      </c>
      <c r="B10" s="42" t="inlineStr">
        <is>
          <t>Interlock اشخاص حقیقی بین شرکت‌ها</t>
        </is>
      </c>
      <c r="C10" s="42" t="inlineStr">
        <is>
          <t>MEDIUM</t>
        </is>
      </c>
      <c r="D10" s="42" t="inlineStr">
        <is>
          <t>MEDIUM</t>
        </is>
      </c>
      <c r="E10" s="42" t="inlineStr">
        <is>
          <t>MEDIUM</t>
        </is>
      </c>
      <c r="F10" s="42" t="inlineStr">
        <is>
          <t>Proof of Concept</t>
        </is>
      </c>
    </row>
    <row r="11" ht="20" customHeight="1" s="76">
      <c r="A11" s="50" t="inlineStr">
        <is>
          <t>N08</t>
        </is>
      </c>
      <c r="B11" s="50" t="inlineStr">
        <is>
          <t>سهم سابقه دولتی/سیاست‌گذاری</t>
        </is>
      </c>
      <c r="C11" s="50" t="inlineStr">
        <is>
          <t>MEDIUM</t>
        </is>
      </c>
      <c r="D11" s="50" t="inlineStr">
        <is>
          <t>LOW</t>
        </is>
      </c>
      <c r="E11" s="50" t="inlineStr">
        <is>
          <t>HIGH</t>
        </is>
      </c>
      <c r="F11" s="50" t="inlineStr">
        <is>
          <t>کنترل</t>
        </is>
      </c>
    </row>
    <row r="12" ht="20" customHeight="1" s="76">
      <c r="A12" s="42" t="inlineStr">
        <is>
          <t>N09</t>
        </is>
      </c>
      <c r="B12" s="42" t="inlineStr">
        <is>
          <t>سهم سابقه مدیریت اجرایی</t>
        </is>
      </c>
      <c r="C12" s="42" t="inlineStr">
        <is>
          <t>MEDIUM</t>
        </is>
      </c>
      <c r="D12" s="42" t="inlineStr">
        <is>
          <t>LOW</t>
        </is>
      </c>
      <c r="E12" s="42" t="inlineStr">
        <is>
          <t>HIGH</t>
        </is>
      </c>
      <c r="F12" s="42" t="inlineStr">
        <is>
          <t>Robustness</t>
        </is>
      </c>
    </row>
    <row r="13" ht="20" customHeight="1" s="76">
      <c r="A13" s="50" t="inlineStr">
        <is>
          <t>N10</t>
        </is>
      </c>
      <c r="B13" s="50" t="inlineStr">
        <is>
          <t>سهم سابقه مالی/سرمایه‌گذاری</t>
        </is>
      </c>
      <c r="C13" s="50" t="inlineStr">
        <is>
          <t>MEDIUM</t>
        </is>
      </c>
      <c r="D13" s="50" t="inlineStr">
        <is>
          <t>LOW</t>
        </is>
      </c>
      <c r="E13" s="50" t="inlineStr">
        <is>
          <t>HIGH</t>
        </is>
      </c>
      <c r="F13" s="50" t="inlineStr">
        <is>
          <t>Robustness</t>
        </is>
      </c>
    </row>
    <row r="14" ht="20" customHeight="1" s="76">
      <c r="A14" s="42" t="inlineStr">
        <is>
          <t>N11</t>
        </is>
      </c>
      <c r="B14" s="42" t="inlineStr">
        <is>
          <t>سهم تخصص صنعتی/عملیاتی</t>
        </is>
      </c>
      <c r="C14" s="42" t="inlineStr">
        <is>
          <t>MEDIUM</t>
        </is>
      </c>
      <c r="D14" s="42" t="inlineStr">
        <is>
          <t>LOW</t>
        </is>
      </c>
      <c r="E14" s="42" t="inlineStr">
        <is>
          <t>HIGH</t>
        </is>
      </c>
      <c r="F14" s="42" t="inlineStr">
        <is>
          <t>Proof of Concept</t>
        </is>
      </c>
    </row>
    <row r="15" ht="20" customHeight="1" s="76">
      <c r="A15" s="50" t="inlineStr">
        <is>
          <t>N12</t>
        </is>
      </c>
      <c r="B15" s="50" t="inlineStr">
        <is>
          <t>سهم تخصص حقوقی/نظارتی</t>
        </is>
      </c>
      <c r="C15" s="50" t="inlineStr">
        <is>
          <t>LOW</t>
        </is>
      </c>
      <c r="D15" s="50" t="inlineStr">
        <is>
          <t>LOW</t>
        </is>
      </c>
      <c r="E15" s="50" t="inlineStr">
        <is>
          <t>HIGH</t>
        </is>
      </c>
      <c r="F15" s="50" t="inlineStr">
        <is>
          <t>حذف</t>
        </is>
      </c>
    </row>
    <row r="16" ht="20" customHeight="1" s="76">
      <c r="A16" s="42" t="inlineStr">
        <is>
          <t>N13</t>
        </is>
      </c>
      <c r="B16" s="42" t="inlineStr">
        <is>
          <t>تخصص دانشگاهی</t>
        </is>
      </c>
      <c r="C16" s="42" t="inlineStr">
        <is>
          <t>LOW</t>
        </is>
      </c>
      <c r="D16" s="42" t="inlineStr">
        <is>
          <t>LOW</t>
        </is>
      </c>
      <c r="E16" s="42" t="inlineStr">
        <is>
          <t>HIGH</t>
        </is>
      </c>
      <c r="F16" s="42" t="inlineStr">
        <is>
          <t>تئوریک</t>
        </is>
      </c>
    </row>
    <row r="17" ht="20" customHeight="1" s="76">
      <c r="A17" s="50" t="inlineStr">
        <is>
          <t>N14</t>
        </is>
      </c>
      <c r="B17" s="50" t="inlineStr">
        <is>
          <t>استقلال کمیته حسابرسی</t>
        </is>
      </c>
      <c r="C17" s="50" t="inlineStr">
        <is>
          <t>MEDIUM</t>
        </is>
      </c>
      <c r="D17" s="50" t="inlineStr">
        <is>
          <t>MEDIUM</t>
        </is>
      </c>
      <c r="E17" s="50" t="inlineStr">
        <is>
          <t>MEDIUM</t>
        </is>
      </c>
      <c r="F17" s="50" t="inlineStr">
        <is>
          <t>اعتبارسنجی هدفمند</t>
        </is>
      </c>
    </row>
    <row r="18" ht="20" customHeight="1" s="76">
      <c r="A18" s="42" t="inlineStr">
        <is>
          <t>N15</t>
        </is>
      </c>
      <c r="B18" s="42" t="inlineStr">
        <is>
          <t>تخصص مالی کمیته حسابرسی</t>
        </is>
      </c>
      <c r="C18" s="42" t="inlineStr">
        <is>
          <t>MEDIUM</t>
        </is>
      </c>
      <c r="D18" s="42" t="inlineStr">
        <is>
          <t>MEDIUM</t>
        </is>
      </c>
      <c r="E18" s="42" t="inlineStr">
        <is>
          <t>MEDIUM</t>
        </is>
      </c>
      <c r="F18" s="42" t="inlineStr">
        <is>
          <t>اعتبارسنجی هدفمند</t>
        </is>
      </c>
    </row>
    <row r="19" ht="20" customHeight="1" s="76">
      <c r="A19" s="50" t="inlineStr">
        <is>
          <t>N16</t>
        </is>
      </c>
      <c r="B19" s="50" t="inlineStr">
        <is>
          <t>تعداد جلسات کمیته حسابرسی</t>
        </is>
      </c>
      <c r="C19" s="50" t="inlineStr">
        <is>
          <t>MEDIUM</t>
        </is>
      </c>
      <c r="D19" s="50" t="inlineStr">
        <is>
          <t>MEDIUM</t>
        </is>
      </c>
      <c r="E19" s="50" t="inlineStr">
        <is>
          <t>MEDIUM</t>
        </is>
      </c>
      <c r="F19" s="50" t="inlineStr">
        <is>
          <t>اعتبارسنجی هدفمند</t>
        </is>
      </c>
    </row>
    <row r="20" ht="29" customHeight="1" s="76">
      <c r="A20" s="42" t="inlineStr">
        <is>
          <t>N17</t>
        </is>
      </c>
      <c r="B20" s="42" t="inlineStr">
        <is>
          <t>تعداد جلسات هیئت‌مدیره (نرمال‌شده)</t>
        </is>
      </c>
      <c r="C20" s="42" t="inlineStr">
        <is>
          <t>MEDIUM</t>
        </is>
      </c>
      <c r="D20" s="42" t="inlineStr">
        <is>
          <t>MEDIUM</t>
        </is>
      </c>
      <c r="E20" s="42" t="inlineStr">
        <is>
          <t>MEDIUM</t>
        </is>
      </c>
      <c r="F20" s="42" t="inlineStr">
        <is>
          <t>اعتبارسنجی هدفمند</t>
        </is>
      </c>
    </row>
    <row r="21" ht="20" customHeight="1" s="76">
      <c r="A21" s="50" t="inlineStr">
        <is>
          <t>N18</t>
        </is>
      </c>
      <c r="B21" s="50" t="inlineStr">
        <is>
          <t>وجود کمیته ریسک</t>
        </is>
      </c>
      <c r="C21" s="50" t="inlineStr">
        <is>
          <t>HIGH</t>
        </is>
      </c>
      <c r="D21" s="50" t="inlineStr">
        <is>
          <t>HIGH</t>
        </is>
      </c>
      <c r="E21" s="50" t="inlineStr">
        <is>
          <t>MEDIUM</t>
        </is>
      </c>
      <c r="F21" s="50" t="inlineStr">
        <is>
          <t>اعتبارسنجی هدفمند</t>
        </is>
      </c>
    </row>
    <row r="22" ht="20" customHeight="1" s="76">
      <c r="A22" s="42" t="inlineStr">
        <is>
          <t>N19</t>
        </is>
      </c>
      <c r="B22" s="42" t="inlineStr">
        <is>
          <t>وجود کمیته نامزدی</t>
        </is>
      </c>
      <c r="C22" s="42" t="inlineStr">
        <is>
          <t>HIGH</t>
        </is>
      </c>
      <c r="D22" s="42" t="inlineStr">
        <is>
          <t>HIGH</t>
        </is>
      </c>
      <c r="E22" s="42" t="inlineStr">
        <is>
          <t>MEDIUM</t>
        </is>
      </c>
      <c r="F22" s="42" t="inlineStr">
        <is>
          <t>تعویق</t>
        </is>
      </c>
    </row>
    <row r="23" ht="20" customHeight="1" s="76">
      <c r="A23" s="50" t="inlineStr">
        <is>
          <t>N20</t>
        </is>
      </c>
      <c r="B23" s="50" t="inlineStr">
        <is>
          <t>وجود کمیته جبران خدمات</t>
        </is>
      </c>
      <c r="C23" s="50" t="inlineStr">
        <is>
          <t>LOW</t>
        </is>
      </c>
      <c r="D23" s="50" t="inlineStr">
        <is>
          <t>HIGH</t>
        </is>
      </c>
      <c r="E23" s="50" t="inlineStr">
        <is>
          <t>MEDIUM</t>
        </is>
      </c>
      <c r="F23" s="50" t="inlineStr">
        <is>
          <t>Proof of Concept</t>
        </is>
      </c>
    </row>
    <row r="24" ht="20" customHeight="1" s="76">
      <c r="A24" s="42" t="inlineStr">
        <is>
          <t>N21</t>
        </is>
      </c>
      <c r="B24" s="42" t="inlineStr">
        <is>
          <t>وجود کمیته سرمایه‌گذاری</t>
        </is>
      </c>
      <c r="C24" s="42" t="inlineStr">
        <is>
          <t>LOW</t>
        </is>
      </c>
      <c r="D24" s="42" t="inlineStr">
        <is>
          <t>HIGH</t>
        </is>
      </c>
      <c r="E24" s="42" t="inlineStr">
        <is>
          <t>MEDIUM</t>
        </is>
      </c>
      <c r="F24" s="42" t="inlineStr">
        <is>
          <t>Proof of Concept</t>
        </is>
      </c>
    </row>
    <row r="25" ht="20" customHeight="1" s="76">
      <c r="A25" s="50" t="inlineStr">
        <is>
          <t>N22</t>
        </is>
      </c>
      <c r="B25" s="50" t="inlineStr">
        <is>
          <t>وجود کمیته حاکمیت شرکتی</t>
        </is>
      </c>
      <c r="C25" s="50" t="inlineStr">
        <is>
          <t>LOW</t>
        </is>
      </c>
      <c r="D25" s="50" t="inlineStr">
        <is>
          <t>HIGH</t>
        </is>
      </c>
      <c r="E25" s="50" t="inlineStr">
        <is>
          <t>MEDIUM</t>
        </is>
      </c>
      <c r="F25" s="50" t="inlineStr">
        <is>
          <t>Proof of Concept</t>
        </is>
      </c>
    </row>
    <row r="26" ht="20" customHeight="1" s="76">
      <c r="A26" s="42" t="inlineStr">
        <is>
          <t>N23</t>
        </is>
      </c>
      <c r="B26" s="42" t="inlineStr">
        <is>
          <t>سهم اعضای مستقل صریح</t>
        </is>
      </c>
      <c r="C26" s="42" t="inlineStr">
        <is>
          <t>MEDIUM</t>
        </is>
      </c>
      <c r="D26" s="42" t="inlineStr">
        <is>
          <t>MEDIUM</t>
        </is>
      </c>
      <c r="E26" s="42" t="inlineStr">
        <is>
          <t>MEDIUM</t>
        </is>
      </c>
      <c r="F26" s="42" t="inlineStr">
        <is>
          <t>اعتبارسنجی هدفمند</t>
        </is>
      </c>
    </row>
    <row r="27" ht="20" customHeight="1" s="76">
      <c r="A27" s="50" t="inlineStr">
        <is>
          <t>N24</t>
        </is>
      </c>
      <c r="B27" s="50" t="inlineStr">
        <is>
          <t>حضور اعضا در جلسات</t>
        </is>
      </c>
      <c r="C27" s="50" t="inlineStr">
        <is>
          <t>LOW</t>
        </is>
      </c>
      <c r="D27" s="50" t="inlineStr">
        <is>
          <t>LOW</t>
        </is>
      </c>
      <c r="E27" s="50" t="inlineStr">
        <is>
          <t>HIGH</t>
        </is>
      </c>
      <c r="F27" s="50" t="inlineStr">
        <is>
          <t>تئوریک</t>
        </is>
      </c>
    </row>
    <row r="28" ht="29" customHeight="1" s="76">
      <c r="A28" s="42" t="inlineStr">
        <is>
          <t>N25</t>
        </is>
      </c>
      <c r="B28" s="42" t="inlineStr">
        <is>
          <t>عضویت همزمان / Multiple Directorships</t>
        </is>
      </c>
      <c r="C28" s="42" t="inlineStr">
        <is>
          <t>MEDIUM</t>
        </is>
      </c>
      <c r="D28" s="42" t="inlineStr">
        <is>
          <t>MEDIUM</t>
        </is>
      </c>
      <c r="E28" s="42" t="inlineStr">
        <is>
          <t>MEDIUM</t>
        </is>
      </c>
      <c r="F28" s="42" t="inlineStr">
        <is>
          <t>اعتبارسنجی هدفمند</t>
        </is>
      </c>
    </row>
    <row r="29" ht="20" customHeight="1" s="76">
      <c r="A29" s="50" t="inlineStr">
        <is>
          <t>N26</t>
        </is>
      </c>
      <c r="B29" s="50" t="inlineStr">
        <is>
          <t>سن / Tenure اعضا</t>
        </is>
      </c>
      <c r="C29" s="50" t="inlineStr">
        <is>
          <t>LOW</t>
        </is>
      </c>
      <c r="D29" s="50" t="inlineStr">
        <is>
          <t>LOW</t>
        </is>
      </c>
      <c r="E29" s="50" t="inlineStr">
        <is>
          <t>HIGH</t>
        </is>
      </c>
      <c r="F29" s="50" t="inlineStr">
        <is>
          <t>Proof of Concept</t>
        </is>
      </c>
    </row>
    <row r="30" ht="20" customHeight="1" s="76">
      <c r="A30" s="42" t="inlineStr">
        <is>
          <t>N27</t>
        </is>
      </c>
      <c r="B30" s="42" t="inlineStr">
        <is>
          <t>تنوع Tenure</t>
        </is>
      </c>
      <c r="C30" s="42" t="inlineStr">
        <is>
          <t>LOW</t>
        </is>
      </c>
      <c r="D30" s="42" t="inlineStr">
        <is>
          <t>LOW</t>
        </is>
      </c>
      <c r="E30" s="42" t="inlineStr">
        <is>
          <t>HIGH</t>
        </is>
      </c>
      <c r="F30" s="42" t="inlineStr">
        <is>
          <t>Proof of Concept</t>
        </is>
      </c>
    </row>
    <row r="31" ht="20" customHeight="1" s="76">
      <c r="A31" s="50" t="inlineStr">
        <is>
          <t>N28</t>
        </is>
      </c>
      <c r="B31" s="50" t="inlineStr">
        <is>
          <t>مدت تصدی رئیس هیئت</t>
        </is>
      </c>
      <c r="C31" s="50" t="inlineStr">
        <is>
          <t>MEDIUM</t>
        </is>
      </c>
      <c r="D31" s="50" t="inlineStr">
        <is>
          <t>MEDIUM</t>
        </is>
      </c>
      <c r="E31" s="50" t="inlineStr">
        <is>
          <t>MEDIUM</t>
        </is>
      </c>
      <c r="F31" s="50" t="inlineStr">
        <is>
          <t>اعتبارسنجی هدفمند</t>
        </is>
      </c>
    </row>
    <row r="32" ht="20" customHeight="1" s="76">
      <c r="A32" s="42" t="inlineStr">
        <is>
          <t>N29</t>
        </is>
      </c>
      <c r="B32" s="42" t="inlineStr">
        <is>
          <t>مدت تصدی مدیرعامل</t>
        </is>
      </c>
      <c r="C32" s="42" t="inlineStr">
        <is>
          <t>MEDIUM</t>
        </is>
      </c>
      <c r="D32" s="42" t="inlineStr">
        <is>
          <t>MEDIUM</t>
        </is>
      </c>
      <c r="E32" s="42" t="inlineStr">
        <is>
          <t>MEDIUM</t>
        </is>
      </c>
      <c r="F32" s="42" t="inlineStr">
        <is>
          <t>تعویق</t>
        </is>
      </c>
    </row>
    <row r="33" ht="20" customHeight="1" s="76">
      <c r="A33" s="50" t="inlineStr">
        <is>
          <t>N30</t>
        </is>
      </c>
      <c r="B33" s="50" t="inlineStr">
        <is>
          <t>نرخ کرسی خالی</t>
        </is>
      </c>
      <c r="C33" s="50" t="inlineStr">
        <is>
          <t>LOW</t>
        </is>
      </c>
      <c r="D33" s="50" t="inlineStr">
        <is>
          <t>LOW</t>
        </is>
      </c>
      <c r="E33" s="50" t="inlineStr">
        <is>
          <t>HIGH</t>
        </is>
      </c>
      <c r="F33" s="50" t="inlineStr">
        <is>
          <t>Proof of Concept</t>
        </is>
      </c>
    </row>
    <row r="34" ht="20" customHeight="1" s="76">
      <c r="A34" s="42" t="inlineStr">
        <is>
          <t>N31</t>
        </is>
      </c>
      <c r="B34" s="42" t="inlineStr">
        <is>
          <t>تمرکز نقش (Chair=CEO)</t>
        </is>
      </c>
      <c r="C34" s="42" t="inlineStr">
        <is>
          <t>HIGH</t>
        </is>
      </c>
      <c r="D34" s="42" t="inlineStr">
        <is>
          <t>HIGH</t>
        </is>
      </c>
      <c r="E34" s="42" t="inlineStr">
        <is>
          <t>LOW</t>
        </is>
      </c>
      <c r="F34" s="42" t="inlineStr">
        <is>
          <t>حذف</t>
        </is>
      </c>
    </row>
    <row r="35" ht="20" customHeight="1" s="76">
      <c r="A35" s="50" t="inlineStr">
        <is>
          <t>N32</t>
        </is>
      </c>
      <c r="B35" s="50" t="inlineStr">
        <is>
          <t>هم‌پوشانی کمیته‌ها</t>
        </is>
      </c>
      <c r="C35" s="50" t="inlineStr">
        <is>
          <t>LOW</t>
        </is>
      </c>
      <c r="D35" s="50" t="inlineStr">
        <is>
          <t>LOW</t>
        </is>
      </c>
      <c r="E35" s="50" t="inlineStr">
        <is>
          <t>HIGH</t>
        </is>
      </c>
      <c r="F35" s="50" t="inlineStr">
        <is>
          <t>Proof of Concept</t>
        </is>
      </c>
    </row>
    <row r="36" ht="20" customHeight="1" s="76">
      <c r="A36" s="42" t="inlineStr">
        <is>
          <t>N33</t>
        </is>
      </c>
      <c r="B36" s="42" t="inlineStr">
        <is>
          <t>سهم اعضای موظف</t>
        </is>
      </c>
      <c r="C36" s="42" t="inlineStr">
        <is>
          <t>HIGH</t>
        </is>
      </c>
      <c r="D36" s="42" t="inlineStr">
        <is>
          <t>HIGH</t>
        </is>
      </c>
      <c r="E36" s="42" t="inlineStr">
        <is>
          <t>LOW</t>
        </is>
      </c>
      <c r="F36" s="42" t="inlineStr">
        <is>
          <t>Robustness</t>
        </is>
      </c>
    </row>
    <row r="37" ht="20" customHeight="1" s="76">
      <c r="A37" s="50" t="inlineStr">
        <is>
          <t>N34</t>
        </is>
      </c>
      <c r="B37" s="50" t="inlineStr">
        <is>
          <t>Blau نرمال‌شده تحصیلی</t>
        </is>
      </c>
      <c r="C37" s="50" t="inlineStr">
        <is>
          <t>HIGH</t>
        </is>
      </c>
      <c r="D37" s="50" t="inlineStr">
        <is>
          <t>HIGH</t>
        </is>
      </c>
      <c r="E37" s="50" t="inlineStr">
        <is>
          <t>LOW</t>
        </is>
      </c>
      <c r="F37" s="50" t="inlineStr">
        <is>
          <t>Robustness</t>
        </is>
      </c>
    </row>
    <row r="38" ht="20" customHeight="1" s="76">
      <c r="A38" s="42" t="inlineStr">
        <is>
          <t>N35</t>
        </is>
      </c>
      <c r="B38" s="42" t="inlineStr">
        <is>
          <t>غنای هیئت (Richness)</t>
        </is>
      </c>
      <c r="C38" s="42" t="inlineStr">
        <is>
          <t>HIGH</t>
        </is>
      </c>
      <c r="D38" s="42" t="inlineStr">
        <is>
          <t>HIGH</t>
        </is>
      </c>
      <c r="E38" s="42" t="inlineStr">
        <is>
          <t>LOW</t>
        </is>
      </c>
      <c r="F38" s="42" t="inlineStr">
        <is>
          <t>حذف</t>
        </is>
      </c>
    </row>
  </sheetData>
  <mergeCells count="2">
    <mergeCell ref="A2:F2"/>
    <mergeCell ref="A1:F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12.5" customWidth="1" style="76" min="3" max="3"/>
    <col width="15.33203125" customWidth="1" style="76" min="4" max="4"/>
    <col width="13.5" customWidth="1" style="76" min="5" max="5"/>
  </cols>
  <sheetData>
    <row r="1" ht="34" customHeight="1" s="76">
      <c r="A1" s="79" t="inlineStr">
        <is>
          <t>پتانسیل خودکارسازی</t>
        </is>
      </c>
    </row>
    <row r="2" ht="28" customHeight="1" s="76">
      <c r="A2" s="86" t="inlineStr">
        <is>
          <t>Roster/Keyword قابل خودکارسازی؛ بیوگرافی نیازمند کدگذاری انسانی.</t>
        </is>
      </c>
    </row>
    <row r="3" ht="30" customHeight="1" s="76">
      <c r="A3" s="48" t="inlineStr">
        <is>
          <t>ID</t>
        </is>
      </c>
      <c r="B3" s="48" t="inlineStr">
        <is>
          <t>Candidate</t>
        </is>
      </c>
      <c r="C3" s="48" t="inlineStr">
        <is>
          <t>Automation</t>
        </is>
      </c>
      <c r="D3" s="48" t="inlineStr">
        <is>
          <t>Manual Burden</t>
        </is>
      </c>
      <c r="E3" s="48" t="inlineStr">
        <is>
          <t>Objectivity</t>
        </is>
      </c>
    </row>
    <row r="4" ht="20" customHeight="1" s="76">
      <c r="A4" s="42" t="inlineStr">
        <is>
          <t>N01</t>
        </is>
      </c>
      <c r="B4" s="42" t="inlineStr">
        <is>
          <t>اندازه هیئت‌مدیره</t>
        </is>
      </c>
      <c r="C4" s="42" t="inlineStr">
        <is>
          <t>HIGH</t>
        </is>
      </c>
      <c r="D4" s="42" t="inlineStr">
        <is>
          <t>LOW</t>
        </is>
      </c>
      <c r="E4" s="42" t="inlineStr">
        <is>
          <t>HIGH</t>
        </is>
      </c>
    </row>
    <row r="5" ht="20" customHeight="1" s="76">
      <c r="A5" s="50" t="inlineStr">
        <is>
          <t>N02</t>
        </is>
      </c>
      <c r="B5" s="50" t="inlineStr">
        <is>
          <t>سهم اعضای دارای دکترا</t>
        </is>
      </c>
      <c r="C5" s="50" t="inlineStr">
        <is>
          <t>MEDIUM</t>
        </is>
      </c>
      <c r="D5" s="50" t="inlineStr">
        <is>
          <t>MEDIUM</t>
        </is>
      </c>
      <c r="E5" s="50" t="inlineStr">
        <is>
          <t>HIGH</t>
        </is>
      </c>
    </row>
    <row r="6" ht="20" customHeight="1" s="76">
      <c r="A6" s="42" t="inlineStr">
        <is>
          <t>N03</t>
        </is>
      </c>
      <c r="B6" s="42" t="inlineStr">
        <is>
          <t>سهم مدرک کارشناسی ارشد به بالا</t>
        </is>
      </c>
      <c r="C6" s="42" t="inlineStr">
        <is>
          <t>MEDIUM</t>
        </is>
      </c>
      <c r="D6" s="42" t="inlineStr">
        <is>
          <t>MEDIUM</t>
        </is>
      </c>
      <c r="E6" s="42" t="inlineStr">
        <is>
          <t>HIGH</t>
        </is>
      </c>
    </row>
    <row r="7" ht="20" customHeight="1" s="76">
      <c r="A7" s="50" t="inlineStr">
        <is>
          <t>N04</t>
        </is>
      </c>
      <c r="B7" s="50" t="inlineStr">
        <is>
          <t>تمرکز اشخاص حقوقی (HHI)</t>
        </is>
      </c>
      <c r="C7" s="50" t="inlineStr">
        <is>
          <t>HIGH</t>
        </is>
      </c>
      <c r="D7" s="50" t="inlineStr">
        <is>
          <t>LOW</t>
        </is>
      </c>
      <c r="E7" s="50" t="inlineStr">
        <is>
          <t>HIGH</t>
        </is>
      </c>
    </row>
    <row r="8" ht="20" customHeight="1" s="76">
      <c r="A8" s="42" t="inlineStr">
        <is>
          <t>N05</t>
        </is>
      </c>
      <c r="B8" s="42" t="inlineStr">
        <is>
          <t>تعداد اشخاص حقوقی متمایز</t>
        </is>
      </c>
      <c r="C8" s="42" t="inlineStr">
        <is>
          <t>HIGH</t>
        </is>
      </c>
      <c r="D8" s="42" t="inlineStr">
        <is>
          <t>LOW</t>
        </is>
      </c>
      <c r="E8" s="42" t="inlineStr">
        <is>
          <t>HIGH</t>
        </is>
      </c>
    </row>
    <row r="9" ht="29" customHeight="1" s="76">
      <c r="A9" s="50" t="inlineStr">
        <is>
          <t>N06</t>
        </is>
      </c>
      <c r="B9" s="50" t="inlineStr">
        <is>
          <t>پیوند مشترک شخص حقوقی بین شرکت‌ها</t>
        </is>
      </c>
      <c r="C9" s="50" t="inlineStr">
        <is>
          <t>HIGH</t>
        </is>
      </c>
      <c r="D9" s="50" t="inlineStr">
        <is>
          <t>LOW</t>
        </is>
      </c>
      <c r="E9" s="50" t="inlineStr">
        <is>
          <t>HIGH</t>
        </is>
      </c>
    </row>
    <row r="10" ht="29" customHeight="1" s="76">
      <c r="A10" s="42" t="inlineStr">
        <is>
          <t>N07</t>
        </is>
      </c>
      <c r="B10" s="42" t="inlineStr">
        <is>
          <t>Interlock اشخاص حقیقی بین شرکت‌ها</t>
        </is>
      </c>
      <c r="C10" s="42" t="inlineStr">
        <is>
          <t>MEDIUM</t>
        </is>
      </c>
      <c r="D10" s="42" t="inlineStr">
        <is>
          <t>MEDIUM</t>
        </is>
      </c>
      <c r="E10" s="42" t="inlineStr">
        <is>
          <t>MEDIUM</t>
        </is>
      </c>
    </row>
    <row r="11" ht="20" customHeight="1" s="76">
      <c r="A11" s="50" t="inlineStr">
        <is>
          <t>N08</t>
        </is>
      </c>
      <c r="B11" s="50" t="inlineStr">
        <is>
          <t>سهم سابقه دولتی/سیاست‌گذاری</t>
        </is>
      </c>
      <c r="C11" s="50" t="inlineStr">
        <is>
          <t>LOW</t>
        </is>
      </c>
      <c r="D11" s="50" t="inlineStr">
        <is>
          <t>HIGH</t>
        </is>
      </c>
      <c r="E11" s="50" t="inlineStr">
        <is>
          <t>MEDIUM</t>
        </is>
      </c>
    </row>
    <row r="12" ht="20" customHeight="1" s="76">
      <c r="A12" s="42" t="inlineStr">
        <is>
          <t>N09</t>
        </is>
      </c>
      <c r="B12" s="42" t="inlineStr">
        <is>
          <t>سهم سابقه مدیریت اجرایی</t>
        </is>
      </c>
      <c r="C12" s="42" t="inlineStr">
        <is>
          <t>LOW</t>
        </is>
      </c>
      <c r="D12" s="42" t="inlineStr">
        <is>
          <t>HIGH</t>
        </is>
      </c>
      <c r="E12" s="42" t="inlineStr">
        <is>
          <t>MEDIUM</t>
        </is>
      </c>
    </row>
    <row r="13" ht="20" customHeight="1" s="76">
      <c r="A13" s="50" t="inlineStr">
        <is>
          <t>N10</t>
        </is>
      </c>
      <c r="B13" s="50" t="inlineStr">
        <is>
          <t>سهم سابقه مالی/سرمایه‌گذاری</t>
        </is>
      </c>
      <c r="C13" s="50" t="inlineStr">
        <is>
          <t>LOW</t>
        </is>
      </c>
      <c r="D13" s="50" t="inlineStr">
        <is>
          <t>HIGH</t>
        </is>
      </c>
      <c r="E13" s="50" t="inlineStr">
        <is>
          <t>MEDIUM</t>
        </is>
      </c>
    </row>
    <row r="14" ht="20" customHeight="1" s="76">
      <c r="A14" s="42" t="inlineStr">
        <is>
          <t>N11</t>
        </is>
      </c>
      <c r="B14" s="42" t="inlineStr">
        <is>
          <t>سهم تخصص صنعتی/عملیاتی</t>
        </is>
      </c>
      <c r="C14" s="42" t="inlineStr">
        <is>
          <t>LOW</t>
        </is>
      </c>
      <c r="D14" s="42" t="inlineStr">
        <is>
          <t>HIGH</t>
        </is>
      </c>
      <c r="E14" s="42" t="inlineStr">
        <is>
          <t>MEDIUM</t>
        </is>
      </c>
    </row>
    <row r="15" ht="20" customHeight="1" s="76">
      <c r="A15" s="50" t="inlineStr">
        <is>
          <t>N12</t>
        </is>
      </c>
      <c r="B15" s="50" t="inlineStr">
        <is>
          <t>سهم تخصص حقوقی/نظارتی</t>
        </is>
      </c>
      <c r="C15" s="50" t="inlineStr">
        <is>
          <t>LOW</t>
        </is>
      </c>
      <c r="D15" s="50" t="inlineStr">
        <is>
          <t>HIGH</t>
        </is>
      </c>
      <c r="E15" s="50" t="inlineStr">
        <is>
          <t>MEDIUM</t>
        </is>
      </c>
    </row>
    <row r="16" ht="20" customHeight="1" s="76">
      <c r="A16" s="42" t="inlineStr">
        <is>
          <t>N13</t>
        </is>
      </c>
      <c r="B16" s="42" t="inlineStr">
        <is>
          <t>تخصص دانشگاهی</t>
        </is>
      </c>
      <c r="C16" s="42" t="inlineStr">
        <is>
          <t>LOW</t>
        </is>
      </c>
      <c r="D16" s="42" t="inlineStr">
        <is>
          <t>HIGH</t>
        </is>
      </c>
      <c r="E16" s="42" t="inlineStr">
        <is>
          <t>MEDIUM</t>
        </is>
      </c>
    </row>
    <row r="17" ht="20" customHeight="1" s="76">
      <c r="A17" s="50" t="inlineStr">
        <is>
          <t>N14</t>
        </is>
      </c>
      <c r="B17" s="50" t="inlineStr">
        <is>
          <t>استقلال کمیته حسابرسی</t>
        </is>
      </c>
      <c r="C17" s="50" t="inlineStr">
        <is>
          <t>MEDIUM</t>
        </is>
      </c>
      <c r="D17" s="50" t="inlineStr">
        <is>
          <t>MEDIUM</t>
        </is>
      </c>
      <c r="E17" s="50" t="inlineStr">
        <is>
          <t>MEDIUM</t>
        </is>
      </c>
    </row>
    <row r="18" ht="20" customHeight="1" s="76">
      <c r="A18" s="42" t="inlineStr">
        <is>
          <t>N15</t>
        </is>
      </c>
      <c r="B18" s="42" t="inlineStr">
        <is>
          <t>تخصص مالی کمیته حسابرسی</t>
        </is>
      </c>
      <c r="C18" s="42" t="inlineStr">
        <is>
          <t>MEDIUM</t>
        </is>
      </c>
      <c r="D18" s="42" t="inlineStr">
        <is>
          <t>MEDIUM</t>
        </is>
      </c>
      <c r="E18" s="42" t="inlineStr">
        <is>
          <t>MEDIUM</t>
        </is>
      </c>
    </row>
    <row r="19" ht="20" customHeight="1" s="76">
      <c r="A19" s="50" t="inlineStr">
        <is>
          <t>N16</t>
        </is>
      </c>
      <c r="B19" s="50" t="inlineStr">
        <is>
          <t>تعداد جلسات کمیته حسابرسی</t>
        </is>
      </c>
      <c r="C19" s="50" t="inlineStr">
        <is>
          <t>MEDIUM</t>
        </is>
      </c>
      <c r="D19" s="50" t="inlineStr">
        <is>
          <t>MEDIUM</t>
        </is>
      </c>
      <c r="E19" s="50" t="inlineStr">
        <is>
          <t>HIGH</t>
        </is>
      </c>
    </row>
    <row r="20" ht="29" customHeight="1" s="76">
      <c r="A20" s="42" t="inlineStr">
        <is>
          <t>N17</t>
        </is>
      </c>
      <c r="B20" s="42" t="inlineStr">
        <is>
          <t>تعداد جلسات هیئت‌مدیره (نرمال‌شده)</t>
        </is>
      </c>
      <c r="C20" s="42" t="inlineStr">
        <is>
          <t>MEDIUM</t>
        </is>
      </c>
      <c r="D20" s="42" t="inlineStr">
        <is>
          <t>MEDIUM</t>
        </is>
      </c>
      <c r="E20" s="42" t="inlineStr">
        <is>
          <t>HIGH</t>
        </is>
      </c>
    </row>
    <row r="21" ht="20" customHeight="1" s="76">
      <c r="A21" s="50" t="inlineStr">
        <is>
          <t>N18</t>
        </is>
      </c>
      <c r="B21" s="50" t="inlineStr">
        <is>
          <t>وجود کمیته ریسک</t>
        </is>
      </c>
      <c r="C21" s="50" t="inlineStr">
        <is>
          <t>HIGH</t>
        </is>
      </c>
      <c r="D21" s="50" t="inlineStr">
        <is>
          <t>MEDIUM</t>
        </is>
      </c>
      <c r="E21" s="50" t="inlineStr">
        <is>
          <t>HIGH</t>
        </is>
      </c>
    </row>
    <row r="22" ht="20" customHeight="1" s="76">
      <c r="A22" s="42" t="inlineStr">
        <is>
          <t>N19</t>
        </is>
      </c>
      <c r="B22" s="42" t="inlineStr">
        <is>
          <t>وجود کمیته نامزدی</t>
        </is>
      </c>
      <c r="C22" s="42" t="inlineStr">
        <is>
          <t>HIGH</t>
        </is>
      </c>
      <c r="D22" s="42" t="inlineStr">
        <is>
          <t>MEDIUM</t>
        </is>
      </c>
      <c r="E22" s="42" t="inlineStr">
        <is>
          <t>HIGH</t>
        </is>
      </c>
    </row>
    <row r="23" ht="20" customHeight="1" s="76">
      <c r="A23" s="50" t="inlineStr">
        <is>
          <t>N20</t>
        </is>
      </c>
      <c r="B23" s="50" t="inlineStr">
        <is>
          <t>وجود کمیته جبران خدمات</t>
        </is>
      </c>
      <c r="C23" s="50" t="inlineStr">
        <is>
          <t>HIGH</t>
        </is>
      </c>
      <c r="D23" s="50" t="inlineStr">
        <is>
          <t>MEDIUM</t>
        </is>
      </c>
      <c r="E23" s="50" t="inlineStr">
        <is>
          <t>HIGH</t>
        </is>
      </c>
    </row>
    <row r="24" ht="20" customHeight="1" s="76">
      <c r="A24" s="42" t="inlineStr">
        <is>
          <t>N21</t>
        </is>
      </c>
      <c r="B24" s="42" t="inlineStr">
        <is>
          <t>وجود کمیته سرمایه‌گذاری</t>
        </is>
      </c>
      <c r="C24" s="42" t="inlineStr">
        <is>
          <t>HIGH</t>
        </is>
      </c>
      <c r="D24" s="42" t="inlineStr">
        <is>
          <t>MEDIUM</t>
        </is>
      </c>
      <c r="E24" s="42" t="inlineStr">
        <is>
          <t>HIGH</t>
        </is>
      </c>
    </row>
    <row r="25" ht="20" customHeight="1" s="76">
      <c r="A25" s="50" t="inlineStr">
        <is>
          <t>N22</t>
        </is>
      </c>
      <c r="B25" s="50" t="inlineStr">
        <is>
          <t>وجود کمیته حاکمیت شرکتی</t>
        </is>
      </c>
      <c r="C25" s="50" t="inlineStr">
        <is>
          <t>HIGH</t>
        </is>
      </c>
      <c r="D25" s="50" t="inlineStr">
        <is>
          <t>MEDIUM</t>
        </is>
      </c>
      <c r="E25" s="50" t="inlineStr">
        <is>
          <t>HIGH</t>
        </is>
      </c>
    </row>
    <row r="26" ht="20" customHeight="1" s="76">
      <c r="A26" s="42" t="inlineStr">
        <is>
          <t>N23</t>
        </is>
      </c>
      <c r="B26" s="42" t="inlineStr">
        <is>
          <t>سهم اعضای مستقل صریح</t>
        </is>
      </c>
      <c r="C26" s="42" t="inlineStr">
        <is>
          <t>MEDIUM</t>
        </is>
      </c>
      <c r="D26" s="42" t="inlineStr">
        <is>
          <t>MEDIUM</t>
        </is>
      </c>
      <c r="E26" s="42" t="inlineStr">
        <is>
          <t>HIGH</t>
        </is>
      </c>
    </row>
    <row r="27" ht="20" customHeight="1" s="76">
      <c r="A27" s="50" t="inlineStr">
        <is>
          <t>N24</t>
        </is>
      </c>
      <c r="B27" s="50" t="inlineStr">
        <is>
          <t>حضور اعضا در جلسات</t>
        </is>
      </c>
      <c r="C27" s="50" t="inlineStr">
        <is>
          <t>LOW</t>
        </is>
      </c>
      <c r="D27" s="50" t="inlineStr">
        <is>
          <t>HIGH</t>
        </is>
      </c>
      <c r="E27" s="50" t="inlineStr">
        <is>
          <t>HIGH</t>
        </is>
      </c>
    </row>
    <row r="28" ht="29" customHeight="1" s="76">
      <c r="A28" s="42" t="inlineStr">
        <is>
          <t>N25</t>
        </is>
      </c>
      <c r="B28" s="42" t="inlineStr">
        <is>
          <t>عضویت همزمان / Multiple Directorships</t>
        </is>
      </c>
      <c r="C28" s="42" t="inlineStr">
        <is>
          <t>MEDIUM</t>
        </is>
      </c>
      <c r="D28" s="42" t="inlineStr">
        <is>
          <t>MEDIUM</t>
        </is>
      </c>
      <c r="E28" s="42" t="inlineStr">
        <is>
          <t>MEDIUM</t>
        </is>
      </c>
    </row>
    <row r="29" ht="20" customHeight="1" s="76">
      <c r="A29" s="50" t="inlineStr">
        <is>
          <t>N26</t>
        </is>
      </c>
      <c r="B29" s="50" t="inlineStr">
        <is>
          <t>سن / Tenure اعضا</t>
        </is>
      </c>
      <c r="C29" s="50" t="inlineStr">
        <is>
          <t>LOW</t>
        </is>
      </c>
      <c r="D29" s="50" t="inlineStr">
        <is>
          <t>HIGH</t>
        </is>
      </c>
      <c r="E29" s="50" t="inlineStr">
        <is>
          <t>MEDIUM</t>
        </is>
      </c>
    </row>
    <row r="30" ht="20" customHeight="1" s="76">
      <c r="A30" s="42" t="inlineStr">
        <is>
          <t>N27</t>
        </is>
      </c>
      <c r="B30" s="42" t="inlineStr">
        <is>
          <t>تنوع Tenure</t>
        </is>
      </c>
      <c r="C30" s="42" t="inlineStr">
        <is>
          <t>LOW</t>
        </is>
      </c>
      <c r="D30" s="42" t="inlineStr">
        <is>
          <t>HIGH</t>
        </is>
      </c>
      <c r="E30" s="42" t="inlineStr">
        <is>
          <t>MEDIUM</t>
        </is>
      </c>
    </row>
    <row r="31" ht="20" customHeight="1" s="76">
      <c r="A31" s="50" t="inlineStr">
        <is>
          <t>N28</t>
        </is>
      </c>
      <c r="B31" s="50" t="inlineStr">
        <is>
          <t>مدت تصدی رئیس هیئت</t>
        </is>
      </c>
      <c r="C31" s="50" t="inlineStr">
        <is>
          <t>MEDIUM</t>
        </is>
      </c>
      <c r="D31" s="50" t="inlineStr">
        <is>
          <t>MEDIUM</t>
        </is>
      </c>
      <c r="E31" s="50" t="inlineStr">
        <is>
          <t>HIGH</t>
        </is>
      </c>
    </row>
    <row r="32" ht="20" customHeight="1" s="76">
      <c r="A32" s="42" t="inlineStr">
        <is>
          <t>N29</t>
        </is>
      </c>
      <c r="B32" s="42" t="inlineStr">
        <is>
          <t>مدت تصدی مدیرعامل</t>
        </is>
      </c>
      <c r="C32" s="42" t="inlineStr">
        <is>
          <t>MEDIUM</t>
        </is>
      </c>
      <c r="D32" s="42" t="inlineStr">
        <is>
          <t>MEDIUM</t>
        </is>
      </c>
      <c r="E32" s="42" t="inlineStr">
        <is>
          <t>HIGH</t>
        </is>
      </c>
    </row>
    <row r="33" ht="20" customHeight="1" s="76">
      <c r="A33" s="50" t="inlineStr">
        <is>
          <t>N30</t>
        </is>
      </c>
      <c r="B33" s="50" t="inlineStr">
        <is>
          <t>نرخ کرسی خالی</t>
        </is>
      </c>
      <c r="C33" s="50" t="inlineStr">
        <is>
          <t>LOW</t>
        </is>
      </c>
      <c r="D33" s="50" t="inlineStr">
        <is>
          <t>HIGH</t>
        </is>
      </c>
      <c r="E33" s="50" t="inlineStr">
        <is>
          <t>MEDIUM</t>
        </is>
      </c>
    </row>
    <row r="34" ht="20" customHeight="1" s="76">
      <c r="A34" s="42" t="inlineStr">
        <is>
          <t>N31</t>
        </is>
      </c>
      <c r="B34" s="42" t="inlineStr">
        <is>
          <t>تمرکز نقش (Chair=CEO)</t>
        </is>
      </c>
      <c r="C34" s="42" t="inlineStr">
        <is>
          <t>HIGH</t>
        </is>
      </c>
      <c r="D34" s="42" t="inlineStr">
        <is>
          <t>LOW</t>
        </is>
      </c>
      <c r="E34" s="42" t="inlineStr">
        <is>
          <t>HIGH</t>
        </is>
      </c>
    </row>
    <row r="35" ht="20" customHeight="1" s="76">
      <c r="A35" s="50" t="inlineStr">
        <is>
          <t>N32</t>
        </is>
      </c>
      <c r="B35" s="50" t="inlineStr">
        <is>
          <t>هم‌پوشانی کمیته‌ها</t>
        </is>
      </c>
      <c r="C35" s="50" t="inlineStr">
        <is>
          <t>LOW</t>
        </is>
      </c>
      <c r="D35" s="50" t="inlineStr">
        <is>
          <t>HIGH</t>
        </is>
      </c>
      <c r="E35" s="50" t="inlineStr">
        <is>
          <t>MEDIUM</t>
        </is>
      </c>
    </row>
    <row r="36" ht="20" customHeight="1" s="76">
      <c r="A36" s="42" t="inlineStr">
        <is>
          <t>N33</t>
        </is>
      </c>
      <c r="B36" s="42" t="inlineStr">
        <is>
          <t>سهم اعضای موظف</t>
        </is>
      </c>
      <c r="C36" s="42" t="inlineStr">
        <is>
          <t>HIGH</t>
        </is>
      </c>
      <c r="D36" s="42" t="inlineStr">
        <is>
          <t>LOW</t>
        </is>
      </c>
      <c r="E36" s="42" t="inlineStr">
        <is>
          <t>HIGH</t>
        </is>
      </c>
    </row>
    <row r="37" ht="20" customHeight="1" s="76">
      <c r="A37" s="50" t="inlineStr">
        <is>
          <t>N34</t>
        </is>
      </c>
      <c r="B37" s="50" t="inlineStr">
        <is>
          <t>Blau نرمال‌شده تحصیلی</t>
        </is>
      </c>
      <c r="C37" s="50" t="inlineStr">
        <is>
          <t>HIGH</t>
        </is>
      </c>
      <c r="D37" s="50" t="inlineStr">
        <is>
          <t>LOW</t>
        </is>
      </c>
      <c r="E37" s="50" t="inlineStr">
        <is>
          <t>HIGH</t>
        </is>
      </c>
    </row>
    <row r="38" ht="20" customHeight="1" s="76">
      <c r="A38" s="42" t="inlineStr">
        <is>
          <t>N35</t>
        </is>
      </c>
      <c r="B38" s="42" t="inlineStr">
        <is>
          <t>غنای هیئت (Richness)</t>
        </is>
      </c>
      <c r="C38" s="42" t="inlineStr">
        <is>
          <t>HIGH</t>
        </is>
      </c>
      <c r="D38" s="42" t="inlineStr">
        <is>
          <t>LOW</t>
        </is>
      </c>
      <c r="E38" s="42" t="inlineStr">
        <is>
          <t>HIGH</t>
        </is>
      </c>
    </row>
  </sheetData>
  <mergeCells count="2">
    <mergeCell ref="A2:E2"/>
    <mergeCell ref="A1:E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0" customWidth="1" style="76" min="1" max="1"/>
    <col width="38.1640625" customWidth="1" style="76" min="2" max="2"/>
    <col width="20.1640625" customWidth="1" style="76" min="3" max="3"/>
  </cols>
  <sheetData>
    <row r="1" ht="34" customHeight="1" s="76">
      <c r="A1" s="79" t="inlineStr">
        <is>
          <t>Directionality Candidateها</t>
        </is>
      </c>
    </row>
    <row r="2" ht="28" customHeight="1" s="76">
      <c r="A2" s="86" t="inlineStr">
        <is>
          <t>هیچ Candidate پیش‌فرض «بیشتر بهتر» نشد.</t>
        </is>
      </c>
    </row>
    <row r="3" ht="30" customHeight="1" s="76">
      <c r="A3" s="48" t="inlineStr">
        <is>
          <t>ID</t>
        </is>
      </c>
      <c r="B3" s="48" t="inlineStr">
        <is>
          <t>Candidate</t>
        </is>
      </c>
      <c r="C3" s="48" t="inlineStr">
        <is>
          <t>Directionality</t>
        </is>
      </c>
    </row>
    <row r="4" ht="20" customHeight="1" s="76">
      <c r="A4" s="42" t="inlineStr">
        <is>
          <t>N01</t>
        </is>
      </c>
      <c r="B4" s="42" t="inlineStr">
        <is>
          <t>اندازه هیئت‌مدیره</t>
        </is>
      </c>
      <c r="C4" s="42" t="inlineStr">
        <is>
          <t>CONTEXT_DEPENDENT</t>
        </is>
      </c>
    </row>
    <row r="5" ht="20" customHeight="1" s="76">
      <c r="A5" s="50" t="inlineStr">
        <is>
          <t>N02</t>
        </is>
      </c>
      <c r="B5" s="50" t="inlineStr">
        <is>
          <t>سهم اعضای دارای دکترا</t>
        </is>
      </c>
      <c r="C5" s="50" t="inlineStr">
        <is>
          <t>CONTEXT_DEPENDENT</t>
        </is>
      </c>
    </row>
    <row r="6" ht="20" customHeight="1" s="76">
      <c r="A6" s="42" t="inlineStr">
        <is>
          <t>N03</t>
        </is>
      </c>
      <c r="B6" s="42" t="inlineStr">
        <is>
          <t>سهم مدرک کارشناسی ارشد به بالا</t>
        </is>
      </c>
      <c r="C6" s="42" t="inlineStr">
        <is>
          <t>POSITIVE_DIRECTION</t>
        </is>
      </c>
    </row>
    <row r="7" ht="20" customHeight="1" s="76">
      <c r="A7" s="50" t="inlineStr">
        <is>
          <t>N04</t>
        </is>
      </c>
      <c r="B7" s="50" t="inlineStr">
        <is>
          <t>تمرکز اشخاص حقوقی (HHI)</t>
        </is>
      </c>
      <c r="C7" s="50" t="inlineStr">
        <is>
          <t>NO_CLEAR_DIRECTION</t>
        </is>
      </c>
    </row>
    <row r="8" ht="20" customHeight="1" s="76">
      <c r="A8" s="42" t="inlineStr">
        <is>
          <t>N05</t>
        </is>
      </c>
      <c r="B8" s="42" t="inlineStr">
        <is>
          <t>تعداد اشخاص حقوقی متمایز</t>
        </is>
      </c>
      <c r="C8" s="42" t="inlineStr">
        <is>
          <t>NO_CLEAR_DIRECTION</t>
        </is>
      </c>
    </row>
    <row r="9" ht="29" customHeight="1" s="76">
      <c r="A9" s="50" t="inlineStr">
        <is>
          <t>N06</t>
        </is>
      </c>
      <c r="B9" s="50" t="inlineStr">
        <is>
          <t>پیوند مشترک شخص حقوقی بین شرکت‌ها</t>
        </is>
      </c>
      <c r="C9" s="50" t="inlineStr">
        <is>
          <t>CONTEXT_DEPENDENT</t>
        </is>
      </c>
    </row>
    <row r="10" ht="29" customHeight="1" s="76">
      <c r="A10" s="42" t="inlineStr">
        <is>
          <t>N07</t>
        </is>
      </c>
      <c r="B10" s="42" t="inlineStr">
        <is>
          <t>Interlock اشخاص حقیقی بین شرکت‌ها</t>
        </is>
      </c>
      <c r="C10" s="42" t="inlineStr">
        <is>
          <t>CONTEXT_DEPENDENT</t>
        </is>
      </c>
    </row>
    <row r="11" ht="20" customHeight="1" s="76">
      <c r="A11" s="50" t="inlineStr">
        <is>
          <t>N08</t>
        </is>
      </c>
      <c r="B11" s="50" t="inlineStr">
        <is>
          <t>سهم سابقه دولتی/سیاست‌گذاری</t>
        </is>
      </c>
      <c r="C11" s="50" t="inlineStr">
        <is>
          <t>CONTEXT_DEPENDENT</t>
        </is>
      </c>
    </row>
    <row r="12" ht="20" customHeight="1" s="76">
      <c r="A12" s="42" t="inlineStr">
        <is>
          <t>N09</t>
        </is>
      </c>
      <c r="B12" s="42" t="inlineStr">
        <is>
          <t>سهم سابقه مدیریت اجرایی</t>
        </is>
      </c>
      <c r="C12" s="42" t="inlineStr">
        <is>
          <t>CONTEXT_DEPENDENT</t>
        </is>
      </c>
    </row>
    <row r="13" ht="20" customHeight="1" s="76">
      <c r="A13" s="50" t="inlineStr">
        <is>
          <t>N10</t>
        </is>
      </c>
      <c r="B13" s="50" t="inlineStr">
        <is>
          <t>سهم سابقه مالی/سرمایه‌گذاری</t>
        </is>
      </c>
      <c r="C13" s="50" t="inlineStr">
        <is>
          <t>POSITIVE_DIRECTION</t>
        </is>
      </c>
    </row>
    <row r="14" ht="20" customHeight="1" s="76">
      <c r="A14" s="42" t="inlineStr">
        <is>
          <t>N11</t>
        </is>
      </c>
      <c r="B14" s="42" t="inlineStr">
        <is>
          <t>سهم تخصص صنعتی/عملیاتی</t>
        </is>
      </c>
      <c r="C14" s="42" t="inlineStr">
        <is>
          <t>POSITIVE_DIRECTION</t>
        </is>
      </c>
    </row>
    <row r="15" ht="20" customHeight="1" s="76">
      <c r="A15" s="50" t="inlineStr">
        <is>
          <t>N12</t>
        </is>
      </c>
      <c r="B15" s="50" t="inlineStr">
        <is>
          <t>سهم تخصص حقوقی/نظارتی</t>
        </is>
      </c>
      <c r="C15" s="50" t="inlineStr">
        <is>
          <t>POSITIVE_DIRECTION</t>
        </is>
      </c>
    </row>
    <row r="16" ht="20" customHeight="1" s="76">
      <c r="A16" s="42" t="inlineStr">
        <is>
          <t>N13</t>
        </is>
      </c>
      <c r="B16" s="42" t="inlineStr">
        <is>
          <t>تخصص دانشگاهی</t>
        </is>
      </c>
      <c r="C16" s="42" t="inlineStr">
        <is>
          <t>POSITIVE_DIRECTION</t>
        </is>
      </c>
    </row>
    <row r="17" ht="20" customHeight="1" s="76">
      <c r="A17" s="50" t="inlineStr">
        <is>
          <t>N14</t>
        </is>
      </c>
      <c r="B17" s="50" t="inlineStr">
        <is>
          <t>استقلال کمیته حسابرسی</t>
        </is>
      </c>
      <c r="C17" s="50" t="inlineStr">
        <is>
          <t>POSITIVE_DIRECTION</t>
        </is>
      </c>
    </row>
    <row r="18" ht="20" customHeight="1" s="76">
      <c r="A18" s="42" t="inlineStr">
        <is>
          <t>N15</t>
        </is>
      </c>
      <c r="B18" s="42" t="inlineStr">
        <is>
          <t>تخصص مالی کمیته حسابرسی</t>
        </is>
      </c>
      <c r="C18" s="42" t="inlineStr">
        <is>
          <t>POSITIVE_DIRECTION</t>
        </is>
      </c>
    </row>
    <row r="19" ht="20" customHeight="1" s="76">
      <c r="A19" s="50" t="inlineStr">
        <is>
          <t>N16</t>
        </is>
      </c>
      <c r="B19" s="50" t="inlineStr">
        <is>
          <t>تعداد جلسات کمیته حسابرسی</t>
        </is>
      </c>
      <c r="C19" s="50" t="inlineStr">
        <is>
          <t>NONLINEAR_POSSIBLE</t>
        </is>
      </c>
    </row>
    <row r="20" ht="29" customHeight="1" s="76">
      <c r="A20" s="42" t="inlineStr">
        <is>
          <t>N17</t>
        </is>
      </c>
      <c r="B20" s="42" t="inlineStr">
        <is>
          <t>تعداد جلسات هیئت‌مدیره (نرمال‌شده)</t>
        </is>
      </c>
      <c r="C20" s="42" t="inlineStr">
        <is>
          <t>NONLINEAR_POSSIBLE</t>
        </is>
      </c>
    </row>
    <row r="21" ht="20" customHeight="1" s="76">
      <c r="A21" s="50" t="inlineStr">
        <is>
          <t>N18</t>
        </is>
      </c>
      <c r="B21" s="50" t="inlineStr">
        <is>
          <t>وجود کمیته ریسک</t>
        </is>
      </c>
      <c r="C21" s="50" t="inlineStr">
        <is>
          <t>POSITIVE_DIRECTION</t>
        </is>
      </c>
    </row>
    <row r="22" ht="20" customHeight="1" s="76">
      <c r="A22" s="42" t="inlineStr">
        <is>
          <t>N19</t>
        </is>
      </c>
      <c r="B22" s="42" t="inlineStr">
        <is>
          <t>وجود کمیته نامزدی</t>
        </is>
      </c>
      <c r="C22" s="42" t="inlineStr">
        <is>
          <t>POSITIVE_DIRECTION</t>
        </is>
      </c>
    </row>
    <row r="23" ht="20" customHeight="1" s="76">
      <c r="A23" s="50" t="inlineStr">
        <is>
          <t>N20</t>
        </is>
      </c>
      <c r="B23" s="50" t="inlineStr">
        <is>
          <t>وجود کمیته جبران خدمات</t>
        </is>
      </c>
      <c r="C23" s="50" t="inlineStr">
        <is>
          <t>POSITIVE_DIRECTION</t>
        </is>
      </c>
    </row>
    <row r="24" ht="20" customHeight="1" s="76">
      <c r="A24" s="42" t="inlineStr">
        <is>
          <t>N21</t>
        </is>
      </c>
      <c r="B24" s="42" t="inlineStr">
        <is>
          <t>وجود کمیته سرمایه‌گذاری</t>
        </is>
      </c>
      <c r="C24" s="42" t="inlineStr">
        <is>
          <t>NO_CLEAR_DIRECTION</t>
        </is>
      </c>
    </row>
    <row r="25" ht="20" customHeight="1" s="76">
      <c r="A25" s="50" t="inlineStr">
        <is>
          <t>N22</t>
        </is>
      </c>
      <c r="B25" s="50" t="inlineStr">
        <is>
          <t>وجود کمیته حاکمیت شرکتی</t>
        </is>
      </c>
      <c r="C25" s="50" t="inlineStr">
        <is>
          <t>POSITIVE_DIRECTION</t>
        </is>
      </c>
    </row>
    <row r="26" ht="20" customHeight="1" s="76">
      <c r="A26" s="42" t="inlineStr">
        <is>
          <t>N23</t>
        </is>
      </c>
      <c r="B26" s="42" t="inlineStr">
        <is>
          <t>سهم اعضای مستقل صریح</t>
        </is>
      </c>
      <c r="C26" s="42" t="inlineStr">
        <is>
          <t>CONTEXT_DEPENDENT</t>
        </is>
      </c>
    </row>
    <row r="27" ht="20" customHeight="1" s="76">
      <c r="A27" s="50" t="inlineStr">
        <is>
          <t>N24</t>
        </is>
      </c>
      <c r="B27" s="50" t="inlineStr">
        <is>
          <t>حضور اعضا در جلسات</t>
        </is>
      </c>
      <c r="C27" s="50" t="inlineStr">
        <is>
          <t>POSITIVE_DIRECTION</t>
        </is>
      </c>
    </row>
    <row r="28" ht="29" customHeight="1" s="76">
      <c r="A28" s="42" t="inlineStr">
        <is>
          <t>N25</t>
        </is>
      </c>
      <c r="B28" s="42" t="inlineStr">
        <is>
          <t>عضویت همزمان / Multiple Directorships</t>
        </is>
      </c>
      <c r="C28" s="42" t="inlineStr">
        <is>
          <t>NONLINEAR_POSSIBLE</t>
        </is>
      </c>
    </row>
    <row r="29" ht="20" customHeight="1" s="76">
      <c r="A29" s="50" t="inlineStr">
        <is>
          <t>N26</t>
        </is>
      </c>
      <c r="B29" s="50" t="inlineStr">
        <is>
          <t>سن / Tenure اعضا</t>
        </is>
      </c>
      <c r="C29" s="50" t="inlineStr">
        <is>
          <t>NONLINEAR_POSSIBLE</t>
        </is>
      </c>
    </row>
    <row r="30" ht="20" customHeight="1" s="76">
      <c r="A30" s="42" t="inlineStr">
        <is>
          <t>N27</t>
        </is>
      </c>
      <c r="B30" s="42" t="inlineStr">
        <is>
          <t>تنوع Tenure</t>
        </is>
      </c>
      <c r="C30" s="42" t="inlineStr">
        <is>
          <t>NONLINEAR_POSSIBLE</t>
        </is>
      </c>
    </row>
    <row r="31" ht="20" customHeight="1" s="76">
      <c r="A31" s="50" t="inlineStr">
        <is>
          <t>N28</t>
        </is>
      </c>
      <c r="B31" s="50" t="inlineStr">
        <is>
          <t>مدت تصدی رئیس هیئت</t>
        </is>
      </c>
      <c r="C31" s="50" t="inlineStr">
        <is>
          <t>NONLINEAR_POSSIBLE</t>
        </is>
      </c>
    </row>
    <row r="32" ht="20" customHeight="1" s="76">
      <c r="A32" s="42" t="inlineStr">
        <is>
          <t>N29</t>
        </is>
      </c>
      <c r="B32" s="42" t="inlineStr">
        <is>
          <t>مدت تصدی مدیرعامل</t>
        </is>
      </c>
      <c r="C32" s="42" t="inlineStr">
        <is>
          <t>NONLINEAR_POSSIBLE</t>
        </is>
      </c>
    </row>
    <row r="33" ht="20" customHeight="1" s="76">
      <c r="A33" s="50" t="inlineStr">
        <is>
          <t>N30</t>
        </is>
      </c>
      <c r="B33" s="50" t="inlineStr">
        <is>
          <t>نرخ کرسی خالی</t>
        </is>
      </c>
      <c r="C33" s="50" t="inlineStr">
        <is>
          <t>NO_CLEAR_DIRECTION</t>
        </is>
      </c>
    </row>
    <row r="34" ht="20" customHeight="1" s="76">
      <c r="A34" s="42" t="inlineStr">
        <is>
          <t>N31</t>
        </is>
      </c>
      <c r="B34" s="42" t="inlineStr">
        <is>
          <t>تمرکز نقش (Chair=CEO)</t>
        </is>
      </c>
      <c r="C34" s="42" t="inlineStr">
        <is>
          <t>POSITIVE_DIRECTION</t>
        </is>
      </c>
    </row>
    <row r="35" ht="20" customHeight="1" s="76">
      <c r="A35" s="50" t="inlineStr">
        <is>
          <t>N32</t>
        </is>
      </c>
      <c r="B35" s="50" t="inlineStr">
        <is>
          <t>هم‌پوشانی کمیته‌ها</t>
        </is>
      </c>
      <c r="C35" s="50" t="inlineStr">
        <is>
          <t>NO_CLEAR_DIRECTION</t>
        </is>
      </c>
    </row>
    <row r="36" ht="20" customHeight="1" s="76">
      <c r="A36" s="42" t="inlineStr">
        <is>
          <t>N33</t>
        </is>
      </c>
      <c r="B36" s="42" t="inlineStr">
        <is>
          <t>سهم اعضای موظف</t>
        </is>
      </c>
      <c r="C36" s="42" t="inlineStr">
        <is>
          <t>CONTEXT_DEPENDENT</t>
        </is>
      </c>
    </row>
    <row r="37" ht="20" customHeight="1" s="76">
      <c r="A37" s="50" t="inlineStr">
        <is>
          <t>N34</t>
        </is>
      </c>
      <c r="B37" s="50" t="inlineStr">
        <is>
          <t>Blau نرمال‌شده تحصیلی</t>
        </is>
      </c>
      <c r="C37" s="50" t="inlineStr">
        <is>
          <t>POSITIVE_DIRECTION</t>
        </is>
      </c>
    </row>
    <row r="38" ht="20" customHeight="1" s="76">
      <c r="A38" s="42" t="inlineStr">
        <is>
          <t>N35</t>
        </is>
      </c>
      <c r="B38" s="42" t="inlineStr">
        <is>
          <t>غنای هیئت (Richness)</t>
        </is>
      </c>
      <c r="C38" s="42" t="inlineStr">
        <is>
          <t>POSITIVE_DIRECTION</t>
        </is>
      </c>
    </row>
  </sheetData>
  <mergeCells count="2">
    <mergeCell ref="A1:C1"/>
    <mergeCell ref="A2:C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39.1640625" customWidth="1" style="76" min="3" max="3"/>
    <col width="24.83203125" customWidth="1" style="76" min="4" max="4"/>
  </cols>
  <sheetData>
    <row r="1" ht="34" customHeight="1" s="76">
      <c r="A1" s="79" t="inlineStr">
        <is>
          <t>Overlap Matrix</t>
        </is>
      </c>
    </row>
    <row r="2" ht="28" customHeight="1" s="76">
      <c r="A2" s="86" t="inlineStr">
        <is>
          <t>هر Candidate با Measure موجود/جدید سنجیده شد.</t>
        </is>
      </c>
    </row>
    <row r="3" ht="30" customHeight="1" s="76">
      <c r="A3" s="48" t="inlineStr">
        <is>
          <t>ID</t>
        </is>
      </c>
      <c r="B3" s="48" t="inlineStr">
        <is>
          <t>Candidate</t>
        </is>
      </c>
      <c r="C3" s="48" t="inlineStr">
        <is>
          <t>Overlap</t>
        </is>
      </c>
      <c r="D3" s="48" t="inlineStr">
        <is>
          <t>Incremental Information</t>
        </is>
      </c>
    </row>
    <row r="4" ht="20" customHeight="1" s="76">
      <c r="A4" s="42" t="inlineStr">
        <is>
          <t>N01</t>
        </is>
      </c>
      <c r="B4" s="42" t="inlineStr">
        <is>
          <t>اندازه هیئت‌مدیره</t>
        </is>
      </c>
      <c r="C4" s="42" t="inlineStr">
        <is>
          <t>HIGHLY_REDUNDANT با Richness</t>
        </is>
      </c>
      <c r="D4" s="42" t="inlineStr">
        <is>
          <t>NONE</t>
        </is>
      </c>
    </row>
    <row r="5" ht="20" customHeight="1" s="76">
      <c r="A5" s="50" t="inlineStr">
        <is>
          <t>N02</t>
        </is>
      </c>
      <c r="B5" s="50" t="inlineStr">
        <is>
          <t>سهم اعضای دارای دکترا</t>
        </is>
      </c>
      <c r="C5" s="50" t="inlineStr">
        <is>
          <t>PARTIALLY_OVERLAPPING با V1/VAR10</t>
        </is>
      </c>
      <c r="D5" s="50" t="inlineStr">
        <is>
          <t>MEDIUM</t>
        </is>
      </c>
    </row>
    <row r="6" ht="20" customHeight="1" s="76">
      <c r="A6" s="42" t="inlineStr">
        <is>
          <t>N03</t>
        </is>
      </c>
      <c r="B6" s="42" t="inlineStr">
        <is>
          <t>سهم مدرک کارشناسی ارشد به بالا</t>
        </is>
      </c>
      <c r="C6" s="42" t="inlineStr">
        <is>
          <t>MATHEMATICAL_COMPLEMENT/OVERLAP با N02</t>
        </is>
      </c>
      <c r="D6" s="42" t="inlineStr">
        <is>
          <t>LOW</t>
        </is>
      </c>
    </row>
    <row r="7" ht="20" customHeight="1" s="76">
      <c r="A7" s="50" t="inlineStr">
        <is>
          <t>N04</t>
        </is>
      </c>
      <c r="B7" s="50" t="inlineStr">
        <is>
          <t>تمرکز اشخاص حقوقی (HHI)</t>
        </is>
      </c>
      <c r="C7" s="50" t="inlineStr">
        <is>
          <t>DO_NOT_COMBINE با IRN01</t>
        </is>
      </c>
      <c r="D7" s="50" t="inlineStr">
        <is>
          <t>NONE</t>
        </is>
      </c>
    </row>
    <row r="8" ht="20" customHeight="1" s="76">
      <c r="A8" s="42" t="inlineStr">
        <is>
          <t>N05</t>
        </is>
      </c>
      <c r="B8" s="42" t="inlineStr">
        <is>
          <t>تعداد اشخاص حقوقی متمایز</t>
        </is>
      </c>
      <c r="C8" s="42" t="inlineStr">
        <is>
          <t>HIGHLY_REDUNDANT با N04</t>
        </is>
      </c>
      <c r="D8" s="42" t="inlineStr">
        <is>
          <t>NONE</t>
        </is>
      </c>
    </row>
    <row r="9" ht="29" customHeight="1" s="76">
      <c r="A9" s="50" t="inlineStr">
        <is>
          <t>N06</t>
        </is>
      </c>
      <c r="B9" s="50" t="inlineStr">
        <is>
          <t>پیوند مشترک شخص حقوقی بین شرکت‌ها</t>
        </is>
      </c>
      <c r="C9" s="50" t="inlineStr">
        <is>
          <t>PARTIALLY_OVERLAPPING با IRN01</t>
        </is>
      </c>
      <c r="D9" s="50" t="inlineStr">
        <is>
          <t>MEDIUM</t>
        </is>
      </c>
    </row>
    <row r="10" ht="29" customHeight="1" s="76">
      <c r="A10" s="42" t="inlineStr">
        <is>
          <t>N07</t>
        </is>
      </c>
      <c r="B10" s="42" t="inlineStr">
        <is>
          <t>Interlock اشخاص حقیقی بین شرکت‌ها</t>
        </is>
      </c>
      <c r="C10" s="42" t="inlineStr">
        <is>
          <t>INDEPENDENT</t>
        </is>
      </c>
      <c r="D10" s="42" t="inlineStr">
        <is>
          <t>MEDIUM</t>
        </is>
      </c>
    </row>
    <row r="11" ht="20" customHeight="1" s="76">
      <c r="A11" s="50" t="inlineStr">
        <is>
          <t>N08</t>
        </is>
      </c>
      <c r="B11" s="50" t="inlineStr">
        <is>
          <t>سهم سابقه دولتی/سیاست‌گذاری</t>
        </is>
      </c>
      <c r="C11" s="50" t="inlineStr">
        <is>
          <t>DO_NOT_COMBINE با VAR06</t>
        </is>
      </c>
      <c r="D11" s="50" t="inlineStr">
        <is>
          <t>LOW</t>
        </is>
      </c>
    </row>
    <row r="12" ht="20" customHeight="1" s="76">
      <c r="A12" s="42" t="inlineStr">
        <is>
          <t>N09</t>
        </is>
      </c>
      <c r="B12" s="42" t="inlineStr">
        <is>
          <t>سهم سابقه مدیریت اجرایی</t>
        </is>
      </c>
      <c r="C12" s="42" t="inlineStr">
        <is>
          <t>DO_NOT_COMBINE با VAR06</t>
        </is>
      </c>
      <c r="D12" s="42" t="inlineStr">
        <is>
          <t>LOW</t>
        </is>
      </c>
    </row>
    <row r="13" ht="20" customHeight="1" s="76">
      <c r="A13" s="50" t="inlineStr">
        <is>
          <t>N10</t>
        </is>
      </c>
      <c r="B13" s="50" t="inlineStr">
        <is>
          <t>سهم سابقه مالی/سرمایه‌گذاری</t>
        </is>
      </c>
      <c r="C13" s="50" t="inlineStr">
        <is>
          <t>PARTIALLY_OVERLAPPING با VAR10</t>
        </is>
      </c>
      <c r="D13" s="50" t="inlineStr">
        <is>
          <t>LOW</t>
        </is>
      </c>
    </row>
    <row r="14" ht="20" customHeight="1" s="76">
      <c r="A14" s="42" t="inlineStr">
        <is>
          <t>N11</t>
        </is>
      </c>
      <c r="B14" s="42" t="inlineStr">
        <is>
          <t>سهم تخصص صنعتی/عملیاتی</t>
        </is>
      </c>
      <c r="C14" s="42" t="inlineStr">
        <is>
          <t>PARTIALLY_OVERLAPPING</t>
        </is>
      </c>
      <c r="D14" s="42" t="inlineStr">
        <is>
          <t>LOW</t>
        </is>
      </c>
    </row>
    <row r="15" ht="20" customHeight="1" s="76">
      <c r="A15" s="50" t="inlineStr">
        <is>
          <t>N12</t>
        </is>
      </c>
      <c r="B15" s="50" t="inlineStr">
        <is>
          <t>سهم تخصص حقوقی/نظارتی</t>
        </is>
      </c>
      <c r="C15" s="50" t="inlineStr">
        <is>
          <t>INDEPENDENT</t>
        </is>
      </c>
      <c r="D15" s="50" t="inlineStr">
        <is>
          <t>LOW</t>
        </is>
      </c>
    </row>
    <row r="16" ht="20" customHeight="1" s="76">
      <c r="A16" s="42" t="inlineStr">
        <is>
          <t>N13</t>
        </is>
      </c>
      <c r="B16" s="42" t="inlineStr">
        <is>
          <t>تخصص دانشگاهی</t>
        </is>
      </c>
      <c r="C16" s="42" t="inlineStr">
        <is>
          <t>N/A</t>
        </is>
      </c>
      <c r="D16" s="42" t="inlineStr">
        <is>
          <t>N/A</t>
        </is>
      </c>
    </row>
    <row r="17" ht="20" customHeight="1" s="76">
      <c r="A17" s="50" t="inlineStr">
        <is>
          <t>N14</t>
        </is>
      </c>
      <c r="B17" s="50" t="inlineStr">
        <is>
          <t>استقلال کمیته حسابرسی</t>
        </is>
      </c>
      <c r="C17" s="50" t="inlineStr">
        <is>
          <t>INDEPENDENT</t>
        </is>
      </c>
      <c r="D17" s="50" t="inlineStr">
        <is>
          <t>HIGH</t>
        </is>
      </c>
    </row>
    <row r="18" ht="20" customHeight="1" s="76">
      <c r="A18" s="42" t="inlineStr">
        <is>
          <t>N15</t>
        </is>
      </c>
      <c r="B18" s="42" t="inlineStr">
        <is>
          <t>تخصص مالی کمیته حسابرسی</t>
        </is>
      </c>
      <c r="C18" s="42" t="inlineStr">
        <is>
          <t>OVERLAPPING با VAR10</t>
        </is>
      </c>
      <c r="D18" s="42" t="inlineStr">
        <is>
          <t>MEDIUM</t>
        </is>
      </c>
    </row>
    <row r="19" ht="20" customHeight="1" s="76">
      <c r="A19" s="50" t="inlineStr">
        <is>
          <t>N16</t>
        </is>
      </c>
      <c r="B19" s="50" t="inlineStr">
        <is>
          <t>تعداد جلسات کمیته حسابرسی</t>
        </is>
      </c>
      <c r="C19" s="50" t="inlineStr">
        <is>
          <t>INDEPENDENT</t>
        </is>
      </c>
      <c r="D19" s="50" t="inlineStr">
        <is>
          <t>HIGH</t>
        </is>
      </c>
    </row>
    <row r="20" ht="29" customHeight="1" s="76">
      <c r="A20" s="42" t="inlineStr">
        <is>
          <t>N17</t>
        </is>
      </c>
      <c r="B20" s="42" t="inlineStr">
        <is>
          <t>تعداد جلسات هیئت‌مدیره (نرمال‌شده)</t>
        </is>
      </c>
      <c r="C20" s="42" t="inlineStr">
        <is>
          <t>INDEPENDENT</t>
        </is>
      </c>
      <c r="D20" s="42" t="inlineStr">
        <is>
          <t>HIGH</t>
        </is>
      </c>
    </row>
    <row r="21" ht="20" customHeight="1" s="76">
      <c r="A21" s="50" t="inlineStr">
        <is>
          <t>N18</t>
        </is>
      </c>
      <c r="B21" s="50" t="inlineStr">
        <is>
          <t>وجود کمیته ریسک</t>
        </is>
      </c>
      <c r="C21" s="50" t="inlineStr">
        <is>
          <t>PARTIALLY_OVERLAPPING با AUD01</t>
        </is>
      </c>
      <c r="D21" s="50" t="inlineStr">
        <is>
          <t>MEDIUM</t>
        </is>
      </c>
    </row>
    <row r="22" ht="20" customHeight="1" s="76">
      <c r="A22" s="42" t="inlineStr">
        <is>
          <t>N19</t>
        </is>
      </c>
      <c r="B22" s="42" t="inlineStr">
        <is>
          <t>وجود کمیته نامزدی</t>
        </is>
      </c>
      <c r="C22" s="42" t="inlineStr">
        <is>
          <t>PARTIALLY_OVERLAPPING</t>
        </is>
      </c>
      <c r="D22" s="42" t="inlineStr">
        <is>
          <t>LOW</t>
        </is>
      </c>
    </row>
    <row r="23" ht="20" customHeight="1" s="76">
      <c r="A23" s="50" t="inlineStr">
        <is>
          <t>N20</t>
        </is>
      </c>
      <c r="B23" s="50" t="inlineStr">
        <is>
          <t>وجود کمیته جبران خدمات</t>
        </is>
      </c>
      <c r="C23" s="50" t="inlineStr">
        <is>
          <t>INDEPENDENT</t>
        </is>
      </c>
      <c r="D23" s="50" t="inlineStr">
        <is>
          <t>MEDIUM</t>
        </is>
      </c>
    </row>
    <row r="24" ht="20" customHeight="1" s="76">
      <c r="A24" s="42" t="inlineStr">
        <is>
          <t>N21</t>
        </is>
      </c>
      <c r="B24" s="42" t="inlineStr">
        <is>
          <t>وجود کمیته سرمایه‌گذاری</t>
        </is>
      </c>
      <c r="C24" s="42" t="inlineStr">
        <is>
          <t>INDEPENDENT</t>
        </is>
      </c>
      <c r="D24" s="42" t="inlineStr">
        <is>
          <t>MEDIUM</t>
        </is>
      </c>
    </row>
    <row r="25" ht="20" customHeight="1" s="76">
      <c r="A25" s="50" t="inlineStr">
        <is>
          <t>N22</t>
        </is>
      </c>
      <c r="B25" s="50" t="inlineStr">
        <is>
          <t>وجود کمیته حاکمیت شرکتی</t>
        </is>
      </c>
      <c r="C25" s="50" t="inlineStr">
        <is>
          <t>INDEPENDENT</t>
        </is>
      </c>
      <c r="D25" s="50" t="inlineStr">
        <is>
          <t>MEDIUM</t>
        </is>
      </c>
    </row>
    <row r="26" ht="20" customHeight="1" s="76">
      <c r="A26" s="42" t="inlineStr">
        <is>
          <t>N23</t>
        </is>
      </c>
      <c r="B26" s="42" t="inlineStr">
        <is>
          <t>سهم اعضای مستقل صریح</t>
        </is>
      </c>
      <c r="C26" s="42" t="inlineStr">
        <is>
          <t>PARTIALLY_OVERLAPPING با S1A</t>
        </is>
      </c>
      <c r="D26" s="42" t="inlineStr">
        <is>
          <t>HIGH</t>
        </is>
      </c>
    </row>
    <row r="27" ht="20" customHeight="1" s="76">
      <c r="A27" s="50" t="inlineStr">
        <is>
          <t>N24</t>
        </is>
      </c>
      <c r="B27" s="50" t="inlineStr">
        <is>
          <t>حضور اعضا در جلسات</t>
        </is>
      </c>
      <c r="C27" s="50" t="inlineStr">
        <is>
          <t>N/A</t>
        </is>
      </c>
      <c r="D27" s="50" t="inlineStr">
        <is>
          <t>N/A</t>
        </is>
      </c>
    </row>
    <row r="28" ht="29" customHeight="1" s="76">
      <c r="A28" s="42" t="inlineStr">
        <is>
          <t>N25</t>
        </is>
      </c>
      <c r="B28" s="42" t="inlineStr">
        <is>
          <t>عضویت همزمان / Multiple Directorships</t>
        </is>
      </c>
      <c r="C28" s="42" t="inlineStr">
        <is>
          <t>INDEPENDENT</t>
        </is>
      </c>
      <c r="D28" s="42" t="inlineStr">
        <is>
          <t>HIGH</t>
        </is>
      </c>
    </row>
    <row r="29" ht="20" customHeight="1" s="76">
      <c r="A29" s="50" t="inlineStr">
        <is>
          <t>N26</t>
        </is>
      </c>
      <c r="B29" s="50" t="inlineStr">
        <is>
          <t>سن / Tenure اعضا</t>
        </is>
      </c>
      <c r="C29" s="50" t="inlineStr">
        <is>
          <t>PARTIALLY_OVERLAPPING با Turnover</t>
        </is>
      </c>
      <c r="D29" s="50" t="inlineStr">
        <is>
          <t>MEDIUM</t>
        </is>
      </c>
    </row>
    <row r="30" ht="20" customHeight="1" s="76">
      <c r="A30" s="42" t="inlineStr">
        <is>
          <t>N27</t>
        </is>
      </c>
      <c r="B30" s="42" t="inlineStr">
        <is>
          <t>تنوع Tenure</t>
        </is>
      </c>
      <c r="C30" s="42" t="inlineStr">
        <is>
          <t>PARTIALLY_OVERLAPPING</t>
        </is>
      </c>
      <c r="D30" s="42" t="inlineStr">
        <is>
          <t>LOW</t>
        </is>
      </c>
    </row>
    <row r="31" ht="20" customHeight="1" s="76">
      <c r="A31" s="50" t="inlineStr">
        <is>
          <t>N28</t>
        </is>
      </c>
      <c r="B31" s="50" t="inlineStr">
        <is>
          <t>مدت تصدی رئیس هیئت</t>
        </is>
      </c>
      <c r="C31" s="50" t="inlineStr">
        <is>
          <t>PARTIALLY_OVERLAPPING با CR1A</t>
        </is>
      </c>
      <c r="D31" s="50" t="inlineStr">
        <is>
          <t>MEDIUM</t>
        </is>
      </c>
    </row>
    <row r="32" ht="20" customHeight="1" s="76">
      <c r="A32" s="42" t="inlineStr">
        <is>
          <t>N29</t>
        </is>
      </c>
      <c r="B32" s="42" t="inlineStr">
        <is>
          <t>مدت تصدی مدیرعامل</t>
        </is>
      </c>
      <c r="C32" s="42" t="inlineStr">
        <is>
          <t>INDEPENDENT</t>
        </is>
      </c>
      <c r="D32" s="42" t="inlineStr">
        <is>
          <t>MEDIUM</t>
        </is>
      </c>
    </row>
    <row r="33" ht="20" customHeight="1" s="76">
      <c r="A33" s="50" t="inlineStr">
        <is>
          <t>N30</t>
        </is>
      </c>
      <c r="B33" s="50" t="inlineStr">
        <is>
          <t>نرخ کرسی خالی</t>
        </is>
      </c>
      <c r="C33" s="50" t="inlineStr">
        <is>
          <t>INDEPENDENT</t>
        </is>
      </c>
      <c r="D33" s="50" t="inlineStr">
        <is>
          <t>HIGH</t>
        </is>
      </c>
    </row>
    <row r="34" ht="20" customHeight="1" s="76">
      <c r="A34" s="42" t="inlineStr">
        <is>
          <t>N31</t>
        </is>
      </c>
      <c r="B34" s="42" t="inlineStr">
        <is>
          <t>تمرکز نقش (Chair=CEO)</t>
        </is>
      </c>
      <c r="C34" s="42" t="inlineStr">
        <is>
          <t>MATHEMATICAL_COMPLEMENT با SEP07</t>
        </is>
      </c>
      <c r="D34" s="42" t="inlineStr">
        <is>
          <t>NONE</t>
        </is>
      </c>
    </row>
    <row r="35" ht="20" customHeight="1" s="76">
      <c r="A35" s="50" t="inlineStr">
        <is>
          <t>N32</t>
        </is>
      </c>
      <c r="B35" s="50" t="inlineStr">
        <is>
          <t>هم‌پوشانی کمیته‌ها</t>
        </is>
      </c>
      <c r="C35" s="50" t="inlineStr">
        <is>
          <t>INDEPENDENT</t>
        </is>
      </c>
      <c r="D35" s="50" t="inlineStr">
        <is>
          <t>HIGH</t>
        </is>
      </c>
    </row>
    <row r="36" ht="20" customHeight="1" s="76">
      <c r="A36" s="42" t="inlineStr">
        <is>
          <t>N33</t>
        </is>
      </c>
      <c r="B36" s="42" t="inlineStr">
        <is>
          <t>سهم اعضای موظف</t>
        </is>
      </c>
      <c r="C36" s="42" t="inlineStr">
        <is>
          <t>MATHEMATICAL_COMPLEMENT با S1A</t>
        </is>
      </c>
      <c r="D36" s="42" t="inlineStr">
        <is>
          <t>NONE</t>
        </is>
      </c>
    </row>
    <row r="37" ht="20" customHeight="1" s="76">
      <c r="A37" s="50" t="inlineStr">
        <is>
          <t>N34</t>
        </is>
      </c>
      <c r="B37" s="50" t="inlineStr">
        <is>
          <t>Blau نرمال‌شده تحصیلی</t>
        </is>
      </c>
      <c r="C37" s="50" t="inlineStr">
        <is>
          <t>PARTIALLY_OVERLAPPING با V1</t>
        </is>
      </c>
      <c r="D37" s="50" t="inlineStr">
        <is>
          <t>NONE</t>
        </is>
      </c>
    </row>
    <row r="38" ht="20" customHeight="1" s="76">
      <c r="A38" s="42" t="inlineStr">
        <is>
          <t>N35</t>
        </is>
      </c>
      <c r="B38" s="42" t="inlineStr">
        <is>
          <t>غنای هیئت (Richness)</t>
        </is>
      </c>
      <c r="C38" s="42" t="inlineStr">
        <is>
          <t>HIGHLY_REDUNDANT با N01</t>
        </is>
      </c>
      <c r="D38" s="42" t="inlineStr">
        <is>
          <t>NONE</t>
        </is>
      </c>
    </row>
  </sheetData>
  <mergeCells count="2">
    <mergeCell ref="A1:D1"/>
    <mergeCell ref="A2:D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38.1640625" customWidth="1" style="76" min="2" max="2"/>
    <col width="13.5" customWidth="1" style="76" min="3" max="3"/>
    <col width="39.1640625" customWidth="1" style="76" min="4" max="4"/>
  </cols>
  <sheetData>
    <row r="1" ht="34" customHeight="1" s="76">
      <c r="A1" s="79" t="inlineStr">
        <is>
          <t>Incremental Information</t>
        </is>
      </c>
    </row>
    <row r="2" ht="28" customHeight="1" s="76">
      <c r="A2" s="86" t="inlineStr">
        <is>
          <t>اطلاعات افزوده نسبی (کیفی) نسبت به ۱۲ Measure موجود.</t>
        </is>
      </c>
    </row>
    <row r="3" ht="30" customHeight="1" s="76">
      <c r="A3" s="48" t="inlineStr">
        <is>
          <t>ID</t>
        </is>
      </c>
      <c r="B3" s="48" t="inlineStr">
        <is>
          <t>Candidate</t>
        </is>
      </c>
      <c r="C3" s="48" t="inlineStr">
        <is>
          <t>Incremental</t>
        </is>
      </c>
      <c r="D3" s="48" t="inlineStr">
        <is>
          <t>دلیل</t>
        </is>
      </c>
    </row>
    <row r="4" ht="20" customHeight="1" s="76">
      <c r="A4" s="42" t="inlineStr">
        <is>
          <t>N01</t>
        </is>
      </c>
      <c r="B4" s="42" t="inlineStr">
        <is>
          <t>اندازه هیئت‌مدیره</t>
        </is>
      </c>
      <c r="C4" s="42" t="inlineStr">
        <is>
          <t>NONE</t>
        </is>
      </c>
      <c r="D4" s="42" t="inlineStr">
        <is>
          <t>HIGHLY_REDUNDANT با Richness</t>
        </is>
      </c>
    </row>
    <row r="5" ht="20" customHeight="1" s="76">
      <c r="A5" s="50" t="inlineStr">
        <is>
          <t>N02</t>
        </is>
      </c>
      <c r="B5" s="50" t="inlineStr">
        <is>
          <t>سهم اعضای دارای دکترا</t>
        </is>
      </c>
      <c r="C5" s="50" t="inlineStr">
        <is>
          <t>MEDIUM</t>
        </is>
      </c>
      <c r="D5" s="50" t="inlineStr">
        <is>
          <t>PARTIALLY_OVERLAPPING با V1/VAR10</t>
        </is>
      </c>
    </row>
    <row r="6" ht="20" customHeight="1" s="76">
      <c r="A6" s="42" t="inlineStr">
        <is>
          <t>N03</t>
        </is>
      </c>
      <c r="B6" s="42" t="inlineStr">
        <is>
          <t>سهم مدرک کارشناسی ارشد به بالا</t>
        </is>
      </c>
      <c r="C6" s="42" t="inlineStr">
        <is>
          <t>LOW</t>
        </is>
      </c>
      <c r="D6" s="42" t="inlineStr">
        <is>
          <t>MATHEMATICAL_COMPLEMENT/OVERLAP با N02</t>
        </is>
      </c>
    </row>
    <row r="7" ht="20" customHeight="1" s="76">
      <c r="A7" s="50" t="inlineStr">
        <is>
          <t>N04</t>
        </is>
      </c>
      <c r="B7" s="50" t="inlineStr">
        <is>
          <t>تمرکز اشخاص حقوقی (HHI)</t>
        </is>
      </c>
      <c r="C7" s="50" t="inlineStr">
        <is>
          <t>NONE</t>
        </is>
      </c>
      <c r="D7" s="50" t="inlineStr">
        <is>
          <t>DO_NOT_COMBINE با IRN01</t>
        </is>
      </c>
    </row>
    <row r="8" ht="20" customHeight="1" s="76">
      <c r="A8" s="42" t="inlineStr">
        <is>
          <t>N05</t>
        </is>
      </c>
      <c r="B8" s="42" t="inlineStr">
        <is>
          <t>تعداد اشخاص حقوقی متمایز</t>
        </is>
      </c>
      <c r="C8" s="42" t="inlineStr">
        <is>
          <t>NONE</t>
        </is>
      </c>
      <c r="D8" s="42" t="inlineStr">
        <is>
          <t>HIGHLY_REDUNDANT با N04</t>
        </is>
      </c>
    </row>
    <row r="9" ht="29" customHeight="1" s="76">
      <c r="A9" s="50" t="inlineStr">
        <is>
          <t>N06</t>
        </is>
      </c>
      <c r="B9" s="50" t="inlineStr">
        <is>
          <t>پیوند مشترک شخص حقوقی بین شرکت‌ها</t>
        </is>
      </c>
      <c r="C9" s="50" t="inlineStr">
        <is>
          <t>MEDIUM</t>
        </is>
      </c>
      <c r="D9" s="50" t="inlineStr">
        <is>
          <t>PARTIALLY_OVERLAPPING با IRN01</t>
        </is>
      </c>
    </row>
    <row r="10" ht="29" customHeight="1" s="76">
      <c r="A10" s="42" t="inlineStr">
        <is>
          <t>N07</t>
        </is>
      </c>
      <c r="B10" s="42" t="inlineStr">
        <is>
          <t>Interlock اشخاص حقیقی بین شرکت‌ها</t>
        </is>
      </c>
      <c r="C10" s="42" t="inlineStr">
        <is>
          <t>MEDIUM</t>
        </is>
      </c>
      <c r="D10" s="42" t="inlineStr">
        <is>
          <t>INDEPENDENT</t>
        </is>
      </c>
    </row>
    <row r="11" ht="20" customHeight="1" s="76">
      <c r="A11" s="50" t="inlineStr">
        <is>
          <t>N08</t>
        </is>
      </c>
      <c r="B11" s="50" t="inlineStr">
        <is>
          <t>سهم سابقه دولتی/سیاست‌گذاری</t>
        </is>
      </c>
      <c r="C11" s="50" t="inlineStr">
        <is>
          <t>LOW</t>
        </is>
      </c>
      <c r="D11" s="50" t="inlineStr">
        <is>
          <t>DO_NOT_COMBINE با VAR06</t>
        </is>
      </c>
    </row>
    <row r="12" ht="20" customHeight="1" s="76">
      <c r="A12" s="42" t="inlineStr">
        <is>
          <t>N09</t>
        </is>
      </c>
      <c r="B12" s="42" t="inlineStr">
        <is>
          <t>سهم سابقه مدیریت اجرایی</t>
        </is>
      </c>
      <c r="C12" s="42" t="inlineStr">
        <is>
          <t>LOW</t>
        </is>
      </c>
      <c r="D12" s="42" t="inlineStr">
        <is>
          <t>DO_NOT_COMBINE با VAR06</t>
        </is>
      </c>
    </row>
    <row r="13" ht="20" customHeight="1" s="76">
      <c r="A13" s="50" t="inlineStr">
        <is>
          <t>N10</t>
        </is>
      </c>
      <c r="B13" s="50" t="inlineStr">
        <is>
          <t>سهم سابقه مالی/سرمایه‌گذاری</t>
        </is>
      </c>
      <c r="C13" s="50" t="inlineStr">
        <is>
          <t>LOW</t>
        </is>
      </c>
      <c r="D13" s="50" t="inlineStr">
        <is>
          <t>PARTIALLY_OVERLAPPING با VAR10</t>
        </is>
      </c>
    </row>
    <row r="14" ht="20" customHeight="1" s="76">
      <c r="A14" s="42" t="inlineStr">
        <is>
          <t>N11</t>
        </is>
      </c>
      <c r="B14" s="42" t="inlineStr">
        <is>
          <t>سهم تخصص صنعتی/عملیاتی</t>
        </is>
      </c>
      <c r="C14" s="42" t="inlineStr">
        <is>
          <t>LOW</t>
        </is>
      </c>
      <c r="D14" s="42" t="inlineStr">
        <is>
          <t>PARTIALLY_OVERLAPPING</t>
        </is>
      </c>
    </row>
    <row r="15" ht="20" customHeight="1" s="76">
      <c r="A15" s="50" t="inlineStr">
        <is>
          <t>N12</t>
        </is>
      </c>
      <c r="B15" s="50" t="inlineStr">
        <is>
          <t>سهم تخصص حقوقی/نظارتی</t>
        </is>
      </c>
      <c r="C15" s="50" t="inlineStr">
        <is>
          <t>LOW</t>
        </is>
      </c>
      <c r="D15" s="50" t="inlineStr">
        <is>
          <t>INDEPENDENT</t>
        </is>
      </c>
    </row>
    <row r="16" ht="20" customHeight="1" s="76">
      <c r="A16" s="42" t="inlineStr">
        <is>
          <t>N13</t>
        </is>
      </c>
      <c r="B16" s="42" t="inlineStr">
        <is>
          <t>تخصص دانشگاهی</t>
        </is>
      </c>
      <c r="C16" s="42" t="inlineStr">
        <is>
          <t>N/A</t>
        </is>
      </c>
      <c r="D16" s="42" t="inlineStr">
        <is>
          <t>N/A</t>
        </is>
      </c>
    </row>
    <row r="17" ht="20" customHeight="1" s="76">
      <c r="A17" s="50" t="inlineStr">
        <is>
          <t>N14</t>
        </is>
      </c>
      <c r="B17" s="50" t="inlineStr">
        <is>
          <t>استقلال کمیته حسابرسی</t>
        </is>
      </c>
      <c r="C17" s="50" t="inlineStr">
        <is>
          <t>HIGH</t>
        </is>
      </c>
      <c r="D17" s="50" t="inlineStr">
        <is>
          <t>INDEPENDENT</t>
        </is>
      </c>
    </row>
    <row r="18" ht="20" customHeight="1" s="76">
      <c r="A18" s="42" t="inlineStr">
        <is>
          <t>N15</t>
        </is>
      </c>
      <c r="B18" s="42" t="inlineStr">
        <is>
          <t>تخصص مالی کمیته حسابرسی</t>
        </is>
      </c>
      <c r="C18" s="42" t="inlineStr">
        <is>
          <t>MEDIUM</t>
        </is>
      </c>
      <c r="D18" s="42" t="inlineStr">
        <is>
          <t>OVERLAPPING با VAR10</t>
        </is>
      </c>
    </row>
    <row r="19" ht="20" customHeight="1" s="76">
      <c r="A19" s="50" t="inlineStr">
        <is>
          <t>N16</t>
        </is>
      </c>
      <c r="B19" s="50" t="inlineStr">
        <is>
          <t>تعداد جلسات کمیته حسابرسی</t>
        </is>
      </c>
      <c r="C19" s="50" t="inlineStr">
        <is>
          <t>HIGH</t>
        </is>
      </c>
      <c r="D19" s="50" t="inlineStr">
        <is>
          <t>INDEPENDENT</t>
        </is>
      </c>
    </row>
    <row r="20" ht="29" customHeight="1" s="76">
      <c r="A20" s="42" t="inlineStr">
        <is>
          <t>N17</t>
        </is>
      </c>
      <c r="B20" s="42" t="inlineStr">
        <is>
          <t>تعداد جلسات هیئت‌مدیره (نرمال‌شده)</t>
        </is>
      </c>
      <c r="C20" s="42" t="inlineStr">
        <is>
          <t>HIGH</t>
        </is>
      </c>
      <c r="D20" s="42" t="inlineStr">
        <is>
          <t>INDEPENDENT</t>
        </is>
      </c>
    </row>
    <row r="21" ht="20" customHeight="1" s="76">
      <c r="A21" s="50" t="inlineStr">
        <is>
          <t>N18</t>
        </is>
      </c>
      <c r="B21" s="50" t="inlineStr">
        <is>
          <t>وجود کمیته ریسک</t>
        </is>
      </c>
      <c r="C21" s="50" t="inlineStr">
        <is>
          <t>MEDIUM</t>
        </is>
      </c>
      <c r="D21" s="50" t="inlineStr">
        <is>
          <t>PARTIALLY_OVERLAPPING با AUD01</t>
        </is>
      </c>
    </row>
    <row r="22" ht="20" customHeight="1" s="76">
      <c r="A22" s="42" t="inlineStr">
        <is>
          <t>N19</t>
        </is>
      </c>
      <c r="B22" s="42" t="inlineStr">
        <is>
          <t>وجود کمیته نامزدی</t>
        </is>
      </c>
      <c r="C22" s="42" t="inlineStr">
        <is>
          <t>LOW</t>
        </is>
      </c>
      <c r="D22" s="42" t="inlineStr">
        <is>
          <t>PARTIALLY_OVERLAPPING</t>
        </is>
      </c>
    </row>
    <row r="23" ht="20" customHeight="1" s="76">
      <c r="A23" s="50" t="inlineStr">
        <is>
          <t>N20</t>
        </is>
      </c>
      <c r="B23" s="50" t="inlineStr">
        <is>
          <t>وجود کمیته جبران خدمات</t>
        </is>
      </c>
      <c r="C23" s="50" t="inlineStr">
        <is>
          <t>MEDIUM</t>
        </is>
      </c>
      <c r="D23" s="50" t="inlineStr">
        <is>
          <t>INDEPENDENT</t>
        </is>
      </c>
    </row>
    <row r="24" ht="20" customHeight="1" s="76">
      <c r="A24" s="42" t="inlineStr">
        <is>
          <t>N21</t>
        </is>
      </c>
      <c r="B24" s="42" t="inlineStr">
        <is>
          <t>وجود کمیته سرمایه‌گذاری</t>
        </is>
      </c>
      <c r="C24" s="42" t="inlineStr">
        <is>
          <t>MEDIUM</t>
        </is>
      </c>
      <c r="D24" s="42" t="inlineStr">
        <is>
          <t>INDEPENDENT</t>
        </is>
      </c>
    </row>
    <row r="25" ht="20" customHeight="1" s="76">
      <c r="A25" s="50" t="inlineStr">
        <is>
          <t>N22</t>
        </is>
      </c>
      <c r="B25" s="50" t="inlineStr">
        <is>
          <t>وجود کمیته حاکمیت شرکتی</t>
        </is>
      </c>
      <c r="C25" s="50" t="inlineStr">
        <is>
          <t>MEDIUM</t>
        </is>
      </c>
      <c r="D25" s="50" t="inlineStr">
        <is>
          <t>INDEPENDENT</t>
        </is>
      </c>
    </row>
    <row r="26" ht="20" customHeight="1" s="76">
      <c r="A26" s="42" t="inlineStr">
        <is>
          <t>N23</t>
        </is>
      </c>
      <c r="B26" s="42" t="inlineStr">
        <is>
          <t>سهم اعضای مستقل صریح</t>
        </is>
      </c>
      <c r="C26" s="42" t="inlineStr">
        <is>
          <t>HIGH</t>
        </is>
      </c>
      <c r="D26" s="42" t="inlineStr">
        <is>
          <t>PARTIALLY_OVERLAPPING با S1A</t>
        </is>
      </c>
    </row>
    <row r="27" ht="20" customHeight="1" s="76">
      <c r="A27" s="50" t="inlineStr">
        <is>
          <t>N24</t>
        </is>
      </c>
      <c r="B27" s="50" t="inlineStr">
        <is>
          <t>حضور اعضا در جلسات</t>
        </is>
      </c>
      <c r="C27" s="50" t="inlineStr">
        <is>
          <t>N/A</t>
        </is>
      </c>
      <c r="D27" s="50" t="inlineStr">
        <is>
          <t>N/A</t>
        </is>
      </c>
    </row>
    <row r="28" ht="29" customHeight="1" s="76">
      <c r="A28" s="42" t="inlineStr">
        <is>
          <t>N25</t>
        </is>
      </c>
      <c r="B28" s="42" t="inlineStr">
        <is>
          <t>عضویت همزمان / Multiple Directorships</t>
        </is>
      </c>
      <c r="C28" s="42" t="inlineStr">
        <is>
          <t>HIGH</t>
        </is>
      </c>
      <c r="D28" s="42" t="inlineStr">
        <is>
          <t>INDEPENDENT</t>
        </is>
      </c>
    </row>
    <row r="29" ht="20" customHeight="1" s="76">
      <c r="A29" s="50" t="inlineStr">
        <is>
          <t>N26</t>
        </is>
      </c>
      <c r="B29" s="50" t="inlineStr">
        <is>
          <t>سن / Tenure اعضا</t>
        </is>
      </c>
      <c r="C29" s="50" t="inlineStr">
        <is>
          <t>MEDIUM</t>
        </is>
      </c>
      <c r="D29" s="50" t="inlineStr">
        <is>
          <t>PARTIALLY_OVERLAPPING با Turnover</t>
        </is>
      </c>
    </row>
    <row r="30" ht="20" customHeight="1" s="76">
      <c r="A30" s="42" t="inlineStr">
        <is>
          <t>N27</t>
        </is>
      </c>
      <c r="B30" s="42" t="inlineStr">
        <is>
          <t>تنوع Tenure</t>
        </is>
      </c>
      <c r="C30" s="42" t="inlineStr">
        <is>
          <t>LOW</t>
        </is>
      </c>
      <c r="D30" s="42" t="inlineStr">
        <is>
          <t>PARTIALLY_OVERLAPPING</t>
        </is>
      </c>
    </row>
    <row r="31" ht="20" customHeight="1" s="76">
      <c r="A31" s="50" t="inlineStr">
        <is>
          <t>N28</t>
        </is>
      </c>
      <c r="B31" s="50" t="inlineStr">
        <is>
          <t>مدت تصدی رئیس هیئت</t>
        </is>
      </c>
      <c r="C31" s="50" t="inlineStr">
        <is>
          <t>MEDIUM</t>
        </is>
      </c>
      <c r="D31" s="50" t="inlineStr">
        <is>
          <t>PARTIALLY_OVERLAPPING با CR1A</t>
        </is>
      </c>
    </row>
    <row r="32" ht="20" customHeight="1" s="76">
      <c r="A32" s="42" t="inlineStr">
        <is>
          <t>N29</t>
        </is>
      </c>
      <c r="B32" s="42" t="inlineStr">
        <is>
          <t>مدت تصدی مدیرعامل</t>
        </is>
      </c>
      <c r="C32" s="42" t="inlineStr">
        <is>
          <t>MEDIUM</t>
        </is>
      </c>
      <c r="D32" s="42" t="inlineStr">
        <is>
          <t>INDEPENDENT</t>
        </is>
      </c>
    </row>
    <row r="33" ht="20" customHeight="1" s="76">
      <c r="A33" s="50" t="inlineStr">
        <is>
          <t>N30</t>
        </is>
      </c>
      <c r="B33" s="50" t="inlineStr">
        <is>
          <t>نرخ کرسی خالی</t>
        </is>
      </c>
      <c r="C33" s="50" t="inlineStr">
        <is>
          <t>HIGH</t>
        </is>
      </c>
      <c r="D33" s="50" t="inlineStr">
        <is>
          <t>INDEPENDENT</t>
        </is>
      </c>
    </row>
    <row r="34" ht="20" customHeight="1" s="76">
      <c r="A34" s="42" t="inlineStr">
        <is>
          <t>N31</t>
        </is>
      </c>
      <c r="B34" s="42" t="inlineStr">
        <is>
          <t>تمرکز نقش (Chair=CEO)</t>
        </is>
      </c>
      <c r="C34" s="42" t="inlineStr">
        <is>
          <t>NONE</t>
        </is>
      </c>
      <c r="D34" s="42" t="inlineStr">
        <is>
          <t>MATHEMATICAL_COMPLEMENT با SEP07</t>
        </is>
      </c>
    </row>
    <row r="35" ht="20" customHeight="1" s="76">
      <c r="A35" s="50" t="inlineStr">
        <is>
          <t>N32</t>
        </is>
      </c>
      <c r="B35" s="50" t="inlineStr">
        <is>
          <t>هم‌پوشانی کمیته‌ها</t>
        </is>
      </c>
      <c r="C35" s="50" t="inlineStr">
        <is>
          <t>HIGH</t>
        </is>
      </c>
      <c r="D35" s="50" t="inlineStr">
        <is>
          <t>INDEPENDENT</t>
        </is>
      </c>
    </row>
    <row r="36" ht="20" customHeight="1" s="76">
      <c r="A36" s="42" t="inlineStr">
        <is>
          <t>N33</t>
        </is>
      </c>
      <c r="B36" s="42" t="inlineStr">
        <is>
          <t>سهم اعضای موظف</t>
        </is>
      </c>
      <c r="C36" s="42" t="inlineStr">
        <is>
          <t>NONE</t>
        </is>
      </c>
      <c r="D36" s="42" t="inlineStr">
        <is>
          <t>MATHEMATICAL_COMPLEMENT با S1A</t>
        </is>
      </c>
    </row>
    <row r="37" ht="20" customHeight="1" s="76">
      <c r="A37" s="50" t="inlineStr">
        <is>
          <t>N34</t>
        </is>
      </c>
      <c r="B37" s="50" t="inlineStr">
        <is>
          <t>Blau نرمال‌شده تحصیلی</t>
        </is>
      </c>
      <c r="C37" s="50" t="inlineStr">
        <is>
          <t>NONE</t>
        </is>
      </c>
      <c r="D37" s="50" t="inlineStr">
        <is>
          <t>PARTIALLY_OVERLAPPING با V1</t>
        </is>
      </c>
    </row>
    <row r="38" ht="20" customHeight="1" s="76">
      <c r="A38" s="42" t="inlineStr">
        <is>
          <t>N35</t>
        </is>
      </c>
      <c r="B38" s="42" t="inlineStr">
        <is>
          <t>غنای هیئت (Richness)</t>
        </is>
      </c>
      <c r="C38" s="42" t="inlineStr">
        <is>
          <t>NONE</t>
        </is>
      </c>
      <c r="D38" s="42" t="inlineStr">
        <is>
          <t>HIGHLY_REDUNDANT با N01</t>
        </is>
      </c>
    </row>
  </sheetData>
  <mergeCells count="2">
    <mergeCell ref="A1:D1"/>
    <mergeCell ref="A2:D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8"/>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31.5" customWidth="1" style="76" min="2" max="2"/>
    <col width="13.5" customWidth="1" style="76" min="3" max="3"/>
    <col width="39.1640625" customWidth="1" style="76" min="4" max="4"/>
    <col width="17.1640625" customWidth="1" style="76" min="5" max="5"/>
  </cols>
  <sheetData>
    <row r="1" ht="34" customHeight="1" s="76">
      <c r="A1" s="79" t="inlineStr">
        <is>
          <t>Measureهای Robustness</t>
        </is>
      </c>
    </row>
    <row r="2" ht="28" customHeight="1" s="76">
      <c r="A2" s="86" t="inlineStr">
        <is>
          <t>تبدیل ریاضی یا مکمل ⇒ Robustness، بدون شمارش دوباره.</t>
        </is>
      </c>
    </row>
    <row r="3" ht="30" customHeight="1" s="76">
      <c r="A3" s="48" t="inlineStr">
        <is>
          <t>ID</t>
        </is>
      </c>
      <c r="B3" s="48" t="inlineStr">
        <is>
          <t>Candidate</t>
        </is>
      </c>
      <c r="C3" s="48" t="inlineStr">
        <is>
          <t>Formula</t>
        </is>
      </c>
      <c r="D3" s="48" t="inlineStr">
        <is>
          <t>Overlap</t>
        </is>
      </c>
      <c r="E3" s="48" t="inlineStr">
        <is>
          <t>توصیه</t>
        </is>
      </c>
    </row>
    <row r="4" ht="20" customHeight="1" s="76">
      <c r="A4" s="42" t="inlineStr">
        <is>
          <t>N03</t>
        </is>
      </c>
      <c r="B4" s="42" t="inlineStr">
        <is>
          <t>سهم مدرک کارشناسی ارشد به بالا</t>
        </is>
      </c>
      <c r="C4" s="42" t="inlineStr">
        <is>
          <t>(MSc+PhD)/N</t>
        </is>
      </c>
      <c r="D4" s="42" t="inlineStr">
        <is>
          <t>MATHEMATICAL_COMPLEMENT/OVERLAP با N02</t>
        </is>
      </c>
      <c r="E4" s="53" t="inlineStr">
        <is>
          <t>ROBUSTNESS_ONLY</t>
        </is>
      </c>
    </row>
    <row r="5" ht="20" customHeight="1" s="76">
      <c r="A5" s="50" t="inlineStr">
        <is>
          <t>N09</t>
        </is>
      </c>
      <c r="B5" s="50" t="inlineStr">
        <is>
          <t>سهم سابقه مدیریت اجرایی</t>
        </is>
      </c>
      <c r="C5" s="50" t="inlineStr">
        <is>
          <t>EXE/N</t>
        </is>
      </c>
      <c r="D5" s="50" t="inlineStr">
        <is>
          <t>DO_NOT_COMBINE با VAR06</t>
        </is>
      </c>
      <c r="E5" s="53" t="inlineStr">
        <is>
          <t>ROBUSTNESS_ONLY</t>
        </is>
      </c>
    </row>
    <row r="6" ht="20" customHeight="1" s="76">
      <c r="A6" s="42" t="inlineStr">
        <is>
          <t>N10</t>
        </is>
      </c>
      <c r="B6" s="42" t="inlineStr">
        <is>
          <t>سهم سابقه مالی/سرمایه‌گذاری</t>
        </is>
      </c>
      <c r="C6" s="42" t="inlineStr">
        <is>
          <t>FIN/N</t>
        </is>
      </c>
      <c r="D6" s="42" t="inlineStr">
        <is>
          <t>PARTIALLY_OVERLAPPING با VAR10</t>
        </is>
      </c>
      <c r="E6" s="53" t="inlineStr">
        <is>
          <t>ROBUSTNESS_ONLY</t>
        </is>
      </c>
    </row>
    <row r="7" ht="20" customHeight="1" s="76">
      <c r="A7" s="50" t="inlineStr">
        <is>
          <t>N33</t>
        </is>
      </c>
      <c r="B7" s="50" t="inlineStr">
        <is>
          <t>سهم اعضای موظف</t>
        </is>
      </c>
      <c r="C7" s="50" t="inlineStr">
        <is>
          <t>Mov/N</t>
        </is>
      </c>
      <c r="D7" s="50" t="inlineStr">
        <is>
          <t>MATHEMATICAL_COMPLEMENT با S1A</t>
        </is>
      </c>
      <c r="E7" s="53" t="inlineStr">
        <is>
          <t>ROBUSTNESS_ONLY</t>
        </is>
      </c>
    </row>
    <row r="8" ht="20" customHeight="1" s="76">
      <c r="A8" s="42" t="inlineStr">
        <is>
          <t>N34</t>
        </is>
      </c>
      <c r="B8" s="42" t="inlineStr">
        <is>
          <t>Blau نرمال‌شده تحصیلی</t>
        </is>
      </c>
      <c r="C8" s="42" t="inlineStr">
        <is>
          <t>transform</t>
        </is>
      </c>
      <c r="D8" s="42" t="inlineStr">
        <is>
          <t>PARTIALLY_OVERLAPPING با V1</t>
        </is>
      </c>
      <c r="E8" s="53" t="inlineStr">
        <is>
          <t>ROBUSTNESS_ONLY</t>
        </is>
      </c>
    </row>
  </sheetData>
  <mergeCells count="2">
    <mergeCell ref="A2:E2"/>
    <mergeCell ref="A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2"/>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38.1640625" customWidth="1" style="76" min="2" max="2"/>
    <col width="42" customWidth="1" style="76" min="3" max="4"/>
    <col width="21" customWidth="1" style="76" min="5" max="6"/>
  </cols>
  <sheetData>
    <row r="1" ht="34" customHeight="1" s="76">
      <c r="A1" s="79" t="inlineStr">
        <is>
          <t>Targeted Validation</t>
        </is>
      </c>
    </row>
    <row r="2" ht="28" customHeight="1" s="76">
      <c r="A2" s="86" t="inlineStr">
        <is>
          <t>Candidateهای نیازمند بازبینی صفحه/نمونه کوچک قبل از Scale-Up.</t>
        </is>
      </c>
    </row>
    <row r="3" ht="30" customHeight="1" s="76">
      <c r="A3" s="48" t="inlineStr">
        <is>
          <t>ID</t>
        </is>
      </c>
      <c r="B3" s="48" t="inlineStr">
        <is>
          <t>Candidate</t>
        </is>
      </c>
      <c r="C3" s="48" t="inlineStr">
        <is>
          <t>نتیجه آزمون</t>
        </is>
      </c>
      <c r="D3" s="48" t="inlineStr">
        <is>
          <t>گام اعتبارسنجی</t>
        </is>
      </c>
      <c r="E3" s="48" t="inlineStr">
        <is>
          <t>Tier</t>
        </is>
      </c>
      <c r="F3" s="48" t="inlineStr">
        <is>
          <t>توصیه</t>
        </is>
      </c>
    </row>
    <row r="4" ht="29" customHeight="1" s="76">
      <c r="A4" s="42" t="inlineStr">
        <is>
          <t>N06</t>
        </is>
      </c>
      <c r="B4" s="42" t="inlineStr">
        <is>
          <t>پیوند مشترک شخص حقوقی بین شرکت‌ها</t>
        </is>
      </c>
      <c r="C4" s="42" t="inlineStr">
        <is>
          <t>12 از 110 شخص حقوقی در بیش از یک شرکت؛ 14 از ۳۰ شرکت دارای حداقل یک پیوند مشترک</t>
        </is>
      </c>
      <c r="D4" s="42" t="inlineStr">
        <is>
          <t>بازبینی صفحه روی ۱۰ شرکت؛ سنجش Variation و Overlap</t>
        </is>
      </c>
      <c r="E4" s="45" t="inlineStr">
        <is>
          <t>TARGETED_VALIDATION</t>
        </is>
      </c>
      <c r="F4" s="45" t="inlineStr">
        <is>
          <t>TARGETED_VALIDATION</t>
        </is>
      </c>
    </row>
    <row r="5" ht="29" customHeight="1" s="76">
      <c r="A5" s="50" t="inlineStr">
        <is>
          <t>N14</t>
        </is>
      </c>
      <c r="B5" s="50" t="inlineStr">
        <is>
          <t>استقلال کمیته حسابرسی</t>
        </is>
      </c>
      <c r="C5" s="50" t="inlineStr">
        <is>
          <t>Keyword Hit در 19/30</t>
        </is>
      </c>
      <c r="D5" s="50" t="inlineStr">
        <is>
          <t>بازبینی صفحه روی ۱۰ شرکت؛ سنجش Variation و Overlap</t>
        </is>
      </c>
      <c r="E5" s="45" t="inlineStr">
        <is>
          <t>TARGETED_VALIDATION</t>
        </is>
      </c>
      <c r="F5" s="45" t="inlineStr">
        <is>
          <t>TARGETED_VALIDATION</t>
        </is>
      </c>
    </row>
    <row r="6" ht="29" customHeight="1" s="76">
      <c r="A6" s="42" t="inlineStr">
        <is>
          <t>N15</t>
        </is>
      </c>
      <c r="B6" s="42" t="inlineStr">
        <is>
          <t>تخصص مالی کمیته حسابرسی</t>
        </is>
      </c>
      <c r="C6" s="42" t="inlineStr">
        <is>
          <t>Keyword Hit در 27/30</t>
        </is>
      </c>
      <c r="D6" s="42" t="inlineStr">
        <is>
          <t>بازبینی صفحه روی ۱۰ شرکت؛ سنجش Variation و Overlap</t>
        </is>
      </c>
      <c r="E6" s="45" t="inlineStr">
        <is>
          <t>TARGETED_VALIDATION</t>
        </is>
      </c>
      <c r="F6" s="45" t="inlineStr">
        <is>
          <t>TARGETED_VALIDATION</t>
        </is>
      </c>
    </row>
    <row r="7" ht="29" customHeight="1" s="76">
      <c r="A7" s="50" t="inlineStr">
        <is>
          <t>N16</t>
        </is>
      </c>
      <c r="B7" s="50" t="inlineStr">
        <is>
          <t>تعداد جلسات کمیته حسابرسی</t>
        </is>
      </c>
      <c r="C7" s="50" t="inlineStr">
        <is>
          <t>جلسات AC شناخته‌شده در 12/30 (v31)</t>
        </is>
      </c>
      <c r="D7" s="50" t="inlineStr">
        <is>
          <t>بازبینی صفحه روی ۱۰ شرکت؛ سنجش Variation و Overlap</t>
        </is>
      </c>
      <c r="E7" s="45" t="inlineStr">
        <is>
          <t>TARGETED_VALIDATION</t>
        </is>
      </c>
      <c r="F7" s="45" t="inlineStr">
        <is>
          <t>TARGETED_VALIDATION</t>
        </is>
      </c>
    </row>
    <row r="8" ht="29" customHeight="1" s="76">
      <c r="A8" s="42" t="inlineStr">
        <is>
          <t>N17</t>
        </is>
      </c>
      <c r="B8" s="42" t="inlineStr">
        <is>
          <t>تعداد جلسات هیئت‌مدیره (نرمال‌شده)</t>
        </is>
      </c>
      <c r="C8" s="42" t="inlineStr">
        <is>
          <t>جلسات هیئت تاییدشده در 5/30 (v31)؛ سال مالی نامتجانس</t>
        </is>
      </c>
      <c r="D8" s="42" t="inlineStr">
        <is>
          <t>بازبینی صفحه روی ۱۰ شرکت؛ سنجش Variation و Overlap</t>
        </is>
      </c>
      <c r="E8" s="45" t="inlineStr">
        <is>
          <t>TARGETED_VALIDATION</t>
        </is>
      </c>
      <c r="F8" s="45" t="inlineStr">
        <is>
          <t>TARGETED_VALIDATION</t>
        </is>
      </c>
    </row>
    <row r="9" ht="29" customHeight="1" s="76">
      <c r="A9" s="50" t="inlineStr">
        <is>
          <t>N18</t>
        </is>
      </c>
      <c r="B9" s="50" t="inlineStr">
        <is>
          <t>وجود کمیته ریسک</t>
        </is>
      </c>
      <c r="C9" s="50" t="inlineStr">
        <is>
          <t>Keyword Hit در 28/30</t>
        </is>
      </c>
      <c r="D9" s="50" t="inlineStr">
        <is>
          <t>بازبینی صفحه روی ۱۰ شرکت؛ سنجش Variation و Overlap</t>
        </is>
      </c>
      <c r="E9" s="45" t="inlineStr">
        <is>
          <t>TARGETED_VALIDATION</t>
        </is>
      </c>
      <c r="F9" s="45" t="inlineStr">
        <is>
          <t>TARGETED_VALIDATION</t>
        </is>
      </c>
    </row>
    <row r="10" ht="29" customHeight="1" s="76">
      <c r="A10" s="42" t="inlineStr">
        <is>
          <t>N23</t>
        </is>
      </c>
      <c r="B10" s="42" t="inlineStr">
        <is>
          <t>سهم اعضای مستقل صریح</t>
        </is>
      </c>
      <c r="C10" s="42" t="inlineStr">
        <is>
          <t>Keyword Hit در 19/30</t>
        </is>
      </c>
      <c r="D10" s="42" t="inlineStr">
        <is>
          <t>بازبینی صفحه روی ۱۰ شرکت؛ سنجش Variation و Overlap</t>
        </is>
      </c>
      <c r="E10" s="45" t="inlineStr">
        <is>
          <t>TARGETED_VALIDATION</t>
        </is>
      </c>
      <c r="F10" s="45" t="inlineStr">
        <is>
          <t>TARGETED_VALIDATION</t>
        </is>
      </c>
    </row>
    <row r="11" ht="29" customHeight="1" s="76">
      <c r="A11" s="50" t="inlineStr">
        <is>
          <t>N25</t>
        </is>
      </c>
      <c r="B11" s="50" t="inlineStr">
        <is>
          <t>عضویت همزمان / Multiple Directorships</t>
        </is>
      </c>
      <c r="C11" s="50" t="inlineStr">
        <is>
          <t>Keyword Hit در 16/30؛ ساختاریافته در v31: فملی، تاپیکو، وبملت</t>
        </is>
      </c>
      <c r="D11" s="50" t="inlineStr">
        <is>
          <t>بازبینی صفحه روی ۱۰ شرکت؛ سنجش Variation و Overlap</t>
        </is>
      </c>
      <c r="E11" s="45" t="inlineStr">
        <is>
          <t>TARGETED_VALIDATION</t>
        </is>
      </c>
      <c r="F11" s="45" t="inlineStr">
        <is>
          <t>TARGETED_VALIDATION</t>
        </is>
      </c>
    </row>
    <row r="12" ht="29" customHeight="1" s="76">
      <c r="A12" s="42" t="inlineStr">
        <is>
          <t>N28</t>
        </is>
      </c>
      <c r="B12" s="42" t="inlineStr">
        <is>
          <t>مدت تصدی رئیس هیئت</t>
        </is>
      </c>
      <c r="C12" s="42" t="inlineStr">
        <is>
          <t>بدون داده قابل تست در آرشیو</t>
        </is>
      </c>
      <c r="D12" s="42" t="inlineStr">
        <is>
          <t>بازبینی صفحه روی ۱۰ شرکت؛ سنجش Variation و Overlap</t>
        </is>
      </c>
      <c r="E12" s="45" t="inlineStr">
        <is>
          <t>TARGETED_VALIDATION</t>
        </is>
      </c>
      <c r="F12" s="45" t="inlineStr">
        <is>
          <t>TARGETED_VALIDATION</t>
        </is>
      </c>
    </row>
  </sheetData>
  <mergeCells count="2">
    <mergeCell ref="A2:F2"/>
    <mergeCell ref="A1:F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4"/>
  <sheetViews>
    <sheetView showGridLines="0" rightToLeft="1" workbookViewId="0">
      <selection activeCell="A1" sqref="A1"/>
    </sheetView>
  </sheetViews>
  <sheetFormatPr baseColWidth="10" defaultColWidth="8.83203125" defaultRowHeight="15"/>
  <cols>
    <col width="42" customWidth="1" style="76" min="1" max="1"/>
    <col width="23" customWidth="1" style="76" min="2" max="2"/>
    <col width="42" customWidth="1" style="76" min="3" max="3"/>
    <col width="25.83203125" customWidth="1" style="76" min="4" max="4"/>
  </cols>
  <sheetData>
    <row r="1" ht="34" customHeight="1" s="76">
      <c r="A1" s="79" t="inlineStr">
        <is>
          <t>Scale Up Candidates</t>
        </is>
      </c>
    </row>
    <row r="2" ht="28" customHeight="1" s="76">
      <c r="A2" s="86" t="inlineStr">
        <is>
          <t>N02 تنها Candidate جدیدی است که پس از آزمون Coverage و Variation به SCALE_UP_WITH_LIMITATION رسید؛ هنوز وارد Composite نشده است.</t>
        </is>
      </c>
    </row>
    <row r="3" ht="30" customHeight="1" s="76">
      <c r="A3" s="48" t="inlineStr">
        <is>
          <t>ID</t>
        </is>
      </c>
      <c r="B3" s="48" t="inlineStr">
        <is>
          <t>Candidate</t>
        </is>
      </c>
      <c r="C3" s="48" t="inlineStr">
        <is>
          <t>نتیجه</t>
        </is>
      </c>
      <c r="D3" s="48" t="inlineStr">
        <is>
          <t>توضیح</t>
        </is>
      </c>
    </row>
    <row r="4" ht="29" customHeight="1" s="76">
      <c r="A4" s="42" t="inlineStr">
        <is>
          <t>N02</t>
        </is>
      </c>
      <c r="B4" s="42" t="inlineStr">
        <is>
          <t>سهم اعضای دارای دکترا</t>
        </is>
      </c>
      <c r="C4" s="42" t="inlineStr">
        <is>
          <t>۳۰/۳۰ شرکت؛ سهم دکترا غیرصفر در 29 شرکت؛ میانگین=0.497؛ SD=0.226؛ max=1.00</t>
        </is>
      </c>
      <c r="D4" s="52" t="inlineStr">
        <is>
          <t>SCALE_UP_WITH_LIMITATION</t>
        </is>
      </c>
    </row>
  </sheetData>
  <mergeCells count="2">
    <mergeCell ref="A1:D1"/>
    <mergeCell ref="A2:D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8"/>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42" customWidth="1" style="76" min="1" max="1"/>
    <col width="25.83203125" customWidth="1" style="76" min="2" max="2"/>
    <col width="42" customWidth="1" style="76" min="3" max="3"/>
    <col width="33.33203125" customWidth="1" style="76" min="4" max="4"/>
  </cols>
  <sheetData>
    <row r="1" ht="34" customHeight="1" s="76">
      <c r="A1" s="79" t="inlineStr">
        <is>
          <t>Drop Candidates</t>
        </is>
      </c>
    </row>
    <row r="2" ht="28" customHeight="1" s="76">
      <c r="A2" s="86" t="inlineStr">
        <is>
          <t>حذف به دلیل Redundancy، Variation صفر یا داده ناکافی.</t>
        </is>
      </c>
    </row>
    <row r="3" ht="30" customHeight="1" s="76">
      <c r="A3" s="48" t="inlineStr">
        <is>
          <t>ID</t>
        </is>
      </c>
      <c r="B3" s="48" t="inlineStr">
        <is>
          <t>Candidate</t>
        </is>
      </c>
      <c r="C3" s="48" t="inlineStr">
        <is>
          <t>دلیل حذف</t>
        </is>
      </c>
      <c r="D3" s="48" t="inlineStr">
        <is>
          <t>Overlap</t>
        </is>
      </c>
    </row>
    <row r="4" ht="20" customHeight="1" s="76">
      <c r="A4" s="42" t="inlineStr">
        <is>
          <t>N04</t>
        </is>
      </c>
      <c r="B4" s="42" t="inlineStr">
        <is>
          <t>تمرکز اشخاص حقوقی (HHI)</t>
        </is>
      </c>
      <c r="C4" s="42" t="inlineStr">
        <is>
          <t>مقادیر یکتا HHI: [0.2, 0.28, 0.33, 1.0]</t>
        </is>
      </c>
      <c r="D4" s="42" t="inlineStr">
        <is>
          <t>DO_NOT_COMBINE با IRN01</t>
        </is>
      </c>
    </row>
    <row r="5" ht="20" customHeight="1" s="76">
      <c r="A5" s="50" t="inlineStr">
        <is>
          <t>N05</t>
        </is>
      </c>
      <c r="B5" s="50" t="inlineStr">
        <is>
          <t>تعداد اشخاص حقوقی متمایز</t>
        </is>
      </c>
      <c r="C5" s="50" t="inlineStr">
        <is>
          <t>مقادیر یکتا HHI: [0.2, 0.28, 0.33, 1.0]</t>
        </is>
      </c>
      <c r="D5" s="50" t="inlineStr">
        <is>
          <t>HIGHLY_REDUNDANT با N04</t>
        </is>
      </c>
    </row>
    <row r="6" ht="20" customHeight="1" s="76">
      <c r="A6" s="42" t="inlineStr">
        <is>
          <t>N12</t>
        </is>
      </c>
      <c r="B6" s="42" t="inlineStr">
        <is>
          <t>سهم تخصص حقوقی/نظارتی</t>
        </is>
      </c>
      <c r="C6" s="42" t="inlineStr">
        <is>
          <t>24 شرکت؛ غیرصفر 4؛ SD=0.089</t>
        </is>
      </c>
      <c r="D6" s="42" t="inlineStr">
        <is>
          <t>INDEPENDENT</t>
        </is>
      </c>
    </row>
    <row r="7" ht="20" customHeight="1" s="76">
      <c r="A7" s="50" t="inlineStr">
        <is>
          <t>N31</t>
        </is>
      </c>
      <c r="B7" s="50" t="inlineStr">
        <is>
          <t>تمرکز نقش (Chair=CEO)</t>
        </is>
      </c>
      <c r="C7" s="50" t="inlineStr">
        <is>
          <t>بدون داده قابل تست در آرشیو</t>
        </is>
      </c>
      <c r="D7" s="50" t="inlineStr">
        <is>
          <t>MATHEMATICAL_COMPLEMENT با SEP07</t>
        </is>
      </c>
    </row>
    <row r="8" ht="20" customHeight="1" s="76">
      <c r="A8" s="42" t="inlineStr">
        <is>
          <t>N35</t>
        </is>
      </c>
      <c r="B8" s="42" t="inlineStr">
        <is>
          <t>غنای هیئت (Richness)</t>
        </is>
      </c>
      <c r="C8" s="42" t="inlineStr">
        <is>
          <t>N=5 در 27 شرکت؛ N=4 در 1؛ N=3 در 1؛ SD=0.40</t>
        </is>
      </c>
      <c r="D8" s="42" t="inlineStr">
        <is>
          <t>HIGHLY_REDUNDANT با N01</t>
        </is>
      </c>
    </row>
  </sheetData>
  <mergeCells count="2">
    <mergeCell ref="A1:D1"/>
    <mergeCell ref="A2:D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45"/>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42" customWidth="1" style="76" min="1" max="1"/>
    <col width="17.1640625" customWidth="1" style="76" min="2" max="3"/>
    <col width="18.1640625" customWidth="1" style="76" min="4" max="4"/>
    <col width="19.1640625" customWidth="1" style="76" min="5" max="5"/>
    <col width="20.1640625" customWidth="1" style="76" min="6" max="6"/>
    <col width="18.1640625" customWidth="1" style="76" min="7" max="7"/>
    <col width="20.1640625" customWidth="1" style="76" min="8" max="8"/>
    <col width="13.5" customWidth="1" style="76" min="9" max="9"/>
    <col width="23.83203125" customWidth="1" style="76" min="10" max="10"/>
    <col width="32.5" customWidth="1" style="76" min="11" max="11"/>
    <col width="21" customWidth="1" style="76" min="12" max="12"/>
    <col width="30.5" customWidth="1" style="76" min="13" max="13"/>
  </cols>
  <sheetData>
    <row r="1" ht="34" customHeight="1" s="76">
      <c r="A1" s="79" t="inlineStr">
        <is>
          <t>Final Recommended Architecture</t>
        </is>
      </c>
    </row>
    <row r="2" ht="28" customHeight="1" s="76">
      <c r="A2" s="86" t="inlineStr">
        <is>
          <t>N02 به عنوان Candidate جدید SCALE_UP_WITH_LIMITATION شناسایی شده اما هنوز وارد Composite نشده است. سایر Candidateهای جدید در TARGETED_VALIDATION، ROBUSTNESS، CONTROL، DEFER یا DROP باقی می مانند.</t>
        </is>
      </c>
    </row>
    <row r="3" ht="30" customHeight="1" s="76">
      <c r="A3" s="48" t="inlineStr">
        <is>
          <t>Measure</t>
        </is>
      </c>
      <c r="B3" s="48" t="inlineStr">
        <is>
          <t>Existing or New</t>
        </is>
      </c>
      <c r="C3" s="48" t="inlineStr">
        <is>
          <t>Construct</t>
        </is>
      </c>
      <c r="D3" s="48" t="inlineStr">
        <is>
          <t>Current Coverage</t>
        </is>
      </c>
      <c r="E3" s="48" t="inlineStr">
        <is>
          <t>Eligible Coverage</t>
        </is>
      </c>
      <c r="F3" s="48" t="inlineStr">
        <is>
          <t>Variation</t>
        </is>
      </c>
      <c r="G3" s="48" t="inlineStr">
        <is>
          <t>Evidence Quality</t>
        </is>
      </c>
      <c r="H3" s="48" t="inlineStr">
        <is>
          <t>Directionality</t>
        </is>
      </c>
      <c r="I3" s="48" t="inlineStr">
        <is>
          <t>Scalability</t>
        </is>
      </c>
      <c r="J3" s="48" t="inlineStr">
        <is>
          <t>Historical Feasibility</t>
        </is>
      </c>
      <c r="K3" s="48" t="inlineStr">
        <is>
          <t>Overlap Risk</t>
        </is>
      </c>
      <c r="L3" s="48" t="inlineStr">
        <is>
          <t>Recommended Role</t>
        </is>
      </c>
      <c r="M3" s="48" t="inlineStr">
        <is>
          <t>Final Status</t>
        </is>
      </c>
    </row>
    <row r="4" ht="20" customHeight="1" s="76">
      <c r="A4" s="42" t="inlineStr">
        <is>
          <t>S1A</t>
        </is>
      </c>
      <c r="B4" s="42" t="inlineStr">
        <is>
          <t>Existing</t>
        </is>
      </c>
      <c r="C4" s="42" t="inlineStr">
        <is>
          <t>استقلال ساختاری</t>
        </is>
      </c>
      <c r="D4" s="42" t="inlineStr">
        <is>
          <t>28/30</t>
        </is>
      </c>
      <c r="E4" s="42" t="inlineStr">
        <is>
          <t>28/30</t>
        </is>
      </c>
      <c r="F4" s="42" t="inlineStr">
        <is>
          <t>بله</t>
        </is>
      </c>
      <c r="G4" s="42" t="inlineStr">
        <is>
          <t>MODERATE</t>
        </is>
      </c>
      <c r="H4" s="42" t="inlineStr">
        <is>
          <t>CONTEXT_DEPENDENT</t>
        </is>
      </c>
      <c r="I4" s="42" t="inlineStr">
        <is>
          <t>HIGH</t>
        </is>
      </c>
      <c r="J4" s="42" t="inlineStr">
        <is>
          <t>MEDIUM</t>
        </is>
      </c>
      <c r="K4" s="42" t="inlineStr">
        <is>
          <t>LOW</t>
        </is>
      </c>
      <c r="L4" s="42" t="inlineStr">
        <is>
          <t>اصلی</t>
        </is>
      </c>
      <c r="M4" s="44" t="inlineStr">
        <is>
          <t>SCALE_UP_PRIMARY</t>
        </is>
      </c>
    </row>
    <row r="5" ht="20" customHeight="1" s="76">
      <c r="A5" s="50" t="inlineStr">
        <is>
          <t>V1</t>
        </is>
      </c>
      <c r="B5" s="50" t="inlineStr">
        <is>
          <t>Existing</t>
        </is>
      </c>
      <c r="C5" s="50" t="inlineStr">
        <is>
          <t>تنوع تحصیلی</t>
        </is>
      </c>
      <c r="D5" s="50" t="inlineStr">
        <is>
          <t>28/30</t>
        </is>
      </c>
      <c r="E5" s="50" t="inlineStr">
        <is>
          <t>28/30</t>
        </is>
      </c>
      <c r="F5" s="50" t="inlineStr">
        <is>
          <t>بله</t>
        </is>
      </c>
      <c r="G5" s="50" t="inlineStr">
        <is>
          <t>MODERATE</t>
        </is>
      </c>
      <c r="H5" s="50" t="inlineStr">
        <is>
          <t>POSITIVE_DIRECTION</t>
        </is>
      </c>
      <c r="I5" s="50" t="inlineStr">
        <is>
          <t>HIGH</t>
        </is>
      </c>
      <c r="J5" s="50" t="inlineStr">
        <is>
          <t>MEDIUM</t>
        </is>
      </c>
      <c r="K5" s="50" t="inlineStr">
        <is>
          <t>LOW</t>
        </is>
      </c>
      <c r="L5" s="50" t="inlineStr">
        <is>
          <t>اصلی</t>
        </is>
      </c>
      <c r="M5" s="44" t="inlineStr">
        <is>
          <t>SCALE_UP_PRIMARY</t>
        </is>
      </c>
    </row>
    <row r="6" ht="20" customHeight="1" s="76">
      <c r="A6" s="42" t="inlineStr">
        <is>
          <t>VAR06_Strict</t>
        </is>
      </c>
      <c r="B6" s="42" t="inlineStr">
        <is>
          <t>Existing</t>
        </is>
      </c>
      <c r="C6" s="42" t="inlineStr">
        <is>
          <t>تنوع حرفه‌ای</t>
        </is>
      </c>
      <c r="D6" s="42" t="inlineStr">
        <is>
          <t>27/30</t>
        </is>
      </c>
      <c r="E6" s="42" t="inlineStr">
        <is>
          <t>27/28</t>
        </is>
      </c>
      <c r="F6" s="42" t="inlineStr">
        <is>
          <t>بله</t>
        </is>
      </c>
      <c r="G6" s="42" t="inlineStr">
        <is>
          <t>MODERATE</t>
        </is>
      </c>
      <c r="H6" s="42" t="inlineStr">
        <is>
          <t>POSITIVE_DIRECTION</t>
        </is>
      </c>
      <c r="I6" s="42" t="inlineStr">
        <is>
          <t>MEDIUM</t>
        </is>
      </c>
      <c r="J6" s="42" t="inlineStr">
        <is>
          <t>MEDIUM</t>
        </is>
      </c>
      <c r="K6" s="42" t="inlineStr">
        <is>
          <t>MEDIUM</t>
        </is>
      </c>
      <c r="L6" s="42" t="inlineStr">
        <is>
          <t>اصلی با محدودیت</t>
        </is>
      </c>
      <c r="M6" s="52" t="inlineStr">
        <is>
          <t>SCALE_UP_WITH_LIMITATION</t>
        </is>
      </c>
    </row>
    <row r="7" ht="20" customHeight="1" s="76">
      <c r="A7" s="50" t="inlineStr">
        <is>
          <t>VAR10</t>
        </is>
      </c>
      <c r="B7" s="50" t="inlineStr">
        <is>
          <t>Existing</t>
        </is>
      </c>
      <c r="C7" s="50" t="inlineStr">
        <is>
          <t>تخصص مالی</t>
        </is>
      </c>
      <c r="D7" s="50" t="inlineStr">
        <is>
          <t>28/30</t>
        </is>
      </c>
      <c r="E7" s="50" t="inlineStr">
        <is>
          <t>28/28</t>
        </is>
      </c>
      <c r="F7" s="50" t="inlineStr">
        <is>
          <t>بله</t>
        </is>
      </c>
      <c r="G7" s="50" t="inlineStr">
        <is>
          <t>MODERATE</t>
        </is>
      </c>
      <c r="H7" s="50" t="inlineStr">
        <is>
          <t>POSITIVE_DIRECTION</t>
        </is>
      </c>
      <c r="I7" s="50" t="inlineStr">
        <is>
          <t>MEDIUM</t>
        </is>
      </c>
      <c r="J7" s="50" t="inlineStr">
        <is>
          <t>MEDIUM</t>
        </is>
      </c>
      <c r="K7" s="50" t="inlineStr">
        <is>
          <t>MEDIUM</t>
        </is>
      </c>
      <c r="L7" s="50" t="inlineStr">
        <is>
          <t>اصلی با محدودیت</t>
        </is>
      </c>
      <c r="M7" s="52" t="inlineStr">
        <is>
          <t>SCALE_UP_WITH_LIMITATION</t>
        </is>
      </c>
    </row>
    <row r="8" ht="20" customHeight="1" s="76">
      <c r="A8" s="42" t="inlineStr">
        <is>
          <t>CR1A</t>
        </is>
      </c>
      <c r="B8" s="42" t="inlineStr">
        <is>
          <t>Existing</t>
        </is>
      </c>
      <c r="C8" s="42" t="inlineStr">
        <is>
          <t>ثبات رهبری</t>
        </is>
      </c>
      <c r="D8" s="42" t="str">
        <f>'CR1A v39'!B39&amp;"/"&amp;'CR1A v39'!B44</f>
        <v>26/30</v>
      </c>
      <c r="E8" s="42" t="str">
        <f>'CR1A v39'!B39&amp;"/"&amp;'CR1A v39'!B44</f>
        <v>26/30</v>
      </c>
      <c r="F8" s="42" t="inlineStr">
        <is>
          <t>بله</t>
        </is>
      </c>
      <c r="G8" s="42" t="inlineStr">
        <is>
          <t>LOW</t>
        </is>
      </c>
      <c r="H8" s="42" t="inlineStr">
        <is>
          <t>NO_CLEAR_DIRECTION</t>
        </is>
      </c>
      <c r="I8" s="42" t="inlineStr">
        <is>
          <t>MEDIUM</t>
        </is>
      </c>
      <c r="J8" s="42" t="inlineStr">
        <is>
          <t>MEDIUM</t>
        </is>
      </c>
      <c r="K8" s="42" t="inlineStr">
        <is>
          <t>LOW</t>
        </is>
      </c>
      <c r="L8" s="42" t="inlineStr">
        <is>
          <t>تشخیصی</t>
        </is>
      </c>
      <c r="M8" s="53" t="inlineStr">
        <is>
          <t>CONTROL_DIAGNOSTIC</t>
        </is>
      </c>
    </row>
    <row r="9" ht="20" customHeight="1" s="76">
      <c r="A9" s="50" t="inlineStr">
        <is>
          <t>AUD01</t>
        </is>
      </c>
      <c r="B9" s="50" t="inlineStr">
        <is>
          <t>Existing</t>
        </is>
      </c>
      <c r="C9" s="50" t="inlineStr">
        <is>
          <t>نظارت</t>
        </is>
      </c>
      <c r="D9" s="50" t="inlineStr">
        <is>
          <t>29/30</t>
        </is>
      </c>
      <c r="E9" s="50" t="inlineStr">
        <is>
          <t>29/30</t>
        </is>
      </c>
      <c r="F9" s="50" t="inlineStr">
        <is>
          <t>بله</t>
        </is>
      </c>
      <c r="G9" s="50" t="inlineStr">
        <is>
          <t>MODERATE</t>
        </is>
      </c>
      <c r="H9" s="50" t="inlineStr">
        <is>
          <t>POSITIVE_DIRECTION</t>
        </is>
      </c>
      <c r="I9" s="50" t="inlineStr">
        <is>
          <t>HIGH</t>
        </is>
      </c>
      <c r="J9" s="50" t="inlineStr">
        <is>
          <t>MEDIUM</t>
        </is>
      </c>
      <c r="K9" s="50" t="inlineStr">
        <is>
          <t>LOW</t>
        </is>
      </c>
      <c r="L9" s="50" t="inlineStr">
        <is>
          <t>اصلی با محدودیت</t>
        </is>
      </c>
      <c r="M9" s="52" t="inlineStr">
        <is>
          <t>SCALE_UP_WITH_LIMITATION</t>
        </is>
      </c>
    </row>
    <row r="10" ht="20" customHeight="1" s="76">
      <c r="A10" s="42" t="inlineStr">
        <is>
          <t>AUD02</t>
        </is>
      </c>
      <c r="B10" s="42" t="inlineStr">
        <is>
          <t>Existing</t>
        </is>
      </c>
      <c r="C10" s="42" t="inlineStr">
        <is>
          <t>نظارت</t>
        </is>
      </c>
      <c r="D10" s="42" t="inlineStr">
        <is>
          <t>27/30</t>
        </is>
      </c>
      <c r="E10" s="42" t="inlineStr">
        <is>
          <t>27/30</t>
        </is>
      </c>
      <c r="F10" s="42" t="inlineStr">
        <is>
          <t>بله</t>
        </is>
      </c>
      <c r="G10" s="42" t="inlineStr">
        <is>
          <t>LOW</t>
        </is>
      </c>
      <c r="H10" s="42" t="inlineStr">
        <is>
          <t>NONLINEAR_POSSIBLE</t>
        </is>
      </c>
      <c r="I10" s="42" t="inlineStr">
        <is>
          <t>HIGH</t>
        </is>
      </c>
      <c r="J10" s="42" t="inlineStr">
        <is>
          <t>MEDIUM</t>
        </is>
      </c>
      <c r="K10" s="42" t="inlineStr">
        <is>
          <t>HIGH</t>
        </is>
      </c>
      <c r="L10" s="42" t="inlineStr">
        <is>
          <t>Robustness</t>
        </is>
      </c>
      <c r="M10" s="53" t="inlineStr">
        <is>
          <t>ROBUSTNESS_ONLY</t>
        </is>
      </c>
    </row>
    <row r="11" ht="29" customHeight="1" s="76">
      <c r="A11" s="50" t="inlineStr">
        <is>
          <t>IRN01</t>
        </is>
      </c>
      <c r="B11" s="50" t="inlineStr">
        <is>
          <t>Existing</t>
        </is>
      </c>
      <c r="C11" s="50" t="inlineStr">
        <is>
          <t>ساختار نمایندگی</t>
        </is>
      </c>
      <c r="D11" s="50" t="inlineStr">
        <is>
          <t>29/30</t>
        </is>
      </c>
      <c r="E11" s="50" t="inlineStr">
        <is>
          <t>29/30</t>
        </is>
      </c>
      <c r="F11" s="50" t="inlineStr">
        <is>
          <t>ضعیف (Dummy بانکی)</t>
        </is>
      </c>
      <c r="G11" s="50" t="inlineStr">
        <is>
          <t>MODERATE</t>
        </is>
      </c>
      <c r="H11" s="50" t="inlineStr">
        <is>
          <t>NO_CLEAR_DIRECTION</t>
        </is>
      </c>
      <c r="I11" s="50" t="inlineStr">
        <is>
          <t>HIGH</t>
        </is>
      </c>
      <c r="J11" s="50" t="inlineStr">
        <is>
          <t>HIGH</t>
        </is>
      </c>
      <c r="K11" s="50" t="inlineStr">
        <is>
          <t>LOW</t>
        </is>
      </c>
      <c r="L11" s="50" t="inlineStr">
        <is>
          <t>ساختاری</t>
        </is>
      </c>
      <c r="M11" s="54" t="inlineStr">
        <is>
          <t>STRUCTURAL_GOVERNANCE_MEASURE</t>
        </is>
      </c>
    </row>
    <row r="12" ht="20" customHeight="1" s="76">
      <c r="A12" s="42" t="inlineStr">
        <is>
          <t>IRN02</t>
        </is>
      </c>
      <c r="B12" s="42" t="inlineStr">
        <is>
          <t>Existing</t>
        </is>
      </c>
      <c r="C12" s="42" t="inlineStr">
        <is>
          <t>ساختار نمایندگی</t>
        </is>
      </c>
      <c r="D12" s="42" t="inlineStr">
        <is>
          <t>29/30</t>
        </is>
      </c>
      <c r="E12" s="42" t="inlineStr">
        <is>
          <t>29/30</t>
        </is>
      </c>
      <c r="F12" s="42" t="inlineStr">
        <is>
          <t>ضعیف</t>
        </is>
      </c>
      <c r="G12" s="42" t="inlineStr">
        <is>
          <t>MODERATE</t>
        </is>
      </c>
      <c r="H12" s="42" t="inlineStr">
        <is>
          <t>NO_CLEAR_DIRECTION</t>
        </is>
      </c>
      <c r="I12" s="42" t="inlineStr">
        <is>
          <t>HIGH</t>
        </is>
      </c>
      <c r="J12" s="42" t="inlineStr">
        <is>
          <t>HIGH</t>
        </is>
      </c>
      <c r="K12" s="42" t="inlineStr">
        <is>
          <t>HIGH</t>
        </is>
      </c>
      <c r="L12" s="42" t="inlineStr">
        <is>
          <t>Robustness</t>
        </is>
      </c>
      <c r="M12" s="53" t="inlineStr">
        <is>
          <t>ROBUSTNESS_ONLY</t>
        </is>
      </c>
    </row>
    <row r="13" ht="20" customHeight="1" s="76">
      <c r="A13" s="50" t="inlineStr">
        <is>
          <t>SEP07</t>
        </is>
      </c>
      <c r="B13" s="50" t="inlineStr">
        <is>
          <t>Existing</t>
        </is>
      </c>
      <c r="C13" s="50" t="inlineStr">
        <is>
          <t>تفکیک رهبری</t>
        </is>
      </c>
      <c r="D13" s="50" t="inlineStr">
        <is>
          <t>26/30</t>
        </is>
      </c>
      <c r="E13" s="50" t="inlineStr">
        <is>
          <t>26/30</t>
        </is>
      </c>
      <c r="F13" s="50" t="inlineStr">
        <is>
          <t>صفر</t>
        </is>
      </c>
      <c r="G13" s="50" t="inlineStr">
        <is>
          <t>MODERATE</t>
        </is>
      </c>
      <c r="H13" s="50" t="inlineStr">
        <is>
          <t>POSITIVE_DIRECTION</t>
        </is>
      </c>
      <c r="I13" s="50" t="inlineStr">
        <is>
          <t>HIGH</t>
        </is>
      </c>
      <c r="J13" s="50" t="inlineStr">
        <is>
          <t>HIGH</t>
        </is>
      </c>
      <c r="K13" s="50" t="inlineStr">
        <is>
          <t>LOW</t>
        </is>
      </c>
      <c r="L13" s="50" t="inlineStr">
        <is>
          <t>تشخیصی</t>
        </is>
      </c>
      <c r="M13" s="53" t="inlineStr">
        <is>
          <t>CONTROL_DIAGNOSTIC</t>
        </is>
      </c>
    </row>
    <row r="14" ht="20" customHeight="1" s="76">
      <c r="A14" s="42" t="inlineStr">
        <is>
          <t>REF05</t>
        </is>
      </c>
      <c r="B14" s="42" t="inlineStr">
        <is>
          <t>Existing</t>
        </is>
      </c>
      <c r="C14" s="42" t="inlineStr">
        <is>
          <t>گردش</t>
        </is>
      </c>
      <c r="D14" s="42" t="inlineStr">
        <is>
          <t>27/30</t>
        </is>
      </c>
      <c r="E14" s="42" t="inlineStr">
        <is>
          <t>27/28</t>
        </is>
      </c>
      <c r="F14" s="42" t="inlineStr">
        <is>
          <t>بله</t>
        </is>
      </c>
      <c r="G14" s="42" t="inlineStr">
        <is>
          <t>MODERATE</t>
        </is>
      </c>
      <c r="H14" s="42" t="inlineStr">
        <is>
          <t>CONTEXT_DEPENDENT</t>
        </is>
      </c>
      <c r="I14" s="42" t="inlineStr">
        <is>
          <t>MEDIUM</t>
        </is>
      </c>
      <c r="J14" s="42" t="inlineStr">
        <is>
          <t>MEDIUM</t>
        </is>
      </c>
      <c r="K14" s="42" t="inlineStr">
        <is>
          <t>MEDIUM</t>
        </is>
      </c>
      <c r="L14" s="42" t="inlineStr">
        <is>
          <t>اصلی با محدودیت</t>
        </is>
      </c>
      <c r="M14" s="52" t="inlineStr">
        <is>
          <t>SCALE_UP_WITH_LIMITATION</t>
        </is>
      </c>
    </row>
    <row r="15" ht="20" customHeight="1" s="76">
      <c r="A15" s="50" t="inlineStr">
        <is>
          <t>REF08</t>
        </is>
      </c>
      <c r="B15" s="50" t="inlineStr">
        <is>
          <t>Existing</t>
        </is>
      </c>
      <c r="C15" s="50" t="inlineStr">
        <is>
          <t>پویایی نمایندگی</t>
        </is>
      </c>
      <c r="D15" s="50" t="inlineStr">
        <is>
          <t>22/30</t>
        </is>
      </c>
      <c r="E15" s="50" t="inlineStr">
        <is>
          <t>22/23</t>
        </is>
      </c>
      <c r="F15" s="50" t="inlineStr">
        <is>
          <t>بله</t>
        </is>
      </c>
      <c r="G15" s="50" t="inlineStr">
        <is>
          <t>LOW</t>
        </is>
      </c>
      <c r="H15" s="50" t="inlineStr">
        <is>
          <t>NO_CLEAR_DIRECTION</t>
        </is>
      </c>
      <c r="I15" s="50" t="inlineStr">
        <is>
          <t>MEDIUM</t>
        </is>
      </c>
      <c r="J15" s="50" t="inlineStr">
        <is>
          <t>LOW</t>
        </is>
      </c>
      <c r="K15" s="50" t="inlineStr">
        <is>
          <t>MEDIUM</t>
        </is>
      </c>
      <c r="L15" s="50" t="inlineStr">
        <is>
          <t>اعتبارسنجی</t>
        </is>
      </c>
      <c r="M15" s="45" t="inlineStr">
        <is>
          <t>TARGETED_VALIDATION</t>
        </is>
      </c>
    </row>
    <row r="16" ht="20" customHeight="1" s="76">
      <c r="A16" s="42" t="inlineStr">
        <is>
          <t>N01 Board Size</t>
        </is>
      </c>
      <c r="B16" s="42" t="inlineStr">
        <is>
          <t>New</t>
        </is>
      </c>
      <c r="C16" s="42" t="inlineStr">
        <is>
          <t>ترکیب</t>
        </is>
      </c>
      <c r="D16" s="42" t="inlineStr">
        <is>
          <t>30/30</t>
        </is>
      </c>
      <c r="E16" s="42" t="inlineStr">
        <is>
          <t>30/28</t>
        </is>
      </c>
      <c r="F16" s="42" t="inlineStr">
        <is>
          <t>بله (آزمون)</t>
        </is>
      </c>
      <c r="G16" s="42" t="inlineStr">
        <is>
          <t>MODERATE</t>
        </is>
      </c>
      <c r="H16" s="42" t="inlineStr">
        <is>
          <t>CONTEXT_DEPENDENT</t>
        </is>
      </c>
      <c r="I16" s="42" t="inlineStr">
        <is>
          <t>HIGH</t>
        </is>
      </c>
      <c r="J16" s="42" t="inlineStr">
        <is>
          <t>HIGH</t>
        </is>
      </c>
      <c r="K16" s="42" t="inlineStr">
        <is>
          <t>HIGHLY_REDUNDANT</t>
        </is>
      </c>
      <c r="L16" s="42" t="inlineStr">
        <is>
          <t>کنترل</t>
        </is>
      </c>
      <c r="M16" s="53" t="inlineStr">
        <is>
          <t>CONTROL_DIAGNOSTIC</t>
        </is>
      </c>
    </row>
    <row r="17" ht="29" customHeight="1" s="76">
      <c r="A17" s="50" t="inlineStr">
        <is>
          <t>N02 Doctorate Share</t>
        </is>
      </c>
      <c r="B17" s="50" t="inlineStr">
        <is>
          <t>New</t>
        </is>
      </c>
      <c r="C17" s="50" t="inlineStr">
        <is>
          <t>سرمایه انسانی</t>
        </is>
      </c>
      <c r="D17" s="50" t="inlineStr">
        <is>
          <t>30/30</t>
        </is>
      </c>
      <c r="E17" s="50" t="inlineStr">
        <is>
          <t>30/28</t>
        </is>
      </c>
      <c r="F17" s="50" t="inlineStr">
        <is>
          <t>بله (آزمون)</t>
        </is>
      </c>
      <c r="G17" s="50" t="inlineStr">
        <is>
          <t>MODERATE</t>
        </is>
      </c>
      <c r="H17" s="50" t="inlineStr">
        <is>
          <t>CONTEXT_DEPENDENT</t>
        </is>
      </c>
      <c r="I17" s="50" t="inlineStr">
        <is>
          <t>HIGH</t>
        </is>
      </c>
      <c r="J17" s="50" t="inlineStr">
        <is>
          <t>MEDIUM</t>
        </is>
      </c>
      <c r="K17" s="50" t="inlineStr">
        <is>
          <t>PARTIALLY_OVERLAPPING</t>
        </is>
      </c>
      <c r="L17" s="50" t="inlineStr">
        <is>
          <t>Scale-Up با محدودیت</t>
        </is>
      </c>
      <c r="M17" s="52" t="inlineStr">
        <is>
          <t>SCALE_UP_WITH_LIMITATION</t>
        </is>
      </c>
    </row>
    <row r="18" ht="29" customHeight="1" s="76">
      <c r="A18" s="42" t="inlineStr">
        <is>
          <t>N03 Advanced Degree Share</t>
        </is>
      </c>
      <c r="B18" s="42" t="inlineStr">
        <is>
          <t>New</t>
        </is>
      </c>
      <c r="C18" s="42" t="inlineStr">
        <is>
          <t>سرمایه انسانی</t>
        </is>
      </c>
      <c r="D18" s="42" t="inlineStr">
        <is>
          <t>30/30</t>
        </is>
      </c>
      <c r="E18" s="42" t="inlineStr">
        <is>
          <t>30/28</t>
        </is>
      </c>
      <c r="F18" s="42" t="inlineStr">
        <is>
          <t>بله (آزمون)</t>
        </is>
      </c>
      <c r="G18" s="42" t="inlineStr">
        <is>
          <t>MODERATE</t>
        </is>
      </c>
      <c r="H18" s="42" t="inlineStr">
        <is>
          <t>POSITIVE_DIRECTION</t>
        </is>
      </c>
      <c r="I18" s="42" t="inlineStr">
        <is>
          <t>HIGH</t>
        </is>
      </c>
      <c r="J18" s="42" t="inlineStr">
        <is>
          <t>MEDIUM</t>
        </is>
      </c>
      <c r="K18" s="42" t="inlineStr">
        <is>
          <t>MATHEMATICAL_COMPLEMENT/OVERLAP</t>
        </is>
      </c>
      <c r="L18" s="42" t="inlineStr">
        <is>
          <t>Robustness</t>
        </is>
      </c>
      <c r="M18" s="53" t="inlineStr">
        <is>
          <t>ROBUSTNESS_ONLY</t>
        </is>
      </c>
    </row>
    <row r="19" ht="29" customHeight="1" s="76">
      <c r="A19" s="50" t="inlineStr">
        <is>
          <t>N06 Shared Legal Entity Ties</t>
        </is>
      </c>
      <c r="B19" s="50" t="inlineStr">
        <is>
          <t>New</t>
        </is>
      </c>
      <c r="C19" s="50" t="inlineStr">
        <is>
          <t>شبکه/ساختار</t>
        </is>
      </c>
      <c r="D19" s="50" t="inlineStr">
        <is>
          <t>30/30</t>
        </is>
      </c>
      <c r="E19" s="50" t="inlineStr">
        <is>
          <t>30/28</t>
        </is>
      </c>
      <c r="F19" s="50" t="inlineStr">
        <is>
          <t>بله (آزمون)</t>
        </is>
      </c>
      <c r="G19" s="50" t="inlineStr">
        <is>
          <t>MODERATE</t>
        </is>
      </c>
      <c r="H19" s="50" t="inlineStr">
        <is>
          <t>CONTEXT_DEPENDENT</t>
        </is>
      </c>
      <c r="I19" s="50" t="inlineStr">
        <is>
          <t>MEDIUM</t>
        </is>
      </c>
      <c r="J19" s="50" t="inlineStr">
        <is>
          <t>MEDIUM</t>
        </is>
      </c>
      <c r="K19" s="50" t="inlineStr">
        <is>
          <t>PARTIALLY_OVERLAPPING</t>
        </is>
      </c>
      <c r="L19" s="50" t="inlineStr">
        <is>
          <t>اعتبارسنجی هدفمند</t>
        </is>
      </c>
      <c r="M19" s="45" t="inlineStr">
        <is>
          <t>TARGETED_VALIDATION</t>
        </is>
      </c>
    </row>
    <row r="20" ht="20" customHeight="1" s="76">
      <c r="A20" s="42" t="inlineStr">
        <is>
          <t>N07 Person Interlock</t>
        </is>
      </c>
      <c r="B20" s="42" t="inlineStr">
        <is>
          <t>New</t>
        </is>
      </c>
      <c r="C20" s="42" t="inlineStr">
        <is>
          <t>شبکه</t>
        </is>
      </c>
      <c r="D20" s="42" t="inlineStr">
        <is>
          <t>6/30</t>
        </is>
      </c>
      <c r="E20" s="42" t="inlineStr">
        <is>
          <t>6/28</t>
        </is>
      </c>
      <c r="F20" s="42" t="inlineStr">
        <is>
          <t>بله (آزمون)</t>
        </is>
      </c>
      <c r="G20" s="42" t="inlineStr">
        <is>
          <t>MODERATE</t>
        </is>
      </c>
      <c r="H20" s="42" t="inlineStr">
        <is>
          <t>CONTEXT_DEPENDENT</t>
        </is>
      </c>
      <c r="I20" s="42" t="inlineStr">
        <is>
          <t>MEDIUM</t>
        </is>
      </c>
      <c r="J20" s="42" t="inlineStr">
        <is>
          <t>MEDIUM</t>
        </is>
      </c>
      <c r="K20" s="42" t="inlineStr">
        <is>
          <t>INDEPENDENT</t>
        </is>
      </c>
      <c r="L20" s="42" t="inlineStr">
        <is>
          <t>Proof of Concept</t>
        </is>
      </c>
      <c r="M20" s="53" t="inlineStr">
        <is>
          <t>DEFER</t>
        </is>
      </c>
    </row>
    <row r="21" ht="29" customHeight="1" s="76">
      <c r="A21" s="50" t="inlineStr">
        <is>
          <t>N08 Government Background Share</t>
        </is>
      </c>
      <c r="B21" s="50" t="inlineStr">
        <is>
          <t>New</t>
        </is>
      </c>
      <c r="C21" s="50" t="inlineStr">
        <is>
          <t>سابقه حرفه‌ای</t>
        </is>
      </c>
      <c r="D21" s="50" t="inlineStr">
        <is>
          <t>28/30</t>
        </is>
      </c>
      <c r="E21" s="50" t="inlineStr">
        <is>
          <t>28/28</t>
        </is>
      </c>
      <c r="F21" s="50" t="inlineStr">
        <is>
          <t>بله (آزمون)</t>
        </is>
      </c>
      <c r="G21" s="50" t="inlineStr">
        <is>
          <t>MODERATE</t>
        </is>
      </c>
      <c r="H21" s="50" t="inlineStr">
        <is>
          <t>CONTEXT_DEPENDENT</t>
        </is>
      </c>
      <c r="I21" s="50" t="inlineStr">
        <is>
          <t>MEDIUM</t>
        </is>
      </c>
      <c r="J21" s="50" t="inlineStr">
        <is>
          <t>MEDIUM</t>
        </is>
      </c>
      <c r="K21" s="50" t="inlineStr">
        <is>
          <t>DO_NOT_COMBINE</t>
        </is>
      </c>
      <c r="L21" s="50" t="inlineStr">
        <is>
          <t>کنترل</t>
        </is>
      </c>
      <c r="M21" s="53" t="inlineStr">
        <is>
          <t>CONTROL_DIAGNOSTIC</t>
        </is>
      </c>
    </row>
    <row r="22" ht="29" customHeight="1" s="76">
      <c r="A22" s="42" t="inlineStr">
        <is>
          <t>N09 Executive Background Share</t>
        </is>
      </c>
      <c r="B22" s="42" t="inlineStr">
        <is>
          <t>New</t>
        </is>
      </c>
      <c r="C22" s="42" t="inlineStr">
        <is>
          <t>سابقه حرفه‌ای</t>
        </is>
      </c>
      <c r="D22" s="42" t="inlineStr">
        <is>
          <t>28/30</t>
        </is>
      </c>
      <c r="E22" s="42" t="inlineStr">
        <is>
          <t>28/28</t>
        </is>
      </c>
      <c r="F22" s="42" t="inlineStr">
        <is>
          <t>بله (آزمون)</t>
        </is>
      </c>
      <c r="G22" s="42" t="inlineStr">
        <is>
          <t>MODERATE</t>
        </is>
      </c>
      <c r="H22" s="42" t="inlineStr">
        <is>
          <t>CONTEXT_DEPENDENT</t>
        </is>
      </c>
      <c r="I22" s="42" t="inlineStr">
        <is>
          <t>MEDIUM</t>
        </is>
      </c>
      <c r="J22" s="42" t="inlineStr">
        <is>
          <t>MEDIUM</t>
        </is>
      </c>
      <c r="K22" s="42" t="inlineStr">
        <is>
          <t>DO_NOT_COMBINE</t>
        </is>
      </c>
      <c r="L22" s="42" t="inlineStr">
        <is>
          <t>Robustness</t>
        </is>
      </c>
      <c r="M22" s="53" t="inlineStr">
        <is>
          <t>ROBUSTNESS_ONLY</t>
        </is>
      </c>
    </row>
    <row r="23" ht="29" customHeight="1" s="76">
      <c r="A23" s="50" t="inlineStr">
        <is>
          <t>N10 Finance Background Share</t>
        </is>
      </c>
      <c r="B23" s="50" t="inlineStr">
        <is>
          <t>New</t>
        </is>
      </c>
      <c r="C23" s="50" t="inlineStr">
        <is>
          <t>سابقه حرفه‌ای</t>
        </is>
      </c>
      <c r="D23" s="50" t="inlineStr">
        <is>
          <t>28/30</t>
        </is>
      </c>
      <c r="E23" s="50" t="inlineStr">
        <is>
          <t>28/28</t>
        </is>
      </c>
      <c r="F23" s="50" t="inlineStr">
        <is>
          <t>بله (آزمون)</t>
        </is>
      </c>
      <c r="G23" s="50" t="inlineStr">
        <is>
          <t>MODERATE</t>
        </is>
      </c>
      <c r="H23" s="50" t="inlineStr">
        <is>
          <t>POSITIVE_DIRECTION</t>
        </is>
      </c>
      <c r="I23" s="50" t="inlineStr">
        <is>
          <t>MEDIUM</t>
        </is>
      </c>
      <c r="J23" s="50" t="inlineStr">
        <is>
          <t>MEDIUM</t>
        </is>
      </c>
      <c r="K23" s="50" t="inlineStr">
        <is>
          <t>PARTIALLY_OVERLAPPING</t>
        </is>
      </c>
      <c r="L23" s="50" t="inlineStr">
        <is>
          <t>Robustness</t>
        </is>
      </c>
      <c r="M23" s="53" t="inlineStr">
        <is>
          <t>ROBUSTNESS_ONLY</t>
        </is>
      </c>
    </row>
    <row r="24" ht="29" customHeight="1" s="76">
      <c r="A24" s="42" t="inlineStr">
        <is>
          <t>N11 Industry Expertise Share</t>
        </is>
      </c>
      <c r="B24" s="42" t="inlineStr">
        <is>
          <t>New</t>
        </is>
      </c>
      <c r="C24" s="42" t="inlineStr">
        <is>
          <t>تخصص</t>
        </is>
      </c>
      <c r="D24" s="42" t="inlineStr">
        <is>
          <t>28/30</t>
        </is>
      </c>
      <c r="E24" s="42" t="inlineStr">
        <is>
          <t>28/28</t>
        </is>
      </c>
      <c r="F24" s="42" t="inlineStr">
        <is>
          <t>بله (آزمون)</t>
        </is>
      </c>
      <c r="G24" s="42" t="inlineStr">
        <is>
          <t>MODERATE</t>
        </is>
      </c>
      <c r="H24" s="42" t="inlineStr">
        <is>
          <t>POSITIVE_DIRECTION</t>
        </is>
      </c>
      <c r="I24" s="42" t="inlineStr">
        <is>
          <t>MEDIUM</t>
        </is>
      </c>
      <c r="J24" s="42" t="inlineStr">
        <is>
          <t>MEDIUM</t>
        </is>
      </c>
      <c r="K24" s="42" t="inlineStr">
        <is>
          <t>PARTIALLY_OVERLAPPING</t>
        </is>
      </c>
      <c r="L24" s="42" t="inlineStr">
        <is>
          <t>Proof of Concept</t>
        </is>
      </c>
      <c r="M24" s="53" t="inlineStr">
        <is>
          <t>DEFER</t>
        </is>
      </c>
    </row>
    <row r="25" ht="20" customHeight="1" s="76">
      <c r="A25" s="50" t="inlineStr">
        <is>
          <t>N13 Academic Expertise Share</t>
        </is>
      </c>
      <c r="B25" s="50" t="inlineStr">
        <is>
          <t>New</t>
        </is>
      </c>
      <c r="C25" s="50" t="inlineStr">
        <is>
          <t>تخصص</t>
        </is>
      </c>
      <c r="D25" s="50" t="inlineStr">
        <is>
          <t>0/30</t>
        </is>
      </c>
      <c r="E25" s="50" t="inlineStr">
        <is>
          <t>0/28</t>
        </is>
      </c>
      <c r="F25" s="50" t="inlineStr">
        <is>
          <t>نامشخص</t>
        </is>
      </c>
      <c r="G25" s="50" t="inlineStr">
        <is>
          <t>LOW</t>
        </is>
      </c>
      <c r="H25" s="50" t="inlineStr">
        <is>
          <t>POSITIVE_DIRECTION</t>
        </is>
      </c>
      <c r="I25" s="50" t="inlineStr">
        <is>
          <t>LOW</t>
        </is>
      </c>
      <c r="J25" s="50" t="inlineStr">
        <is>
          <t>LOW</t>
        </is>
      </c>
      <c r="K25" s="50" t="inlineStr">
        <is>
          <t>N/A</t>
        </is>
      </c>
      <c r="L25" s="50" t="inlineStr">
        <is>
          <t>تئوریک</t>
        </is>
      </c>
      <c r="M25" s="53" t="inlineStr">
        <is>
          <t>DEFER</t>
        </is>
      </c>
    </row>
    <row r="26" ht="29" customHeight="1" s="76">
      <c r="A26" s="42" t="inlineStr">
        <is>
          <t>N14 Audit Committee Independence</t>
        </is>
      </c>
      <c r="B26" s="42" t="inlineStr">
        <is>
          <t>New</t>
        </is>
      </c>
      <c r="C26" s="42" t="inlineStr">
        <is>
          <t>نظارت</t>
        </is>
      </c>
      <c r="D26" s="42" t="inlineStr">
        <is>
          <t>5/30</t>
        </is>
      </c>
      <c r="E26" s="42" t="inlineStr">
        <is>
          <t>5/30</t>
        </is>
      </c>
      <c r="F26" s="42" t="inlineStr">
        <is>
          <t>نامشخص</t>
        </is>
      </c>
      <c r="G26" s="42" t="inlineStr">
        <is>
          <t>LOW</t>
        </is>
      </c>
      <c r="H26" s="42" t="inlineStr">
        <is>
          <t>POSITIVE_DIRECTION</t>
        </is>
      </c>
      <c r="I26" s="42" t="inlineStr">
        <is>
          <t>MEDIUM</t>
        </is>
      </c>
      <c r="J26" s="42" t="inlineStr">
        <is>
          <t>MEDIUM</t>
        </is>
      </c>
      <c r="K26" s="42" t="inlineStr">
        <is>
          <t>INDEPENDENT</t>
        </is>
      </c>
      <c r="L26" s="42" t="inlineStr">
        <is>
          <t>اعتبارسنجی هدفمند</t>
        </is>
      </c>
      <c r="M26" s="45" t="inlineStr">
        <is>
          <t>TARGETED_VALIDATION</t>
        </is>
      </c>
    </row>
    <row r="27" ht="20" customHeight="1" s="76">
      <c r="A27" s="50" t="inlineStr">
        <is>
          <t>N15 AC Financial Expertise</t>
        </is>
      </c>
      <c r="B27" s="50" t="inlineStr">
        <is>
          <t>New</t>
        </is>
      </c>
      <c r="C27" s="50" t="inlineStr">
        <is>
          <t>نظارت</t>
        </is>
      </c>
      <c r="D27" s="50" t="inlineStr">
        <is>
          <t>27/30</t>
        </is>
      </c>
      <c r="E27" s="50" t="inlineStr">
        <is>
          <t>27/30</t>
        </is>
      </c>
      <c r="F27" s="50" t="inlineStr">
        <is>
          <t>نامشخص</t>
        </is>
      </c>
      <c r="G27" s="50" t="inlineStr">
        <is>
          <t>LOW</t>
        </is>
      </c>
      <c r="H27" s="50" t="inlineStr">
        <is>
          <t>POSITIVE_DIRECTION</t>
        </is>
      </c>
      <c r="I27" s="50" t="inlineStr">
        <is>
          <t>MEDIUM</t>
        </is>
      </c>
      <c r="J27" s="50" t="inlineStr">
        <is>
          <t>MEDIUM</t>
        </is>
      </c>
      <c r="K27" s="50" t="inlineStr">
        <is>
          <t>OVERLAPPING</t>
        </is>
      </c>
      <c r="L27" s="50" t="inlineStr">
        <is>
          <t>اعتبارسنجی هدفمند</t>
        </is>
      </c>
      <c r="M27" s="45" t="inlineStr">
        <is>
          <t>TARGETED_VALIDATION</t>
        </is>
      </c>
    </row>
    <row r="28" ht="20" customHeight="1" s="76">
      <c r="A28" s="42" t="inlineStr">
        <is>
          <t>N16 AC Meeting Frequency</t>
        </is>
      </c>
      <c r="B28" s="42" t="inlineStr">
        <is>
          <t>New</t>
        </is>
      </c>
      <c r="C28" s="42" t="inlineStr">
        <is>
          <t>فعالیت</t>
        </is>
      </c>
      <c r="D28" s="42" t="inlineStr">
        <is>
          <t>20/30</t>
        </is>
      </c>
      <c r="E28" s="42" t="inlineStr">
        <is>
          <t>20/30</t>
        </is>
      </c>
      <c r="F28" s="42" t="inlineStr">
        <is>
          <t>بله (آزمون)</t>
        </is>
      </c>
      <c r="G28" s="42" t="inlineStr">
        <is>
          <t>MODERATE</t>
        </is>
      </c>
      <c r="H28" s="42" t="inlineStr">
        <is>
          <t>NONLINEAR_POSSIBLE</t>
        </is>
      </c>
      <c r="I28" s="42" t="inlineStr">
        <is>
          <t>MEDIUM</t>
        </is>
      </c>
      <c r="J28" s="42" t="inlineStr">
        <is>
          <t>MEDIUM</t>
        </is>
      </c>
      <c r="K28" s="42" t="inlineStr">
        <is>
          <t>INDEPENDENT</t>
        </is>
      </c>
      <c r="L28" s="42" t="inlineStr">
        <is>
          <t>اعتبارسنجی هدفمند</t>
        </is>
      </c>
      <c r="M28" s="45" t="inlineStr">
        <is>
          <t>TARGETED_VALIDATION</t>
        </is>
      </c>
    </row>
    <row r="29" ht="20" customHeight="1" s="76">
      <c r="A29" s="50" t="inlineStr">
        <is>
          <t>N17 Board Meeting Frequency</t>
        </is>
      </c>
      <c r="B29" s="50" t="inlineStr">
        <is>
          <t>New</t>
        </is>
      </c>
      <c r="C29" s="50" t="inlineStr">
        <is>
          <t>فعالیت</t>
        </is>
      </c>
      <c r="D29" s="50" t="inlineStr">
        <is>
          <t>5/30</t>
        </is>
      </c>
      <c r="E29" s="50" t="inlineStr">
        <is>
          <t>5/28</t>
        </is>
      </c>
      <c r="F29" s="50" t="inlineStr">
        <is>
          <t>نامشخص</t>
        </is>
      </c>
      <c r="G29" s="50" t="inlineStr">
        <is>
          <t>LOW</t>
        </is>
      </c>
      <c r="H29" s="50" t="inlineStr">
        <is>
          <t>NONLINEAR_POSSIBLE</t>
        </is>
      </c>
      <c r="I29" s="50" t="inlineStr">
        <is>
          <t>MEDIUM</t>
        </is>
      </c>
      <c r="J29" s="50" t="inlineStr">
        <is>
          <t>MEDIUM</t>
        </is>
      </c>
      <c r="K29" s="50" t="inlineStr">
        <is>
          <t>INDEPENDENT</t>
        </is>
      </c>
      <c r="L29" s="50" t="inlineStr">
        <is>
          <t>اعتبارسنجی هدفمند</t>
        </is>
      </c>
      <c r="M29" s="45" t="inlineStr">
        <is>
          <t>TARGETED_VALIDATION</t>
        </is>
      </c>
    </row>
    <row r="30" ht="29" customHeight="1" s="76">
      <c r="A30" s="42" t="inlineStr">
        <is>
          <t>N18 Risk Committee Presence</t>
        </is>
      </c>
      <c r="B30" s="42" t="inlineStr">
        <is>
          <t>New</t>
        </is>
      </c>
      <c r="C30" s="42" t="inlineStr">
        <is>
          <t>نظارت</t>
        </is>
      </c>
      <c r="D30" s="42" t="inlineStr">
        <is>
          <t>28/30</t>
        </is>
      </c>
      <c r="E30" s="42" t="inlineStr">
        <is>
          <t>28/28</t>
        </is>
      </c>
      <c r="F30" s="42" t="inlineStr">
        <is>
          <t>بله (آزمون)</t>
        </is>
      </c>
      <c r="G30" s="42" t="inlineStr">
        <is>
          <t>MODERATE</t>
        </is>
      </c>
      <c r="H30" s="42" t="inlineStr">
        <is>
          <t>POSITIVE_DIRECTION</t>
        </is>
      </c>
      <c r="I30" s="42" t="inlineStr">
        <is>
          <t>HIGH</t>
        </is>
      </c>
      <c r="J30" s="42" t="inlineStr">
        <is>
          <t>MEDIUM</t>
        </is>
      </c>
      <c r="K30" s="42" t="inlineStr">
        <is>
          <t>PARTIALLY_OVERLAPPING</t>
        </is>
      </c>
      <c r="L30" s="42" t="inlineStr">
        <is>
          <t>اعتبارسنجی هدفمند</t>
        </is>
      </c>
      <c r="M30" s="45" t="inlineStr">
        <is>
          <t>TARGETED_VALIDATION</t>
        </is>
      </c>
    </row>
    <row r="31" ht="29" customHeight="1" s="76">
      <c r="A31" s="50" t="inlineStr">
        <is>
          <t>N19 Nomination Committee Presence</t>
        </is>
      </c>
      <c r="B31" s="50" t="inlineStr">
        <is>
          <t>New</t>
        </is>
      </c>
      <c r="C31" s="50" t="inlineStr">
        <is>
          <t>نظارت</t>
        </is>
      </c>
      <c r="D31" s="50" t="inlineStr">
        <is>
          <t>28/30</t>
        </is>
      </c>
      <c r="E31" s="50" t="inlineStr">
        <is>
          <t>28/28</t>
        </is>
      </c>
      <c r="F31" s="50" t="inlineStr">
        <is>
          <t>بله (آزمون)</t>
        </is>
      </c>
      <c r="G31" s="50" t="inlineStr">
        <is>
          <t>MODERATE</t>
        </is>
      </c>
      <c r="H31" s="50" t="inlineStr">
        <is>
          <t>POSITIVE_DIRECTION</t>
        </is>
      </c>
      <c r="I31" s="50" t="inlineStr">
        <is>
          <t>HIGH</t>
        </is>
      </c>
      <c r="J31" s="50" t="inlineStr">
        <is>
          <t>MEDIUM</t>
        </is>
      </c>
      <c r="K31" s="50" t="inlineStr">
        <is>
          <t>PARTIALLY_OVERLAPPING</t>
        </is>
      </c>
      <c r="L31" s="50" t="inlineStr">
        <is>
          <t>تعویق</t>
        </is>
      </c>
      <c r="M31" s="53" t="inlineStr">
        <is>
          <t>DEFER</t>
        </is>
      </c>
    </row>
    <row r="32" ht="29" customHeight="1" s="76">
      <c r="A32" s="42" t="inlineStr">
        <is>
          <t>N20 Compensation Committee Presence</t>
        </is>
      </c>
      <c r="B32" s="42" t="inlineStr">
        <is>
          <t>New</t>
        </is>
      </c>
      <c r="C32" s="42" t="inlineStr">
        <is>
          <t>نظارت</t>
        </is>
      </c>
      <c r="D32" s="42" t="inlineStr">
        <is>
          <t>4/30</t>
        </is>
      </c>
      <c r="E32" s="42" t="inlineStr">
        <is>
          <t>4/28</t>
        </is>
      </c>
      <c r="F32" s="42" t="inlineStr">
        <is>
          <t>نامشخص</t>
        </is>
      </c>
      <c r="G32" s="42" t="inlineStr">
        <is>
          <t>LOW</t>
        </is>
      </c>
      <c r="H32" s="42" t="inlineStr">
        <is>
          <t>POSITIVE_DIRECTION</t>
        </is>
      </c>
      <c r="I32" s="42" t="inlineStr">
        <is>
          <t>LOW</t>
        </is>
      </c>
      <c r="J32" s="42" t="inlineStr">
        <is>
          <t>LOW</t>
        </is>
      </c>
      <c r="K32" s="42" t="inlineStr">
        <is>
          <t>INDEPENDENT</t>
        </is>
      </c>
      <c r="L32" s="42" t="inlineStr">
        <is>
          <t>Proof of Concept</t>
        </is>
      </c>
      <c r="M32" s="53" t="inlineStr">
        <is>
          <t>DEFER</t>
        </is>
      </c>
    </row>
    <row r="33" ht="29" customHeight="1" s="76">
      <c r="A33" s="50" t="inlineStr">
        <is>
          <t>N21 Investment Committee Presence</t>
        </is>
      </c>
      <c r="B33" s="50" t="inlineStr">
        <is>
          <t>New</t>
        </is>
      </c>
      <c r="C33" s="50" t="inlineStr">
        <is>
          <t>نظارت</t>
        </is>
      </c>
      <c r="D33" s="50" t="inlineStr">
        <is>
          <t>10/30</t>
        </is>
      </c>
      <c r="E33" s="50" t="inlineStr">
        <is>
          <t>10/28</t>
        </is>
      </c>
      <c r="F33" s="50" t="inlineStr">
        <is>
          <t>بله (آزمون)</t>
        </is>
      </c>
      <c r="G33" s="50" t="inlineStr">
        <is>
          <t>MODERATE</t>
        </is>
      </c>
      <c r="H33" s="50" t="inlineStr">
        <is>
          <t>NO_CLEAR_DIRECTION</t>
        </is>
      </c>
      <c r="I33" s="50" t="inlineStr">
        <is>
          <t>LOW</t>
        </is>
      </c>
      <c r="J33" s="50" t="inlineStr">
        <is>
          <t>LOW</t>
        </is>
      </c>
      <c r="K33" s="50" t="inlineStr">
        <is>
          <t>INDEPENDENT</t>
        </is>
      </c>
      <c r="L33" s="50" t="inlineStr">
        <is>
          <t>Proof of Concept</t>
        </is>
      </c>
      <c r="M33" s="53" t="inlineStr">
        <is>
          <t>DEFER</t>
        </is>
      </c>
    </row>
    <row r="34" ht="29" customHeight="1" s="76">
      <c r="A34" s="42" t="inlineStr">
        <is>
          <t>N22 Governance Committee Presence</t>
        </is>
      </c>
      <c r="B34" s="42" t="inlineStr">
        <is>
          <t>New</t>
        </is>
      </c>
      <c r="C34" s="42" t="inlineStr">
        <is>
          <t>نظارت</t>
        </is>
      </c>
      <c r="D34" s="42" t="inlineStr">
        <is>
          <t>9/30</t>
        </is>
      </c>
      <c r="E34" s="42" t="inlineStr">
        <is>
          <t>9/28</t>
        </is>
      </c>
      <c r="F34" s="42" t="inlineStr">
        <is>
          <t>بله (آزمون)</t>
        </is>
      </c>
      <c r="G34" s="42" t="inlineStr">
        <is>
          <t>MODERATE</t>
        </is>
      </c>
      <c r="H34" s="42" t="inlineStr">
        <is>
          <t>POSITIVE_DIRECTION</t>
        </is>
      </c>
      <c r="I34" s="42" t="inlineStr">
        <is>
          <t>LOW</t>
        </is>
      </c>
      <c r="J34" s="42" t="inlineStr">
        <is>
          <t>LOW</t>
        </is>
      </c>
      <c r="K34" s="42" t="inlineStr">
        <is>
          <t>INDEPENDENT</t>
        </is>
      </c>
      <c r="L34" s="42" t="inlineStr">
        <is>
          <t>Proof of Concept</t>
        </is>
      </c>
      <c r="M34" s="53" t="inlineStr">
        <is>
          <t>DEFER</t>
        </is>
      </c>
    </row>
    <row r="35" ht="29" customHeight="1" s="76">
      <c r="A35" s="50" t="inlineStr">
        <is>
          <t>N23 Explicit Independent Member Share</t>
        </is>
      </c>
      <c r="B35" s="50" t="inlineStr">
        <is>
          <t>New</t>
        </is>
      </c>
      <c r="C35" s="50" t="inlineStr">
        <is>
          <t>استقلال</t>
        </is>
      </c>
      <c r="D35" s="50" t="inlineStr">
        <is>
          <t>5/30</t>
        </is>
      </c>
      <c r="E35" s="50" t="inlineStr">
        <is>
          <t>5/28</t>
        </is>
      </c>
      <c r="F35" s="50" t="inlineStr">
        <is>
          <t>نامشخص</t>
        </is>
      </c>
      <c r="G35" s="50" t="inlineStr">
        <is>
          <t>LOW</t>
        </is>
      </c>
      <c r="H35" s="50" t="inlineStr">
        <is>
          <t>CONTEXT_DEPENDENT</t>
        </is>
      </c>
      <c r="I35" s="50" t="inlineStr">
        <is>
          <t>MEDIUM</t>
        </is>
      </c>
      <c r="J35" s="50" t="inlineStr">
        <is>
          <t>MEDIUM</t>
        </is>
      </c>
      <c r="K35" s="50" t="inlineStr">
        <is>
          <t>PARTIALLY_OVERLAPPING</t>
        </is>
      </c>
      <c r="L35" s="50" t="inlineStr">
        <is>
          <t>اعتبارسنجی هدفمند</t>
        </is>
      </c>
      <c r="M35" s="45" t="inlineStr">
        <is>
          <t>TARGETED_VALIDATION</t>
        </is>
      </c>
    </row>
    <row r="36" ht="20" customHeight="1" s="76">
      <c r="A36" s="42" t="inlineStr">
        <is>
          <t>N24 Attendance Rate</t>
        </is>
      </c>
      <c r="B36" s="42" t="inlineStr">
        <is>
          <t>New</t>
        </is>
      </c>
      <c r="C36" s="42" t="inlineStr">
        <is>
          <t>فعالیت</t>
        </is>
      </c>
      <c r="D36" s="42" t="inlineStr">
        <is>
          <t>0/30</t>
        </is>
      </c>
      <c r="E36" s="42" t="inlineStr">
        <is>
          <t>0/28</t>
        </is>
      </c>
      <c r="F36" s="42" t="inlineStr">
        <is>
          <t>نامشخص</t>
        </is>
      </c>
      <c r="G36" s="42" t="inlineStr">
        <is>
          <t>LOW</t>
        </is>
      </c>
      <c r="H36" s="42" t="inlineStr">
        <is>
          <t>POSITIVE_DIRECTION</t>
        </is>
      </c>
      <c r="I36" s="42" t="inlineStr">
        <is>
          <t>LOW</t>
        </is>
      </c>
      <c r="J36" s="42" t="inlineStr">
        <is>
          <t>LOW</t>
        </is>
      </c>
      <c r="K36" s="42" t="inlineStr">
        <is>
          <t>N/A</t>
        </is>
      </c>
      <c r="L36" s="42" t="inlineStr">
        <is>
          <t>تئوریک</t>
        </is>
      </c>
      <c r="M36" s="53" t="inlineStr">
        <is>
          <t>DEFER</t>
        </is>
      </c>
    </row>
    <row r="37" ht="20" customHeight="1" s="76">
      <c r="A37" s="50" t="inlineStr">
        <is>
          <t>N25 Multiple Directorships</t>
        </is>
      </c>
      <c r="B37" s="50" t="inlineStr">
        <is>
          <t>New</t>
        </is>
      </c>
      <c r="C37" s="50" t="inlineStr">
        <is>
          <t>شبکه</t>
        </is>
      </c>
      <c r="D37" s="50" t="inlineStr">
        <is>
          <t>3/30</t>
        </is>
      </c>
      <c r="E37" s="50" t="inlineStr">
        <is>
          <t>3/28</t>
        </is>
      </c>
      <c r="F37" s="50" t="inlineStr">
        <is>
          <t>نامشخص</t>
        </is>
      </c>
      <c r="G37" s="50" t="inlineStr">
        <is>
          <t>LOW</t>
        </is>
      </c>
      <c r="H37" s="50" t="inlineStr">
        <is>
          <t>NONLINEAR_POSSIBLE</t>
        </is>
      </c>
      <c r="I37" s="50" t="inlineStr">
        <is>
          <t>MEDIUM</t>
        </is>
      </c>
      <c r="J37" s="50" t="inlineStr">
        <is>
          <t>MEDIUM</t>
        </is>
      </c>
      <c r="K37" s="50" t="inlineStr">
        <is>
          <t>INDEPENDENT</t>
        </is>
      </c>
      <c r="L37" s="50" t="inlineStr">
        <is>
          <t>اعتبارسنجی هدفمند</t>
        </is>
      </c>
      <c r="M37" s="45" t="inlineStr">
        <is>
          <t>TARGETED_VALIDATION</t>
        </is>
      </c>
    </row>
    <row r="38" ht="29" customHeight="1" s="76">
      <c r="A38" s="42" t="inlineStr">
        <is>
          <t>N26 Member Tenure / Age</t>
        </is>
      </c>
      <c r="B38" s="42" t="inlineStr">
        <is>
          <t>New</t>
        </is>
      </c>
      <c r="C38" s="42" t="inlineStr">
        <is>
          <t>تجربه</t>
        </is>
      </c>
      <c r="D38" s="42" t="inlineStr">
        <is>
          <t>1/30</t>
        </is>
      </c>
      <c r="E38" s="42" t="inlineStr">
        <is>
          <t>1/28</t>
        </is>
      </c>
      <c r="F38" s="42" t="inlineStr">
        <is>
          <t>نامشخص</t>
        </is>
      </c>
      <c r="G38" s="42" t="inlineStr">
        <is>
          <t>LOW</t>
        </is>
      </c>
      <c r="H38" s="42" t="inlineStr">
        <is>
          <t>NONLINEAR_POSSIBLE</t>
        </is>
      </c>
      <c r="I38" s="42" t="inlineStr">
        <is>
          <t>LOW</t>
        </is>
      </c>
      <c r="J38" s="42" t="inlineStr">
        <is>
          <t>MEDIUM</t>
        </is>
      </c>
      <c r="K38" s="42" t="inlineStr">
        <is>
          <t>PARTIALLY_OVERLAPPING</t>
        </is>
      </c>
      <c r="L38" s="42" t="inlineStr">
        <is>
          <t>Proof of Concept</t>
        </is>
      </c>
      <c r="M38" s="53" t="inlineStr">
        <is>
          <t>DEFER</t>
        </is>
      </c>
    </row>
    <row r="39" ht="29" customHeight="1" s="76">
      <c r="A39" s="50" t="inlineStr">
        <is>
          <t>N27 Tenure Diversity</t>
        </is>
      </c>
      <c r="B39" s="50" t="inlineStr">
        <is>
          <t>New</t>
        </is>
      </c>
      <c r="C39" s="50" t="inlineStr">
        <is>
          <t>تجربه</t>
        </is>
      </c>
      <c r="D39" s="50" t="inlineStr">
        <is>
          <t>1/30</t>
        </is>
      </c>
      <c r="E39" s="50" t="inlineStr">
        <is>
          <t>1/28</t>
        </is>
      </c>
      <c r="F39" s="50" t="inlineStr">
        <is>
          <t>نامشخص</t>
        </is>
      </c>
      <c r="G39" s="50" t="inlineStr">
        <is>
          <t>LOW</t>
        </is>
      </c>
      <c r="H39" s="50" t="inlineStr">
        <is>
          <t>NONLINEAR_POSSIBLE</t>
        </is>
      </c>
      <c r="I39" s="50" t="inlineStr">
        <is>
          <t>LOW</t>
        </is>
      </c>
      <c r="J39" s="50" t="inlineStr">
        <is>
          <t>MEDIUM</t>
        </is>
      </c>
      <c r="K39" s="50" t="inlineStr">
        <is>
          <t>PARTIALLY_OVERLAPPING</t>
        </is>
      </c>
      <c r="L39" s="50" t="inlineStr">
        <is>
          <t>Proof of Concept</t>
        </is>
      </c>
      <c r="M39" s="53" t="inlineStr">
        <is>
          <t>DEFER</t>
        </is>
      </c>
    </row>
    <row r="40" ht="29" customHeight="1" s="76">
      <c r="A40" s="42" t="inlineStr">
        <is>
          <t>N28 Chair Tenure</t>
        </is>
      </c>
      <c r="B40" s="42" t="inlineStr">
        <is>
          <t>New</t>
        </is>
      </c>
      <c r="C40" s="42" t="inlineStr">
        <is>
          <t>رهبری</t>
        </is>
      </c>
      <c r="D40" s="42" t="inlineStr">
        <is>
          <t>23/30</t>
        </is>
      </c>
      <c r="E40" s="42" t="inlineStr">
        <is>
          <t>23/28</t>
        </is>
      </c>
      <c r="F40" s="42" t="inlineStr">
        <is>
          <t>بله (آزمون)</t>
        </is>
      </c>
      <c r="G40" s="42" t="inlineStr">
        <is>
          <t>MODERATE</t>
        </is>
      </c>
      <c r="H40" s="42" t="inlineStr">
        <is>
          <t>NONLINEAR_POSSIBLE</t>
        </is>
      </c>
      <c r="I40" s="42" t="inlineStr">
        <is>
          <t>MEDIUM</t>
        </is>
      </c>
      <c r="J40" s="42" t="inlineStr">
        <is>
          <t>MEDIUM</t>
        </is>
      </c>
      <c r="K40" s="42" t="inlineStr">
        <is>
          <t>PARTIALLY_OVERLAPPING</t>
        </is>
      </c>
      <c r="L40" s="42" t="inlineStr">
        <is>
          <t>اعتبارسنجی هدفمند</t>
        </is>
      </c>
      <c r="M40" s="45" t="inlineStr">
        <is>
          <t>TARGETED_VALIDATION</t>
        </is>
      </c>
    </row>
    <row r="41" ht="20" customHeight="1" s="76">
      <c r="A41" s="50" t="inlineStr">
        <is>
          <t>N29 CEO Tenure</t>
        </is>
      </c>
      <c r="B41" s="50" t="inlineStr">
        <is>
          <t>New</t>
        </is>
      </c>
      <c r="C41" s="50" t="inlineStr">
        <is>
          <t>رهبری</t>
        </is>
      </c>
      <c r="D41" s="50" t="inlineStr">
        <is>
          <t>10/30</t>
        </is>
      </c>
      <c r="E41" s="50" t="inlineStr">
        <is>
          <t>10/28</t>
        </is>
      </c>
      <c r="F41" s="50" t="inlineStr">
        <is>
          <t>بله (آزمون)</t>
        </is>
      </c>
      <c r="G41" s="50" t="inlineStr">
        <is>
          <t>MODERATE</t>
        </is>
      </c>
      <c r="H41" s="50" t="inlineStr">
        <is>
          <t>NONLINEAR_POSSIBLE</t>
        </is>
      </c>
      <c r="I41" s="50" t="inlineStr">
        <is>
          <t>MEDIUM</t>
        </is>
      </c>
      <c r="J41" s="50" t="inlineStr">
        <is>
          <t>MEDIUM</t>
        </is>
      </c>
      <c r="K41" s="50" t="inlineStr">
        <is>
          <t>INDEPENDENT</t>
        </is>
      </c>
      <c r="L41" s="50" t="inlineStr">
        <is>
          <t>تعویق</t>
        </is>
      </c>
      <c r="M41" s="53" t="inlineStr">
        <is>
          <t>DEFER</t>
        </is>
      </c>
    </row>
    <row r="42" ht="20" customHeight="1" s="76">
      <c r="A42" s="42" t="inlineStr">
        <is>
          <t>N30 Vacant Seat Rate</t>
        </is>
      </c>
      <c r="B42" s="42" t="inlineStr">
        <is>
          <t>New</t>
        </is>
      </c>
      <c r="C42" s="42" t="inlineStr">
        <is>
          <t>گردش</t>
        </is>
      </c>
      <c r="D42" s="42" t="inlineStr">
        <is>
          <t>1/30</t>
        </is>
      </c>
      <c r="E42" s="42" t="inlineStr">
        <is>
          <t>1/28</t>
        </is>
      </c>
      <c r="F42" s="42" t="inlineStr">
        <is>
          <t>نامشخص</t>
        </is>
      </c>
      <c r="G42" s="42" t="inlineStr">
        <is>
          <t>LOW</t>
        </is>
      </c>
      <c r="H42" s="42" t="inlineStr">
        <is>
          <t>NO_CLEAR_DIRECTION</t>
        </is>
      </c>
      <c r="I42" s="42" t="inlineStr">
        <is>
          <t>LOW</t>
        </is>
      </c>
      <c r="J42" s="42" t="inlineStr">
        <is>
          <t>MEDIUM</t>
        </is>
      </c>
      <c r="K42" s="42" t="inlineStr">
        <is>
          <t>INDEPENDENT</t>
        </is>
      </c>
      <c r="L42" s="42" t="inlineStr">
        <is>
          <t>Proof of Concept</t>
        </is>
      </c>
      <c r="M42" s="53" t="inlineStr">
        <is>
          <t>DEFER</t>
        </is>
      </c>
    </row>
    <row r="43" ht="20" customHeight="1" s="76">
      <c r="A43" s="50" t="inlineStr">
        <is>
          <t>N32 Committee Overlap</t>
        </is>
      </c>
      <c r="B43" s="50" t="inlineStr">
        <is>
          <t>New</t>
        </is>
      </c>
      <c r="C43" s="50" t="inlineStr">
        <is>
          <t>ساختار</t>
        </is>
      </c>
      <c r="D43" s="50" t="inlineStr">
        <is>
          <t>5/30</t>
        </is>
      </c>
      <c r="E43" s="50" t="inlineStr">
        <is>
          <t>5/28</t>
        </is>
      </c>
      <c r="F43" s="50" t="inlineStr">
        <is>
          <t>نامشخص</t>
        </is>
      </c>
      <c r="G43" s="50" t="inlineStr">
        <is>
          <t>LOW</t>
        </is>
      </c>
      <c r="H43" s="50" t="inlineStr">
        <is>
          <t>NO_CLEAR_DIRECTION</t>
        </is>
      </c>
      <c r="I43" s="50" t="inlineStr">
        <is>
          <t>LOW</t>
        </is>
      </c>
      <c r="J43" s="50" t="inlineStr">
        <is>
          <t>LOW</t>
        </is>
      </c>
      <c r="K43" s="50" t="inlineStr">
        <is>
          <t>INDEPENDENT</t>
        </is>
      </c>
      <c r="L43" s="50" t="inlineStr">
        <is>
          <t>Proof of Concept</t>
        </is>
      </c>
      <c r="M43" s="53" t="inlineStr">
        <is>
          <t>DEFER</t>
        </is>
      </c>
    </row>
    <row r="44" ht="29" customHeight="1" s="76">
      <c r="A44" s="42" t="inlineStr">
        <is>
          <t>N33 Executive Seat Share</t>
        </is>
      </c>
      <c r="B44" s="42" t="inlineStr">
        <is>
          <t>New</t>
        </is>
      </c>
      <c r="C44" s="42" t="inlineStr">
        <is>
          <t>استقلال</t>
        </is>
      </c>
      <c r="D44" s="42" t="inlineStr">
        <is>
          <t>28/30</t>
        </is>
      </c>
      <c r="E44" s="42" t="inlineStr">
        <is>
          <t>28/28</t>
        </is>
      </c>
      <c r="F44" s="42" t="inlineStr">
        <is>
          <t>بله (آزمون)</t>
        </is>
      </c>
      <c r="G44" s="42" t="inlineStr">
        <is>
          <t>MODERATE</t>
        </is>
      </c>
      <c r="H44" s="42" t="inlineStr">
        <is>
          <t>CONTEXT_DEPENDENT</t>
        </is>
      </c>
      <c r="I44" s="42" t="inlineStr">
        <is>
          <t>HIGH</t>
        </is>
      </c>
      <c r="J44" s="42" t="inlineStr">
        <is>
          <t>HIGH</t>
        </is>
      </c>
      <c r="K44" s="42" t="inlineStr">
        <is>
          <t>MATHEMATICAL_COMPLEMENT</t>
        </is>
      </c>
      <c r="L44" s="42" t="inlineStr">
        <is>
          <t>Robustness</t>
        </is>
      </c>
      <c r="M44" s="53" t="inlineStr">
        <is>
          <t>ROBUSTNESS_ONLY</t>
        </is>
      </c>
    </row>
    <row r="45" ht="29" customHeight="1" s="76">
      <c r="A45" s="50" t="inlineStr">
        <is>
          <t>N34 Normalized Education Blau</t>
        </is>
      </c>
      <c r="B45" s="50" t="inlineStr">
        <is>
          <t>New</t>
        </is>
      </c>
      <c r="C45" s="50" t="inlineStr">
        <is>
          <t>تنوع</t>
        </is>
      </c>
      <c r="D45" s="50" t="inlineStr">
        <is>
          <t>28/30</t>
        </is>
      </c>
      <c r="E45" s="50" t="inlineStr">
        <is>
          <t>28/28</t>
        </is>
      </c>
      <c r="F45" s="50" t="inlineStr">
        <is>
          <t>بله (آزمون)</t>
        </is>
      </c>
      <c r="G45" s="50" t="inlineStr">
        <is>
          <t>MODERATE</t>
        </is>
      </c>
      <c r="H45" s="50" t="inlineStr">
        <is>
          <t>POSITIVE_DIRECTION</t>
        </is>
      </c>
      <c r="I45" s="50" t="inlineStr">
        <is>
          <t>HIGH</t>
        </is>
      </c>
      <c r="J45" s="50" t="inlineStr">
        <is>
          <t>MEDIUM</t>
        </is>
      </c>
      <c r="K45" s="50" t="inlineStr">
        <is>
          <t>PARTIALLY_OVERLAPPING</t>
        </is>
      </c>
      <c r="L45" s="50" t="inlineStr">
        <is>
          <t>Robustness</t>
        </is>
      </c>
      <c r="M45" s="53" t="inlineStr">
        <is>
          <t>ROBUSTNESS_ONLY</t>
        </is>
      </c>
    </row>
  </sheetData>
  <mergeCells count="2">
    <mergeCell ref="A2:M2"/>
    <mergeCell ref="A1:M1"/>
  </mergeCells>
  <pageMargins left="0.75" right="0.75" top="1" bottom="1" header="0.5" footer="0.5"/>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sheetPr>
  <dimension ref="A1:V95"/>
  <sheetViews>
    <sheetView showGridLines="0" rightToLeft="1" workbookViewId="0">
      <pane xSplit="3" ySplit="3" topLeftCell="D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style="76" min="1" max="1"/>
    <col width="14" customWidth="1" style="76" min="2" max="2"/>
    <col width="16" customWidth="1" style="76" min="3" max="3"/>
    <col width="26" customWidth="1" style="76" min="4" max="4"/>
    <col width="14" customWidth="1" style="76" min="5" max="6"/>
    <col width="12" customWidth="1" style="76" min="7" max="7"/>
    <col width="22" customWidth="1" style="76" min="8" max="9"/>
    <col width="28" customWidth="1" style="76" min="10" max="10"/>
    <col width="18" customWidth="1" style="76" min="11" max="12"/>
    <col width="26" customWidth="1" style="76" min="13" max="13"/>
    <col width="16" customWidth="1" style="76" min="14" max="14"/>
    <col width="36" customWidth="1" style="76" min="15" max="15"/>
    <col width="12" customWidth="1" style="76" min="16" max="16"/>
    <col width="10" customWidth="1" style="76" min="17" max="17"/>
    <col width="40" customWidth="1" style="76" min="18" max="18"/>
    <col width="44" customWidth="1" style="76" min="19" max="20"/>
    <col width="12" customWidth="1" style="76" min="21" max="21"/>
    <col width="40" customWidth="1" style="76" min="22" max="22"/>
  </cols>
  <sheetData>
    <row r="1" ht="30" customHeight="1" s="76">
      <c r="A1" s="87" t="inlineStr">
        <is>
          <t>Turnover Resolution Audit — v38</t>
        </is>
      </c>
    </row>
    <row r="2" ht="22" customHeight="1" s="76">
      <c r="A2" s="85" t="inlineStr">
        <is>
          <t>هر ردیف یا رویداد کرسی (ورود/خروج/تغییر نماینده/تغییر سمت) یا مقدار یک متغیر است. تاریخ موثر با تاریخ گزارش جدا ثبت شده؛ Cutoff مشترک ۱۴۰۳/۱۲/۲۹ و ۱۴۰۴/۱۲/۲۹.</t>
        </is>
      </c>
    </row>
    <row r="3" ht="30" customHeight="1" s="76">
      <c r="A3" s="24" t="inlineStr">
        <is>
          <t>شرکت</t>
        </is>
      </c>
      <c r="B3" s="24" t="inlineStr">
        <is>
          <t>نماد</t>
        </is>
      </c>
      <c r="C3" s="24" t="inlineStr">
        <is>
          <t>سال</t>
        </is>
      </c>
      <c r="D3" s="24" t="inlineStr">
        <is>
          <t>متغیر</t>
        </is>
      </c>
      <c r="E3" s="24" t="inlineStr">
        <is>
          <t>مقدار قبلی</t>
        </is>
      </c>
      <c r="F3" s="24" t="inlineStr">
        <is>
          <t>مقدار جدید</t>
        </is>
      </c>
      <c r="G3" s="24" t="inlineStr">
        <is>
          <t>وضعیت</t>
        </is>
      </c>
      <c r="H3" s="24" t="inlineStr">
        <is>
          <t>عضو قبلی</t>
        </is>
      </c>
      <c r="I3" s="24" t="inlineStr">
        <is>
          <t>عضو جدید</t>
        </is>
      </c>
      <c r="J3" s="24" t="inlineStr">
        <is>
          <t>شخص حقوقی</t>
        </is>
      </c>
      <c r="K3" s="24" t="inlineStr">
        <is>
          <t>نماینده قبلی</t>
        </is>
      </c>
      <c r="L3" s="24" t="inlineStr">
        <is>
          <t>نماینده جدید</t>
        </is>
      </c>
      <c r="M3" s="24" t="inlineStr">
        <is>
          <t>نوع تغییر</t>
        </is>
      </c>
      <c r="N3" s="24" t="inlineStr">
        <is>
          <t>تاریخ موثر تغییر</t>
        </is>
      </c>
      <c r="O3" s="24" t="inlineStr">
        <is>
          <t>عنوان منبع</t>
        </is>
      </c>
      <c r="P3" s="24" t="inlineStr">
        <is>
          <t>تاریخ گزارش</t>
        </is>
      </c>
      <c r="Q3" s="24" t="inlineStr">
        <is>
          <t>TracingNo</t>
        </is>
      </c>
      <c r="R3" s="24" t="inlineStr">
        <is>
          <t>لینک منبع</t>
        </is>
      </c>
      <c r="S3" s="24" t="inlineStr">
        <is>
          <t>خلاصه شواهد</t>
        </is>
      </c>
      <c r="T3" s="24" t="inlineStr">
        <is>
          <t>توضیح استدلال</t>
        </is>
      </c>
      <c r="U3" s="24" t="inlineStr">
        <is>
          <t>سطح اطمینان</t>
        </is>
      </c>
      <c r="V3" s="24" t="inlineStr">
        <is>
          <t>یادداشت</t>
        </is>
      </c>
    </row>
    <row r="4" ht="58" customHeight="1" s="76">
      <c r="A4" s="23" t="inlineStr">
        <is>
          <t>تاپیکو</t>
        </is>
      </c>
      <c r="B4" s="23" t="inlineStr">
        <is>
          <t>TAPICO(تاپیکو)</t>
        </is>
      </c>
      <c r="C4" s="23" t="inlineStr">
        <is>
          <t>۱۴۰۳→۱۴۰۴ (Cutoff 1403/12/29 → 1404/12/29)</t>
        </is>
      </c>
      <c r="D4" s="23" t="inlineStr">
        <is>
          <t>رویداد کرسی</t>
        </is>
      </c>
      <c r="E4" s="23" t="n"/>
      <c r="F4" s="23" t="n"/>
      <c r="G4" s="23" t="inlineStr">
        <is>
          <t>ثبت شد</t>
        </is>
      </c>
      <c r="H4" s="23" t="inlineStr">
        <is>
          <t>عبدالکریم پهلوانی</t>
        </is>
      </c>
      <c r="I4" s="23" t="inlineStr">
        <is>
          <t>روح‌اله شهیدی‌پور</t>
        </is>
      </c>
      <c r="J4" s="23" t="inlineStr">
        <is>
          <t>سرمایه‌گذاری تأمین اجتماعی (شستا)</t>
        </is>
      </c>
      <c r="K4" s="23" t="inlineStr">
        <is>
          <t>عبدالکریم پهلوانی</t>
        </is>
      </c>
      <c r="L4" s="23" t="inlineStr">
        <is>
          <t>روح‌اله شهیدی‌پور</t>
        </is>
      </c>
      <c r="M4" s="23" t="inlineStr">
        <is>
          <t>تغییر نماینده حقیقی با شخص حقوقی ثابت</t>
        </is>
      </c>
      <c r="N4" s="23" t="inlineStr">
        <is>
          <t>1404/06/26</t>
        </is>
      </c>
      <c r="O4" s="23" t="inlineStr">
        <is>
          <t>معرفی /تغییر در ترکیب اعضای هیئت مدیره/مدیر عامل</t>
        </is>
      </c>
      <c r="P4" s="23" t="inlineStr">
        <is>
          <t>1404/07/01</t>
        </is>
      </c>
      <c r="Q4" s="23" t="inlineStr">
        <is>
          <t>1408462</t>
        </is>
      </c>
      <c r="R4" s="23" t="inlineStr">
        <is>
          <t>https://www.codal.ir/Reports/Decision.aspx?LetterSerial=9W5KqOFDkv3BoGKhfVCF0w%3d%3d&amp;rt=2&amp;let=19&amp;ct=0&amp;ft=-1</t>
        </is>
      </c>
      <c r="S4" s="23" t="inlineStr">
        <is>
          <t>Snapshot مبنا: TracingNo 1311653؛ Snapshot پایان: TracingNo 1477918</t>
        </is>
      </c>
      <c r="T4" s="23" t="inlineStr">
        <is>
          <t>تاریخ مجمع/جلسه ثبت‌شده در اطلاعیه ۱۴۰۴/۰۶/۲۶؛ تایید صلاحیت سازمان بورس ۱۴۰۴/۰۹/۱۸ (اصلاحیه ۱۴۵۴۳۳۶)</t>
        </is>
      </c>
      <c r="U4" s="23" t="inlineStr">
        <is>
          <t>Confirmed</t>
        </is>
      </c>
      <c r="V4" s="23" t="inlineStr">
        <is>
          <t>نماینده قبلی در ۱۴۰۴/۰۱/۲۳ حذف شد (اطلاعیه ۱۳۳۳۹۷۲) و کرسی تا ۱۴۰۴/۰۶/۲۶ بدون نماینده بود؛ مقایسه Cutoff-to-Cutoff تغییر نماینده است</t>
        </is>
      </c>
    </row>
    <row r="5" ht="43.5" customHeight="1" s="76">
      <c r="A5" s="25" t="inlineStr">
        <is>
          <t>تاپیکو</t>
        </is>
      </c>
      <c r="B5" s="25" t="inlineStr">
        <is>
          <t>TAPICO(تاپیکو)</t>
        </is>
      </c>
      <c r="C5" s="25" t="inlineStr">
        <is>
          <t>۱۴۰۳→۱۴۰۴ (Cutoff 1403/12/29 → 1404/12/29)</t>
        </is>
      </c>
      <c r="D5" s="25" t="inlineStr">
        <is>
          <t>رویداد کرسی</t>
        </is>
      </c>
      <c r="E5" s="25" t="n"/>
      <c r="F5" s="25" t="n"/>
      <c r="G5" s="25" t="inlineStr">
        <is>
          <t>ثبت شد</t>
        </is>
      </c>
      <c r="H5" s="25" t="inlineStr">
        <is>
          <t>اکبر محققی</t>
        </is>
      </c>
      <c r="I5" s="25" t="inlineStr">
        <is>
          <t>کمیل پورضیائی</t>
        </is>
      </c>
      <c r="J5" s="25" t="inlineStr">
        <is>
          <t>سرمایه‌گذاری صبا تأمین</t>
        </is>
      </c>
      <c r="K5" s="25" t="inlineStr">
        <is>
          <t>اکبر محققی</t>
        </is>
      </c>
      <c r="L5" s="25" t="inlineStr">
        <is>
          <t>کمیل پورضیائی</t>
        </is>
      </c>
      <c r="M5" s="25" t="inlineStr">
        <is>
          <t>تغییر نماینده حقیقی با شخص حقوقی ثابت</t>
        </is>
      </c>
      <c r="N5" s="25" t="inlineStr">
        <is>
          <t>1404/05/01</t>
        </is>
      </c>
      <c r="O5" s="25" t="inlineStr">
        <is>
          <t>معرفی /تغییر در ترکیب اعضای هیئت مدیره/مدیر عامل</t>
        </is>
      </c>
      <c r="P5" s="25" t="inlineStr">
        <is>
          <t>1404/05/04</t>
        </is>
      </c>
      <c r="Q5" s="25" t="inlineStr">
        <is>
          <t>1379918</t>
        </is>
      </c>
      <c r="R5" s="25" t="inlineStr">
        <is>
          <t>https://www.codal.ir/Reports/Decision.aspx?LetterSerial=gXBd7BQ0zRHOwYIn4yd4zg%3d%3d&amp;rt=2&amp;let=19&amp;ct=0&amp;ft=-1</t>
        </is>
      </c>
      <c r="S5" s="25" t="inlineStr">
        <is>
          <t>Snapshot مبنا: TracingNo 1311653؛ Snapshot پایان: TracingNo 1477918</t>
        </is>
      </c>
      <c r="T5" s="25" t="inlineStr">
        <is>
          <t>جلسه هیئت مدیره ۱۴۰۴/۰۵/۰۱؛ اصلاحیه با تایید صلاحیت ۱۴۰۴/۰۵/۰۴</t>
        </is>
      </c>
      <c r="U5" s="25" t="inlineStr">
        <is>
          <t>Confirmed</t>
        </is>
      </c>
      <c r="V5" s="25" t="n"/>
    </row>
    <row r="6" ht="43.5" customHeight="1" s="76">
      <c r="A6" s="23" t="inlineStr">
        <is>
          <t>تاپیکو</t>
        </is>
      </c>
      <c r="B6" s="23" t="inlineStr">
        <is>
          <t>TAPICO(تاپیکو)</t>
        </is>
      </c>
      <c r="C6" s="23" t="inlineStr">
        <is>
          <t>۱۴۰۳→۱۴۰۴ (Cutoff 1403/12/29 → 1404/12/29)</t>
        </is>
      </c>
      <c r="D6" s="23" t="inlineStr">
        <is>
          <t>رویداد کرسی</t>
        </is>
      </c>
      <c r="E6" s="23" t="n"/>
      <c r="F6" s="23" t="n"/>
      <c r="G6" s="23" t="inlineStr">
        <is>
          <t>ثبت شد</t>
        </is>
      </c>
      <c r="H6" s="23" t="inlineStr">
        <is>
          <t>محمدمهدی رحمتی</t>
        </is>
      </c>
      <c r="I6" s="23" t="inlineStr">
        <is>
          <t>محمدمهدی رحمتی</t>
        </is>
      </c>
      <c r="J6" s="23" t="inlineStr">
        <is>
          <t>سرمایه‌گذاری صدر تأمین</t>
        </is>
      </c>
      <c r="K6" s="23" t="inlineStr">
        <is>
          <t>محمدمهدی رحمتی</t>
        </is>
      </c>
      <c r="L6" s="23" t="inlineStr">
        <is>
          <t>محمدمهدی رحمتی</t>
        </is>
      </c>
      <c r="M6" s="23" t="inlineStr">
        <is>
          <t>تغییر سمت فقط (Turnover نیست)</t>
        </is>
      </c>
      <c r="N6" s="23" t="inlineStr">
        <is>
          <t>1404/06/26</t>
        </is>
      </c>
      <c r="O6" s="23" t="inlineStr">
        <is>
          <t>معرفی /تغییر در ترکیب اعضای هیئت مدیره/مدیر عامل</t>
        </is>
      </c>
      <c r="P6" s="23" t="inlineStr">
        <is>
          <t>1404/07/01</t>
        </is>
      </c>
      <c r="Q6" s="23" t="inlineStr">
        <is>
          <t>1408462</t>
        </is>
      </c>
      <c r="R6" s="23" t="inlineStr">
        <is>
          <t>https://www.codal.ir/Reports/Decision.aspx?LetterSerial=9W5KqOFDkv3BoGKhfVCF0w%3d%3d&amp;rt=2&amp;let=19&amp;ct=0&amp;ft=-1</t>
        </is>
      </c>
      <c r="S6" s="23" t="inlineStr">
        <is>
          <t>Snapshot مبنا: TracingNo 1311653؛ Snapshot پایان: TracingNo 1477918</t>
        </is>
      </c>
      <c r="T6" s="23" t="inlineStr">
        <is>
          <t>تغییر سمت از عضو به رئیس</t>
        </is>
      </c>
      <c r="U6" s="23" t="inlineStr">
        <is>
          <t>Confirmed</t>
        </is>
      </c>
      <c r="V6" s="23" t="inlineStr">
        <is>
          <t>رحمتی از ۱۴۰۳/۱۲/۰۴ نماینده این کرسی است (جایگزین علی سیفیان) یعنی پیش از Cutoff مبنا</t>
        </is>
      </c>
    </row>
    <row r="7" ht="58" customHeight="1" s="76">
      <c r="A7" s="25" t="inlineStr">
        <is>
          <t>تاپیکو</t>
        </is>
      </c>
      <c r="B7" s="25" t="inlineStr">
        <is>
          <t>TAPICO(تاپیکو)</t>
        </is>
      </c>
      <c r="C7" s="25" t="inlineStr">
        <is>
          <t>۱۴۰۳→۱۴۰۴ (Cutoff 1403/12/29 → 1404/12/29)</t>
        </is>
      </c>
      <c r="D7" s="25" t="inlineStr">
        <is>
          <t>رویداد کرسی</t>
        </is>
      </c>
      <c r="E7" s="25" t="n"/>
      <c r="F7" s="25" t="n"/>
      <c r="G7" s="25" t="inlineStr">
        <is>
          <t>ثبت شد</t>
        </is>
      </c>
      <c r="H7" s="25" t="inlineStr">
        <is>
          <t>هوشنگ ایزدی</t>
        </is>
      </c>
      <c r="I7" s="25" t="inlineStr">
        <is>
          <t>هوشنگ ایزدی</t>
        </is>
      </c>
      <c r="J7" s="25" t="inlineStr">
        <is>
          <t>سرمایه‌گذاری سیمان تأمین</t>
        </is>
      </c>
      <c r="K7" s="25" t="inlineStr">
        <is>
          <t>هوشنگ ایزدی</t>
        </is>
      </c>
      <c r="L7" s="25" t="inlineStr">
        <is>
          <t>هوشنگ ایزدی</t>
        </is>
      </c>
      <c r="M7" s="25" t="inlineStr">
        <is>
          <t>بدون تغییر</t>
        </is>
      </c>
      <c r="N7" s="25" t="inlineStr">
        <is>
          <t>—</t>
        </is>
      </c>
      <c r="O7" s="25" t="inlineStr">
        <is>
          <t>معرفی /تغییر در ترکیب اعضای هیئت مدیره/مدیر عامل(اصلاحیه)</t>
        </is>
      </c>
      <c r="P7" s="25" t="inlineStr">
        <is>
          <t>1404/11/06</t>
        </is>
      </c>
      <c r="Q7" s="25" t="inlineStr">
        <is>
          <t>1477918</t>
        </is>
      </c>
      <c r="R7" s="25" t="inlineStr">
        <is>
          <t>https://www.codal.ir/Reports/Decision.aspx?LetterSerial=Exef5qCkFaU4GYSKSR3wjg%3d%3d&amp;rt=2&amp;let=19&amp;ct=0&amp;ft=-1</t>
        </is>
      </c>
      <c r="S7" s="25" t="inlineStr">
        <is>
          <t>Snapshot مبنا: TracingNo 1311653؛ Snapshot پایان: TracingNo 1477918</t>
        </is>
      </c>
      <c r="T7" s="25" t="inlineStr">
        <is>
          <t>جدول مبنای ۱۴۰۳/۱۲/۲۹ از اطلاعیه ۱۳۱۱۶۵۳ (۱۴۰۳/۱۲/۰۴) و ۱۲۹۴۹۹۵ (۱۴۰۳/۱۰/۲۳) و اطلاعیه ۱۳۳۳۹۷۲ (ستون «نماینده قبلی» ۱۴۰۴/۰۱/۲۳)؛ تاریخ‌های ع</t>
        </is>
      </c>
      <c r="U7" s="25" t="inlineStr">
        <is>
          <t>Confirmed</t>
        </is>
      </c>
      <c r="V7" s="25" t="inlineStr">
        <is>
          <t>سمت میانی نایب رئیس (۱۴۰۴/۰۵/۰۱ تا ۱۴۰۴/۰۶/۲۶)؛ فقط تغییر سمت</t>
        </is>
      </c>
    </row>
    <row r="8" ht="43.5" customHeight="1" s="76">
      <c r="A8" s="23" t="inlineStr">
        <is>
          <t>تاپیکو</t>
        </is>
      </c>
      <c r="B8" s="23" t="inlineStr">
        <is>
          <t>TAPICO(تاپیکو)</t>
        </is>
      </c>
      <c r="C8" s="23" t="inlineStr">
        <is>
          <t>۱۴۰۳→۱۴۰۴ (Cutoff 1403/12/29 → 1404/12/29)</t>
        </is>
      </c>
      <c r="D8" s="23" t="inlineStr">
        <is>
          <t>رویداد کرسی</t>
        </is>
      </c>
      <c r="E8" s="23" t="n"/>
      <c r="F8" s="23" t="n"/>
      <c r="G8" s="23" t="inlineStr">
        <is>
          <t>ثبت شد</t>
        </is>
      </c>
      <c r="H8" s="23" t="inlineStr">
        <is>
          <t>جعفر ربیعی</t>
        </is>
      </c>
      <c r="I8" s="23" t="inlineStr">
        <is>
          <t>محمدحسین صابر</t>
        </is>
      </c>
      <c r="J8" s="23" t="inlineStr">
        <is>
          <t>سرمایه‌گذاری داروئی تأمین</t>
        </is>
      </c>
      <c r="K8" s="23" t="inlineStr">
        <is>
          <t>جعفر ربیعی</t>
        </is>
      </c>
      <c r="L8" s="23" t="inlineStr">
        <is>
          <t>محمدحسین صابر</t>
        </is>
      </c>
      <c r="M8" s="23" t="inlineStr">
        <is>
          <t>تغییر نماینده حقیقی با شخص حقوقی ثابت</t>
        </is>
      </c>
      <c r="N8" s="23" t="inlineStr">
        <is>
          <t>1404/06/26</t>
        </is>
      </c>
      <c r="O8" s="23" t="inlineStr">
        <is>
          <t>معرفی /تغییر در ترکیب اعضای هیئت مدیره/مدیر عامل</t>
        </is>
      </c>
      <c r="P8" s="23" t="inlineStr">
        <is>
          <t>1404/07/01</t>
        </is>
      </c>
      <c r="Q8" s="23" t="inlineStr">
        <is>
          <t>1408462</t>
        </is>
      </c>
      <c r="R8" s="23" t="inlineStr">
        <is>
          <t>https://www.codal.ir/Reports/Decision.aspx?LetterSerial=9W5KqOFDkv3BoGKhfVCF0w%3d%3d&amp;rt=2&amp;let=19&amp;ct=0&amp;ft=-1</t>
        </is>
      </c>
      <c r="S8" s="23" t="inlineStr">
        <is>
          <t>Snapshot مبنا: TracingNo 1311653؛ Snapshot پایان: TracingNo 1477918</t>
        </is>
      </c>
      <c r="T8" s="23" t="inlineStr">
        <is>
          <t>اطلاعیه ۱۴۰۸۴۶۲ (جلسه/مجمع ۱۴۰۴/۰۶/۲۶)</t>
        </is>
      </c>
      <c r="U8" s="23" t="inlineStr">
        <is>
          <t>Confirmed</t>
        </is>
      </c>
      <c r="V8" s="23" t="inlineStr">
        <is>
          <t>ربیعی رئیس بود؛ رئیس هیئت مدیره از ربیعی به رحمتی تغییر کرد</t>
        </is>
      </c>
    </row>
    <row r="9" ht="72.5" customHeight="1" s="76">
      <c r="A9" s="25" t="inlineStr">
        <is>
          <t>تاپیکو</t>
        </is>
      </c>
      <c r="B9" s="25" t="inlineStr">
        <is>
          <t>TAPICO(تاپیکو)</t>
        </is>
      </c>
      <c r="C9" s="25" t="inlineStr">
        <is>
          <t>۱۴۰۴</t>
        </is>
      </c>
      <c r="D9" s="25" t="inlineStr">
        <is>
          <t>REF05 گردش شخص حقیقی (G/H)</t>
        </is>
      </c>
      <c r="E9" s="25" t="inlineStr">
        <is>
          <t>2/5</t>
        </is>
      </c>
      <c r="F9" s="25" t="inlineStr">
        <is>
          <t>3/5</t>
        </is>
      </c>
      <c r="G9" s="25" t="inlineStr">
        <is>
          <t>اصلاح شد</t>
        </is>
      </c>
      <c r="H9" s="25" t="n"/>
      <c r="I9" s="25" t="n"/>
      <c r="J9" s="25" t="n"/>
      <c r="K9" s="25" t="n"/>
      <c r="L9" s="25" t="n"/>
      <c r="M9" s="25" t="n"/>
      <c r="N9" s="25" t="n"/>
      <c r="O9" s="25" t="inlineStr">
        <is>
          <t>جمع‌بندی از رویدادهای کرسی همین شرکت</t>
        </is>
      </c>
      <c r="P9" s="25" t="n"/>
      <c r="Q9" s="25" t="n"/>
      <c r="R9" s="25" t="n"/>
      <c r="S9" s="25" t="inlineStr">
        <is>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is>
      </c>
      <c r="T9" s="25" t="inlineStr">
        <is>
          <t>جدول ۱۴۰۴/۱۲/۲۹ از اطلاعیه ۱۴۷۷۹۱۸ (جلسه ۱۴۰۴/۱۰/۱۸؛ اصلاحیه ثبت روزنامه رسمی)؛ اطلاعیه بعدی ۱۴۸۲۳۲۹ جلسه ۱۴۰۵/۰۳/۰۳ پس از Cutoff است.</t>
        </is>
      </c>
      <c r="U9" s="25" t="inlineStr">
        <is>
          <t>Confirmed</t>
        </is>
      </c>
      <c r="V9" s="25" t="n"/>
    </row>
    <row r="10" ht="72.5" customHeight="1" s="76">
      <c r="A10" s="23" t="inlineStr">
        <is>
          <t>تاپیکو</t>
        </is>
      </c>
      <c r="B10" s="23" t="inlineStr">
        <is>
          <t>TAPICO(تاپیکو)</t>
        </is>
      </c>
      <c r="C10" s="23" t="inlineStr">
        <is>
          <t>۱۴۰۴</t>
        </is>
      </c>
      <c r="D10" s="23" t="inlineStr">
        <is>
          <t>REF08 تغییر نماینده با شخص حقوقی ثابت (J/K)</t>
        </is>
      </c>
      <c r="E10" s="23" t="inlineStr">
        <is>
          <t>2/4</t>
        </is>
      </c>
      <c r="F10" s="23" t="inlineStr">
        <is>
          <t>3/5</t>
        </is>
      </c>
      <c r="G10" s="23" t="inlineStr">
        <is>
          <t>اصلاح شد</t>
        </is>
      </c>
      <c r="H10" s="23" t="n"/>
      <c r="I10" s="23" t="n"/>
      <c r="J10" s="23" t="n"/>
      <c r="K10" s="23" t="n"/>
      <c r="L10" s="23" t="n"/>
      <c r="M10" s="23" t="n"/>
      <c r="N10" s="23" t="n"/>
      <c r="O10" s="23" t="inlineStr">
        <is>
          <t>جمع‌بندی از رویدادهای کرسی همین شرکت</t>
        </is>
      </c>
      <c r="P10" s="23" t="n"/>
      <c r="Q10" s="23" t="n"/>
      <c r="R10" s="23" t="n"/>
      <c r="S10" s="23" t="inlineStr">
        <is>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is>
      </c>
      <c r="T10" s="23" t="inlineStr">
        <is>
          <t>جدول ۱۴۰۴/۱۲/۲۹ از اطلاعیه ۱۴۷۷۹۱۸ (جلسه ۱۴۰۴/۱۰/۱۸؛ اصلاحیه ثبت روزنامه رسمی)؛ اطلاعیه بعدی ۱۴۸۲۳۲۹ جلسه ۱۴۰۵/۰۳/۰۳ پس از Cutoff است.</t>
        </is>
      </c>
      <c r="U10" s="23" t="inlineStr">
        <is>
          <t>Confirmed</t>
        </is>
      </c>
      <c r="V10" s="23" t="n"/>
    </row>
    <row r="11" ht="72.5" customHeight="1" s="76">
      <c r="A11" s="25" t="inlineStr">
        <is>
          <t>تاپیکو</t>
        </is>
      </c>
      <c r="B11" s="25" t="inlineStr">
        <is>
          <t>TAPICO(تاپیکو)</t>
        </is>
      </c>
      <c r="C11" s="25" t="inlineStr">
        <is>
          <t>۱۴۰۴</t>
        </is>
      </c>
      <c r="D11" s="25" t="inlineStr">
        <is>
          <t>ROB_LEGAL تغییر شخص حقوقی (M/N)</t>
        </is>
      </c>
      <c r="E11" s="25" t="inlineStr">
        <is>
          <t>0/4</t>
        </is>
      </c>
      <c r="F11" s="25" t="inlineStr">
        <is>
          <t>0/5</t>
        </is>
      </c>
      <c r="G11" s="25" t="inlineStr">
        <is>
          <t>اصلاح شد</t>
        </is>
      </c>
      <c r="H11" s="25" t="n"/>
      <c r="I11" s="25" t="n"/>
      <c r="J11" s="25" t="n"/>
      <c r="K11" s="25" t="n"/>
      <c r="L11" s="25" t="n"/>
      <c r="M11" s="25" t="n"/>
      <c r="N11" s="25" t="n"/>
      <c r="O11" s="25" t="inlineStr">
        <is>
          <t>جمع‌بندی از رویدادهای کرسی همین شرکت</t>
        </is>
      </c>
      <c r="P11" s="25" t="n"/>
      <c r="Q11" s="25" t="n"/>
      <c r="R11" s="25" t="n"/>
      <c r="S11" s="25" t="inlineStr">
        <is>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is>
      </c>
      <c r="T11" s="25" t="inlineStr">
        <is>
          <t>جدول ۱۴۰۴/۱۲/۲۹ از اطلاعیه ۱۴۷۷۹۱۸ (جلسه ۱۴۰۴/۱۰/۱۸؛ اصلاحیه ثبت روزنامه رسمی)؛ اطلاعیه بعدی ۱۴۸۲۳۲۹ جلسه ۱۴۰۵/۰۳/۰۳ پس از Cutoff است.</t>
        </is>
      </c>
      <c r="U11" s="25" t="inlineStr">
        <is>
          <t>Confirmed</t>
        </is>
      </c>
      <c r="V11" s="25" t="n"/>
    </row>
    <row r="12" ht="72.5" customHeight="1" s="76">
      <c r="A12" s="23" t="inlineStr">
        <is>
          <t>تاپیکو</t>
        </is>
      </c>
      <c r="B12" s="23" t="inlineStr">
        <is>
          <t>TAPICO(تاپیکو)</t>
        </is>
      </c>
      <c r="C12" s="23" t="inlineStr">
        <is>
          <t>۱۴۰۴</t>
        </is>
      </c>
      <c r="D12" s="23" t="inlineStr">
        <is>
          <t>ROB_NEW عضو جدید (P/Q)</t>
        </is>
      </c>
      <c r="E12" s="23" t="inlineStr">
        <is>
          <t>2/5</t>
        </is>
      </c>
      <c r="F12" s="23" t="inlineStr">
        <is>
          <t>3/5</t>
        </is>
      </c>
      <c r="G12" s="23" t="inlineStr">
        <is>
          <t>اصلاح شد</t>
        </is>
      </c>
      <c r="H12" s="23" t="n"/>
      <c r="I12" s="23" t="n"/>
      <c r="J12" s="23" t="n"/>
      <c r="K12" s="23" t="n"/>
      <c r="L12" s="23" t="n"/>
      <c r="M12" s="23" t="n"/>
      <c r="N12" s="23" t="n"/>
      <c r="O12" s="23" t="inlineStr">
        <is>
          <t>جمع‌بندی از رویدادهای کرسی همین شرکت</t>
        </is>
      </c>
      <c r="P12" s="23" t="n"/>
      <c r="Q12" s="23" t="n"/>
      <c r="R12" s="23" t="n"/>
      <c r="S12" s="23" t="inlineStr">
        <is>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is>
      </c>
      <c r="T12" s="23" t="inlineStr">
        <is>
          <t>جدول ۱۴۰۴/۱۲/۲۹ از اطلاعیه ۱۴۷۷۹۱۸ (جلسه ۱۴۰۴/۱۰/۱۸؛ اصلاحیه ثبت روزنامه رسمی)؛ اطلاعیه بعدی ۱۴۸۲۳۲۹ جلسه ۱۴۰۵/۰۳/۰۳ پس از Cutoff است.</t>
        </is>
      </c>
      <c r="U12" s="23" t="inlineStr">
        <is>
          <t>Confirmed</t>
        </is>
      </c>
      <c r="V12" s="23" t="n"/>
    </row>
    <row r="13" ht="72.5" customHeight="1" s="76">
      <c r="A13" s="25" t="inlineStr">
        <is>
          <t>تاپیکو</t>
        </is>
      </c>
      <c r="B13" s="25" t="inlineStr">
        <is>
          <t>TAPICO(تاپیکو)</t>
        </is>
      </c>
      <c r="C13" s="25" t="inlineStr">
        <is>
          <t>۱۴۰۴</t>
        </is>
      </c>
      <c r="D13" s="25" t="inlineStr">
        <is>
          <t>ROB_STABILITY ثبات (S/T)</t>
        </is>
      </c>
      <c r="E13" s="25" t="inlineStr">
        <is>
          <t>3/5</t>
        </is>
      </c>
      <c r="F13" s="25" t="inlineStr">
        <is>
          <t>2/5</t>
        </is>
      </c>
      <c r="G13" s="25" t="inlineStr">
        <is>
          <t>اصلاح شد</t>
        </is>
      </c>
      <c r="H13" s="25" t="n"/>
      <c r="I13" s="25" t="n"/>
      <c r="J13" s="25" t="n"/>
      <c r="K13" s="25" t="n"/>
      <c r="L13" s="25" t="n"/>
      <c r="M13" s="25" t="n"/>
      <c r="N13" s="25" t="n"/>
      <c r="O13" s="25" t="inlineStr">
        <is>
          <t>جمع‌بندی از رویدادهای کرسی همین شرکت</t>
        </is>
      </c>
      <c r="P13" s="25" t="n"/>
      <c r="Q13" s="25" t="n"/>
      <c r="R13" s="25" t="n"/>
      <c r="S13" s="25" t="inlineStr">
        <is>
          <t>جدول مبنای ۱۴۰۳/۱۲/۲۹ از اطلاعیه ۱۳۱۱۶۵۳ (۱۴۰۳/۱۲/۰۴) و ۱۲۹۴۹۹۵ (۱۴۰۳/۱۰/۲۳) و اطلاعیه ۱۳۳۳۹۷۲ (ستون «نماینده قبلی» ۱۴۰۴/۰۱/۲۳)؛ تاریخ‌های عضویت گزارش FY1404 (ربیعی ۱۴۰۳/۱۰/۲۳، رحمتی ۱۴۰۳/۱۲/۰۴) تایید</t>
        </is>
      </c>
      <c r="T13" s="25" t="inlineStr">
        <is>
          <t>جدول ۱۴۰۴/۱۲/۲۹ از اطلاعیه ۱۴۷۷۹۱۸ (جلسه ۱۴۰۴/۱۰/۱۸؛ اصلاحیه ثبت روزنامه رسمی)؛ اطلاعیه بعدی ۱۴۸۲۳۲۹ جلسه ۱۴۰۵/۰۳/۰۳ پس از Cutoff است.</t>
        </is>
      </c>
      <c r="U13" s="25" t="inlineStr">
        <is>
          <t>Confirmed</t>
        </is>
      </c>
      <c r="V13" s="25" t="n"/>
    </row>
    <row r="14" ht="29" customHeight="1" s="76">
      <c r="A14" s="23" t="inlineStr">
        <is>
          <t>تاپیکو</t>
        </is>
      </c>
      <c r="B14" s="23" t="inlineStr">
        <is>
          <t>TAPICO(تاپیکو)</t>
        </is>
      </c>
      <c r="C14" s="23" t="inlineStr">
        <is>
          <t>۱۴۰۴</t>
        </is>
      </c>
      <c r="D14" s="23" t="inlineStr">
        <is>
          <t>تغییر رئیس هیئت مدیره (ستون V؛ ورودی CR1A)</t>
        </is>
      </c>
      <c r="E14" s="23" t="inlineStr">
        <is>
          <t>خیر</t>
        </is>
      </c>
      <c r="F14" s="23" t="inlineStr">
        <is>
          <t>بله</t>
        </is>
      </c>
      <c r="G14" s="23" t="inlineStr">
        <is>
          <t>اصلاح شد</t>
        </is>
      </c>
      <c r="H14" s="23" t="n"/>
      <c r="I14" s="23" t="n"/>
      <c r="J14" s="23" t="n"/>
      <c r="K14" s="23" t="n"/>
      <c r="L14" s="23" t="n"/>
      <c r="M14" s="23" t="n"/>
      <c r="N14" s="23" t="n"/>
      <c r="O14" s="23" t="inlineStr">
        <is>
          <t>جدول Cutoff</t>
        </is>
      </c>
      <c r="P14" s="23" t="n"/>
      <c r="Q14" s="23" t="n"/>
      <c r="R14" s="23" t="n"/>
      <c r="S14" s="23" t="n"/>
      <c r="T14" s="23" t="n"/>
      <c r="U14" s="23" t="inlineStr">
        <is>
          <t>Confirmed</t>
        </is>
      </c>
      <c r="V14" s="23" t="inlineStr">
        <is>
          <t>CR1A در برگه‌های Audit/معماری بازمحاسبه نشد؛ فقط ستون V ورودی</t>
        </is>
      </c>
    </row>
    <row r="15" ht="43.5" customHeight="1" s="76">
      <c r="A15" s="25" t="inlineStr">
        <is>
          <t>کچاد</t>
        </is>
      </c>
      <c r="B15" s="25" t="inlineStr">
        <is>
          <t>کچاد</t>
        </is>
      </c>
      <c r="C15" s="25" t="inlineStr">
        <is>
          <t>۱۴۰۳→۱۴۰۴ (Cutoff 1403/12/29 → 1404/12/29)</t>
        </is>
      </c>
      <c r="D15" s="25" t="inlineStr">
        <is>
          <t>رویداد کرسی</t>
        </is>
      </c>
      <c r="E15" s="25" t="n"/>
      <c r="F15" s="25" t="n"/>
      <c r="G15" s="25" t="inlineStr">
        <is>
          <t>ثبت شد</t>
        </is>
      </c>
      <c r="H15" s="25" t="inlineStr">
        <is>
          <t>محمود صلاحی</t>
        </is>
      </c>
      <c r="I15" s="25" t="inlineStr">
        <is>
          <t>محمدرضا تابش</t>
        </is>
      </c>
      <c r="J15" s="25" t="inlineStr">
        <is>
          <t>گروه مدیریت سرمایه‌گذاری امید</t>
        </is>
      </c>
      <c r="K15" s="25" t="inlineStr">
        <is>
          <t>محمود صلاحی</t>
        </is>
      </c>
      <c r="L15" s="25" t="inlineStr">
        <is>
          <t>محمدرضا تابش</t>
        </is>
      </c>
      <c r="M15" s="25" t="inlineStr">
        <is>
          <t>تغییر نماینده حقیقی با شخص حقوقی ثابت</t>
        </is>
      </c>
      <c r="N15" s="25" t="inlineStr">
        <is>
          <t>1404/02/24</t>
        </is>
      </c>
      <c r="O15" s="25" t="inlineStr">
        <is>
          <t>معرفی /تغییر در ترکیب اعضای هیئت مدیره/مدیر عامل</t>
        </is>
      </c>
      <c r="P15" s="25" t="inlineStr">
        <is>
          <t>1404/02/24</t>
        </is>
      </c>
      <c r="Q15" s="25" t="inlineStr">
        <is>
          <t>1343237</t>
        </is>
      </c>
      <c r="R15" s="25" t="inlineStr">
        <is>
          <t>https://www.codal.ir/Reports/Decision.aspx?LetterSerial=WtxLMfRQBjXMKexEV1XDIA%3d%3d&amp;rt=0&amp;let=19&amp;ct=0&amp;ft=-1</t>
        </is>
      </c>
      <c r="S15" s="25" t="inlineStr">
        <is>
          <t>Snapshot مبنا: TracingNo 1287746؛ Snapshot پایان: TracingNo 1473973</t>
        </is>
      </c>
      <c r="T15" s="25" t="inlineStr">
        <is>
          <t>جلسه هیئت مدیره ۱۴۰۴/۰۲/۲۴ (اطلاعیه ۱۳۴۳۲۳۷؛ اصلاحیه ۱۳۴۵۷۹۸ در ۱۴۰۴/۰۲/۲۹)</t>
        </is>
      </c>
      <c r="U15" s="25" t="inlineStr">
        <is>
          <t>Confirmed</t>
        </is>
      </c>
      <c r="V15" s="25" t="inlineStr">
        <is>
          <t>تغییر رئیس هیئت مدیره (صلاحی→تابش)</t>
        </is>
      </c>
    </row>
    <row r="16" ht="58" customHeight="1" s="76">
      <c r="A16" s="23" t="inlineStr">
        <is>
          <t>کچاد</t>
        </is>
      </c>
      <c r="B16" s="23" t="inlineStr">
        <is>
          <t>کچاد</t>
        </is>
      </c>
      <c r="C16" s="23" t="inlineStr">
        <is>
          <t>۱۴۰۳→۱۴۰۴ (Cutoff 1403/12/29 → 1404/12/29)</t>
        </is>
      </c>
      <c r="D16" s="23" t="inlineStr">
        <is>
          <t>رویداد کرسی</t>
        </is>
      </c>
      <c r="E16" s="23" t="n"/>
      <c r="F16" s="23" t="n"/>
      <c r="G16" s="23" t="inlineStr">
        <is>
          <t>ثبت شد</t>
        </is>
      </c>
      <c r="H16" s="23" t="inlineStr">
        <is>
          <t>فرید دهقانی</t>
        </is>
      </c>
      <c r="I16" s="23" t="inlineStr">
        <is>
          <t>فرید دهقانی</t>
        </is>
      </c>
      <c r="J16" s="23" t="inlineStr">
        <is>
          <t>سرمایه‌گذاری توسعه معادن و فلزات</t>
        </is>
      </c>
      <c r="K16" s="23" t="inlineStr">
        <is>
          <t>فرید دهقانی</t>
        </is>
      </c>
      <c r="L16" s="23" t="inlineStr">
        <is>
          <t>فرید دهقانی</t>
        </is>
      </c>
      <c r="M16" s="23" t="inlineStr">
        <is>
          <t>بدون تغییر</t>
        </is>
      </c>
      <c r="N16" s="23" t="inlineStr">
        <is>
          <t>—</t>
        </is>
      </c>
      <c r="O16" s="23" t="inlineStr">
        <is>
          <t>معرفی /تغییر در ترکیب اعضای هیئت مدیره/مدیر عامل</t>
        </is>
      </c>
      <c r="P16" s="23" t="inlineStr">
        <is>
          <t>1404/10/29</t>
        </is>
      </c>
      <c r="Q16" s="23" t="inlineStr">
        <is>
          <t>1473973</t>
        </is>
      </c>
      <c r="R16" s="23" t="inlineStr">
        <is>
          <t>https://www.codal.ir/Reports/Decision.aspx?LetterSerial=XPg1kJyBIkadWnCXHnsdKg%3d%3d&amp;rt=0&amp;let=19&amp;ct=0&amp;ft=-1</t>
        </is>
      </c>
      <c r="S16" s="23" t="inlineStr">
        <is>
          <t>Snapshot مبنا: TracingNo 1287746؛ Snapshot پایان: TracingNo 1473973</t>
        </is>
      </c>
      <c r="T16" s="23" t="inlineStr">
        <is>
          <t>Cutoff ۱۴۰۳/۱۲/۲۹ از اطلاعیه ۱۲۸۷۷۴۶ (جلسه ۱۴۰۳/۰۹/۲۶) و اصلاحیه‌های ۱۲۷۴۸۱۰/۱۲۷۵۲۳۴ (۱۴۰۳/۰۹/۰۴)؛ تا ۱۴۰۴/۰۲/۲۴ اطلاعیه‌ای نیست. گزارش سالا</t>
        </is>
      </c>
      <c r="U16" s="23" t="inlineStr">
        <is>
          <t>Confirmed</t>
        </is>
      </c>
      <c r="V16" s="23" t="inlineStr">
        <is>
          <t>نسخه اولیه ۱۳۴۳۲۳۷ به اشتباه «فاقد نماینده» داشت؛ اصلاحیه ۱۳۴۵۷۹۸ نماینده را حفظ کرد</t>
        </is>
      </c>
    </row>
    <row r="17" ht="58" customHeight="1" s="76">
      <c r="A17" s="25" t="inlineStr">
        <is>
          <t>کچاد</t>
        </is>
      </c>
      <c r="B17" s="25" t="inlineStr">
        <is>
          <t>کچاد</t>
        </is>
      </c>
      <c r="C17" s="25" t="inlineStr">
        <is>
          <t>۱۴۰۳→۱۴۰۴ (Cutoff 1403/12/29 → 1404/12/29)</t>
        </is>
      </c>
      <c r="D17" s="25" t="inlineStr">
        <is>
          <t>رویداد کرسی</t>
        </is>
      </c>
      <c r="E17" s="25" t="n"/>
      <c r="F17" s="25" t="n"/>
      <c r="G17" s="25" t="inlineStr">
        <is>
          <t>ثبت شد</t>
        </is>
      </c>
      <c r="H17" s="25" t="inlineStr">
        <is>
          <t>سعید مستشار</t>
        </is>
      </c>
      <c r="I17" s="25" t="inlineStr">
        <is>
          <t>حامد دهقانان</t>
        </is>
      </c>
      <c r="J17" s="25" t="inlineStr">
        <is>
          <t>سرمایه‌گذاری سپه</t>
        </is>
      </c>
      <c r="K17" s="25" t="inlineStr">
        <is>
          <t>سعید مستشار</t>
        </is>
      </c>
      <c r="L17" s="25" t="inlineStr">
        <is>
          <t>حامد دهقانان</t>
        </is>
      </c>
      <c r="M17" s="25" t="inlineStr">
        <is>
          <t>تغییر نماینده حقیقی با شخص حقوقی ثابت</t>
        </is>
      </c>
      <c r="N17" s="25" t="inlineStr">
        <is>
          <t>1404/02/24</t>
        </is>
      </c>
      <c r="O17" s="25" t="inlineStr">
        <is>
          <t>معرفی /تغییر در ترکیب اعضای هیئت مدیره/مدیر عامل</t>
        </is>
      </c>
      <c r="P17" s="25" t="inlineStr">
        <is>
          <t>1404/02/24</t>
        </is>
      </c>
      <c r="Q17" s="25" t="inlineStr">
        <is>
          <t>1343237</t>
        </is>
      </c>
      <c r="R17" s="25" t="inlineStr">
        <is>
          <t>https://www.codal.ir/Reports/Decision.aspx?LetterSerial=WtxLMfRQBjXMKexEV1XDIA%3d%3d&amp;rt=0&amp;let=19&amp;ct=0&amp;ft=-1</t>
        </is>
      </c>
      <c r="S17" s="25" t="inlineStr">
        <is>
          <t>Snapshot مبنا: TracingNo 1287746؛ Snapshot پایان: TracingNo 1473973</t>
        </is>
      </c>
      <c r="T17" s="25" t="inlineStr">
        <is>
          <t>جلسه هیئت مدیره ۱۴۰۴/۰۲/۲۴</t>
        </is>
      </c>
      <c r="U17" s="25" t="inlineStr">
        <is>
          <t>Confirmed</t>
        </is>
      </c>
      <c r="V17" s="25" t="inlineStr">
        <is>
          <t>دهقانان از ۱۴۰۴/۰۲/۲۴ تا ۱۴۰۴/۱۰/۲۹ نایب رئیس بود و سپس به عضو بازگشت (فقط سمت)؛ انتخاب مجدد اشخاص حقوقی مجمع ۱۴۰۴/۰۵/۰۶ عضو جدید نیست</t>
        </is>
      </c>
    </row>
    <row r="18" ht="58" customHeight="1" s="76">
      <c r="A18" s="23" t="inlineStr">
        <is>
          <t>کچاد</t>
        </is>
      </c>
      <c r="B18" s="23" t="inlineStr">
        <is>
          <t>کچاد</t>
        </is>
      </c>
      <c r="C18" s="23" t="inlineStr">
        <is>
          <t>۱۴۰۳→۱۴۰۴ (Cutoff 1403/12/29 → 1404/12/29)</t>
        </is>
      </c>
      <c r="D18" s="23" t="inlineStr">
        <is>
          <t>رویداد کرسی</t>
        </is>
      </c>
      <c r="E18" s="23" t="n"/>
      <c r="F18" s="23" t="n"/>
      <c r="G18" s="23" t="inlineStr">
        <is>
          <t>ثبت شد</t>
        </is>
      </c>
      <c r="H18" s="23" t="inlineStr">
        <is>
          <t>مهدی آقاپوربی‌شک</t>
        </is>
      </c>
      <c r="I18" s="23" t="inlineStr">
        <is>
          <t>مهدی آقاپوربی‌شک</t>
        </is>
      </c>
      <c r="J18" s="23" t="inlineStr">
        <is>
          <t>فولاد مبارکه اصفهان</t>
        </is>
      </c>
      <c r="K18" s="23" t="inlineStr">
        <is>
          <t>مهدی آقاپوربی‌شک</t>
        </is>
      </c>
      <c r="L18" s="23" t="inlineStr">
        <is>
          <t>مهدی آقاپوربی‌شک</t>
        </is>
      </c>
      <c r="M18" s="23" t="inlineStr">
        <is>
          <t>بدون تغییر</t>
        </is>
      </c>
      <c r="N18" s="23" t="inlineStr">
        <is>
          <t>—</t>
        </is>
      </c>
      <c r="O18" s="23" t="inlineStr">
        <is>
          <t>معرفی /تغییر در ترکیب اعضای هیئت مدیره/مدیر عامل</t>
        </is>
      </c>
      <c r="P18" s="23" t="inlineStr">
        <is>
          <t>1404/10/29</t>
        </is>
      </c>
      <c r="Q18" s="23" t="inlineStr">
        <is>
          <t>1473973</t>
        </is>
      </c>
      <c r="R18" s="23" t="inlineStr">
        <is>
          <t>https://www.codal.ir/Reports/Decision.aspx?LetterSerial=XPg1kJyBIkadWnCXHnsdKg%3d%3d&amp;rt=0&amp;let=19&amp;ct=0&amp;ft=-1</t>
        </is>
      </c>
      <c r="S18" s="23" t="inlineStr">
        <is>
          <t>Snapshot مبنا: TracingNo 1287746؛ Snapshot پایان: TracingNo 1473973</t>
        </is>
      </c>
      <c r="T18" s="23" t="inlineStr">
        <is>
          <t>Cutoff ۱۴۰۳/۱۲/۲۹ از اطلاعیه ۱۲۸۷۷۴۶ (جلسه ۱۴۰۳/۰۹/۲۶) و اصلاحیه‌های ۱۲۷۴۸۱۰/۱۲۷۵۲۳۴ (۱۴۰۳/۰۹/۰۴)؛ تا ۱۴۰۴/۰۲/۲۴ اطلاعیه‌ای نیست. گزارش سالا</t>
        </is>
      </c>
      <c r="U18" s="23" t="inlineStr">
        <is>
          <t>Confirmed</t>
        </is>
      </c>
      <c r="V18" s="23" t="inlineStr">
        <is>
          <t>آقاپور از ۱۴۰۳/۰۹/۲۶ نماینده است (پیش از Cutoff مبنا)</t>
        </is>
      </c>
    </row>
    <row r="19" ht="58" customHeight="1" s="76">
      <c r="A19" s="25" t="inlineStr">
        <is>
          <t>کچاد</t>
        </is>
      </c>
      <c r="B19" s="25" t="inlineStr">
        <is>
          <t>کچاد</t>
        </is>
      </c>
      <c r="C19" s="25" t="inlineStr">
        <is>
          <t>۱۴۰۳→۱۴۰۴ (Cutoff 1403/12/29 → 1404/12/29)</t>
        </is>
      </c>
      <c r="D19" s="25" t="inlineStr">
        <is>
          <t>رویداد کرسی</t>
        </is>
      </c>
      <c r="E19" s="25" t="n"/>
      <c r="F19" s="25" t="n"/>
      <c r="G19" s="25" t="inlineStr">
        <is>
          <t>ثبت شد</t>
        </is>
      </c>
      <c r="H19" s="25" t="inlineStr">
        <is>
          <t>— (کرسی بدون نماینده)</t>
        </is>
      </c>
      <c r="I19" s="25" t="inlineStr">
        <is>
          <t>مجتبی شعبانی</t>
        </is>
      </c>
      <c r="J19" s="25" t="inlineStr">
        <is>
          <t>سرمایه‌گذاری استان خوزستان</t>
        </is>
      </c>
      <c r="K19" s="25" t="inlineStr">
        <is>
          <t>— (کرسی بدون نماینده)</t>
        </is>
      </c>
      <c r="L19" s="25" t="inlineStr">
        <is>
          <t>مجتبی شعبانی</t>
        </is>
      </c>
      <c r="M19" s="25" t="inlineStr">
        <is>
          <t>ورود در کرسی خالی (غیرقابل مقایسه؛ عضو جدید)</t>
        </is>
      </c>
      <c r="N19" s="25" t="inlineStr">
        <is>
          <t>1404/05/06</t>
        </is>
      </c>
      <c r="O19" s="25" t="inlineStr">
        <is>
          <t>معرفی /تغییر در ترکیب اعضای هیئت مدیره/مدیر عامل</t>
        </is>
      </c>
      <c r="P19" s="25" t="inlineStr">
        <is>
          <t>1404/05/20</t>
        </is>
      </c>
      <c r="Q19" s="25" t="inlineStr">
        <is>
          <t>1391765</t>
        </is>
      </c>
      <c r="R19" s="25" t="inlineStr">
        <is>
          <t>https://www.codal.ir/Reports/Decision.aspx?LetterSerial=IAYTKaAQbe89etLVXMBN9w%3d%3d&amp;rt=0&amp;let=19&amp;ct=0&amp;ft=-1</t>
        </is>
      </c>
      <c r="S19" s="25" t="inlineStr">
        <is>
          <t>Snapshot مبنا: TracingNo 1287746؛ Snapshot پایان: TracingNo 1473973</t>
        </is>
      </c>
      <c r="T19" s="25" t="inlineStr">
        <is>
          <t>ورود نماینده جدید خدایار کریم‌نژادسرخی (جلسه ۱۴۰۴/۰۵/۲۰؛ مجمع ۱۴۰۴/۰۵/۰۶) سپس مجتبی شعبانی (جلسه ۱۴۰۴/۱۰/۲۹)</t>
        </is>
      </c>
      <c r="U19" s="25" t="inlineStr">
        <is>
          <t>Confirmed</t>
        </is>
      </c>
      <c r="V19" s="25" t="inlineStr">
        <is>
          <t>نماینده قبلی محمدرضا بابائی دره در ۱۴۰۳/۰۹/۰۴ حذف شد؛ کرسی تا ۱۴۰۴/۰۵/۲۰ بدون نماینده؛ خدایار کریم‌نژاد عضو موقت میانی است و در هیچ‌یک از دو Cutoff حضور ندارد</t>
        </is>
      </c>
    </row>
    <row r="20" ht="72.5" customHeight="1" s="76">
      <c r="A20" s="23" t="inlineStr">
        <is>
          <t>کچاد</t>
        </is>
      </c>
      <c r="B20" s="23" t="inlineStr">
        <is>
          <t>کچاد</t>
        </is>
      </c>
      <c r="C20" s="23" t="inlineStr">
        <is>
          <t>۱۴۰۴</t>
        </is>
      </c>
      <c r="D20" s="23" t="inlineStr">
        <is>
          <t>REF05 گردش شخص حقیقی (G/H)</t>
        </is>
      </c>
      <c r="E20" s="23" t="inlineStr">
        <is>
          <t>0/4</t>
        </is>
      </c>
      <c r="F20" s="23" t="inlineStr">
        <is>
          <t>2/4</t>
        </is>
      </c>
      <c r="G20" s="23" t="inlineStr">
        <is>
          <t>اصلاح شد</t>
        </is>
      </c>
      <c r="H20" s="23" t="n"/>
      <c r="I20" s="23" t="n"/>
      <c r="J20" s="23" t="n"/>
      <c r="K20" s="23" t="n"/>
      <c r="L20" s="23" t="n"/>
      <c r="M20" s="23" t="n"/>
      <c r="N20" s="23" t="n"/>
      <c r="O20" s="23" t="inlineStr">
        <is>
          <t>جمع‌بندی از رویدادهای کرسی همین شرکت</t>
        </is>
      </c>
      <c r="P20" s="23" t="n"/>
      <c r="Q20" s="23" t="n"/>
      <c r="R20" s="23" t="n"/>
      <c r="S20" s="23" t="inlineStr">
        <is>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is>
      </c>
      <c r="T20" s="23" t="inlineStr">
        <is>
          <t>Cutoff ۱۴۰۴/۱۲/۲۹ از اطلاعیه ۱۴۷۳۹۷۳ (جلسه ۱۴۰۴/۱۰/۲۹)؛ گزارش ۹ماهه ۱۵۲۵۶۳۰ (۱۴۰۵/۰۲/۲۶) امضا ۱۴۰۵/۰۲/۲۴ پس از Cutoff است.</t>
        </is>
      </c>
      <c r="U20" s="23" t="inlineStr">
        <is>
          <t>Confirmed</t>
        </is>
      </c>
      <c r="V20" s="23" t="n"/>
    </row>
    <row r="21" ht="72.5" customHeight="1" s="76">
      <c r="A21" s="25" t="inlineStr">
        <is>
          <t>کچاد</t>
        </is>
      </c>
      <c r="B21" s="25" t="inlineStr">
        <is>
          <t>کچاد</t>
        </is>
      </c>
      <c r="C21" s="25" t="inlineStr">
        <is>
          <t>۱۴۰۴</t>
        </is>
      </c>
      <c r="D21" s="25" t="inlineStr">
        <is>
          <t>REF08 تغییر نماینده با شخص حقوقی ثابت (J/K)</t>
        </is>
      </c>
      <c r="E21" s="25" t="inlineStr">
        <is>
          <t>0/4</t>
        </is>
      </c>
      <c r="F21" s="25" t="inlineStr">
        <is>
          <t>2/4</t>
        </is>
      </c>
      <c r="G21" s="25" t="inlineStr">
        <is>
          <t>اصلاح شد</t>
        </is>
      </c>
      <c r="H21" s="25" t="n"/>
      <c r="I21" s="25" t="n"/>
      <c r="J21" s="25" t="n"/>
      <c r="K21" s="25" t="n"/>
      <c r="L21" s="25" t="n"/>
      <c r="M21" s="25" t="n"/>
      <c r="N21" s="25" t="n"/>
      <c r="O21" s="25" t="inlineStr">
        <is>
          <t>جمع‌بندی از رویدادهای کرسی همین شرکت</t>
        </is>
      </c>
      <c r="P21" s="25" t="n"/>
      <c r="Q21" s="25" t="n"/>
      <c r="R21" s="25" t="n"/>
      <c r="S21" s="25" t="inlineStr">
        <is>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is>
      </c>
      <c r="T21" s="25" t="inlineStr">
        <is>
          <t>Cutoff ۱۴۰۴/۱۲/۲۹ از اطلاعیه ۱۴۷۳۹۷۳ (جلسه ۱۴۰۴/۱۰/۲۹)؛ گزارش ۹ماهه ۱۵۲۵۶۳۰ (۱۴۰۵/۰۲/۲۶) امضا ۱۴۰۵/۰۲/۲۴ پس از Cutoff است.</t>
        </is>
      </c>
      <c r="U21" s="25" t="inlineStr">
        <is>
          <t>Confirmed</t>
        </is>
      </c>
      <c r="V21" s="25" t="n"/>
    </row>
    <row r="22" ht="72.5" customHeight="1" s="76">
      <c r="A22" s="23" t="inlineStr">
        <is>
          <t>کچاد</t>
        </is>
      </c>
      <c r="B22" s="23" t="inlineStr">
        <is>
          <t>کچاد</t>
        </is>
      </c>
      <c r="C22" s="23" t="inlineStr">
        <is>
          <t>۱۴۰۴</t>
        </is>
      </c>
      <c r="D22" s="23" t="inlineStr">
        <is>
          <t>ROB_LEGAL تغییر شخص حقوقی (M/N)</t>
        </is>
      </c>
      <c r="E22" s="23" t="inlineStr">
        <is>
          <t>0/5</t>
        </is>
      </c>
      <c r="F22" s="23" t="inlineStr">
        <is>
          <t>0/5</t>
        </is>
      </c>
      <c r="G22" s="23" t="inlineStr">
        <is>
          <t>بدون تغییر</t>
        </is>
      </c>
      <c r="H22" s="23" t="n"/>
      <c r="I22" s="23" t="n"/>
      <c r="J22" s="23" t="n"/>
      <c r="K22" s="23" t="n"/>
      <c r="L22" s="23" t="n"/>
      <c r="M22" s="23" t="n"/>
      <c r="N22" s="23" t="n"/>
      <c r="O22" s="23" t="inlineStr">
        <is>
          <t>جمع‌بندی از رویدادهای کرسی همین شرکت</t>
        </is>
      </c>
      <c r="P22" s="23" t="n"/>
      <c r="Q22" s="23" t="n"/>
      <c r="R22" s="23" t="n"/>
      <c r="S22" s="23" t="inlineStr">
        <is>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is>
      </c>
      <c r="T22" s="23" t="inlineStr">
        <is>
          <t>Cutoff ۱۴۰۴/۱۲/۲۹ از اطلاعیه ۱۴۷۳۹۷۳ (جلسه ۱۴۰۴/۱۰/۲۹)؛ گزارش ۹ماهه ۱۵۲۵۶۳۰ (۱۴۰۵/۰۲/۲۶) امضا ۱۴۰۵/۰۲/۲۴ پس از Cutoff است.</t>
        </is>
      </c>
      <c r="U22" s="23" t="inlineStr">
        <is>
          <t>Confirmed</t>
        </is>
      </c>
      <c r="V22" s="23" t="n"/>
    </row>
    <row r="23" ht="72.5" customHeight="1" s="76">
      <c r="A23" s="25" t="inlineStr">
        <is>
          <t>کچاد</t>
        </is>
      </c>
      <c r="B23" s="25" t="inlineStr">
        <is>
          <t>کچاد</t>
        </is>
      </c>
      <c r="C23" s="25" t="inlineStr">
        <is>
          <t>۱۴۰۴</t>
        </is>
      </c>
      <c r="D23" s="25" t="inlineStr">
        <is>
          <t>ROB_NEW عضو جدید (P/Q)</t>
        </is>
      </c>
      <c r="E23" s="25" t="inlineStr">
        <is>
          <t>1/5</t>
        </is>
      </c>
      <c r="F23" s="25" t="inlineStr">
        <is>
          <t>3/5</t>
        </is>
      </c>
      <c r="G23" s="25" t="inlineStr">
        <is>
          <t>اصلاح شد</t>
        </is>
      </c>
      <c r="H23" s="25" t="n"/>
      <c r="I23" s="25" t="n"/>
      <c r="J23" s="25" t="n"/>
      <c r="K23" s="25" t="n"/>
      <c r="L23" s="25" t="n"/>
      <c r="M23" s="25" t="n"/>
      <c r="N23" s="25" t="n"/>
      <c r="O23" s="25" t="inlineStr">
        <is>
          <t>جمع‌بندی از رویدادهای کرسی همین شرکت</t>
        </is>
      </c>
      <c r="P23" s="25" t="n"/>
      <c r="Q23" s="25" t="n"/>
      <c r="R23" s="25" t="n"/>
      <c r="S23" s="25" t="inlineStr">
        <is>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is>
      </c>
      <c r="T23" s="25" t="inlineStr">
        <is>
          <t>Cutoff ۱۴۰۴/۱۲/۲۹ از اطلاعیه ۱۴۷۳۹۷۳ (جلسه ۱۴۰۴/۱۰/۲۹)؛ گزارش ۹ماهه ۱۵۲۵۶۳۰ (۱۴۰۵/۰۲/۲۶) امضا ۱۴۰۵/۰۲/۲۴ پس از Cutoff است.</t>
        </is>
      </c>
      <c r="U23" s="25" t="inlineStr">
        <is>
          <t>Confirmed</t>
        </is>
      </c>
      <c r="V23" s="25" t="n"/>
    </row>
    <row r="24" ht="72.5" customHeight="1" s="76">
      <c r="A24" s="23" t="inlineStr">
        <is>
          <t>کچاد</t>
        </is>
      </c>
      <c r="B24" s="23" t="inlineStr">
        <is>
          <t>کچاد</t>
        </is>
      </c>
      <c r="C24" s="23" t="inlineStr">
        <is>
          <t>۱۴۰۴</t>
        </is>
      </c>
      <c r="D24" s="23" t="inlineStr">
        <is>
          <t>ROB_STABILITY ثبات (S/T)</t>
        </is>
      </c>
      <c r="E24" s="23" t="inlineStr">
        <is>
          <t>4/4</t>
        </is>
      </c>
      <c r="F24" s="23" t="inlineStr">
        <is>
          <t>2/4</t>
        </is>
      </c>
      <c r="G24" s="23" t="inlineStr">
        <is>
          <t>اصلاح شد</t>
        </is>
      </c>
      <c r="H24" s="23" t="n"/>
      <c r="I24" s="23" t="n"/>
      <c r="J24" s="23" t="n"/>
      <c r="K24" s="23" t="n"/>
      <c r="L24" s="23" t="n"/>
      <c r="M24" s="23" t="n"/>
      <c r="N24" s="23" t="n"/>
      <c r="O24" s="23" t="inlineStr">
        <is>
          <t>جمع‌بندی از رویدادهای کرسی همین شرکت</t>
        </is>
      </c>
      <c r="P24" s="23" t="n"/>
      <c r="Q24" s="23" t="n"/>
      <c r="R24" s="23" t="n"/>
      <c r="S24" s="23" t="inlineStr">
        <is>
          <t>Cutoff ۱۴۰۳/۱۲/۲۹ از اطلاعیه ۱۲۸۷۷۴۶ (جلسه ۱۴۰۳/۰۹/۲۶) و اصلاحیه‌های ۱۲۷۴۸۱۰/۱۲۷۵۲۳۴ (۱۴۰۳/۰۹/۰۴)؛ تا ۱۴۰۴/۰۲/۲۴ اطلاعیه‌ای نیست. گزارش سالانه FY1403 (۱۳۶۸۷۸۵؛ امضا ۱۴۰۴/۰۴/۱۶) جدول پس از Cutoff را نش</t>
        </is>
      </c>
      <c r="T24" s="23" t="inlineStr">
        <is>
          <t>Cutoff ۱۴۰۴/۱۲/۲۹ از اطلاعیه ۱۴۷۳۹۷۳ (جلسه ۱۴۰۴/۱۰/۲۹)؛ گزارش ۹ماهه ۱۵۲۵۶۳۰ (۱۴۰۵/۰۲/۲۶) امضا ۱۴۰۵/۰۲/۲۴ پس از Cutoff است.</t>
        </is>
      </c>
      <c r="U24" s="23" t="inlineStr">
        <is>
          <t>Confirmed</t>
        </is>
      </c>
      <c r="V24" s="23" t="n"/>
    </row>
    <row r="25" ht="29" customHeight="1" s="76">
      <c r="A25" s="25" t="inlineStr">
        <is>
          <t>کچاد</t>
        </is>
      </c>
      <c r="B25" s="25" t="inlineStr">
        <is>
          <t>کچاد</t>
        </is>
      </c>
      <c r="C25" s="25" t="inlineStr">
        <is>
          <t>۱۴۰۴</t>
        </is>
      </c>
      <c r="D25" s="25" t="inlineStr">
        <is>
          <t>تغییر رئیس هیئت مدیره (ستون V؛ ورودی CR1A)</t>
        </is>
      </c>
      <c r="E25" s="25" t="inlineStr">
        <is>
          <t>خیر</t>
        </is>
      </c>
      <c r="F25" s="25" t="inlineStr">
        <is>
          <t>بله</t>
        </is>
      </c>
      <c r="G25" s="25" t="inlineStr">
        <is>
          <t>اصلاح شد</t>
        </is>
      </c>
      <c r="H25" s="25" t="n"/>
      <c r="I25" s="25" t="n"/>
      <c r="J25" s="25" t="n"/>
      <c r="K25" s="25" t="n"/>
      <c r="L25" s="25" t="n"/>
      <c r="M25" s="25" t="n"/>
      <c r="N25" s="25" t="n"/>
      <c r="O25" s="25" t="inlineStr">
        <is>
          <t>جدول Cutoff</t>
        </is>
      </c>
      <c r="P25" s="25" t="n"/>
      <c r="Q25" s="25" t="n"/>
      <c r="R25" s="25" t="n"/>
      <c r="S25" s="25" t="n"/>
      <c r="T25" s="25" t="n"/>
      <c r="U25" s="25" t="inlineStr">
        <is>
          <t>Confirmed</t>
        </is>
      </c>
      <c r="V25" s="25" t="inlineStr">
        <is>
          <t>CR1A در برگه‌های Audit/معماری بازمحاسبه نشد؛ فقط ستون V ورودی</t>
        </is>
      </c>
    </row>
    <row r="26" ht="58" customHeight="1" s="76">
      <c r="A26" s="23" t="inlineStr">
        <is>
          <t>پارسان</t>
        </is>
      </c>
      <c r="B26" s="23" t="inlineStr">
        <is>
          <t>پارسان</t>
        </is>
      </c>
      <c r="C26" s="23" t="inlineStr">
        <is>
          <t>۱۴۰۳→۱۴۰۴ (Cutoff 1403/12/29 → 1404/12/29)</t>
        </is>
      </c>
      <c r="D26" s="23" t="inlineStr">
        <is>
          <t>رویداد کرسی</t>
        </is>
      </c>
      <c r="E26" s="23" t="n"/>
      <c r="F26" s="23" t="n"/>
      <c r="G26" s="23" t="inlineStr">
        <is>
          <t>ثبت شد</t>
        </is>
      </c>
      <c r="H26" s="23" t="inlineStr">
        <is>
          <t>سیدجعفر هاشمی</t>
        </is>
      </c>
      <c r="I26" s="23" t="inlineStr">
        <is>
          <t>سیدجعفر هاشمی</t>
        </is>
      </c>
      <c r="J26" s="23" t="inlineStr">
        <is>
          <t>سرمایه‌گذاری غدیر</t>
        </is>
      </c>
      <c r="K26" s="23" t="inlineStr">
        <is>
          <t>سیدجعفر هاشمی</t>
        </is>
      </c>
      <c r="L26" s="23" t="inlineStr">
        <is>
          <t>سیدجعفر هاشمی</t>
        </is>
      </c>
      <c r="M26" s="23" t="inlineStr">
        <is>
          <t>بدون تغییر</t>
        </is>
      </c>
      <c r="N26" s="23" t="inlineStr">
        <is>
          <t>—</t>
        </is>
      </c>
      <c r="O26" s="23" t="inlineStr">
        <is>
          <t>معرفی /تغییر در ترکیب اعضای هیئت مدیره/مدیر عامل(اصلاحیه)</t>
        </is>
      </c>
      <c r="P26" s="23" t="inlineStr">
        <is>
          <t>1404/09/06</t>
        </is>
      </c>
      <c r="Q26" s="23" t="inlineStr">
        <is>
          <t>1443940</t>
        </is>
      </c>
      <c r="R26" s="23" t="inlineStr">
        <is>
          <t>https://www.codal.ir/Reports/Decision.aspx?LetterSerial=zNIQQQaQQQIYcl2yMb4DUIPu3s7w%3d%3d&amp;rt=2&amp;let=19&amp;ct=0&amp;ft=-1</t>
        </is>
      </c>
      <c r="S26" s="23" t="inlineStr">
        <is>
          <t>Snapshot مبنا: TracingNo 1288275؛ Snapshot پایان: TracingNo 1443940</t>
        </is>
      </c>
      <c r="T26" s="23" t="inlineStr">
        <is>
          <t>Cutoff ۱۴۰۳/۱۲/۲۹ از اطلاعیه ۱۲۸۸۲۷۵ (۱۴۰۳/۱۰/۰۵) و ۱۳۲۷۵۲۲ (۱۴۰۴/۰۱/۱۸، به‌روزرسانی تایید صلاحیت)؛ جدول ۵ کرسی حقوقی؛ عدد ۷ در v35 تعداد اف</t>
        </is>
      </c>
      <c r="U26" s="23" t="inlineStr">
        <is>
          <t>High</t>
        </is>
      </c>
      <c r="V26" s="23" t="inlineStr">
        <is>
          <t>جایگزین اسماعیل قنبری از ۱۴۰۳/۰۲/۱۴ (اطلاعیه ۱۱۹۰۰۲۲)؛ پیش از Cutoff مبنا</t>
        </is>
      </c>
    </row>
    <row r="27" ht="58" customHeight="1" s="76">
      <c r="A27" s="25" t="inlineStr">
        <is>
          <t>پارسان</t>
        </is>
      </c>
      <c r="B27" s="25" t="inlineStr">
        <is>
          <t>پارسان</t>
        </is>
      </c>
      <c r="C27" s="25" t="inlineStr">
        <is>
          <t>۱۴۰۳→۱۴۰۴ (Cutoff 1403/12/29 → 1404/12/29)</t>
        </is>
      </c>
      <c r="D27" s="25" t="inlineStr">
        <is>
          <t>رویداد کرسی</t>
        </is>
      </c>
      <c r="E27" s="25" t="n"/>
      <c r="F27" s="25" t="n"/>
      <c r="G27" s="25" t="inlineStr">
        <is>
          <t>ثبت شد</t>
        </is>
      </c>
      <c r="H27" s="25" t="inlineStr">
        <is>
          <t>رحیم اسماعیلی دانا</t>
        </is>
      </c>
      <c r="I27" s="25" t="inlineStr">
        <is>
          <t>رحیم اسماعیلی دانا</t>
        </is>
      </c>
      <c r="J27" s="25" t="inlineStr">
        <is>
          <t>سرمایه‌گذاری اعتضاد غدیر</t>
        </is>
      </c>
      <c r="K27" s="25" t="inlineStr">
        <is>
          <t>رحیم اسماعیلی دانا</t>
        </is>
      </c>
      <c r="L27" s="25" t="inlineStr">
        <is>
          <t>رحیم اسماعیلی دانا</t>
        </is>
      </c>
      <c r="M27" s="25" t="inlineStr">
        <is>
          <t>بدون تغییر</t>
        </is>
      </c>
      <c r="N27" s="25" t="inlineStr">
        <is>
          <t>—</t>
        </is>
      </c>
      <c r="O27" s="25" t="inlineStr">
        <is>
          <t>معرفی /تغییر در ترکیب اعضای هیئت مدیره/مدیر عامل(اصلاحیه)</t>
        </is>
      </c>
      <c r="P27" s="25" t="inlineStr">
        <is>
          <t>1404/09/06</t>
        </is>
      </c>
      <c r="Q27" s="25" t="inlineStr">
        <is>
          <t>1443940</t>
        </is>
      </c>
      <c r="R27" s="25" t="inlineStr">
        <is>
          <t>https://www.codal.ir/Reports/Decision.aspx?LetterSerial=zNIQQQaQQQIYcl2yMb4DUIPu3s7w%3d%3d&amp;rt=2&amp;let=19&amp;ct=0&amp;ft=-1</t>
        </is>
      </c>
      <c r="S27" s="25" t="inlineStr">
        <is>
          <t>Snapshot مبنا: TracingNo 1288275؛ Snapshot پایان: TracingNo 1443940</t>
        </is>
      </c>
      <c r="T27" s="25" t="inlineStr">
        <is>
          <t>Cutoff ۱۴۰۳/۱۲/۲۹ از اطلاعیه ۱۲۸۸۲۷۵ (۱۴۰۳/۱۰/۰۵) و ۱۳۲۷۵۲۲ (۱۴۰۴/۰۱/۱۸، به‌روزرسانی تایید صلاحیت)؛ جدول ۵ کرسی حقوقی؛ عدد ۷ در v35 تعداد اف</t>
        </is>
      </c>
      <c r="U27" s="25" t="inlineStr">
        <is>
          <t>High</t>
        </is>
      </c>
      <c r="V27" s="25" t="n"/>
    </row>
    <row r="28" ht="43.5" customHeight="1" s="76">
      <c r="A28" s="23" t="inlineStr">
        <is>
          <t>پارسان</t>
        </is>
      </c>
      <c r="B28" s="23" t="inlineStr">
        <is>
          <t>پارسان</t>
        </is>
      </c>
      <c r="C28" s="23" t="inlineStr">
        <is>
          <t>۱۴۰۳→۱۴۰۴ (Cutoff 1403/12/29 → 1404/12/29)</t>
        </is>
      </c>
      <c r="D28" s="23" t="inlineStr">
        <is>
          <t>رویداد کرسی</t>
        </is>
      </c>
      <c r="E28" s="23" t="n"/>
      <c r="F28" s="23" t="n"/>
      <c r="G28" s="23" t="inlineStr">
        <is>
          <t>ثبت شد</t>
        </is>
      </c>
      <c r="H28" s="23" t="inlineStr">
        <is>
          <t>محمدرضا حیدرزاده</t>
        </is>
      </c>
      <c r="I28" s="23" t="inlineStr">
        <is>
          <t>علی مهری‌پرگو</t>
        </is>
      </c>
      <c r="J28" s="23" t="inlineStr">
        <is>
          <t>دریابان جنوب ایران کیش</t>
        </is>
      </c>
      <c r="K28" s="23" t="inlineStr">
        <is>
          <t>محمدرضا حیدرزاده</t>
        </is>
      </c>
      <c r="L28" s="23" t="inlineStr">
        <is>
          <t>علی مهری‌پرگو</t>
        </is>
      </c>
      <c r="M28" s="23" t="inlineStr">
        <is>
          <t>تغییر نماینده حقیقی با شخص حقوقی ثابت</t>
        </is>
      </c>
      <c r="N28" s="23" t="inlineStr">
        <is>
          <t>1404/02/24</t>
        </is>
      </c>
      <c r="O28" s="23" t="inlineStr">
        <is>
          <t>معرفی /تغییر در ترکیب اعضای هیئت مدیره/مدیر عامل</t>
        </is>
      </c>
      <c r="P28" s="23" t="inlineStr">
        <is>
          <t>1404/02/30</t>
        </is>
      </c>
      <c r="Q28" s="23" t="inlineStr">
        <is>
          <t>1345985</t>
        </is>
      </c>
      <c r="R28" s="23" t="inlineStr">
        <is>
          <t>https://www.codal.ir/Reports/Decision.aspx?LetterSerial=Isgmsl2s3SpQQQaQQQYOnBYzL9bw%3d%3d&amp;rt=2&amp;let=19&amp;ct=0&amp;ft=-1</t>
        </is>
      </c>
      <c r="S28" s="23" t="inlineStr">
        <is>
          <t>Snapshot مبنا: TracingNo 1288275؛ Snapshot پایان: TracingNo 1443940</t>
        </is>
      </c>
      <c r="T28" s="23" t="inlineStr">
        <is>
          <t>تاریخ عضویت گزارش FY1404 (۱۴۰۴/۰۲/۲۴)؛ ثبت در کدال ۱۴۰۴/۰۲/۳۰ (اطلاعیه ۱۳۴۵۹۸۵)</t>
        </is>
      </c>
      <c r="U28" s="23" t="inlineStr">
        <is>
          <t>High</t>
        </is>
      </c>
      <c r="V28" s="23" t="n"/>
    </row>
    <row r="29" ht="43.5" customHeight="1" s="76">
      <c r="A29" s="25" t="inlineStr">
        <is>
          <t>پارسان</t>
        </is>
      </c>
      <c r="B29" s="25" t="inlineStr">
        <is>
          <t>پارسان</t>
        </is>
      </c>
      <c r="C29" s="25" t="inlineStr">
        <is>
          <t>۱۴۰۳→۱۴۰۴ (Cutoff 1403/12/29 → 1404/12/29)</t>
        </is>
      </c>
      <c r="D29" s="25" t="inlineStr">
        <is>
          <t>رویداد کرسی</t>
        </is>
      </c>
      <c r="E29" s="25" t="n"/>
      <c r="F29" s="25" t="n"/>
      <c r="G29" s="25" t="inlineStr">
        <is>
          <t>ثبت شد</t>
        </is>
      </c>
      <c r="H29" s="25" t="inlineStr">
        <is>
          <t>متین دیداری</t>
        </is>
      </c>
      <c r="I29" s="25" t="inlineStr">
        <is>
          <t>علیرضا غلامی</t>
        </is>
      </c>
      <c r="J29" s="25" t="inlineStr">
        <is>
          <t>صنعتی و بازرگانی غدیر</t>
        </is>
      </c>
      <c r="K29" s="25" t="inlineStr">
        <is>
          <t>متین دیداری</t>
        </is>
      </c>
      <c r="L29" s="25" t="inlineStr">
        <is>
          <t>علیرضا غلامی</t>
        </is>
      </c>
      <c r="M29" s="25" t="inlineStr">
        <is>
          <t>تغییر نماینده حقیقی با شخص حقوقی ثابت</t>
        </is>
      </c>
      <c r="N29" s="25" t="inlineStr">
        <is>
          <t>1404/02/24</t>
        </is>
      </c>
      <c r="O29" s="25" t="inlineStr">
        <is>
          <t>معرفی /تغییر در ترکیب اعضای هیئت مدیره/مدیر عامل</t>
        </is>
      </c>
      <c r="P29" s="25" t="inlineStr">
        <is>
          <t>1404/02/30</t>
        </is>
      </c>
      <c r="Q29" s="25" t="inlineStr">
        <is>
          <t>1345985</t>
        </is>
      </c>
      <c r="R29" s="25" t="inlineStr">
        <is>
          <t>https://www.codal.ir/Reports/Decision.aspx?LetterSerial=Isgmsl2s3SpQQQaQQQYOnBYzL9bw%3d%3d&amp;rt=2&amp;let=19&amp;ct=0&amp;ft=-1</t>
        </is>
      </c>
      <c r="S29" s="25" t="inlineStr">
        <is>
          <t>Snapshot مبنا: TracingNo 1288275؛ Snapshot پایان: TracingNo 1443940</t>
        </is>
      </c>
      <c r="T29" s="25" t="inlineStr">
        <is>
          <t>همان اطلاعیه ۱۳۴۵۹۸۵</t>
        </is>
      </c>
      <c r="U29" s="25" t="inlineStr">
        <is>
          <t>High</t>
        </is>
      </c>
      <c r="V29" s="25" t="n"/>
    </row>
    <row r="30" ht="72.5" customHeight="1" s="76">
      <c r="A30" s="23" t="inlineStr">
        <is>
          <t>پارسان</t>
        </is>
      </c>
      <c r="B30" s="23" t="inlineStr">
        <is>
          <t>پارسان</t>
        </is>
      </c>
      <c r="C30" s="23" t="inlineStr">
        <is>
          <t>۱۴۰۳→۱۴۰۴ (Cutoff 1403/12/29 → 1404/12/29)</t>
        </is>
      </c>
      <c r="D30" s="23" t="inlineStr">
        <is>
          <t>رویداد کرسی</t>
        </is>
      </c>
      <c r="E30" s="23" t="n"/>
      <c r="F30" s="23" t="n"/>
      <c r="G30" s="23" t="inlineStr">
        <is>
          <t>ثبت شد</t>
        </is>
      </c>
      <c r="H30" s="23" t="inlineStr">
        <is>
          <t>احد امیری</t>
        </is>
      </c>
      <c r="I30" s="23" t="inlineStr">
        <is>
          <t>احد امیری</t>
        </is>
      </c>
      <c r="J30" s="23" t="inlineStr">
        <is>
          <t>سرمایه‌گذاری مهرگان تأمین پارس</t>
        </is>
      </c>
      <c r="K30" s="23" t="inlineStr">
        <is>
          <t>احد امیری</t>
        </is>
      </c>
      <c r="L30" s="23" t="inlineStr">
        <is>
          <t>احد امیری</t>
        </is>
      </c>
      <c r="M30" s="23" t="inlineStr">
        <is>
          <t>بدون تغییر</t>
        </is>
      </c>
      <c r="N30" s="23" t="inlineStr">
        <is>
          <t>—</t>
        </is>
      </c>
      <c r="O30" s="23" t="inlineStr">
        <is>
          <t>معرفی /تغییر در ترکیب اعضای هیئت مدیره/مدیر عامل(اصلاحیه)</t>
        </is>
      </c>
      <c r="P30" s="23" t="inlineStr">
        <is>
          <t>1404/09/06</t>
        </is>
      </c>
      <c r="Q30" s="23" t="inlineStr">
        <is>
          <t>1443940</t>
        </is>
      </c>
      <c r="R30" s="23" t="inlineStr">
        <is>
          <t>https://www.codal.ir/Reports/Decision.aspx?LetterSerial=zNIQQQaQQQIYcl2yMb4DUIPu3s7w%3d%3d&amp;rt=2&amp;let=19&amp;ct=0&amp;ft=-1</t>
        </is>
      </c>
      <c r="S30" s="23" t="inlineStr">
        <is>
          <t>Snapshot مبنا: TracingNo 1288275؛ Snapshot پایان: TracingNo 1443940</t>
        </is>
      </c>
      <c r="T30" s="23" t="inlineStr">
        <is>
          <t>Cutoff ۱۴۰۳/۱۲/۲۹ از اطلاعیه ۱۲۸۸۲۷۵ (۱۴۰۳/۱۰/۰۵) و ۱۳۲۷۵۲۲ (۱۴۰۴/۰۱/۱۸، به‌روزرسانی تایید صلاحیت)؛ جدول ۵ کرسی حقوقی؛ عدد ۷ در v35 تعداد اف</t>
        </is>
      </c>
      <c r="U30" s="23" t="inlineStr">
        <is>
          <t>High</t>
        </is>
      </c>
      <c r="V30" s="23" t="inlineStr">
        <is>
          <t>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is>
      </c>
    </row>
    <row r="31" ht="72.5" customHeight="1" s="76">
      <c r="A31" s="25" t="inlineStr">
        <is>
          <t>پارسان</t>
        </is>
      </c>
      <c r="B31" s="25" t="inlineStr">
        <is>
          <t>پارسان</t>
        </is>
      </c>
      <c r="C31" s="25" t="inlineStr">
        <is>
          <t>۱۴۰۴</t>
        </is>
      </c>
      <c r="D31" s="25" t="inlineStr">
        <is>
          <t>REF05 گردش شخص حقیقی (G/H)</t>
        </is>
      </c>
      <c r="E31" s="25" t="inlineStr">
        <is>
          <t>0/5</t>
        </is>
      </c>
      <c r="F31" s="25" t="inlineStr">
        <is>
          <t>2/5</t>
        </is>
      </c>
      <c r="G31" s="25" t="inlineStr">
        <is>
          <t>اصلاح شد</t>
        </is>
      </c>
      <c r="H31" s="25" t="n"/>
      <c r="I31" s="25" t="n"/>
      <c r="J31" s="25" t="n"/>
      <c r="K31" s="25" t="n"/>
      <c r="L31" s="25" t="n"/>
      <c r="M31" s="25" t="n"/>
      <c r="N31" s="25" t="n"/>
      <c r="O31" s="25" t="inlineStr">
        <is>
          <t>جمع‌بندی از رویدادهای کرسی همین شرکت</t>
        </is>
      </c>
      <c r="P31" s="25" t="n"/>
      <c r="Q31" s="25" t="n"/>
      <c r="R31" s="25" t="n"/>
      <c r="S31" s="25"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1" s="25" t="inlineStr">
        <is>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is>
      </c>
      <c r="U31" s="25" t="inlineStr">
        <is>
          <t>High</t>
        </is>
      </c>
      <c r="V31" s="25" t="n"/>
    </row>
    <row r="32" ht="72.5" customHeight="1" s="76">
      <c r="A32" s="23" t="inlineStr">
        <is>
          <t>پارسان</t>
        </is>
      </c>
      <c r="B32" s="23" t="inlineStr">
        <is>
          <t>پارسان</t>
        </is>
      </c>
      <c r="C32" s="23" t="inlineStr">
        <is>
          <t>۱۴۰۴</t>
        </is>
      </c>
      <c r="D32" s="23" t="inlineStr">
        <is>
          <t>REF08 تغییر نماینده با شخص حقوقی ثابت (J/K)</t>
        </is>
      </c>
      <c r="E32" s="23" t="inlineStr">
        <is>
          <t>Missing/N/A</t>
        </is>
      </c>
      <c r="F32" s="23" t="inlineStr">
        <is>
          <t>2/5</t>
        </is>
      </c>
      <c r="G32" s="23" t="inlineStr">
        <is>
          <t>اصلاح شد</t>
        </is>
      </c>
      <c r="H32" s="23" t="n"/>
      <c r="I32" s="23" t="n"/>
      <c r="J32" s="23" t="n"/>
      <c r="K32" s="23" t="n"/>
      <c r="L32" s="23" t="n"/>
      <c r="M32" s="23" t="n"/>
      <c r="N32" s="23" t="n"/>
      <c r="O32" s="23" t="inlineStr">
        <is>
          <t>جمع‌بندی از رویدادهای کرسی همین شرکت</t>
        </is>
      </c>
      <c r="P32" s="23" t="n"/>
      <c r="Q32" s="23" t="n"/>
      <c r="R32" s="23" t="n"/>
      <c r="S32" s="23"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2" s="23" t="inlineStr">
        <is>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is>
      </c>
      <c r="U32" s="23" t="inlineStr">
        <is>
          <t>High</t>
        </is>
      </c>
      <c r="V32" s="23" t="n"/>
    </row>
    <row r="33" ht="72.5" customHeight="1" s="76">
      <c r="A33" s="25" t="inlineStr">
        <is>
          <t>پارسان</t>
        </is>
      </c>
      <c r="B33" s="25" t="inlineStr">
        <is>
          <t>پارسان</t>
        </is>
      </c>
      <c r="C33" s="25" t="inlineStr">
        <is>
          <t>۱۴۰۴</t>
        </is>
      </c>
      <c r="D33" s="25" t="inlineStr">
        <is>
          <t>ROB_LEGAL تغییر شخص حقوقی (M/N)</t>
        </is>
      </c>
      <c r="E33" s="25" t="inlineStr">
        <is>
          <t>Missing/N/A</t>
        </is>
      </c>
      <c r="F33" s="25" t="inlineStr">
        <is>
          <t>0/5</t>
        </is>
      </c>
      <c r="G33" s="25" t="inlineStr">
        <is>
          <t>اصلاح شد</t>
        </is>
      </c>
      <c r="H33" s="25" t="n"/>
      <c r="I33" s="25" t="n"/>
      <c r="J33" s="25" t="n"/>
      <c r="K33" s="25" t="n"/>
      <c r="L33" s="25" t="n"/>
      <c r="M33" s="25" t="n"/>
      <c r="N33" s="25" t="n"/>
      <c r="O33" s="25" t="inlineStr">
        <is>
          <t>جمع‌بندی از رویدادهای کرسی همین شرکت</t>
        </is>
      </c>
      <c r="P33" s="25" t="n"/>
      <c r="Q33" s="25" t="n"/>
      <c r="R33" s="25" t="n"/>
      <c r="S33" s="25"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3" s="25" t="inlineStr">
        <is>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is>
      </c>
      <c r="U33" s="25" t="inlineStr">
        <is>
          <t>High</t>
        </is>
      </c>
      <c r="V33" s="25" t="n"/>
    </row>
    <row r="34" ht="72.5" customHeight="1" s="76">
      <c r="A34" s="23" t="inlineStr">
        <is>
          <t>پارسان</t>
        </is>
      </c>
      <c r="B34" s="23" t="inlineStr">
        <is>
          <t>پارسان</t>
        </is>
      </c>
      <c r="C34" s="23" t="inlineStr">
        <is>
          <t>۱۴۰۴</t>
        </is>
      </c>
      <c r="D34" s="23" t="inlineStr">
        <is>
          <t>ROB_NEW عضو جدید (P/Q)</t>
        </is>
      </c>
      <c r="E34" s="23" t="inlineStr">
        <is>
          <t>2/7</t>
        </is>
      </c>
      <c r="F34" s="23" t="inlineStr">
        <is>
          <t>2/5</t>
        </is>
      </c>
      <c r="G34" s="23" t="inlineStr">
        <is>
          <t>اصلاح شد</t>
        </is>
      </c>
      <c r="H34" s="23" t="n"/>
      <c r="I34" s="23" t="n"/>
      <c r="J34" s="23" t="n"/>
      <c r="K34" s="23" t="n"/>
      <c r="L34" s="23" t="n"/>
      <c r="M34" s="23" t="n"/>
      <c r="N34" s="23" t="n"/>
      <c r="O34" s="23" t="inlineStr">
        <is>
          <t>جمع‌بندی از رویدادهای کرسی همین شرکت</t>
        </is>
      </c>
      <c r="P34" s="23" t="n"/>
      <c r="Q34" s="23" t="n"/>
      <c r="R34" s="23" t="n"/>
      <c r="S34" s="23"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4" s="23" t="inlineStr">
        <is>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is>
      </c>
      <c r="U34" s="23" t="inlineStr">
        <is>
          <t>High</t>
        </is>
      </c>
      <c r="V34" s="23" t="n"/>
    </row>
    <row r="35" ht="72.5" customHeight="1" s="76">
      <c r="A35" s="25" t="inlineStr">
        <is>
          <t>پارسان</t>
        </is>
      </c>
      <c r="B35" s="25" t="inlineStr">
        <is>
          <t>پارسان</t>
        </is>
      </c>
      <c r="C35" s="25" t="inlineStr">
        <is>
          <t>۱۴۰۴</t>
        </is>
      </c>
      <c r="D35" s="25" t="inlineStr">
        <is>
          <t>ROB_STABILITY ثبات (S/T)</t>
        </is>
      </c>
      <c r="E35" s="25" t="inlineStr">
        <is>
          <t>5/5</t>
        </is>
      </c>
      <c r="F35" s="25" t="inlineStr">
        <is>
          <t>3/5</t>
        </is>
      </c>
      <c r="G35" s="25" t="inlineStr">
        <is>
          <t>اصلاح شد</t>
        </is>
      </c>
      <c r="H35" s="25" t="n"/>
      <c r="I35" s="25" t="n"/>
      <c r="J35" s="25" t="n"/>
      <c r="K35" s="25" t="n"/>
      <c r="L35" s="25" t="n"/>
      <c r="M35" s="25" t="n"/>
      <c r="N35" s="25" t="n"/>
      <c r="O35" s="25" t="inlineStr">
        <is>
          <t>جمع‌بندی از رویدادهای کرسی همین شرکت</t>
        </is>
      </c>
      <c r="P35" s="25" t="n"/>
      <c r="Q35" s="25" t="n"/>
      <c r="R35" s="25" t="n"/>
      <c r="S35" s="25"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5" s="25" t="inlineStr">
        <is>
          <t>Cutoff ۱۴۰۴/۱۲/۲۹ بر پایه آخرین جدول ثبت‌شده در کدال (جلسه ۱۴۰۴/۰۶/۱۷–۱۸: اطلاعیه ۱۴۰۴۲۸۶/۱۴۴۳۹۴۰/۱۴۴۸۵۱۲/۱۴۵۱۷۱۹). انتخاب اعضای جدید در مجمع ۱۴۰۴/۰۸/۲۳ تا جلسه ۱۴۰۵/۰۲/۰۸ عملیاتی نشد (در حال احراز تا</t>
        </is>
      </c>
      <c r="U35" s="25" t="inlineStr">
        <is>
          <t>High</t>
        </is>
      </c>
      <c r="V35" s="25" t="n"/>
    </row>
    <row r="36" ht="29" customHeight="1" s="76">
      <c r="A36" s="23" t="inlineStr">
        <is>
          <t>پارسان</t>
        </is>
      </c>
      <c r="B36" s="23" t="inlineStr">
        <is>
          <t>پارسان</t>
        </is>
      </c>
      <c r="C36" s="23" t="inlineStr">
        <is>
          <t>۱۴۰۴</t>
        </is>
      </c>
      <c r="D36" s="23" t="inlineStr">
        <is>
          <t>تغییر رئیس هیئت مدیره (ستون V؛ ورودی CR1A)</t>
        </is>
      </c>
      <c r="E36" s="23" t="inlineStr">
        <is>
          <t>خیر</t>
        </is>
      </c>
      <c r="F36" s="23" t="inlineStr">
        <is>
          <t>خیر</t>
        </is>
      </c>
      <c r="G36" s="23" t="inlineStr">
        <is>
          <t>بدون تغییر</t>
        </is>
      </c>
      <c r="H36" s="23" t="n"/>
      <c r="I36" s="23" t="n"/>
      <c r="J36" s="23" t="n"/>
      <c r="K36" s="23" t="n"/>
      <c r="L36" s="23" t="n"/>
      <c r="M36" s="23" t="n"/>
      <c r="N36" s="23" t="n"/>
      <c r="O36" s="23" t="inlineStr">
        <is>
          <t>جدول Cutoff</t>
        </is>
      </c>
      <c r="P36" s="23" t="n"/>
      <c r="Q36" s="23" t="n"/>
      <c r="R36" s="23" t="n"/>
      <c r="S36" s="23" t="n"/>
      <c r="T36" s="23" t="n"/>
      <c r="U36" s="23" t="inlineStr">
        <is>
          <t>High</t>
        </is>
      </c>
      <c r="V36" s="23" t="inlineStr">
        <is>
          <t>CR1A در برگه‌های Audit/معماری بازمحاسبه نشد؛ فقط ستون V ورودی</t>
        </is>
      </c>
    </row>
    <row r="37" ht="72.5" customHeight="1" s="76">
      <c r="A37" s="25" t="inlineStr">
        <is>
          <t>پارسان</t>
        </is>
      </c>
      <c r="B37" s="25" t="inlineStr">
        <is>
          <t>پارسان</t>
        </is>
      </c>
      <c r="C37" s="25" t="inlineStr">
        <is>
          <t>۱۴۰۴</t>
        </is>
      </c>
      <c r="D37" s="25" t="inlineStr">
        <is>
          <t>ساختار حقوقی/واجدیت</t>
        </is>
      </c>
      <c r="E37" s="25" t="inlineStr">
        <is>
          <t>F=خیر, E=بله</t>
        </is>
      </c>
      <c r="F37" s="25" t="inlineStr">
        <is>
          <t>F=بله, E=بله</t>
        </is>
      </c>
      <c r="G37" s="25" t="inlineStr">
        <is>
          <t>اصلاح شد</t>
        </is>
      </c>
      <c r="H37" s="25" t="n"/>
      <c r="I37" s="25" t="n"/>
      <c r="J37" s="25" t="n"/>
      <c r="K37" s="25" t="n"/>
      <c r="L37" s="25" t="n"/>
      <c r="M37" s="25" t="n"/>
      <c r="N37" s="25" t="n"/>
      <c r="O37" s="25" t="n"/>
      <c r="P37" s="25" t="n"/>
      <c r="Q37" s="25" t="n"/>
      <c r="R37" s="25" t="n"/>
      <c r="S37" s="25" t="inlineStr">
        <is>
          <t>Cutoff ۱۴۰۳/۱۲/۲۹ از اطلاعیه ۱۲۸۸۲۷۵ (۱۴۰۳/۱۰/۰۵) و ۱۳۲۷۵۲۲ (۱۴۰۴/۰۱/۱۸، به‌روزرسانی تایید صلاحیت)؛ جدول ۵ کرسی حقوقی؛ عدد ۷ در v35 تعداد افراد گزارش سالانه در طول سال بود نه اندازه هیئت.</t>
        </is>
      </c>
      <c r="T37" s="25" t="n"/>
      <c r="U37" s="25" t="inlineStr">
        <is>
          <t>High</t>
        </is>
      </c>
      <c r="V37" s="25" t="n"/>
    </row>
    <row r="38" ht="43.5" customHeight="1" s="76">
      <c r="A38" s="23" t="inlineStr">
        <is>
          <t>جم</t>
        </is>
      </c>
      <c r="B38" s="23" t="inlineStr">
        <is>
          <t>جم</t>
        </is>
      </c>
      <c r="C38" s="23" t="inlineStr">
        <is>
          <t>۱۴۰۳→۱۴۰۴ (Cutoff 1403/12/29 → 1404/12/29)</t>
        </is>
      </c>
      <c r="D38" s="23" t="inlineStr">
        <is>
          <t>رویداد کرسی</t>
        </is>
      </c>
      <c r="E38" s="23" t="n"/>
      <c r="F38" s="23" t="n"/>
      <c r="G38" s="23" t="inlineStr">
        <is>
          <t>ثبت شد</t>
        </is>
      </c>
      <c r="H38" s="23" t="inlineStr">
        <is>
          <t>متین دیداری</t>
        </is>
      </c>
      <c r="I38" s="23" t="inlineStr">
        <is>
          <t>متین دیداری</t>
        </is>
      </c>
      <c r="J38" s="23" t="inlineStr">
        <is>
          <t>سرمایه‌گذاری نفت و گاز و پتروشیمی تأمین → گسترش تجارت هامون</t>
        </is>
      </c>
      <c r="K38" s="23" t="inlineStr">
        <is>
          <t>متین دیداری</t>
        </is>
      </c>
      <c r="L38" s="23" t="inlineStr">
        <is>
          <t>متین دیداری</t>
        </is>
      </c>
      <c r="M38" s="23" t="inlineStr">
        <is>
          <t>تغییر شخص حقوقی (نماینده ثابت)</t>
        </is>
      </c>
      <c r="N38" s="23" t="inlineStr">
        <is>
          <t>1404/06/04</t>
        </is>
      </c>
      <c r="O38" s="23" t="inlineStr">
        <is>
          <t>معرفی /تغییر در ترکیب اعضای هیئت مدیره/مدیر عامل</t>
        </is>
      </c>
      <c r="P38" s="23" t="inlineStr">
        <is>
          <t>1404/06/05</t>
        </is>
      </c>
      <c r="Q38" s="23" t="inlineStr">
        <is>
          <t>1398534</t>
        </is>
      </c>
      <c r="R38" s="23" t="inlineStr">
        <is>
          <t>https://www.codal.ir/Reports/Decision.aspx?LetterSerial=BpLLXiooiLziZroLI2hLPQ%3d%3d&amp;rt=0&amp;let=19&amp;ct=0&amp;ft=-1</t>
        </is>
      </c>
      <c r="S38" s="23" t="inlineStr">
        <is>
          <t>Snapshot مبنا: TracingNo 1171265؛ Snapshot پایان: TracingNo 1527389</t>
        </is>
      </c>
      <c r="T38" s="23" t="inlineStr">
        <is>
          <t>جلسه ۱۴۰۴/۰۶/۰۴ (اطلاعیه ۱۳۹۸۵۳۴/۱۳۹۹۲۱۵)</t>
        </is>
      </c>
      <c r="U38" s="23" t="inlineStr">
        <is>
          <t>High</t>
        </is>
      </c>
      <c r="V38" s="23" t="inlineStr">
        <is>
          <t>شخص حقوقی صاحب کرسی تغییر کرد؛ نماینده (دیداری) ثابت ماند؛ رئیس بودن او تا ۱۴۰۴/۱۲/۲۵ ادامه داشت</t>
        </is>
      </c>
    </row>
    <row r="39" ht="43.5" customHeight="1" s="76">
      <c r="A39" s="25" t="inlineStr">
        <is>
          <t>جم</t>
        </is>
      </c>
      <c r="B39" s="25" t="inlineStr">
        <is>
          <t>جم</t>
        </is>
      </c>
      <c r="C39" s="25" t="inlineStr">
        <is>
          <t>۱۴۰۳→۱۴۰۴ (Cutoff 1403/12/29 → 1404/12/29)</t>
        </is>
      </c>
      <c r="D39" s="25" t="inlineStr">
        <is>
          <t>رویداد کرسی</t>
        </is>
      </c>
      <c r="E39" s="25" t="n"/>
      <c r="F39" s="25" t="n"/>
      <c r="G39" s="25" t="inlineStr">
        <is>
          <t>ثبت شد</t>
        </is>
      </c>
      <c r="H39" s="25" t="inlineStr">
        <is>
          <t>محمدهاشم نجفی اردکانی</t>
        </is>
      </c>
      <c r="I39" s="25" t="inlineStr">
        <is>
          <t>امیر اکبری</t>
        </is>
      </c>
      <c r="J39" s="25" t="inlineStr">
        <is>
          <t>صبا انرژی جهان‌گستر</t>
        </is>
      </c>
      <c r="K39" s="25" t="inlineStr">
        <is>
          <t>محمدهاشم نجفی اردکانی</t>
        </is>
      </c>
      <c r="L39" s="25" t="inlineStr">
        <is>
          <t>امیر اکبری</t>
        </is>
      </c>
      <c r="M39" s="25" t="inlineStr">
        <is>
          <t>تغییر نماینده حقیقی با شخص حقوقی ثابت</t>
        </is>
      </c>
      <c r="N39" s="25" t="inlineStr">
        <is>
          <t>1404/06/04</t>
        </is>
      </c>
      <c r="O39" s="25" t="inlineStr">
        <is>
          <t>معرفی /تغییر در ترکیب اعضای هیئت مدیره/مدیر عامل</t>
        </is>
      </c>
      <c r="P39" s="25" t="inlineStr">
        <is>
          <t>1404/06/05</t>
        </is>
      </c>
      <c r="Q39" s="25" t="inlineStr">
        <is>
          <t>1398534</t>
        </is>
      </c>
      <c r="R39" s="25" t="inlineStr">
        <is>
          <t>https://www.codal.ir/Reports/Decision.aspx?LetterSerial=BpLLXiooiLziZroLI2hLPQ%3d%3d&amp;rt=0&amp;let=19&amp;ct=0&amp;ft=-1</t>
        </is>
      </c>
      <c r="S39" s="25" t="inlineStr">
        <is>
          <t>Snapshot مبنا: TracingNo 1171265؛ Snapshot پایان: TracingNo 1527389</t>
        </is>
      </c>
      <c r="T39" s="25" t="inlineStr">
        <is>
          <t>جابه‌جایی نماینده بین دو کرسی (اکبری↔نجفی) در جلسه ۱۴۰۴/۰۶/۰۴</t>
        </is>
      </c>
      <c r="U39" s="25" t="inlineStr">
        <is>
          <t>High</t>
        </is>
      </c>
      <c r="V39" s="25" t="inlineStr">
        <is>
          <t>جابه‌جایی همان دو فرد بین کرسی‌ها؛ عضو جدید نیست</t>
        </is>
      </c>
    </row>
    <row r="40" ht="43.5" customHeight="1" s="76">
      <c r="A40" s="23" t="inlineStr">
        <is>
          <t>جم</t>
        </is>
      </c>
      <c r="B40" s="23" t="inlineStr">
        <is>
          <t>جم</t>
        </is>
      </c>
      <c r="C40" s="23" t="inlineStr">
        <is>
          <t>۱۴۰۳→۱۴۰۴ (Cutoff 1403/12/29 → 1404/12/29)</t>
        </is>
      </c>
      <c r="D40" s="23" t="inlineStr">
        <is>
          <t>رویداد کرسی</t>
        </is>
      </c>
      <c r="E40" s="23" t="n"/>
      <c r="F40" s="23" t="n"/>
      <c r="G40" s="23" t="inlineStr">
        <is>
          <t>ثبت شد</t>
        </is>
      </c>
      <c r="H40" s="23" t="inlineStr">
        <is>
          <t>محمدسجاد سیاهکارزاده</t>
        </is>
      </c>
      <c r="I40" s="23" t="inlineStr">
        <is>
          <t>محمدسجاد سیاهکارزاده</t>
        </is>
      </c>
      <c r="J40" s="23" t="inlineStr">
        <is>
          <t>کاوشگران بازار سرمایه</t>
        </is>
      </c>
      <c r="K40" s="23" t="inlineStr">
        <is>
          <t>محمدسجاد سیاهکارزاده</t>
        </is>
      </c>
      <c r="L40" s="23" t="inlineStr">
        <is>
          <t>محمدسجاد سیاهکارزاده</t>
        </is>
      </c>
      <c r="M40" s="23" t="inlineStr">
        <is>
          <t>تغییر سمت فقط (Turnover نیست)</t>
        </is>
      </c>
      <c r="N40" s="23" t="inlineStr">
        <is>
          <t>1404/12/25</t>
        </is>
      </c>
      <c r="O40" s="23" t="inlineStr">
        <is>
          <t>معرفی /تغییر در ترکیب اعضای هیئت مدیره/مدیر عامل</t>
        </is>
      </c>
      <c r="P40" s="23" t="inlineStr">
        <is>
          <t>1405/02/29</t>
        </is>
      </c>
      <c r="Q40" s="23" t="inlineStr">
        <is>
          <t>1527389</t>
        </is>
      </c>
      <c r="R40" s="23" t="inlineStr">
        <is>
          <t>https://www.codal.ir/Reports/Decision.aspx?LetterSerial=QQQaQQQtpQVpIOOObOOOPhcgQQQaQQQA5ahYjCjA%3d%3d&amp;rt=0&amp;let=19&amp;ct=0&amp;ft=-1</t>
        </is>
      </c>
      <c r="S40" s="23" t="inlineStr">
        <is>
          <t>Snapshot مبنا: TracingNo 1171265؛ Snapshot پایان: TracingNo 1527389</t>
        </is>
      </c>
      <c r="T40" s="23" t="inlineStr">
        <is>
          <t>جلسه ۱۴۰۴/۱۲/۲۵</t>
        </is>
      </c>
      <c r="U40" s="23" t="inlineStr">
        <is>
          <t>High</t>
        </is>
      </c>
      <c r="V40" s="23" t="inlineStr">
        <is>
          <t>تغییر رئیس هیئت مدیره (دیداری→سیاهکارزاده)</t>
        </is>
      </c>
    </row>
    <row r="41" ht="58" customHeight="1" s="76">
      <c r="A41" s="25" t="inlineStr">
        <is>
          <t>جم</t>
        </is>
      </c>
      <c r="B41" s="25" t="inlineStr">
        <is>
          <t>جم</t>
        </is>
      </c>
      <c r="C41" s="25" t="inlineStr">
        <is>
          <t>۱۴۰۳→۱۴۰۴ (Cutoff 1403/12/29 → 1404/12/29)</t>
        </is>
      </c>
      <c r="D41" s="25" t="inlineStr">
        <is>
          <t>رویداد کرسی</t>
        </is>
      </c>
      <c r="E41" s="25" t="n"/>
      <c r="F41" s="25" t="n"/>
      <c r="G41" s="25" t="inlineStr">
        <is>
          <t>ثبت شد</t>
        </is>
      </c>
      <c r="H41" s="25" t="inlineStr">
        <is>
          <t>مهدی قربانی</t>
        </is>
      </c>
      <c r="I41" s="25" t="inlineStr">
        <is>
          <t>مهدی قربانی</t>
        </is>
      </c>
      <c r="J41" s="25" t="inlineStr">
        <is>
          <t>سرمایه‌گذاری استان اردبیل</t>
        </is>
      </c>
      <c r="K41" s="25" t="inlineStr">
        <is>
          <t>مهدی قربانی</t>
        </is>
      </c>
      <c r="L41" s="25" t="inlineStr">
        <is>
          <t>مهدی قربانی</t>
        </is>
      </c>
      <c r="M41" s="25" t="inlineStr">
        <is>
          <t>بدون تغییر</t>
        </is>
      </c>
      <c r="N41" s="25" t="inlineStr">
        <is>
          <t>—</t>
        </is>
      </c>
      <c r="O41" s="25" t="inlineStr">
        <is>
          <t>معرفی /تغییر در ترکیب اعضای هیئت مدیره/مدیر عامل</t>
        </is>
      </c>
      <c r="P41" s="25" t="inlineStr">
        <is>
          <t>1405/02/29</t>
        </is>
      </c>
      <c r="Q41" s="25" t="inlineStr">
        <is>
          <t>1527389</t>
        </is>
      </c>
      <c r="R41" s="25" t="inlineStr">
        <is>
          <t>https://www.codal.ir/Reports/Decision.aspx?LetterSerial=QQQaQQQtpQVpIOOObOOOPhcgQQQaQQQA5ahYjCjA%3d%3d&amp;rt=0&amp;let=19&amp;ct=0&amp;ft=-1</t>
        </is>
      </c>
      <c r="S41" s="25" t="inlineStr">
        <is>
          <t>Snapshot مبنا: TracingNo 1171265؛ Snapshot پایان: TracingNo 1527389</t>
        </is>
      </c>
      <c r="T41" s="25" t="inlineStr">
        <is>
          <t>Cutoff ۱۴۰۳/۱۲/۲۹: اطلاعیه ۱۱۷۱۲۶۵ (۱۴۰۲/۱۲/۲۸: اکبری جایگزین قنبریان) + گزارش FY1403 ص۳۵ (تاریخ انتصاب اکبری ۱۴۰۲/۱۲/۲۸) و ستون «قبلی» اطلا</t>
        </is>
      </c>
      <c r="U41" s="25" t="inlineStr">
        <is>
          <t>High</t>
        </is>
      </c>
      <c r="V41" s="25" t="n"/>
    </row>
    <row r="42" ht="43.5" customHeight="1" s="76">
      <c r="A42" s="23" t="inlineStr">
        <is>
          <t>جم</t>
        </is>
      </c>
      <c r="B42" s="23" t="inlineStr">
        <is>
          <t>جم</t>
        </is>
      </c>
      <c r="C42" s="23" t="inlineStr">
        <is>
          <t>۱۴۰۳→۱۴۰۴ (Cutoff 1403/12/29 → 1404/12/29)</t>
        </is>
      </c>
      <c r="D42" s="23" t="inlineStr">
        <is>
          <t>رویداد کرسی</t>
        </is>
      </c>
      <c r="E42" s="23" t="n"/>
      <c r="F42" s="23" t="n"/>
      <c r="G42" s="23" t="inlineStr">
        <is>
          <t>ثبت شد</t>
        </is>
      </c>
      <c r="H42" s="23" t="inlineStr">
        <is>
          <t>امیر اکبری</t>
        </is>
      </c>
      <c r="I42" s="23" t="inlineStr">
        <is>
          <t>حسن معینی</t>
        </is>
      </c>
      <c r="J42" s="23" t="inlineStr">
        <is>
          <t>خدمات گستر صبا انرژی</t>
        </is>
      </c>
      <c r="K42" s="23" t="inlineStr">
        <is>
          <t>امیر اکبری</t>
        </is>
      </c>
      <c r="L42" s="23" t="inlineStr">
        <is>
          <t>حسن معینی</t>
        </is>
      </c>
      <c r="M42" s="23" t="inlineStr">
        <is>
          <t>تغییر نماینده حقیقی با شخص حقوقی ثابت</t>
        </is>
      </c>
      <c r="N42" s="23" t="inlineStr">
        <is>
          <t>1404/12/25</t>
        </is>
      </c>
      <c r="O42" s="23" t="inlineStr">
        <is>
          <t>معرفی /تغییر در ترکیب اعضای هیئت مدیره/مدیر عامل</t>
        </is>
      </c>
      <c r="P42" s="23" t="inlineStr">
        <is>
          <t>1405/02/29</t>
        </is>
      </c>
      <c r="Q42" s="23" t="inlineStr">
        <is>
          <t>1527389</t>
        </is>
      </c>
      <c r="R42" s="23" t="inlineStr">
        <is>
          <t>https://www.codal.ir/Reports/Decision.aspx?LetterSerial=QQQaQQQtpQVpIOOObOOOPhcgQQQaQQQA5ahYjCjA%3d%3d&amp;rt=0&amp;let=19&amp;ct=0&amp;ft=-1</t>
        </is>
      </c>
      <c r="S42" s="23" t="inlineStr">
        <is>
          <t>Snapshot مبنا: TracingNo 1171265؛ Snapshot پایان: TracingNo 1527389</t>
        </is>
      </c>
      <c r="T42" s="23" t="inlineStr">
        <is>
          <t>جلسه ۱۴۰۴/۱۲/۲۵؛ اطلاعیه ۱۵۲۷۳۸۹ در ۱۴۰۵/۰۲/۲۹ منتشر شد</t>
        </is>
      </c>
      <c r="U42" s="23" t="inlineStr">
        <is>
          <t>High</t>
        </is>
      </c>
      <c r="V42" s="23" t="inlineStr">
        <is>
          <t>زنجیره: اکبری→نجفی (۱۴۰۴/۰۶/۰۴)→معینی (۱۴۰۴/۱۲/۲۵)؛ معینی تنها عضو جدید</t>
        </is>
      </c>
    </row>
    <row r="43" ht="72.5" customHeight="1" s="76">
      <c r="A43" s="25" t="inlineStr">
        <is>
          <t>جم</t>
        </is>
      </c>
      <c r="B43" s="25" t="inlineStr">
        <is>
          <t>جم</t>
        </is>
      </c>
      <c r="C43" s="25" t="inlineStr">
        <is>
          <t>۱۴۰۴</t>
        </is>
      </c>
      <c r="D43" s="25" t="inlineStr">
        <is>
          <t>REF05 گردش شخص حقیقی (G/H)</t>
        </is>
      </c>
      <c r="E43" s="25" t="inlineStr">
        <is>
          <t>2/5</t>
        </is>
      </c>
      <c r="F43" s="25" t="inlineStr">
        <is>
          <t>2/5</t>
        </is>
      </c>
      <c r="G43" s="25" t="inlineStr">
        <is>
          <t>بدون تغییر</t>
        </is>
      </c>
      <c r="H43" s="25" t="n"/>
      <c r="I43" s="25" t="n"/>
      <c r="J43" s="25" t="n"/>
      <c r="K43" s="25" t="n"/>
      <c r="L43" s="25" t="n"/>
      <c r="M43" s="25" t="n"/>
      <c r="N43" s="25" t="n"/>
      <c r="O43" s="25" t="inlineStr">
        <is>
          <t>جمع‌بندی از رویدادهای کرسی همین شرکت</t>
        </is>
      </c>
      <c r="P43" s="25" t="n"/>
      <c r="Q43" s="25" t="n"/>
      <c r="R43" s="25" t="n"/>
      <c r="S43" s="25" t="inlineStr">
        <is>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is>
      </c>
      <c r="T43" s="25" t="inlineStr">
        <is>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is>
      </c>
      <c r="U43" s="25" t="inlineStr">
        <is>
          <t>High</t>
        </is>
      </c>
      <c r="V43" s="25" t="n"/>
    </row>
    <row r="44" ht="72.5" customHeight="1" s="76">
      <c r="A44" s="23" t="inlineStr">
        <is>
          <t>جم</t>
        </is>
      </c>
      <c r="B44" s="23" t="inlineStr">
        <is>
          <t>جم</t>
        </is>
      </c>
      <c r="C44" s="23" t="inlineStr">
        <is>
          <t>۱۴۰۴</t>
        </is>
      </c>
      <c r="D44" s="23" t="inlineStr">
        <is>
          <t>REF08 تغییر نماینده با شخص حقوقی ثابت (J/K)</t>
        </is>
      </c>
      <c r="E44" s="23" t="inlineStr">
        <is>
          <t>2/4</t>
        </is>
      </c>
      <c r="F44" s="23" t="inlineStr">
        <is>
          <t>2/4</t>
        </is>
      </c>
      <c r="G44" s="23" t="inlineStr">
        <is>
          <t>بدون تغییر</t>
        </is>
      </c>
      <c r="H44" s="23" t="n"/>
      <c r="I44" s="23" t="n"/>
      <c r="J44" s="23" t="n"/>
      <c r="K44" s="23" t="n"/>
      <c r="L44" s="23" t="n"/>
      <c r="M44" s="23" t="n"/>
      <c r="N44" s="23" t="n"/>
      <c r="O44" s="23" t="inlineStr">
        <is>
          <t>جمع‌بندی از رویدادهای کرسی همین شرکت</t>
        </is>
      </c>
      <c r="P44" s="23" t="n"/>
      <c r="Q44" s="23" t="n"/>
      <c r="R44" s="23" t="n"/>
      <c r="S44" s="23" t="inlineStr">
        <is>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is>
      </c>
      <c r="T44" s="23" t="inlineStr">
        <is>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is>
      </c>
      <c r="U44" s="23" t="inlineStr">
        <is>
          <t>High</t>
        </is>
      </c>
      <c r="V44" s="23" t="n"/>
    </row>
    <row r="45" ht="72.5" customHeight="1" s="76">
      <c r="A45" s="25" t="inlineStr">
        <is>
          <t>جم</t>
        </is>
      </c>
      <c r="B45" s="25" t="inlineStr">
        <is>
          <t>جم</t>
        </is>
      </c>
      <c r="C45" s="25" t="inlineStr">
        <is>
          <t>۱۴۰۴</t>
        </is>
      </c>
      <c r="D45" s="25" t="inlineStr">
        <is>
          <t>ROB_LEGAL تغییر شخص حقوقی (M/N)</t>
        </is>
      </c>
      <c r="E45" s="25" t="inlineStr">
        <is>
          <t>1/5</t>
        </is>
      </c>
      <c r="F45" s="25" t="inlineStr">
        <is>
          <t>1/5</t>
        </is>
      </c>
      <c r="G45" s="25" t="inlineStr">
        <is>
          <t>بدون تغییر</t>
        </is>
      </c>
      <c r="H45" s="25" t="n"/>
      <c r="I45" s="25" t="n"/>
      <c r="J45" s="25" t="n"/>
      <c r="K45" s="25" t="n"/>
      <c r="L45" s="25" t="n"/>
      <c r="M45" s="25" t="n"/>
      <c r="N45" s="25" t="n"/>
      <c r="O45" s="25" t="inlineStr">
        <is>
          <t>جمع‌بندی از رویدادهای کرسی همین شرکت</t>
        </is>
      </c>
      <c r="P45" s="25" t="n"/>
      <c r="Q45" s="25" t="n"/>
      <c r="R45" s="25" t="n"/>
      <c r="S45" s="25" t="inlineStr">
        <is>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is>
      </c>
      <c r="T45" s="25" t="inlineStr">
        <is>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is>
      </c>
      <c r="U45" s="25" t="inlineStr">
        <is>
          <t>High</t>
        </is>
      </c>
      <c r="V45" s="25" t="n"/>
    </row>
    <row r="46" ht="72.5" customHeight="1" s="76">
      <c r="A46" s="23" t="inlineStr">
        <is>
          <t>جم</t>
        </is>
      </c>
      <c r="B46" s="23" t="inlineStr">
        <is>
          <t>جم</t>
        </is>
      </c>
      <c r="C46" s="23" t="inlineStr">
        <is>
          <t>۱۴۰۴</t>
        </is>
      </c>
      <c r="D46" s="23" t="inlineStr">
        <is>
          <t>ROB_NEW عضو جدید (P/Q)</t>
        </is>
      </c>
      <c r="E46" s="23" t="inlineStr">
        <is>
          <t>0/5</t>
        </is>
      </c>
      <c r="F46" s="23" t="inlineStr">
        <is>
          <t>1/5</t>
        </is>
      </c>
      <c r="G46" s="23" t="inlineStr">
        <is>
          <t>اصلاح شد</t>
        </is>
      </c>
      <c r="H46" s="23" t="n"/>
      <c r="I46" s="23" t="n"/>
      <c r="J46" s="23" t="n"/>
      <c r="K46" s="23" t="n"/>
      <c r="L46" s="23" t="n"/>
      <c r="M46" s="23" t="n"/>
      <c r="N46" s="23" t="n"/>
      <c r="O46" s="23" t="inlineStr">
        <is>
          <t>جمع‌بندی از رویدادهای کرسی همین شرکت</t>
        </is>
      </c>
      <c r="P46" s="23" t="n"/>
      <c r="Q46" s="23" t="n"/>
      <c r="R46" s="23" t="n"/>
      <c r="S46" s="23" t="inlineStr">
        <is>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is>
      </c>
      <c r="T46" s="23" t="inlineStr">
        <is>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is>
      </c>
      <c r="U46" s="23" t="inlineStr">
        <is>
          <t>High</t>
        </is>
      </c>
      <c r="V46" s="23" t="n"/>
    </row>
    <row r="47" ht="72.5" customHeight="1" s="76">
      <c r="A47" s="25" t="inlineStr">
        <is>
          <t>جم</t>
        </is>
      </c>
      <c r="B47" s="25" t="inlineStr">
        <is>
          <t>جم</t>
        </is>
      </c>
      <c r="C47" s="25" t="inlineStr">
        <is>
          <t>۱۴۰۴</t>
        </is>
      </c>
      <c r="D47" s="25" t="inlineStr">
        <is>
          <t>ROB_STABILITY ثبات (S/T)</t>
        </is>
      </c>
      <c r="E47" s="25" t="inlineStr">
        <is>
          <t>3/5</t>
        </is>
      </c>
      <c r="F47" s="25" t="inlineStr">
        <is>
          <t>3/5</t>
        </is>
      </c>
      <c r="G47" s="25" t="inlineStr">
        <is>
          <t>بدون تغییر</t>
        </is>
      </c>
      <c r="H47" s="25" t="n"/>
      <c r="I47" s="25" t="n"/>
      <c r="J47" s="25" t="n"/>
      <c r="K47" s="25" t="n"/>
      <c r="L47" s="25" t="n"/>
      <c r="M47" s="25" t="n"/>
      <c r="N47" s="25" t="n"/>
      <c r="O47" s="25" t="inlineStr">
        <is>
          <t>جمع‌بندی از رویدادهای کرسی همین شرکت</t>
        </is>
      </c>
      <c r="P47" s="25" t="n"/>
      <c r="Q47" s="25" t="n"/>
      <c r="R47" s="25" t="n"/>
      <c r="S47" s="25" t="inlineStr">
        <is>
          <t>Cutoff ۱۴۰۳/۱۲/۲۹: اطلاعیه ۱۱۷۱۲۶۵ (۱۴۰۲/۱۲/۲۸: اکبری جایگزین قنبریان) + گزارش FY1403 ص۳۵ (تاریخ انتصاب اکبری ۱۴۰۲/۱۲/۲۸) و ستون «قبلی» اطلاعیه ۱۳۹۸۵۳۴؛ بین ۱۴۰۲/۱۲/۲۸ و ۱۴۰۴/۰۶/۰۴ اطلاعیه‌ای در فهرست</t>
        </is>
      </c>
      <c r="T47" s="25" t="inlineStr">
        <is>
          <t>Cutoff ۱۴۰۴/۱۲/۲۹: اطلاعیه ۱۵۲۷۳۸۹ (جلسه ۱۴۰۴/۱۲/۲۵؛ انتشار ۱۴۰۵/۰۲/۲۹ یعنی پس از Cutoff). حساسیت: اگر فقط افشای منتشرشده تا Cutoff ملاک باشد، معینی و تغییر رئیس حذف می‌شوند (G=2، P=0، رئیس بدون تغییر</t>
        </is>
      </c>
      <c r="U47" s="25" t="inlineStr">
        <is>
          <t>High</t>
        </is>
      </c>
      <c r="V47" s="25" t="n"/>
    </row>
    <row r="48" ht="29" customHeight="1" s="76">
      <c r="A48" s="23" t="inlineStr">
        <is>
          <t>جم</t>
        </is>
      </c>
      <c r="B48" s="23" t="inlineStr">
        <is>
          <t>جم</t>
        </is>
      </c>
      <c r="C48" s="23" t="inlineStr">
        <is>
          <t>۱۴۰۴</t>
        </is>
      </c>
      <c r="D48" s="23" t="inlineStr">
        <is>
          <t>تغییر رئیس هیئت مدیره (ستون V؛ ورودی CR1A)</t>
        </is>
      </c>
      <c r="E48" s="23" t="inlineStr">
        <is>
          <t>خیر</t>
        </is>
      </c>
      <c r="F48" s="23" t="inlineStr">
        <is>
          <t>بله</t>
        </is>
      </c>
      <c r="G48" s="23" t="inlineStr">
        <is>
          <t>اصلاح شد</t>
        </is>
      </c>
      <c r="H48" s="23" t="n"/>
      <c r="I48" s="23" t="n"/>
      <c r="J48" s="23" t="n"/>
      <c r="K48" s="23" t="n"/>
      <c r="L48" s="23" t="n"/>
      <c r="M48" s="23" t="n"/>
      <c r="N48" s="23" t="n"/>
      <c r="O48" s="23" t="inlineStr">
        <is>
          <t>جدول Cutoff</t>
        </is>
      </c>
      <c r="P48" s="23" t="n"/>
      <c r="Q48" s="23" t="n"/>
      <c r="R48" s="23" t="n"/>
      <c r="S48" s="23" t="n"/>
      <c r="T48" s="23" t="n"/>
      <c r="U48" s="23" t="inlineStr">
        <is>
          <t>High</t>
        </is>
      </c>
      <c r="V48" s="23" t="inlineStr">
        <is>
          <t>CR1A در برگه‌های Audit/معماری بازمحاسبه نشد؛ فقط ستون V ورودی</t>
        </is>
      </c>
    </row>
    <row r="49" ht="43.5" customHeight="1" s="76">
      <c r="A49" s="25" t="inlineStr">
        <is>
          <t>خساپا</t>
        </is>
      </c>
      <c r="B49" s="25" t="inlineStr">
        <is>
          <t>خساپا</t>
        </is>
      </c>
      <c r="C49" s="25" t="inlineStr">
        <is>
          <t>۱۴۰۳→۱۴۰۴ (Cutoff 1403/12/29 → 1404/12/29)</t>
        </is>
      </c>
      <c r="D49" s="25" t="inlineStr">
        <is>
          <t>رویداد کرسی</t>
        </is>
      </c>
      <c r="E49" s="25" t="n"/>
      <c r="F49" s="25" t="n"/>
      <c r="G49" s="25" t="inlineStr">
        <is>
          <t>ثبت شد</t>
        </is>
      </c>
      <c r="H49" s="25" t="inlineStr">
        <is>
          <t>کورش پرویزیان</t>
        </is>
      </c>
      <c r="I49" s="25" t="inlineStr">
        <is>
          <t>رحیم علیشاهی</t>
        </is>
      </c>
      <c r="J49" s="25" t="inlineStr">
        <is>
          <t>سرمایه‌گذاری گروه صنعتی رنا</t>
        </is>
      </c>
      <c r="K49" s="25" t="inlineStr">
        <is>
          <t>کورش پرویزیان</t>
        </is>
      </c>
      <c r="L49" s="25" t="inlineStr">
        <is>
          <t>رحیم علیشاهی</t>
        </is>
      </c>
      <c r="M49" s="25" t="inlineStr">
        <is>
          <t>تغییر نماینده حقیقی با شخص حقوقی ثابت</t>
        </is>
      </c>
      <c r="N49" s="25" t="inlineStr">
        <is>
          <t>1404/02/08</t>
        </is>
      </c>
      <c r="O49" s="25" t="inlineStr">
        <is>
          <t>معرفی /تغییر در ترکیب اعضای هیئت مدیره/مدیر عامل</t>
        </is>
      </c>
      <c r="P49" s="25" t="inlineStr">
        <is>
          <t>1404/02/09</t>
        </is>
      </c>
      <c r="Q49" s="25" t="inlineStr">
        <is>
          <t>1336974</t>
        </is>
      </c>
      <c r="R49" s="25" t="inlineStr">
        <is>
          <t>https://www.codal.ir/Reports/Decision.aspx?LetterSerial=A9EKEshXRCjahGZMnLLylQ%3d%3d&amp;rt=0&amp;let=19&amp;ct=0&amp;ft=-1</t>
        </is>
      </c>
      <c r="S49" s="25" t="inlineStr">
        <is>
          <t>Snapshot مبنا: TracingNo 1295938؛ Snapshot پایان: TracingNo 1386511</t>
        </is>
      </c>
      <c r="T49" s="25" t="inlineStr">
        <is>
          <t>جلسه ۱۴۰۴/۰۲/۰۸ (اطلاعیه ۱۳۳۶۹۷۴؛ تاریخ انتصاب گزارش FY1404)</t>
        </is>
      </c>
      <c r="U49" s="25" t="inlineStr">
        <is>
          <t>Confirmed</t>
        </is>
      </c>
      <c r="V49" s="25" t="n"/>
    </row>
    <row r="50" ht="43.5" customHeight="1" s="76">
      <c r="A50" s="23" t="inlineStr">
        <is>
          <t>خساپا</t>
        </is>
      </c>
      <c r="B50" s="23" t="inlineStr">
        <is>
          <t>خساپا</t>
        </is>
      </c>
      <c r="C50" s="23" t="inlineStr">
        <is>
          <t>۱۴۰۳→۱۴۰۴ (Cutoff 1403/12/29 → 1404/12/29)</t>
        </is>
      </c>
      <c r="D50" s="23" t="inlineStr">
        <is>
          <t>رویداد کرسی</t>
        </is>
      </c>
      <c r="E50" s="23" t="n"/>
      <c r="F50" s="23" t="n"/>
      <c r="G50" s="23" t="inlineStr">
        <is>
          <t>ثبت شد</t>
        </is>
      </c>
      <c r="H50" s="23" t="inlineStr">
        <is>
          <t>علی شیخ‌زاده</t>
        </is>
      </c>
      <c r="I50" s="23" t="inlineStr">
        <is>
          <t>علی شیخ‌زاده</t>
        </is>
      </c>
      <c r="J50" s="23" t="inlineStr">
        <is>
          <t>گروه سرمایه‌گذاری کارکنان سایپا</t>
        </is>
      </c>
      <c r="K50" s="23" t="inlineStr">
        <is>
          <t>علی شیخ‌زاده</t>
        </is>
      </c>
      <c r="L50" s="23" t="inlineStr">
        <is>
          <t>علی شیخ‌زاده</t>
        </is>
      </c>
      <c r="M50" s="23" t="inlineStr">
        <is>
          <t>تغییر سمت فقط (Turnover نیست)</t>
        </is>
      </c>
      <c r="N50" s="23" t="inlineStr">
        <is>
          <t>1404/02/08</t>
        </is>
      </c>
      <c r="O50" s="23" t="inlineStr">
        <is>
          <t>معرفی /تغییر در ترکیب اعضای هیئت مدیره/مدیر عامل</t>
        </is>
      </c>
      <c r="P50" s="23" t="inlineStr">
        <is>
          <t>1404/02/09</t>
        </is>
      </c>
      <c r="Q50" s="23" t="inlineStr">
        <is>
          <t>1336974</t>
        </is>
      </c>
      <c r="R50" s="23" t="inlineStr">
        <is>
          <t>https://www.codal.ir/Reports/Decision.aspx?LetterSerial=A9EKEshXRCjahGZMnLLylQ%3d%3d&amp;rt=0&amp;let=19&amp;ct=0&amp;ft=-1</t>
        </is>
      </c>
      <c r="S50" s="23" t="inlineStr">
        <is>
          <t>Snapshot مبنا: TracingNo 1295938؛ Snapshot پایان: TracingNo 1386511</t>
        </is>
      </c>
      <c r="T50" s="23" t="inlineStr">
        <is>
          <t>تغییر سمت فقط</t>
        </is>
      </c>
      <c r="U50" s="23" t="inlineStr">
        <is>
          <t>Confirmed</t>
        </is>
      </c>
      <c r="V50" s="23" t="n"/>
    </row>
    <row r="51" ht="58" customHeight="1" s="76">
      <c r="A51" s="25" t="inlineStr">
        <is>
          <t>خساپا</t>
        </is>
      </c>
      <c r="B51" s="25" t="inlineStr">
        <is>
          <t>خساپا</t>
        </is>
      </c>
      <c r="C51" s="25" t="inlineStr">
        <is>
          <t>۱۴۰۳→۱۴۰۴ (Cutoff 1403/12/29 → 1404/12/29)</t>
        </is>
      </c>
      <c r="D51" s="25" t="inlineStr">
        <is>
          <t>رویداد کرسی</t>
        </is>
      </c>
      <c r="E51" s="25" t="n"/>
      <c r="F51" s="25" t="n"/>
      <c r="G51" s="25" t="inlineStr">
        <is>
          <t>ثبت شد</t>
        </is>
      </c>
      <c r="H51" s="25" t="inlineStr">
        <is>
          <t>مجید بهرامی</t>
        </is>
      </c>
      <c r="I51" s="25" t="inlineStr">
        <is>
          <t>مجید بهرامی</t>
        </is>
      </c>
      <c r="J51" s="25" t="inlineStr">
        <is>
          <t>صندوق حمایت و بازنشستگی کارکنان فولاد</t>
        </is>
      </c>
      <c r="K51" s="25" t="inlineStr">
        <is>
          <t>مجید بهرامی</t>
        </is>
      </c>
      <c r="L51" s="25" t="inlineStr">
        <is>
          <t>مجید بهرامی</t>
        </is>
      </c>
      <c r="M51" s="25" t="inlineStr">
        <is>
          <t>بدون تغییر</t>
        </is>
      </c>
      <c r="N51" s="25" t="inlineStr">
        <is>
          <t>—</t>
        </is>
      </c>
      <c r="O51" s="25" t="inlineStr">
        <is>
          <t>معرفی /تغییر در ترکیب اعضای هیئت مدیره/مدیر عامل</t>
        </is>
      </c>
      <c r="P51" s="25" t="inlineStr">
        <is>
          <t>1404/05/15</t>
        </is>
      </c>
      <c r="Q51" s="25" t="inlineStr">
        <is>
          <t>1386511</t>
        </is>
      </c>
      <c r="R51" s="25" t="inlineStr">
        <is>
          <t>https://www.codal.ir/Reports/Decision.aspx?LetterSerial=UJ1so0i61H6WpTMWJ3OsCA%3d%3d&amp;rt=0&amp;let=19&amp;ct=0&amp;ft=-1</t>
        </is>
      </c>
      <c r="S51" s="25" t="inlineStr">
        <is>
          <t>Snapshot مبنا: TracingNo 1295938؛ Snapshot پایان: TracingNo 1386511</t>
        </is>
      </c>
      <c r="T51" s="25" t="inlineStr">
        <is>
          <t>Cutoff ۱۴۰۳/۱۲/۲۹ از اطلاعیه ۱۲۹۵۹۳۸ (۱۴۰۳/۱۱/۰۳)؛ تاریخ‌های انتصاب گزارش‌های FY1403/FY1404 (۱۴۰۳/۰۹/۱۴، ۱۴۰۳/۱۱/۰۳، ۱۴۰۴/۰۲/۰۸) تایید می‌کن</t>
        </is>
      </c>
      <c r="U51" s="25" t="inlineStr">
        <is>
          <t>Confirmed</t>
        </is>
      </c>
      <c r="V51" s="25" t="inlineStr">
        <is>
          <t>بهرامی از ۱۴۰۳/۱۱/۰۳ (جایگزین سهیل‌نژاد) پیش از Cutoff</t>
        </is>
      </c>
    </row>
    <row r="52" ht="43.5" customHeight="1" s="76">
      <c r="A52" s="23" t="inlineStr">
        <is>
          <t>خساپا</t>
        </is>
      </c>
      <c r="B52" s="23" t="inlineStr">
        <is>
          <t>خساپا</t>
        </is>
      </c>
      <c r="C52" s="23" t="inlineStr">
        <is>
          <t>۱۴۰۳→۱۴۰۴ (Cutoff 1403/12/29 → 1404/12/29)</t>
        </is>
      </c>
      <c r="D52" s="23" t="inlineStr">
        <is>
          <t>رویداد کرسی</t>
        </is>
      </c>
      <c r="E52" s="23" t="n"/>
      <c r="F52" s="23" t="n"/>
      <c r="G52" s="23" t="inlineStr">
        <is>
          <t>ثبت شد</t>
        </is>
      </c>
      <c r="H52" s="23" t="inlineStr">
        <is>
          <t>علی شیدائی نرمیقی</t>
        </is>
      </c>
      <c r="I52" s="23" t="inlineStr">
        <is>
          <t>مهدی رادمنش</t>
        </is>
      </c>
      <c r="J52" s="23" t="inlineStr">
        <is>
          <t>توسعه سرمایه رادین</t>
        </is>
      </c>
      <c r="K52" s="23" t="inlineStr">
        <is>
          <t>علی شیدائی نرمیقی</t>
        </is>
      </c>
      <c r="L52" s="23" t="inlineStr">
        <is>
          <t>مهدی رادمنش</t>
        </is>
      </c>
      <c r="M52" s="23" t="inlineStr">
        <is>
          <t>تغییر نماینده حقیقی با شخص حقوقی ثابت</t>
        </is>
      </c>
      <c r="N52" s="23" t="inlineStr">
        <is>
          <t>1404/02/08</t>
        </is>
      </c>
      <c r="O52" s="23" t="inlineStr">
        <is>
          <t>معرفی /تغییر در ترکیب اعضای هیئت مدیره/مدیر عامل</t>
        </is>
      </c>
      <c r="P52" s="23" t="inlineStr">
        <is>
          <t>1404/02/09</t>
        </is>
      </c>
      <c r="Q52" s="23" t="inlineStr">
        <is>
          <t>1336974</t>
        </is>
      </c>
      <c r="R52" s="23" t="inlineStr">
        <is>
          <t>https://www.codal.ir/Reports/Decision.aspx?LetterSerial=A9EKEshXRCjahGZMnLLylQ%3d%3d&amp;rt=0&amp;let=19&amp;ct=0&amp;ft=-1</t>
        </is>
      </c>
      <c r="S52" s="23" t="inlineStr">
        <is>
          <t>Snapshot مبنا: TracingNo 1295938؛ Snapshot پایان: TracingNo 1386511</t>
        </is>
      </c>
      <c r="T52" s="23" t="inlineStr">
        <is>
          <t>جلسه ۱۴۰۴/۰۲/۰۸</t>
        </is>
      </c>
      <c r="U52" s="23" t="inlineStr">
        <is>
          <t>Confirmed</t>
        </is>
      </c>
      <c r="V52" s="23" t="n"/>
    </row>
    <row r="53" ht="43.5" customHeight="1" s="76">
      <c r="A53" s="25" t="inlineStr">
        <is>
          <t>خساپا</t>
        </is>
      </c>
      <c r="B53" s="25" t="inlineStr">
        <is>
          <t>خساپا</t>
        </is>
      </c>
      <c r="C53" s="25" t="inlineStr">
        <is>
          <t>۱۴۰۳→۱۴۰۴ (Cutoff 1403/12/29 → 1404/12/29)</t>
        </is>
      </c>
      <c r="D53" s="25" t="inlineStr">
        <is>
          <t>رویداد کرسی</t>
        </is>
      </c>
      <c r="E53" s="25" t="n"/>
      <c r="F53" s="25" t="n"/>
      <c r="G53" s="25" t="inlineStr">
        <is>
          <t>ثبت شد</t>
        </is>
      </c>
      <c r="H53" s="25" t="inlineStr">
        <is>
          <t>محمدرضا شیخ‌عطار</t>
        </is>
      </c>
      <c r="I53" s="25" t="inlineStr">
        <is>
          <t>کورش پرویزیان</t>
        </is>
      </c>
      <c r="J53" s="25" t="inlineStr">
        <is>
          <t>سازمان مدیریت صنعتی</t>
        </is>
      </c>
      <c r="K53" s="25" t="inlineStr">
        <is>
          <t>محمدرضا شیخ‌عطار</t>
        </is>
      </c>
      <c r="L53" s="25" t="inlineStr">
        <is>
          <t>کورش پرویزیان</t>
        </is>
      </c>
      <c r="M53" s="25" t="inlineStr">
        <is>
          <t>تغییر نماینده حقیقی با شخص حقوقی ثابت</t>
        </is>
      </c>
      <c r="N53" s="25" t="inlineStr">
        <is>
          <t>1404/02/08</t>
        </is>
      </c>
      <c r="O53" s="25" t="inlineStr">
        <is>
          <t>معرفی /تغییر در ترکیب اعضای هیئت مدیره/مدیر عامل</t>
        </is>
      </c>
      <c r="P53" s="25" t="inlineStr">
        <is>
          <t>1404/02/09</t>
        </is>
      </c>
      <c r="Q53" s="25" t="inlineStr">
        <is>
          <t>1336974</t>
        </is>
      </c>
      <c r="R53" s="25" t="inlineStr">
        <is>
          <t>https://www.codal.ir/Reports/Decision.aspx?LetterSerial=A9EKEshXRCjahGZMnLLylQ%3d%3d&amp;rt=0&amp;let=19&amp;ct=0&amp;ft=-1</t>
        </is>
      </c>
      <c r="S53" s="25" t="inlineStr">
        <is>
          <t>Snapshot مبنا: TracingNo 1295938؛ Snapshot پایان: TracingNo 1386511</t>
        </is>
      </c>
      <c r="T53" s="25" t="inlineStr">
        <is>
          <t>جلسه ۱۴۰۴/۰۲/۰۸</t>
        </is>
      </c>
      <c r="U53" s="25" t="inlineStr">
        <is>
          <t>Confirmed</t>
        </is>
      </c>
      <c r="V53" s="25" t="inlineStr">
        <is>
          <t>پرویزیان از کرسی رنا به کرسی سازمان مدیریت صنعتی رفت؛ عضو جدید نیست (P&lt;G مشروع)</t>
        </is>
      </c>
    </row>
    <row r="54" ht="58" customHeight="1" s="76">
      <c r="A54" s="23" t="inlineStr">
        <is>
          <t>خساپا</t>
        </is>
      </c>
      <c r="B54" s="23" t="inlineStr">
        <is>
          <t>خساپا</t>
        </is>
      </c>
      <c r="C54" s="23" t="inlineStr">
        <is>
          <t>۱۴۰۴</t>
        </is>
      </c>
      <c r="D54" s="23" t="inlineStr">
        <is>
          <t>REF05 گردش شخص حقیقی (G/H)</t>
        </is>
      </c>
      <c r="E54" s="23" t="inlineStr">
        <is>
          <t>3/5</t>
        </is>
      </c>
      <c r="F54" s="23" t="inlineStr">
        <is>
          <t>3/5</t>
        </is>
      </c>
      <c r="G54" s="23" t="inlineStr">
        <is>
          <t>بدون تغییر</t>
        </is>
      </c>
      <c r="H54" s="23" t="n"/>
      <c r="I54" s="23" t="n"/>
      <c r="J54" s="23" t="n"/>
      <c r="K54" s="23" t="n"/>
      <c r="L54" s="23" t="n"/>
      <c r="M54" s="23" t="n"/>
      <c r="N54" s="23" t="n"/>
      <c r="O54" s="23" t="inlineStr">
        <is>
          <t>جمع‌بندی از رویدادهای کرسی همین شرکت</t>
        </is>
      </c>
      <c r="P54" s="23" t="n"/>
      <c r="Q54" s="23" t="n"/>
      <c r="R54" s="23" t="n"/>
      <c r="S54" s="23" t="inlineStr">
        <is>
          <t>Cutoff ۱۴۰۳/۱۲/۲۹ از اطلاعیه ۱۲۹۵۹۳۸ (۱۴۰۳/۱۱/۰۳)؛ تاریخ‌های انتصاب گزارش‌های FY1403/FY1404 (۱۴۰۳/۰۹/۱۴، ۱۴۰۳/۱۱/۰۳، ۱۴۰۴/۰۲/۰۸) تایید می‌کنند.</t>
        </is>
      </c>
      <c r="T54" s="23" t="inlineStr">
        <is>
          <t>Cutoff ۱۴۰۴/۱۲/۲۹ از اطلاعیه ۱۳۳۶۹۷۴ و ۱۳۸۶۵۱۱ (جلسه ۱۴۰۴/۰۵/۱۳)؛ تا ۱۴۰۵/۰۶/۱۸ اطلاعیه دیگری نیست.</t>
        </is>
      </c>
      <c r="U54" s="23" t="inlineStr">
        <is>
          <t>Confirmed</t>
        </is>
      </c>
      <c r="V54" s="23" t="n"/>
    </row>
    <row r="55" ht="58" customHeight="1" s="76">
      <c r="A55" s="25" t="inlineStr">
        <is>
          <t>خساپا</t>
        </is>
      </c>
      <c r="B55" s="25" t="inlineStr">
        <is>
          <t>خساپا</t>
        </is>
      </c>
      <c r="C55" s="25" t="inlineStr">
        <is>
          <t>۱۴۰۴</t>
        </is>
      </c>
      <c r="D55" s="25" t="inlineStr">
        <is>
          <t>REF08 تغییر نماینده با شخص حقوقی ثابت (J/K)</t>
        </is>
      </c>
      <c r="E55" s="25" t="inlineStr">
        <is>
          <t>3/5</t>
        </is>
      </c>
      <c r="F55" s="25" t="inlineStr">
        <is>
          <t>3/5</t>
        </is>
      </c>
      <c r="G55" s="25" t="inlineStr">
        <is>
          <t>بدون تغییر</t>
        </is>
      </c>
      <c r="H55" s="25" t="n"/>
      <c r="I55" s="25" t="n"/>
      <c r="J55" s="25" t="n"/>
      <c r="K55" s="25" t="n"/>
      <c r="L55" s="25" t="n"/>
      <c r="M55" s="25" t="n"/>
      <c r="N55" s="25" t="n"/>
      <c r="O55" s="25" t="inlineStr">
        <is>
          <t>جمع‌بندی از رویدادهای کرسی همین شرکت</t>
        </is>
      </c>
      <c r="P55" s="25" t="n"/>
      <c r="Q55" s="25" t="n"/>
      <c r="R55" s="25" t="n"/>
      <c r="S55" s="25" t="inlineStr">
        <is>
          <t>Cutoff ۱۴۰۳/۱۲/۲۹ از اطلاعیه ۱۲۹۵۹۳۸ (۱۴۰۳/۱۱/۰۳)؛ تاریخ‌های انتصاب گزارش‌های FY1403/FY1404 (۱۴۰۳/۰۹/۱۴، ۱۴۰۳/۱۱/۰۳، ۱۴۰۴/۰۲/۰۸) تایید می‌کنند.</t>
        </is>
      </c>
      <c r="T55" s="25" t="inlineStr">
        <is>
          <t>Cutoff ۱۴۰۴/۱۲/۲۹ از اطلاعیه ۱۳۳۶۹۷۴ و ۱۳۸۶۵۱۱ (جلسه ۱۴۰۴/۰۵/۱۳)؛ تا ۱۴۰۵/۰۶/۱۸ اطلاعیه دیگری نیست.</t>
        </is>
      </c>
      <c r="U55" s="25" t="inlineStr">
        <is>
          <t>Confirmed</t>
        </is>
      </c>
      <c r="V55" s="25" t="n"/>
    </row>
    <row r="56" ht="58" customHeight="1" s="76">
      <c r="A56" s="23" t="inlineStr">
        <is>
          <t>خساپا</t>
        </is>
      </c>
      <c r="B56" s="23" t="inlineStr">
        <is>
          <t>خساپا</t>
        </is>
      </c>
      <c r="C56" s="23" t="inlineStr">
        <is>
          <t>۱۴۰۴</t>
        </is>
      </c>
      <c r="D56" s="23" t="inlineStr">
        <is>
          <t>ROB_LEGAL تغییر شخص حقوقی (M/N)</t>
        </is>
      </c>
      <c r="E56" s="23" t="inlineStr">
        <is>
          <t>0/5</t>
        </is>
      </c>
      <c r="F56" s="23" t="inlineStr">
        <is>
          <t>0/5</t>
        </is>
      </c>
      <c r="G56" s="23" t="inlineStr">
        <is>
          <t>بدون تغییر</t>
        </is>
      </c>
      <c r="H56" s="23" t="n"/>
      <c r="I56" s="23" t="n"/>
      <c r="J56" s="23" t="n"/>
      <c r="K56" s="23" t="n"/>
      <c r="L56" s="23" t="n"/>
      <c r="M56" s="23" t="n"/>
      <c r="N56" s="23" t="n"/>
      <c r="O56" s="23" t="inlineStr">
        <is>
          <t>جمع‌بندی از رویدادهای کرسی همین شرکت</t>
        </is>
      </c>
      <c r="P56" s="23" t="n"/>
      <c r="Q56" s="23" t="n"/>
      <c r="R56" s="23" t="n"/>
      <c r="S56" s="23" t="inlineStr">
        <is>
          <t>Cutoff ۱۴۰۳/۱۲/۲۹ از اطلاعیه ۱۲۹۵۹۳۸ (۱۴۰۳/۱۱/۰۳)؛ تاریخ‌های انتصاب گزارش‌های FY1403/FY1404 (۱۴۰۳/۰۹/۱۴، ۱۴۰۳/۱۱/۰۳، ۱۴۰۴/۰۲/۰۸) تایید می‌کنند.</t>
        </is>
      </c>
      <c r="T56" s="23" t="inlineStr">
        <is>
          <t>Cutoff ۱۴۰۴/۱۲/۲۹ از اطلاعیه ۱۳۳۶۹۷۴ و ۱۳۸۶۵۱۱ (جلسه ۱۴۰۴/۰۵/۱۳)؛ تا ۱۴۰۵/۰۶/۱۸ اطلاعیه دیگری نیست.</t>
        </is>
      </c>
      <c r="U56" s="23" t="inlineStr">
        <is>
          <t>Confirmed</t>
        </is>
      </c>
      <c r="V56" s="23" t="n"/>
    </row>
    <row r="57" ht="58" customHeight="1" s="76">
      <c r="A57" s="25" t="inlineStr">
        <is>
          <t>خساپا</t>
        </is>
      </c>
      <c r="B57" s="25" t="inlineStr">
        <is>
          <t>خساپا</t>
        </is>
      </c>
      <c r="C57" s="25" t="inlineStr">
        <is>
          <t>۱۴۰۴</t>
        </is>
      </c>
      <c r="D57" s="25" t="inlineStr">
        <is>
          <t>ROB_NEW عضو جدید (P/Q)</t>
        </is>
      </c>
      <c r="E57" s="25" t="inlineStr">
        <is>
          <t>2/5</t>
        </is>
      </c>
      <c r="F57" s="25" t="inlineStr">
        <is>
          <t>2/5</t>
        </is>
      </c>
      <c r="G57" s="25" t="inlineStr">
        <is>
          <t>بدون تغییر</t>
        </is>
      </c>
      <c r="H57" s="25" t="n"/>
      <c r="I57" s="25" t="n"/>
      <c r="J57" s="25" t="n"/>
      <c r="K57" s="25" t="n"/>
      <c r="L57" s="25" t="n"/>
      <c r="M57" s="25" t="n"/>
      <c r="N57" s="25" t="n"/>
      <c r="O57" s="25" t="inlineStr">
        <is>
          <t>جمع‌بندی از رویدادهای کرسی همین شرکت</t>
        </is>
      </c>
      <c r="P57" s="25" t="n"/>
      <c r="Q57" s="25" t="n"/>
      <c r="R57" s="25" t="n"/>
      <c r="S57" s="25" t="inlineStr">
        <is>
          <t>Cutoff ۱۴۰۳/۱۲/۲۹ از اطلاعیه ۱۲۹۵۹۳۸ (۱۴۰۳/۱۱/۰۳)؛ تاریخ‌های انتصاب گزارش‌های FY1403/FY1404 (۱۴۰۳/۰۹/۱۴، ۱۴۰۳/۱۱/۰۳، ۱۴۰۴/۰۲/۰۸) تایید می‌کنند.</t>
        </is>
      </c>
      <c r="T57" s="25" t="inlineStr">
        <is>
          <t>Cutoff ۱۴۰۴/۱۲/۲۹ از اطلاعیه ۱۳۳۶۹۷۴ و ۱۳۸۶۵۱۱ (جلسه ۱۴۰۴/۰۵/۱۳)؛ تا ۱۴۰۵/۰۶/۱۸ اطلاعیه دیگری نیست.</t>
        </is>
      </c>
      <c r="U57" s="25" t="inlineStr">
        <is>
          <t>Confirmed</t>
        </is>
      </c>
      <c r="V57" s="25" t="n"/>
    </row>
    <row r="58" ht="58" customHeight="1" s="76">
      <c r="A58" s="23" t="inlineStr">
        <is>
          <t>خساپا</t>
        </is>
      </c>
      <c r="B58" s="23" t="inlineStr">
        <is>
          <t>خساپا</t>
        </is>
      </c>
      <c r="C58" s="23" t="inlineStr">
        <is>
          <t>۱۴۰۴</t>
        </is>
      </c>
      <c r="D58" s="23" t="inlineStr">
        <is>
          <t>ROB_STABILITY ثبات (S/T)</t>
        </is>
      </c>
      <c r="E58" s="23" t="inlineStr">
        <is>
          <t>2/5</t>
        </is>
      </c>
      <c r="F58" s="23" t="inlineStr">
        <is>
          <t>2/5</t>
        </is>
      </c>
      <c r="G58" s="23" t="inlineStr">
        <is>
          <t>بدون تغییر</t>
        </is>
      </c>
      <c r="H58" s="23" t="n"/>
      <c r="I58" s="23" t="n"/>
      <c r="J58" s="23" t="n"/>
      <c r="K58" s="23" t="n"/>
      <c r="L58" s="23" t="n"/>
      <c r="M58" s="23" t="n"/>
      <c r="N58" s="23" t="n"/>
      <c r="O58" s="23" t="inlineStr">
        <is>
          <t>جمع‌بندی از رویدادهای کرسی همین شرکت</t>
        </is>
      </c>
      <c r="P58" s="23" t="n"/>
      <c r="Q58" s="23" t="n"/>
      <c r="R58" s="23" t="n"/>
      <c r="S58" s="23" t="inlineStr">
        <is>
          <t>Cutoff ۱۴۰۳/۱۲/۲۹ از اطلاعیه ۱۲۹۵۹۳۸ (۱۴۰۳/۱۱/۰۳)؛ تاریخ‌های انتصاب گزارش‌های FY1403/FY1404 (۱۴۰۳/۰۹/۱۴، ۱۴۰۳/۱۱/۰۳، ۱۴۰۴/۰۲/۰۸) تایید می‌کنند.</t>
        </is>
      </c>
      <c r="T58" s="23" t="inlineStr">
        <is>
          <t>Cutoff ۱۴۰۴/۱۲/۲۹ از اطلاعیه ۱۳۳۶۹۷۴ و ۱۳۸۶۵۱۱ (جلسه ۱۴۰۴/۰۵/۱۳)؛ تا ۱۴۰۵/۰۶/۱۸ اطلاعیه دیگری نیست.</t>
        </is>
      </c>
      <c r="U58" s="23" t="inlineStr">
        <is>
          <t>Confirmed</t>
        </is>
      </c>
      <c r="V58" s="23" t="n"/>
    </row>
    <row r="59" ht="29" customHeight="1" s="76">
      <c r="A59" s="25" t="inlineStr">
        <is>
          <t>خساپا</t>
        </is>
      </c>
      <c r="B59" s="25" t="inlineStr">
        <is>
          <t>خساپا</t>
        </is>
      </c>
      <c r="C59" s="25" t="inlineStr">
        <is>
          <t>۱۴۰۴</t>
        </is>
      </c>
      <c r="D59" s="25" t="inlineStr">
        <is>
          <t>تغییر رئیس هیئت مدیره (ستون V؛ ورودی CR1A)</t>
        </is>
      </c>
      <c r="E59" s="25" t="inlineStr">
        <is>
          <t>خیر</t>
        </is>
      </c>
      <c r="F59" s="25" t="inlineStr">
        <is>
          <t>خیر</t>
        </is>
      </c>
      <c r="G59" s="25" t="inlineStr">
        <is>
          <t>بدون تغییر</t>
        </is>
      </c>
      <c r="H59" s="25" t="n"/>
      <c r="I59" s="25" t="n"/>
      <c r="J59" s="25" t="n"/>
      <c r="K59" s="25" t="n"/>
      <c r="L59" s="25" t="n"/>
      <c r="M59" s="25" t="n"/>
      <c r="N59" s="25" t="n"/>
      <c r="O59" s="25" t="inlineStr">
        <is>
          <t>جدول Cutoff</t>
        </is>
      </c>
      <c r="P59" s="25" t="n"/>
      <c r="Q59" s="25" t="n"/>
      <c r="R59" s="25" t="n"/>
      <c r="S59" s="25" t="n"/>
      <c r="T59" s="25" t="n"/>
      <c r="U59" s="25" t="inlineStr">
        <is>
          <t>Confirmed</t>
        </is>
      </c>
      <c r="V59" s="25" t="inlineStr">
        <is>
          <t>CR1A در برگه‌های Audit/معماری بازمحاسبه نشد؛ فقط ستون V ورودی</t>
        </is>
      </c>
    </row>
    <row r="60" ht="58" customHeight="1" s="76">
      <c r="A60" s="23" t="inlineStr">
        <is>
          <t>خودرو</t>
        </is>
      </c>
      <c r="B60" s="23" t="inlineStr">
        <is>
          <t>خودرو</t>
        </is>
      </c>
      <c r="C60" s="23" t="inlineStr">
        <is>
          <t>۱۴۰۳→۱۴۰۴ (Cutoff 1403/12/29 → 1404/12/29)</t>
        </is>
      </c>
      <c r="D60" s="23" t="inlineStr">
        <is>
          <t>رویداد کرسی</t>
        </is>
      </c>
      <c r="E60" s="23" t="n"/>
      <c r="F60" s="23" t="n"/>
      <c r="G60" s="23" t="inlineStr">
        <is>
          <t>ثبت شد</t>
        </is>
      </c>
      <c r="H60" s="23" t="inlineStr">
        <is>
          <t>عبدالله سلطانی ثانی</t>
        </is>
      </c>
      <c r="I60" s="23" t="inlineStr">
        <is>
          <t>عبدالله سلطانی ثانی</t>
        </is>
      </c>
      <c r="J60" s="23" t="inlineStr">
        <is>
          <t>خدمات گستر صبا انرژی</t>
        </is>
      </c>
      <c r="K60" s="23" t="inlineStr">
        <is>
          <t>عبدالله سلطانی ثانی</t>
        </is>
      </c>
      <c r="L60" s="23" t="inlineStr">
        <is>
          <t>عبدالله سلطانی ثانی</t>
        </is>
      </c>
      <c r="M60" s="23" t="inlineStr">
        <is>
          <t>بدون تغییر</t>
        </is>
      </c>
      <c r="N60" s="23" t="inlineStr">
        <is>
          <t>—</t>
        </is>
      </c>
      <c r="O60" s="23" t="inlineStr">
        <is>
          <t>معرفی /تغییر در ترکیب اعضای هیئت مدیره/مدیر عامل</t>
        </is>
      </c>
      <c r="P60" s="23" t="inlineStr">
        <is>
          <t>1404/07/21</t>
        </is>
      </c>
      <c r="Q60" s="23" t="inlineStr">
        <is>
          <t>1417850</t>
        </is>
      </c>
      <c r="R60" s="23" t="inlineStr">
        <is>
          <t>https://www.codal.ir/Reports/Decision.aspx?LetterSerial=8qXiOOObOOOscQQQaQQQfIOkx3DWj8Uw1Q%3d%3d&amp;rt=0&amp;let=19&amp;ct=0&amp;ft=-1</t>
        </is>
      </c>
      <c r="S60" s="23" t="inlineStr">
        <is>
          <t>Snapshot مبنا: TracingNo 1306740؛ Snapshot پایان: TracingNo 1417850</t>
        </is>
      </c>
      <c r="T60" s="23" t="inlineStr">
        <is>
          <t>Cutoff ۱۴۰۳/۱۲/۲۹ از اطلاعیه ۱۳۰۶۷۴۰ (۱۴۰۳/۱۱/۲۱) و اصلاحیه ۱۳۰۸۷۴۴ پس از مجمع ۱۴۰۳/۱۱/۱۷ (تعویض کامل اشخاص حقوقی)؛ گزارش FY1404 ص۵۳ تاریخ‌ه</t>
        </is>
      </c>
      <c r="U60" s="23" t="inlineStr">
        <is>
          <t>Confirmed</t>
        </is>
      </c>
      <c r="V60" s="23" t="n"/>
    </row>
    <row r="61" ht="58" customHeight="1" s="76">
      <c r="A61" s="25" t="inlineStr">
        <is>
          <t>خودرو</t>
        </is>
      </c>
      <c r="B61" s="25" t="inlineStr">
        <is>
          <t>خودرو</t>
        </is>
      </c>
      <c r="C61" s="25" t="inlineStr">
        <is>
          <t>۱۴۰۳→۱۴۰۴ (Cutoff 1403/12/29 → 1404/12/29)</t>
        </is>
      </c>
      <c r="D61" s="25" t="inlineStr">
        <is>
          <t>رویداد کرسی</t>
        </is>
      </c>
      <c r="E61" s="25" t="n"/>
      <c r="F61" s="25" t="n"/>
      <c r="G61" s="25" t="inlineStr">
        <is>
          <t>ثبت شد</t>
        </is>
      </c>
      <c r="H61" s="25" t="inlineStr">
        <is>
          <t>عادل پیرمحمدی</t>
        </is>
      </c>
      <c r="I61" s="25" t="inlineStr">
        <is>
          <t>عادل پیرمحمدی</t>
        </is>
      </c>
      <c r="J61" s="25" t="inlineStr">
        <is>
          <t>مدیریت سرمایه‌گذاری ملی ایران</t>
        </is>
      </c>
      <c r="K61" s="25" t="inlineStr">
        <is>
          <t>عادل پیرمحمدی</t>
        </is>
      </c>
      <c r="L61" s="25" t="inlineStr">
        <is>
          <t>عادل پیرمحمدی</t>
        </is>
      </c>
      <c r="M61" s="25" t="inlineStr">
        <is>
          <t>بدون تغییر</t>
        </is>
      </c>
      <c r="N61" s="25" t="inlineStr">
        <is>
          <t>—</t>
        </is>
      </c>
      <c r="O61" s="25" t="inlineStr">
        <is>
          <t>معرفی /تغییر در ترکیب اعضای هیئت مدیره/مدیر عامل</t>
        </is>
      </c>
      <c r="P61" s="25" t="inlineStr">
        <is>
          <t>1404/07/21</t>
        </is>
      </c>
      <c r="Q61" s="25" t="inlineStr">
        <is>
          <t>1417850</t>
        </is>
      </c>
      <c r="R61" s="25" t="inlineStr">
        <is>
          <t>https://www.codal.ir/Reports/Decision.aspx?LetterSerial=8qXiOOObOOOscQQQaQQQfIOkx3DWj8Uw1Q%3d%3d&amp;rt=0&amp;let=19&amp;ct=0&amp;ft=-1</t>
        </is>
      </c>
      <c r="S61" s="25" t="inlineStr">
        <is>
          <t>Snapshot مبنا: TracingNo 1306740؛ Snapshot پایان: TracingNo 1417850</t>
        </is>
      </c>
      <c r="T61" s="25" t="inlineStr">
        <is>
          <t>Cutoff ۱۴۰۳/۱۲/۲۹ از اطلاعیه ۱۳۰۶۷۴۰ (۱۴۰۳/۱۱/۲۱) و اصلاحیه ۱۳۰۸۷۴۴ پس از مجمع ۱۴۰۳/۱۱/۱۷ (تعویض کامل اشخاص حقوقی)؛ گزارش FY1404 ص۵۳ تاریخ‌ه</t>
        </is>
      </c>
      <c r="U61" s="25" t="inlineStr">
        <is>
          <t>Confirmed</t>
        </is>
      </c>
      <c r="V61" s="25" t="inlineStr">
        <is>
          <t>تا ۱۴۰۵/۰۳/۱۹ در هیئت مدیره (پس از Cutoff)</t>
        </is>
      </c>
    </row>
    <row r="62" ht="43.5" customHeight="1" s="76">
      <c r="A62" s="23" t="inlineStr">
        <is>
          <t>خودرو</t>
        </is>
      </c>
      <c r="B62" s="23" t="inlineStr">
        <is>
          <t>خودرو</t>
        </is>
      </c>
      <c r="C62" s="23" t="inlineStr">
        <is>
          <t>۱۴۰۳→۱۴۰۴ (Cutoff 1403/12/29 → 1404/12/29)</t>
        </is>
      </c>
      <c r="D62" s="23" t="inlineStr">
        <is>
          <t>رویداد کرسی</t>
        </is>
      </c>
      <c r="E62" s="23" t="n"/>
      <c r="F62" s="23" t="n"/>
      <c r="G62" s="23" t="inlineStr">
        <is>
          <t>ثبت شد</t>
        </is>
      </c>
      <c r="H62" s="23" t="inlineStr">
        <is>
          <t>مرتضی شفیعی</t>
        </is>
      </c>
      <c r="I62" s="23" t="inlineStr">
        <is>
          <t>حامد نائیجی</t>
        </is>
      </c>
      <c r="J62" s="23" t="inlineStr">
        <is>
          <t>سرمایه‌گذاری گنجینه ایرانیان</t>
        </is>
      </c>
      <c r="K62" s="23" t="inlineStr">
        <is>
          <t>مرتضی شفیعی</t>
        </is>
      </c>
      <c r="L62" s="23" t="inlineStr">
        <is>
          <t>حامد نائیجی</t>
        </is>
      </c>
      <c r="M62" s="23" t="inlineStr">
        <is>
          <t>تغییر نماینده حقیقی با شخص حقوقی ثابت</t>
        </is>
      </c>
      <c r="N62" s="23" t="inlineStr">
        <is>
          <t>1404/07/19</t>
        </is>
      </c>
      <c r="O62" s="23" t="inlineStr">
        <is>
          <t>معرفی /تغییر در ترکیب اعضای هیئت مدیره/مدیر عامل</t>
        </is>
      </c>
      <c r="P62" s="23" t="inlineStr">
        <is>
          <t>1404/07/21</t>
        </is>
      </c>
      <c r="Q62" s="23" t="inlineStr">
        <is>
          <t>1417850</t>
        </is>
      </c>
      <c r="R62" s="23" t="inlineStr">
        <is>
          <t>https://www.codal.ir/Reports/Decision.aspx?LetterSerial=8qXiOOObOOOscQQQaQQQfIOkx3DWj8Uw1Q%3d%3d&amp;rt=0&amp;let=19&amp;ct=0&amp;ft=-1</t>
        </is>
      </c>
      <c r="S62" s="23" t="inlineStr">
        <is>
          <t>Snapshot مبنا: TracingNo 1306740؛ Snapshot پایان: TracingNo 1417850</t>
        </is>
      </c>
      <c r="T62" s="23" t="inlineStr">
        <is>
          <t>جلسه ۱۴۰۴/۰۷/۱۹ (اطلاعیه ۱۴۱۷۸۵۰)؛ جدول عضویت گزارش FY1404 ص۵۳: شفیعی ۱۴۰۳/۱۱/۱۷–۱۴۰۴/۰۷/۱۹، نائیجی از ۱۴۰۴/۰۷/۱۹</t>
        </is>
      </c>
      <c r="U62" s="23" t="inlineStr">
        <is>
          <t>Confirmed</t>
        </is>
      </c>
      <c r="V62" s="23" t="inlineStr">
        <is>
          <t>اولین مورد REF08 خودرو</t>
        </is>
      </c>
    </row>
    <row r="63" ht="58" customHeight="1" s="76">
      <c r="A63" s="25" t="inlineStr">
        <is>
          <t>خودرو</t>
        </is>
      </c>
      <c r="B63" s="25" t="inlineStr">
        <is>
          <t>خودرو</t>
        </is>
      </c>
      <c r="C63" s="25" t="inlineStr">
        <is>
          <t>۱۴۰۳→۱۴۰۴ (Cutoff 1403/12/29 → 1404/12/29)</t>
        </is>
      </c>
      <c r="D63" s="25" t="inlineStr">
        <is>
          <t>رویداد کرسی</t>
        </is>
      </c>
      <c r="E63" s="25" t="n"/>
      <c r="F63" s="25" t="n"/>
      <c r="G63" s="25" t="inlineStr">
        <is>
          <t>ثبت شد</t>
        </is>
      </c>
      <c r="H63" s="25" t="inlineStr">
        <is>
          <t>یوسف الهی شکیب</t>
        </is>
      </c>
      <c r="I63" s="25" t="inlineStr">
        <is>
          <t>یوسف الهی شکیب</t>
        </is>
      </c>
      <c r="J63" s="25" t="inlineStr">
        <is>
          <t>بهینه‌سازان بهمن</t>
        </is>
      </c>
      <c r="K63" s="25" t="inlineStr">
        <is>
          <t>یوسف الهی شکیب</t>
        </is>
      </c>
      <c r="L63" s="25" t="inlineStr">
        <is>
          <t>یوسف الهی شکیب</t>
        </is>
      </c>
      <c r="M63" s="25" t="inlineStr">
        <is>
          <t>بدون تغییر</t>
        </is>
      </c>
      <c r="N63" s="25" t="inlineStr">
        <is>
          <t>—</t>
        </is>
      </c>
      <c r="O63" s="25" t="inlineStr">
        <is>
          <t>معرفی /تغییر در ترکیب اعضای هیئت مدیره/مدیر عامل</t>
        </is>
      </c>
      <c r="P63" s="25" t="inlineStr">
        <is>
          <t>1404/07/21</t>
        </is>
      </c>
      <c r="Q63" s="25" t="inlineStr">
        <is>
          <t>1417850</t>
        </is>
      </c>
      <c r="R63" s="25" t="inlineStr">
        <is>
          <t>https://www.codal.ir/Reports/Decision.aspx?LetterSerial=8qXiOOObOOOscQQQaQQQfIOkx3DWj8Uw1Q%3d%3d&amp;rt=0&amp;let=19&amp;ct=0&amp;ft=-1</t>
        </is>
      </c>
      <c r="S63" s="25" t="inlineStr">
        <is>
          <t>Snapshot مبنا: TracingNo 1306740؛ Snapshot پایان: TracingNo 1417850</t>
        </is>
      </c>
      <c r="T63" s="25" t="inlineStr">
        <is>
          <t>Cutoff ۱۴۰۳/۱۲/۲۹ از اطلاعیه ۱۳۰۶۷۴۰ (۱۴۰۳/۱۱/۲۱) و اصلاحیه ۱۳۰۸۷۴۴ پس از مجمع ۱۴۰۳/۱۱/۱۷ (تعویض کامل اشخاص حقوقی)؛ گزارش FY1404 ص۵۳ تاریخ‌ه</t>
        </is>
      </c>
      <c r="U63" s="25" t="inlineStr">
        <is>
          <t>Confirmed</t>
        </is>
      </c>
      <c r="V63" s="25" t="n"/>
    </row>
    <row r="64" ht="58" customHeight="1" s="76">
      <c r="A64" s="23" t="inlineStr">
        <is>
          <t>خودرو</t>
        </is>
      </c>
      <c r="B64" s="23" t="inlineStr">
        <is>
          <t>خودرو</t>
        </is>
      </c>
      <c r="C64" s="23" t="inlineStr">
        <is>
          <t>۱۴۰۳→۱۴۰۴ (Cutoff 1403/12/29 → 1404/12/29)</t>
        </is>
      </c>
      <c r="D64" s="23" t="inlineStr">
        <is>
          <t>رویداد کرسی</t>
        </is>
      </c>
      <c r="E64" s="23" t="n"/>
      <c r="F64" s="23" t="n"/>
      <c r="G64" s="23" t="inlineStr">
        <is>
          <t>ثبت شد</t>
        </is>
      </c>
      <c r="H64" s="23" t="inlineStr">
        <is>
          <t>جمشید ایمانی کتک‌لاهیجانی</t>
        </is>
      </c>
      <c r="I64" s="23" t="inlineStr">
        <is>
          <t>جمشید ایمانی کتک‌لاهیجانی</t>
        </is>
      </c>
      <c r="J64" s="23" t="inlineStr">
        <is>
          <t>اعتبار آفرین</t>
        </is>
      </c>
      <c r="K64" s="23" t="inlineStr">
        <is>
          <t>جمشید ایمانی کتک‌لاهیجانی</t>
        </is>
      </c>
      <c r="L64" s="23" t="inlineStr">
        <is>
          <t>جمشید ایمانی کتک‌لاهیجانی</t>
        </is>
      </c>
      <c r="M64" s="23" t="inlineStr">
        <is>
          <t>بدون تغییر</t>
        </is>
      </c>
      <c r="N64" s="23" t="inlineStr">
        <is>
          <t>—</t>
        </is>
      </c>
      <c r="O64" s="23" t="inlineStr">
        <is>
          <t>معرفی /تغییر در ترکیب اعضای هیئت مدیره/مدیر عامل</t>
        </is>
      </c>
      <c r="P64" s="23" t="inlineStr">
        <is>
          <t>1404/07/21</t>
        </is>
      </c>
      <c r="Q64" s="23" t="inlineStr">
        <is>
          <t>1417850</t>
        </is>
      </c>
      <c r="R64" s="23" t="inlineStr">
        <is>
          <t>https://www.codal.ir/Reports/Decision.aspx?LetterSerial=8qXiOOObOOOscQQQaQQQfIOkx3DWj8Uw1Q%3d%3d&amp;rt=0&amp;let=19&amp;ct=0&amp;ft=-1</t>
        </is>
      </c>
      <c r="S64" s="23" t="inlineStr">
        <is>
          <t>Snapshot مبنا: TracingNo 1306740؛ Snapshot پایان: TracingNo 1417850</t>
        </is>
      </c>
      <c r="T64" s="23" t="inlineStr">
        <is>
          <t>Cutoff ۱۴۰۳/۱۲/۲۹ از اطلاعیه ۱۳۰۶۷۴۰ (۱۴۰۳/۱۱/۲۱) و اصلاحیه ۱۳۰۸۷۴۴ پس از مجمع ۱۴۰۳/۱۱/۱۷ (تعویض کامل اشخاص حقوقی)؛ گزارش FY1404 ص۵۳ تاریخ‌ه</t>
        </is>
      </c>
      <c r="U64" s="23" t="inlineStr">
        <is>
          <t>Confirmed</t>
        </is>
      </c>
      <c r="V64" s="23" t="n"/>
    </row>
    <row r="65" ht="58" customHeight="1" s="76">
      <c r="A65" s="25" t="inlineStr">
        <is>
          <t>خودرو</t>
        </is>
      </c>
      <c r="B65" s="25" t="inlineStr">
        <is>
          <t>خودرو</t>
        </is>
      </c>
      <c r="C65" s="25" t="inlineStr">
        <is>
          <t>۱۴۰۴</t>
        </is>
      </c>
      <c r="D65" s="25" t="inlineStr">
        <is>
          <t>REF05 گردش شخص حقیقی (G/H)</t>
        </is>
      </c>
      <c r="E65" s="25" t="inlineStr">
        <is>
          <t>1/5</t>
        </is>
      </c>
      <c r="F65" s="25" t="inlineStr">
        <is>
          <t>1/5</t>
        </is>
      </c>
      <c r="G65" s="25" t="inlineStr">
        <is>
          <t>بدون تغییر</t>
        </is>
      </c>
      <c r="H65" s="25" t="n"/>
      <c r="I65" s="25" t="n"/>
      <c r="J65" s="25" t="n"/>
      <c r="K65" s="25" t="n"/>
      <c r="L65" s="25" t="n"/>
      <c r="M65" s="25" t="n"/>
      <c r="N65" s="25" t="n"/>
      <c r="O65" s="25" t="inlineStr">
        <is>
          <t>جمع‌بندی از رویدادهای کرسی همین شرکت</t>
        </is>
      </c>
      <c r="P65" s="25" t="n"/>
      <c r="Q65" s="25" t="n"/>
      <c r="R65" s="25" t="n"/>
      <c r="S65" s="25" t="inlineStr">
        <is>
          <t>Cutoff ۱۴۰۳/۱۲/۲۹ از اطلاعیه ۱۳۰۶۷۴۰ (۱۴۰۳/۱۱/۲۱) و اصلاحیه ۱۳۰۸۷۴۴ پس از مجمع ۱۴۰۳/۱۱/۱۷ (تعویض کامل اشخاص حقوقی)؛ گزارش FY1404 ص۵۳ تاریخ‌های عضویت را تایید می‌کند.</t>
        </is>
      </c>
      <c r="T65" s="25" t="inlineStr">
        <is>
          <t>Cutoff ۱۴۰۴/۱۲/۲۹ از اطلاعیه ۱۴۱۷۸۵۰ (جلسه ۱۴۰۴/۰۷/۱۹) و گزارش FY1404 ص۵۳؛ تغییرات بعدی (۱۴۰۵/۰۲/۰۱ به بعد) پس از Cutoff است.</t>
        </is>
      </c>
      <c r="U65" s="25" t="inlineStr">
        <is>
          <t>Confirmed</t>
        </is>
      </c>
      <c r="V65" s="25" t="n"/>
    </row>
    <row r="66" ht="58" customHeight="1" s="76">
      <c r="A66" s="23" t="inlineStr">
        <is>
          <t>خودرو</t>
        </is>
      </c>
      <c r="B66" s="23" t="inlineStr">
        <is>
          <t>خودرو</t>
        </is>
      </c>
      <c r="C66" s="23" t="inlineStr">
        <is>
          <t>۱۴۰۴</t>
        </is>
      </c>
      <c r="D66" s="23" t="inlineStr">
        <is>
          <t>REF08 تغییر نماینده با شخص حقوقی ثابت (J/K)</t>
        </is>
      </c>
      <c r="E66" s="23" t="inlineStr">
        <is>
          <t>Missing/N/A</t>
        </is>
      </c>
      <c r="F66" s="23" t="inlineStr">
        <is>
          <t>1/5</t>
        </is>
      </c>
      <c r="G66" s="23" t="inlineStr">
        <is>
          <t>اصلاح شد</t>
        </is>
      </c>
      <c r="H66" s="23" t="n"/>
      <c r="I66" s="23" t="n"/>
      <c r="J66" s="23" t="n"/>
      <c r="K66" s="23" t="n"/>
      <c r="L66" s="23" t="n"/>
      <c r="M66" s="23" t="n"/>
      <c r="N66" s="23" t="n"/>
      <c r="O66" s="23" t="inlineStr">
        <is>
          <t>جمع‌بندی از رویدادهای کرسی همین شرکت</t>
        </is>
      </c>
      <c r="P66" s="23" t="n"/>
      <c r="Q66" s="23" t="n"/>
      <c r="R66" s="23" t="n"/>
      <c r="S66" s="23" t="inlineStr">
        <is>
          <t>Cutoff ۱۴۰۳/۱۲/۲۹ از اطلاعیه ۱۳۰۶۷۴۰ (۱۴۰۳/۱۱/۲۱) و اصلاحیه ۱۳۰۸۷۴۴ پس از مجمع ۱۴۰۳/۱۱/۱۷ (تعویض کامل اشخاص حقوقی)؛ گزارش FY1404 ص۵۳ تاریخ‌های عضویت را تایید می‌کند.</t>
        </is>
      </c>
      <c r="T66" s="23" t="inlineStr">
        <is>
          <t>Cutoff ۱۴۰۴/۱۲/۲۹ از اطلاعیه ۱۴۱۷۸۵۰ (جلسه ۱۴۰۴/۰۷/۱۹) و گزارش FY1404 ص۵۳؛ تغییرات بعدی (۱۴۰۵/۰۲/۰۱ به بعد) پس از Cutoff است.</t>
        </is>
      </c>
      <c r="U66" s="23" t="inlineStr">
        <is>
          <t>Confirmed</t>
        </is>
      </c>
      <c r="V66" s="23" t="n"/>
    </row>
    <row r="67" ht="58" customHeight="1" s="76">
      <c r="A67" s="25" t="inlineStr">
        <is>
          <t>خودرو</t>
        </is>
      </c>
      <c r="B67" s="25" t="inlineStr">
        <is>
          <t>خودرو</t>
        </is>
      </c>
      <c r="C67" s="25" t="inlineStr">
        <is>
          <t>۱۴۰۴</t>
        </is>
      </c>
      <c r="D67" s="25" t="inlineStr">
        <is>
          <t>ROB_LEGAL تغییر شخص حقوقی (M/N)</t>
        </is>
      </c>
      <c r="E67" s="25" t="inlineStr">
        <is>
          <t>Missing/N/A</t>
        </is>
      </c>
      <c r="F67" s="25" t="inlineStr">
        <is>
          <t>0/5</t>
        </is>
      </c>
      <c r="G67" s="25" t="inlineStr">
        <is>
          <t>اصلاح شد</t>
        </is>
      </c>
      <c r="H67" s="25" t="n"/>
      <c r="I67" s="25" t="n"/>
      <c r="J67" s="25" t="n"/>
      <c r="K67" s="25" t="n"/>
      <c r="L67" s="25" t="n"/>
      <c r="M67" s="25" t="n"/>
      <c r="N67" s="25" t="n"/>
      <c r="O67" s="25" t="inlineStr">
        <is>
          <t>جمع‌بندی از رویدادهای کرسی همین شرکت</t>
        </is>
      </c>
      <c r="P67" s="25" t="n"/>
      <c r="Q67" s="25" t="n"/>
      <c r="R67" s="25" t="n"/>
      <c r="S67" s="25" t="inlineStr">
        <is>
          <t>Cutoff ۱۴۰۳/۱۲/۲۹ از اطلاعیه ۱۳۰۶۷۴۰ (۱۴۰۳/۱۱/۲۱) و اصلاحیه ۱۳۰۸۷۴۴ پس از مجمع ۱۴۰۳/۱۱/۱۷ (تعویض کامل اشخاص حقوقی)؛ گزارش FY1404 ص۵۳ تاریخ‌های عضویت را تایید می‌کند.</t>
        </is>
      </c>
      <c r="T67" s="25" t="inlineStr">
        <is>
          <t>Cutoff ۱۴۰۴/۱۲/۲۹ از اطلاعیه ۱۴۱۷۸۵۰ (جلسه ۱۴۰۴/۰۷/۱۹) و گزارش FY1404 ص۵۳؛ تغییرات بعدی (۱۴۰۵/۰۲/۰۱ به بعد) پس از Cutoff است.</t>
        </is>
      </c>
      <c r="U67" s="25" t="inlineStr">
        <is>
          <t>Confirmed</t>
        </is>
      </c>
      <c r="V67" s="25" t="n"/>
    </row>
    <row r="68" ht="58" customHeight="1" s="76">
      <c r="A68" s="23" t="inlineStr">
        <is>
          <t>خودرو</t>
        </is>
      </c>
      <c r="B68" s="23" t="inlineStr">
        <is>
          <t>خودرو</t>
        </is>
      </c>
      <c r="C68" s="23" t="inlineStr">
        <is>
          <t>۱۴۰۴</t>
        </is>
      </c>
      <c r="D68" s="23" t="inlineStr">
        <is>
          <t>ROB_NEW عضو جدید (P/Q)</t>
        </is>
      </c>
      <c r="E68" s="23" t="inlineStr">
        <is>
          <t>1/5</t>
        </is>
      </c>
      <c r="F68" s="23" t="inlineStr">
        <is>
          <t>1/5</t>
        </is>
      </c>
      <c r="G68" s="23" t="inlineStr">
        <is>
          <t>بدون تغییر</t>
        </is>
      </c>
      <c r="H68" s="23" t="n"/>
      <c r="I68" s="23" t="n"/>
      <c r="J68" s="23" t="n"/>
      <c r="K68" s="23" t="n"/>
      <c r="L68" s="23" t="n"/>
      <c r="M68" s="23" t="n"/>
      <c r="N68" s="23" t="n"/>
      <c r="O68" s="23" t="inlineStr">
        <is>
          <t>جمع‌بندی از رویدادهای کرسی همین شرکت</t>
        </is>
      </c>
      <c r="P68" s="23" t="n"/>
      <c r="Q68" s="23" t="n"/>
      <c r="R68" s="23" t="n"/>
      <c r="S68" s="23" t="inlineStr">
        <is>
          <t>Cutoff ۱۴۰۳/۱۲/۲۹ از اطلاعیه ۱۳۰۶۷۴۰ (۱۴۰۳/۱۱/۲۱) و اصلاحیه ۱۳۰۸۷۴۴ پس از مجمع ۱۴۰۳/۱۱/۱۷ (تعویض کامل اشخاص حقوقی)؛ گزارش FY1404 ص۵۳ تاریخ‌های عضویت را تایید می‌کند.</t>
        </is>
      </c>
      <c r="T68" s="23" t="inlineStr">
        <is>
          <t>Cutoff ۱۴۰۴/۱۲/۲۹ از اطلاعیه ۱۴۱۷۸۵۰ (جلسه ۱۴۰۴/۰۷/۱۹) و گزارش FY1404 ص۵۳؛ تغییرات بعدی (۱۴۰۵/۰۲/۰۱ به بعد) پس از Cutoff است.</t>
        </is>
      </c>
      <c r="U68" s="23" t="inlineStr">
        <is>
          <t>Confirmed</t>
        </is>
      </c>
      <c r="V68" s="23" t="n"/>
    </row>
    <row r="69" ht="58" customHeight="1" s="76">
      <c r="A69" s="25" t="inlineStr">
        <is>
          <t>خودرو</t>
        </is>
      </c>
      <c r="B69" s="25" t="inlineStr">
        <is>
          <t>خودرو</t>
        </is>
      </c>
      <c r="C69" s="25" t="inlineStr">
        <is>
          <t>۱۴۰۴</t>
        </is>
      </c>
      <c r="D69" s="25" t="inlineStr">
        <is>
          <t>ROB_STABILITY ثبات (S/T)</t>
        </is>
      </c>
      <c r="E69" s="25" t="inlineStr">
        <is>
          <t>4/5</t>
        </is>
      </c>
      <c r="F69" s="25" t="inlineStr">
        <is>
          <t>4/5</t>
        </is>
      </c>
      <c r="G69" s="25" t="inlineStr">
        <is>
          <t>بدون تغییر</t>
        </is>
      </c>
      <c r="H69" s="25" t="n"/>
      <c r="I69" s="25" t="n"/>
      <c r="J69" s="25" t="n"/>
      <c r="K69" s="25" t="n"/>
      <c r="L69" s="25" t="n"/>
      <c r="M69" s="25" t="n"/>
      <c r="N69" s="25" t="n"/>
      <c r="O69" s="25" t="inlineStr">
        <is>
          <t>جمع‌بندی از رویدادهای کرسی همین شرکت</t>
        </is>
      </c>
      <c r="P69" s="25" t="n"/>
      <c r="Q69" s="25" t="n"/>
      <c r="R69" s="25" t="n"/>
      <c r="S69" s="25" t="inlineStr">
        <is>
          <t>Cutoff ۱۴۰۳/۱۲/۲۹ از اطلاعیه ۱۳۰۶۷۴۰ (۱۴۰۳/۱۱/۲۱) و اصلاحیه ۱۳۰۸۷۴۴ پس از مجمع ۱۴۰۳/۱۱/۱۷ (تعویض کامل اشخاص حقوقی)؛ گزارش FY1404 ص۵۳ تاریخ‌های عضویت را تایید می‌کند.</t>
        </is>
      </c>
      <c r="T69" s="25" t="inlineStr">
        <is>
          <t>Cutoff ۱۴۰۴/۱۲/۲۹ از اطلاعیه ۱۴۱۷۸۵۰ (جلسه ۱۴۰۴/۰۷/۱۹) و گزارش FY1404 ص۵۳؛ تغییرات بعدی (۱۴۰۵/۰۲/۰۱ به بعد) پس از Cutoff است.</t>
        </is>
      </c>
      <c r="U69" s="25" t="inlineStr">
        <is>
          <t>Confirmed</t>
        </is>
      </c>
      <c r="V69" s="25" t="n"/>
    </row>
    <row r="70" ht="29" customHeight="1" s="76">
      <c r="A70" s="23" t="inlineStr">
        <is>
          <t>خودرو</t>
        </is>
      </c>
      <c r="B70" s="23" t="inlineStr">
        <is>
          <t>خودرو</t>
        </is>
      </c>
      <c r="C70" s="23" t="inlineStr">
        <is>
          <t>۱۴۰۴</t>
        </is>
      </c>
      <c r="D70" s="23" t="inlineStr">
        <is>
          <t>تغییر رئیس هیئت مدیره (ستون V؛ ورودی CR1A)</t>
        </is>
      </c>
      <c r="E70" s="23" t="inlineStr">
        <is>
          <t>خیر</t>
        </is>
      </c>
      <c r="F70" s="23" t="inlineStr">
        <is>
          <t>خیر</t>
        </is>
      </c>
      <c r="G70" s="23" t="inlineStr">
        <is>
          <t>بدون تغییر</t>
        </is>
      </c>
      <c r="H70" s="23" t="n"/>
      <c r="I70" s="23" t="n"/>
      <c r="J70" s="23" t="n"/>
      <c r="K70" s="23" t="n"/>
      <c r="L70" s="23" t="n"/>
      <c r="M70" s="23" t="n"/>
      <c r="N70" s="23" t="n"/>
      <c r="O70" s="23" t="inlineStr">
        <is>
          <t>جدول Cutoff</t>
        </is>
      </c>
      <c r="P70" s="23" t="n"/>
      <c r="Q70" s="23" t="n"/>
      <c r="R70" s="23" t="n"/>
      <c r="S70" s="23" t="n"/>
      <c r="T70" s="23" t="n"/>
      <c r="U70" s="23" t="inlineStr">
        <is>
          <t>Confirmed</t>
        </is>
      </c>
      <c r="V70" s="23" t="inlineStr">
        <is>
          <t>CR1A در برگه‌های Audit/معماری بازمحاسبه نشد؛ فقط ستون V ورودی</t>
        </is>
      </c>
    </row>
    <row r="71" ht="43.5" customHeight="1" s="76">
      <c r="A71" s="25" t="inlineStr">
        <is>
          <t>شپدیس</t>
        </is>
      </c>
      <c r="B71" s="25" t="inlineStr">
        <is>
          <t>شپدیس</t>
        </is>
      </c>
      <c r="C71" s="25" t="inlineStr">
        <is>
          <t>۱۴۰۳→۱۴۰۴ (Cutoff 1403/12/29 → 1404/12/29)</t>
        </is>
      </c>
      <c r="D71" s="25" t="inlineStr">
        <is>
          <t>رویداد کرسی</t>
        </is>
      </c>
      <c r="E71" s="25" t="n"/>
      <c r="F71" s="25" t="n"/>
      <c r="G71" s="25" t="inlineStr">
        <is>
          <t>ثبت شد</t>
        </is>
      </c>
      <c r="H71" s="25" t="inlineStr">
        <is>
          <t>عبدالرحیم قنبریان</t>
        </is>
      </c>
      <c r="I71" s="25" t="inlineStr">
        <is>
          <t>عبدالرحیم قنبریان</t>
        </is>
      </c>
      <c r="J71" s="25" t="inlineStr">
        <is>
          <t>گروه گسترش نفت و گاز پارسیان</t>
        </is>
      </c>
      <c r="K71" s="25" t="inlineStr">
        <is>
          <t>عبدالرحیم قنبریان</t>
        </is>
      </c>
      <c r="L71" s="25" t="inlineStr">
        <is>
          <t>عبدالرحیم قنبریان</t>
        </is>
      </c>
      <c r="M71" s="25" t="inlineStr">
        <is>
          <t>بدون تغییر</t>
        </is>
      </c>
      <c r="N71" s="25" t="inlineStr">
        <is>
          <t>—</t>
        </is>
      </c>
      <c r="O71" s="25" t="inlineStr">
        <is>
          <t>معرفی /تغییر در ترکیب اعضای هیئت مدیره/مدیر عامل</t>
        </is>
      </c>
      <c r="P71" s="25" t="inlineStr">
        <is>
          <t>1404/09/05</t>
        </is>
      </c>
      <c r="Q71" s="25" t="inlineStr">
        <is>
          <t>1443721</t>
        </is>
      </c>
      <c r="R71" s="25" t="inlineStr">
        <is>
          <t>https://www.codal.ir/Reports/Decision.aspx?LetterSerial=Lh6dCOOObOOOOOObOOOHmUIfwOOObOOOrvn9DNRQ%3d%3d&amp;rt=0&amp;let=19&amp;ct=0&amp;ft=-1</t>
        </is>
      </c>
      <c r="S71" s="25" t="inlineStr">
        <is>
          <t>Snapshot مبنا: TracingNo 1309386؛ Snapshot پایان: TracingNo 1443721</t>
        </is>
      </c>
      <c r="T71" s="25" t="inlineStr">
        <is>
          <t>Cutoff ۱۴۰۳/۱۲/۲۹ از اطلاعیه ۱۳۰۹۳۸۶ (جلسه ۱۴۰۳/۱۱/۲۹؛ پیش‌تر در آرشیو نبود)؛ تا ۱۴۰۴/۰۳/۱۱ اطلاعیه دیگری نیست.</t>
        </is>
      </c>
      <c r="U71" s="25" t="inlineStr">
        <is>
          <t>Confirmed</t>
        </is>
      </c>
      <c r="V71" s="25" t="inlineStr">
        <is>
          <t>قنبریان از ۱۴۰۳/۱۱/۲۹ جایگزین میری لواسانی (پیش از Cutoff)</t>
        </is>
      </c>
    </row>
    <row r="72" ht="43.5" customHeight="1" s="76">
      <c r="A72" s="23" t="inlineStr">
        <is>
          <t>شپدیس</t>
        </is>
      </c>
      <c r="B72" s="23" t="inlineStr">
        <is>
          <t>شپدیس</t>
        </is>
      </c>
      <c r="C72" s="23" t="inlineStr">
        <is>
          <t>۱۴۰۳→۱۴۰۴ (Cutoff 1403/12/29 → 1404/12/29)</t>
        </is>
      </c>
      <c r="D72" s="23" t="inlineStr">
        <is>
          <t>رویداد کرسی</t>
        </is>
      </c>
      <c r="E72" s="23" t="n"/>
      <c r="F72" s="23" t="n"/>
      <c r="G72" s="23" t="inlineStr">
        <is>
          <t>ثبت شد</t>
        </is>
      </c>
      <c r="H72" s="23" t="inlineStr">
        <is>
          <t>سیدعلی نواب‌فر</t>
        </is>
      </c>
      <c r="I72" s="23" t="inlineStr">
        <is>
          <t>حسین سلاح‌ورزی</t>
        </is>
      </c>
      <c r="J72" s="23" t="inlineStr">
        <is>
          <t>بازرگانی پتروشیمی</t>
        </is>
      </c>
      <c r="K72" s="23" t="inlineStr">
        <is>
          <t>سیدعلی نواب‌فر</t>
        </is>
      </c>
      <c r="L72" s="23" t="inlineStr">
        <is>
          <t>حسین سلاح‌ورزی</t>
        </is>
      </c>
      <c r="M72" s="23" t="inlineStr">
        <is>
          <t>تغییر نماینده حقیقی با شخص حقوقی ثابت</t>
        </is>
      </c>
      <c r="N72" s="23" t="inlineStr">
        <is>
          <t>1404/09/05</t>
        </is>
      </c>
      <c r="O72" s="23" t="inlineStr">
        <is>
          <t>معرفی /تغییر در ترکیب اعضای هیئت مدیره/مدیر عامل</t>
        </is>
      </c>
      <c r="P72" s="23" t="inlineStr">
        <is>
          <t>1404/09/05</t>
        </is>
      </c>
      <c r="Q72" s="23" t="inlineStr">
        <is>
          <t>1443721</t>
        </is>
      </c>
      <c r="R72" s="23" t="inlineStr">
        <is>
          <t>https://www.codal.ir/Reports/Decision.aspx?LetterSerial=Lh6dCOOObOOOOOObOOOHmUIfwOOObOOOrvn9DNRQ%3d%3d&amp;rt=0&amp;let=19&amp;ct=0&amp;ft=-1</t>
        </is>
      </c>
      <c r="S72" s="23" t="inlineStr">
        <is>
          <t>Snapshot مبنا: TracingNo 1309386؛ Snapshot پایان: TracingNo 1443721</t>
        </is>
      </c>
      <c r="T72" s="23" t="inlineStr">
        <is>
          <t>زنجیره: نواب‌فر→سعید کاردار (۱۴۰۴/۰۳/۱۱)→سلاح‌ورزی (۱۴۰۴/۰۹/۰۵)</t>
        </is>
      </c>
      <c r="U72" s="23" t="inlineStr">
        <is>
          <t>Confirmed</t>
        </is>
      </c>
      <c r="V72" s="23" t="inlineStr">
        <is>
          <t>کاردار عضو میانی است و در هیچ‌یک از دو Cutoff حضور ندارد</t>
        </is>
      </c>
    </row>
    <row r="73" ht="43.5" customHeight="1" s="76">
      <c r="A73" s="25" t="inlineStr">
        <is>
          <t>شپدیس</t>
        </is>
      </c>
      <c r="B73" s="25" t="inlineStr">
        <is>
          <t>شپدیس</t>
        </is>
      </c>
      <c r="C73" s="25" t="inlineStr">
        <is>
          <t>۱۴۰۳→۱۴۰۴ (Cutoff 1403/12/29 → 1404/12/29)</t>
        </is>
      </c>
      <c r="D73" s="25" t="inlineStr">
        <is>
          <t>رویداد کرسی</t>
        </is>
      </c>
      <c r="E73" s="25" t="n"/>
      <c r="F73" s="25" t="n"/>
      <c r="G73" s="25" t="inlineStr">
        <is>
          <t>ثبت شد</t>
        </is>
      </c>
      <c r="H73" s="25" t="inlineStr">
        <is>
          <t>هوشنگ گودرزی</t>
        </is>
      </c>
      <c r="I73" s="25" t="inlineStr">
        <is>
          <t>هوشنگ گودرزی</t>
        </is>
      </c>
      <c r="J73" s="25" t="inlineStr">
        <is>
          <t>خدمات مدیریت هامون سپاهان</t>
        </is>
      </c>
      <c r="K73" s="25" t="inlineStr">
        <is>
          <t>هوشنگ گودرزی</t>
        </is>
      </c>
      <c r="L73" s="25" t="inlineStr">
        <is>
          <t>هوشنگ گودرزی</t>
        </is>
      </c>
      <c r="M73" s="25" t="inlineStr">
        <is>
          <t>تغییر سمت فقط (Turnover نیست)</t>
        </is>
      </c>
      <c r="N73" s="25" t="inlineStr">
        <is>
          <t>1404/08/17</t>
        </is>
      </c>
      <c r="O73" s="25" t="inlineStr">
        <is>
          <t>معرفی /تغییر در ترکیب اعضای هیئت مدیره/مدیر عامل</t>
        </is>
      </c>
      <c r="P73" s="25" t="inlineStr">
        <is>
          <t>1404/08/17</t>
        </is>
      </c>
      <c r="Q73" s="25" t="inlineStr">
        <is>
          <t>1433411</t>
        </is>
      </c>
      <c r="R73" s="25" t="inlineStr">
        <is>
          <t>https://www.codal.ir/Reports/Decision.aspx?LetterSerial=wdvkPalLR21S83nLTXWEcA%3d%3d&amp;rt=0&amp;let=19&amp;ct=0&amp;ft=-1</t>
        </is>
      </c>
      <c r="S73" s="25" t="inlineStr">
        <is>
          <t>Snapshot مبنا: TracingNo 1309386؛ Snapshot پایان: TracingNo 1443721</t>
        </is>
      </c>
      <c r="T73" s="25" t="inlineStr">
        <is>
          <t>تغییر سمت (رئیس→عضو)</t>
        </is>
      </c>
      <c r="U73" s="25" t="inlineStr">
        <is>
          <t>Confirmed</t>
        </is>
      </c>
      <c r="V73" s="25" t="n"/>
    </row>
    <row r="74" ht="43.5" customHeight="1" s="76">
      <c r="A74" s="23" t="inlineStr">
        <is>
          <t>شپدیس</t>
        </is>
      </c>
      <c r="B74" s="23" t="inlineStr">
        <is>
          <t>شپدیس</t>
        </is>
      </c>
      <c r="C74" s="23" t="inlineStr">
        <is>
          <t>۱۴۰۳→۱۴۰۴ (Cutoff 1403/12/29 → 1404/12/29)</t>
        </is>
      </c>
      <c r="D74" s="23" t="inlineStr">
        <is>
          <t>رویداد کرسی</t>
        </is>
      </c>
      <c r="E74" s="23" t="n"/>
      <c r="F74" s="23" t="n"/>
      <c r="G74" s="23" t="inlineStr">
        <is>
          <t>ثبت شد</t>
        </is>
      </c>
      <c r="H74" s="23" t="inlineStr">
        <is>
          <t>— (کرسی بدون نماینده)</t>
        </is>
      </c>
      <c r="I74" s="23" t="inlineStr">
        <is>
          <t>حسن شاه‌ولدی</t>
        </is>
      </c>
      <c r="J74" s="23" t="inlineStr">
        <is>
          <t>سرمایه‌گذاری هامون سپاهان</t>
        </is>
      </c>
      <c r="K74" s="23" t="inlineStr">
        <is>
          <t>— (کرسی بدون نماینده)</t>
        </is>
      </c>
      <c r="L74" s="23" t="inlineStr">
        <is>
          <t>حسن شاه‌ولدی</t>
        </is>
      </c>
      <c r="M74" s="23" t="inlineStr">
        <is>
          <t>ورود در کرسی خالی (غیرقابل مقایسه؛ عضو جدید)</t>
        </is>
      </c>
      <c r="N74" s="23" t="inlineStr">
        <is>
          <t>1404/08/17</t>
        </is>
      </c>
      <c r="O74" s="23" t="inlineStr">
        <is>
          <t>معرفی /تغییر در ترکیب اعضای هیئت مدیره/مدیر عامل</t>
        </is>
      </c>
      <c r="P74" s="23" t="inlineStr">
        <is>
          <t>1404/08/17</t>
        </is>
      </c>
      <c r="Q74" s="23" t="inlineStr">
        <is>
          <t>1433411</t>
        </is>
      </c>
      <c r="R74" s="23" t="inlineStr">
        <is>
          <t>https://www.codal.ir/Reports/Decision.aspx?LetterSerial=wdvkPalLR21S83nLTXWEcA%3d%3d&amp;rt=0&amp;let=19&amp;ct=0&amp;ft=-1</t>
        </is>
      </c>
      <c r="S74" s="23" t="inlineStr">
        <is>
          <t>Snapshot مبنا: TracingNo 1309386؛ Snapshot پایان: TracingNo 1443721</t>
        </is>
      </c>
      <c r="T74" s="23" t="inlineStr">
        <is>
          <t>جلسه ۱۴۰۴/۰۸/۱۷ (اطلاعیه ۱۴۳۳۴۱۱)</t>
        </is>
      </c>
      <c r="U74" s="23" t="inlineStr">
        <is>
          <t>Confirmed</t>
        </is>
      </c>
      <c r="V74" s="23" t="inlineStr">
        <is>
          <t>اکبر جعفری در ۱۴۰۳/۱۱/۲۹ حذف شد؛ کرسی تا ۱۴۰۴/۰۸/۱۷ بدون نماینده؛ ورود شاه‌ولدی (رئیس)</t>
        </is>
      </c>
    </row>
    <row r="75" ht="43.5" customHeight="1" s="76">
      <c r="A75" s="25" t="inlineStr">
        <is>
          <t>شپدیس</t>
        </is>
      </c>
      <c r="B75" s="25" t="inlineStr">
        <is>
          <t>شپدیس</t>
        </is>
      </c>
      <c r="C75" s="25" t="inlineStr">
        <is>
          <t>۱۴۰۳→۱۴۰۴ (Cutoff 1403/12/29 → 1404/12/29)</t>
        </is>
      </c>
      <c r="D75" s="25" t="inlineStr">
        <is>
          <t>رویداد کرسی</t>
        </is>
      </c>
      <c r="E75" s="25" t="n"/>
      <c r="F75" s="25" t="n"/>
      <c r="G75" s="25" t="inlineStr">
        <is>
          <t>ثبت شد</t>
        </is>
      </c>
      <c r="H75" s="25" t="inlineStr">
        <is>
          <t>محمدعلی سلیمانی</t>
        </is>
      </c>
      <c r="I75" s="25" t="inlineStr">
        <is>
          <t>محمدعلی سلیمانی</t>
        </is>
      </c>
      <c r="J75" s="25" t="inlineStr">
        <is>
          <t>بازرگانی و تجارت هامون سپاهان</t>
        </is>
      </c>
      <c r="K75" s="25" t="inlineStr">
        <is>
          <t>محمدعلی سلیمانی</t>
        </is>
      </c>
      <c r="L75" s="25" t="inlineStr">
        <is>
          <t>محمدعلی سلیمانی</t>
        </is>
      </c>
      <c r="M75" s="25" t="inlineStr">
        <is>
          <t>بدون تغییر</t>
        </is>
      </c>
      <c r="N75" s="25" t="inlineStr">
        <is>
          <t>—</t>
        </is>
      </c>
      <c r="O75" s="25" t="inlineStr">
        <is>
          <t>معرفی /تغییر در ترکیب اعضای هیئت مدیره/مدیر عامل</t>
        </is>
      </c>
      <c r="P75" s="25" t="inlineStr">
        <is>
          <t>1404/09/05</t>
        </is>
      </c>
      <c r="Q75" s="25" t="inlineStr">
        <is>
          <t>1443721</t>
        </is>
      </c>
      <c r="R75" s="25" t="inlineStr">
        <is>
          <t>https://www.codal.ir/Reports/Decision.aspx?LetterSerial=Lh6dCOOObOOOOOObOOOHmUIfwOOObOOOrvn9DNRQ%3d%3d&amp;rt=0&amp;let=19&amp;ct=0&amp;ft=-1</t>
        </is>
      </c>
      <c r="S75" s="25" t="inlineStr">
        <is>
          <t>Snapshot مبنا: TracingNo 1309386؛ Snapshot پایان: TracingNo 1443721</t>
        </is>
      </c>
      <c r="T75" s="25" t="inlineStr">
        <is>
          <t>Cutoff ۱۴۰۳/۱۲/۲۹ از اطلاعیه ۱۳۰۹۳۸۶ (جلسه ۱۴۰۳/۱۱/۲۹؛ پیش‌تر در آرشیو نبود)؛ تا ۱۴۰۴/۰۳/۱۱ اطلاعیه دیگری نیست.</t>
        </is>
      </c>
      <c r="U75" s="25" t="inlineStr">
        <is>
          <t>Confirmed</t>
        </is>
      </c>
      <c r="V75" s="25" t="inlineStr">
        <is>
          <t>سلیمانی از ۱۴۰۳/۱۱/۲۹ (جایگزین ایجازی) پیش از Cutoff</t>
        </is>
      </c>
    </row>
    <row r="76" ht="43.5" customHeight="1" s="76">
      <c r="A76" s="23" t="inlineStr">
        <is>
          <t>شپدیس</t>
        </is>
      </c>
      <c r="B76" s="23" t="inlineStr">
        <is>
          <t>شپدیس</t>
        </is>
      </c>
      <c r="C76" s="23" t="inlineStr">
        <is>
          <t>۱۴۰۴</t>
        </is>
      </c>
      <c r="D76" s="23" t="inlineStr">
        <is>
          <t>REF05 گردش شخص حقیقی (G/H)</t>
        </is>
      </c>
      <c r="E76" s="23" t="inlineStr">
        <is>
          <t>Missing/N/A</t>
        </is>
      </c>
      <c r="F76" s="23" t="inlineStr">
        <is>
          <t>1/4</t>
        </is>
      </c>
      <c r="G76" s="23" t="inlineStr">
        <is>
          <t>اصلاح شد</t>
        </is>
      </c>
      <c r="H76" s="23" t="n"/>
      <c r="I76" s="23" t="n"/>
      <c r="J76" s="23" t="n"/>
      <c r="K76" s="23" t="n"/>
      <c r="L76" s="23" t="n"/>
      <c r="M76" s="23" t="n"/>
      <c r="N76" s="23" t="n"/>
      <c r="O76" s="23" t="inlineStr">
        <is>
          <t>جمع‌بندی از رویدادهای کرسی همین شرکت</t>
        </is>
      </c>
      <c r="P76" s="23" t="n"/>
      <c r="Q76" s="23" t="n"/>
      <c r="R76" s="23" t="n"/>
      <c r="S76" s="23" t="inlineStr">
        <is>
          <t>Cutoff ۱۴۰۳/۱۲/۲۹ از اطلاعیه ۱۳۰۹۳۸۶ (جلسه ۱۴۰۳/۱۱/۲۹؛ پیش‌تر در آرشیو نبود)؛ تا ۱۴۰۴/۰۳/۱۱ اطلاعیه دیگری نیست.</t>
        </is>
      </c>
      <c r="T76" s="23" t="inlineStr">
        <is>
          <t>Cutoff ۱۴۰۴/۱۲/۲۹ از اطلاعیه ۱۴۴۳۷۲۱ (جلسه ۱۴۰۴/۰۹/۰۵)؛ بعدی ۱۵۶۳۳۴۲ جلسه ۱۴۰۵/۰۴/۲۰ پس از Cutoff است.</t>
        </is>
      </c>
      <c r="U76" s="23" t="inlineStr">
        <is>
          <t>Confirmed</t>
        </is>
      </c>
      <c r="V76" s="23" t="n"/>
    </row>
    <row r="77" ht="43.5" customHeight="1" s="76">
      <c r="A77" s="25" t="inlineStr">
        <is>
          <t>شپدیس</t>
        </is>
      </c>
      <c r="B77" s="25" t="inlineStr">
        <is>
          <t>شپدیس</t>
        </is>
      </c>
      <c r="C77" s="25" t="inlineStr">
        <is>
          <t>۱۴۰۴</t>
        </is>
      </c>
      <c r="D77" s="25" t="inlineStr">
        <is>
          <t>REF08 تغییر نماینده با شخص حقوقی ثابت (J/K)</t>
        </is>
      </c>
      <c r="E77" s="25" t="inlineStr">
        <is>
          <t>Missing/N/A</t>
        </is>
      </c>
      <c r="F77" s="25" t="inlineStr">
        <is>
          <t>1/4</t>
        </is>
      </c>
      <c r="G77" s="25" t="inlineStr">
        <is>
          <t>اصلاح شد</t>
        </is>
      </c>
      <c r="H77" s="25" t="n"/>
      <c r="I77" s="25" t="n"/>
      <c r="J77" s="25" t="n"/>
      <c r="K77" s="25" t="n"/>
      <c r="L77" s="25" t="n"/>
      <c r="M77" s="25" t="n"/>
      <c r="N77" s="25" t="n"/>
      <c r="O77" s="25" t="inlineStr">
        <is>
          <t>جمع‌بندی از رویدادهای کرسی همین شرکت</t>
        </is>
      </c>
      <c r="P77" s="25" t="n"/>
      <c r="Q77" s="25" t="n"/>
      <c r="R77" s="25" t="n"/>
      <c r="S77" s="25" t="inlineStr">
        <is>
          <t>Cutoff ۱۴۰۳/۱۲/۲۹ از اطلاعیه ۱۳۰۹۳۸۶ (جلسه ۱۴۰۳/۱۱/۲۹؛ پیش‌تر در آرشیو نبود)؛ تا ۱۴۰۴/۰۳/۱۱ اطلاعیه دیگری نیست.</t>
        </is>
      </c>
      <c r="T77" s="25" t="inlineStr">
        <is>
          <t>Cutoff ۱۴۰۴/۱۲/۲۹ از اطلاعیه ۱۴۴۳۷۲۱ (جلسه ۱۴۰۴/۰۹/۰۵)؛ بعدی ۱۵۶۳۳۴۲ جلسه ۱۴۰۵/۰۴/۲۰ پس از Cutoff است.</t>
        </is>
      </c>
      <c r="U77" s="25" t="inlineStr">
        <is>
          <t>Confirmed</t>
        </is>
      </c>
      <c r="V77" s="25" t="n"/>
    </row>
    <row r="78" ht="43.5" customHeight="1" s="76">
      <c r="A78" s="23" t="inlineStr">
        <is>
          <t>شپدیس</t>
        </is>
      </c>
      <c r="B78" s="23" t="inlineStr">
        <is>
          <t>شپدیس</t>
        </is>
      </c>
      <c r="C78" s="23" t="inlineStr">
        <is>
          <t>۱۴۰۴</t>
        </is>
      </c>
      <c r="D78" s="23" t="inlineStr">
        <is>
          <t>ROB_LEGAL تغییر شخص حقوقی (M/N)</t>
        </is>
      </c>
      <c r="E78" s="23" t="inlineStr">
        <is>
          <t>Missing/N/A</t>
        </is>
      </c>
      <c r="F78" s="23" t="inlineStr">
        <is>
          <t>0/5</t>
        </is>
      </c>
      <c r="G78" s="23" t="inlineStr">
        <is>
          <t>اصلاح شد</t>
        </is>
      </c>
      <c r="H78" s="23" t="n"/>
      <c r="I78" s="23" t="n"/>
      <c r="J78" s="23" t="n"/>
      <c r="K78" s="23" t="n"/>
      <c r="L78" s="23" t="n"/>
      <c r="M78" s="23" t="n"/>
      <c r="N78" s="23" t="n"/>
      <c r="O78" s="23" t="inlineStr">
        <is>
          <t>جمع‌بندی از رویدادهای کرسی همین شرکت</t>
        </is>
      </c>
      <c r="P78" s="23" t="n"/>
      <c r="Q78" s="23" t="n"/>
      <c r="R78" s="23" t="n"/>
      <c r="S78" s="23" t="inlineStr">
        <is>
          <t>Cutoff ۱۴۰۳/۱۲/۲۹ از اطلاعیه ۱۳۰۹۳۸۶ (جلسه ۱۴۰۳/۱۱/۲۹؛ پیش‌تر در آرشیو نبود)؛ تا ۱۴۰۴/۰۳/۱۱ اطلاعیه دیگری نیست.</t>
        </is>
      </c>
      <c r="T78" s="23" t="inlineStr">
        <is>
          <t>Cutoff ۱۴۰۴/۱۲/۲۹ از اطلاعیه ۱۴۴۳۷۲۱ (جلسه ۱۴۰۴/۰۹/۰۵)؛ بعدی ۱۵۶۳۳۴۲ جلسه ۱۴۰۵/۰۴/۲۰ پس از Cutoff است.</t>
        </is>
      </c>
      <c r="U78" s="23" t="inlineStr">
        <is>
          <t>Confirmed</t>
        </is>
      </c>
      <c r="V78" s="23" t="n"/>
    </row>
    <row r="79" ht="43.5" customHeight="1" s="76">
      <c r="A79" s="25" t="inlineStr">
        <is>
          <t>شپدیس</t>
        </is>
      </c>
      <c r="B79" s="25" t="inlineStr">
        <is>
          <t>شپدیس</t>
        </is>
      </c>
      <c r="C79" s="25" t="inlineStr">
        <is>
          <t>۱۴۰۴</t>
        </is>
      </c>
      <c r="D79" s="25" t="inlineStr">
        <is>
          <t>ROB_NEW عضو جدید (P/Q)</t>
        </is>
      </c>
      <c r="E79" s="25" t="inlineStr">
        <is>
          <t>Missing/N/A</t>
        </is>
      </c>
      <c r="F79" s="25" t="inlineStr">
        <is>
          <t>2/5</t>
        </is>
      </c>
      <c r="G79" s="25" t="inlineStr">
        <is>
          <t>اصلاح شد</t>
        </is>
      </c>
      <c r="H79" s="25" t="n"/>
      <c r="I79" s="25" t="n"/>
      <c r="J79" s="25" t="n"/>
      <c r="K79" s="25" t="n"/>
      <c r="L79" s="25" t="n"/>
      <c r="M79" s="25" t="n"/>
      <c r="N79" s="25" t="n"/>
      <c r="O79" s="25" t="inlineStr">
        <is>
          <t>جمع‌بندی از رویدادهای کرسی همین شرکت</t>
        </is>
      </c>
      <c r="P79" s="25" t="n"/>
      <c r="Q79" s="25" t="n"/>
      <c r="R79" s="25" t="n"/>
      <c r="S79" s="25" t="inlineStr">
        <is>
          <t>Cutoff ۱۴۰۳/۱۲/۲۹ از اطلاعیه ۱۳۰۹۳۸۶ (جلسه ۱۴۰۳/۱۱/۲۹؛ پیش‌تر در آرشیو نبود)؛ تا ۱۴۰۴/۰۳/۱۱ اطلاعیه دیگری نیست.</t>
        </is>
      </c>
      <c r="T79" s="25" t="inlineStr">
        <is>
          <t>Cutoff ۱۴۰۴/۱۲/۲۹ از اطلاعیه ۱۴۴۳۷۲۱ (جلسه ۱۴۰۴/۰۹/۰۵)؛ بعدی ۱۵۶۳۳۴۲ جلسه ۱۴۰۵/۰۴/۲۰ پس از Cutoff است.</t>
        </is>
      </c>
      <c r="U79" s="25" t="inlineStr">
        <is>
          <t>Confirmed</t>
        </is>
      </c>
      <c r="V79" s="25" t="n"/>
    </row>
    <row r="80" ht="43.5" customHeight="1" s="76">
      <c r="A80" s="23" t="inlineStr">
        <is>
          <t>شپدیس</t>
        </is>
      </c>
      <c r="B80" s="23" t="inlineStr">
        <is>
          <t>شپدیس</t>
        </is>
      </c>
      <c r="C80" s="23" t="inlineStr">
        <is>
          <t>۱۴۰۴</t>
        </is>
      </c>
      <c r="D80" s="23" t="inlineStr">
        <is>
          <t>ROB_STABILITY ثبات (S/T)</t>
        </is>
      </c>
      <c r="E80" s="23" t="inlineStr">
        <is>
          <t>Missing/N/A</t>
        </is>
      </c>
      <c r="F80" s="23" t="inlineStr">
        <is>
          <t>3/4</t>
        </is>
      </c>
      <c r="G80" s="23" t="inlineStr">
        <is>
          <t>اصلاح شد</t>
        </is>
      </c>
      <c r="H80" s="23" t="n"/>
      <c r="I80" s="23" t="n"/>
      <c r="J80" s="23" t="n"/>
      <c r="K80" s="23" t="n"/>
      <c r="L80" s="23" t="n"/>
      <c r="M80" s="23" t="n"/>
      <c r="N80" s="23" t="n"/>
      <c r="O80" s="23" t="inlineStr">
        <is>
          <t>جمع‌بندی از رویدادهای کرسی همین شرکت</t>
        </is>
      </c>
      <c r="P80" s="23" t="n"/>
      <c r="Q80" s="23" t="n"/>
      <c r="R80" s="23" t="n"/>
      <c r="S80" s="23" t="inlineStr">
        <is>
          <t>Cutoff ۱۴۰۳/۱۲/۲۹ از اطلاعیه ۱۳۰۹۳۸۶ (جلسه ۱۴۰۳/۱۱/۲۹؛ پیش‌تر در آرشیو نبود)؛ تا ۱۴۰۴/۰۳/۱۱ اطلاعیه دیگری نیست.</t>
        </is>
      </c>
      <c r="T80" s="23" t="inlineStr">
        <is>
          <t>Cutoff ۱۴۰۴/۱۲/۲۹ از اطلاعیه ۱۴۴۳۷۲۱ (جلسه ۱۴۰۴/۰۹/۰۵)؛ بعدی ۱۵۶۳۳۴۲ جلسه ۱۴۰۵/۰۴/۲۰ پس از Cutoff است.</t>
        </is>
      </c>
      <c r="U80" s="23" t="inlineStr">
        <is>
          <t>Confirmed</t>
        </is>
      </c>
      <c r="V80" s="23" t="n"/>
    </row>
    <row r="81" ht="29" customHeight="1" s="76">
      <c r="A81" s="25" t="inlineStr">
        <is>
          <t>شپدیس</t>
        </is>
      </c>
      <c r="B81" s="25" t="inlineStr">
        <is>
          <t>شپدیس</t>
        </is>
      </c>
      <c r="C81" s="25" t="inlineStr">
        <is>
          <t>۱۴۰۴</t>
        </is>
      </c>
      <c r="D81" s="25" t="inlineStr">
        <is>
          <t>تغییر رئیس هیئت مدیره (ستون V؛ ورودی CR1A)</t>
        </is>
      </c>
      <c r="E81" s="25" t="inlineStr">
        <is>
          <t>نامشخص</t>
        </is>
      </c>
      <c r="F81" s="25" t="inlineStr">
        <is>
          <t>بله</t>
        </is>
      </c>
      <c r="G81" s="25" t="inlineStr">
        <is>
          <t>اصلاح شد</t>
        </is>
      </c>
      <c r="H81" s="25" t="n"/>
      <c r="I81" s="25" t="n"/>
      <c r="J81" s="25" t="n"/>
      <c r="K81" s="25" t="n"/>
      <c r="L81" s="25" t="n"/>
      <c r="M81" s="25" t="n"/>
      <c r="N81" s="25" t="n"/>
      <c r="O81" s="25" t="inlineStr">
        <is>
          <t>جدول Cutoff</t>
        </is>
      </c>
      <c r="P81" s="25" t="n"/>
      <c r="Q81" s="25" t="n"/>
      <c r="R81" s="25" t="n"/>
      <c r="S81" s="25" t="n"/>
      <c r="T81" s="25" t="n"/>
      <c r="U81" s="25" t="inlineStr">
        <is>
          <t>Confirmed</t>
        </is>
      </c>
      <c r="V81" s="25" t="inlineStr">
        <is>
          <t>CR1A در برگه‌های Audit/معماری بازمحاسبه نشد؛ فقط ستون V ورودی</t>
        </is>
      </c>
    </row>
    <row r="82" ht="43.5" customHeight="1" s="76">
      <c r="A82" s="23" t="inlineStr">
        <is>
          <t>شپدیس</t>
        </is>
      </c>
      <c r="B82" s="23" t="inlineStr">
        <is>
          <t>شپدیس</t>
        </is>
      </c>
      <c r="C82" s="23" t="inlineStr">
        <is>
          <t>۱۴۰۴</t>
        </is>
      </c>
      <c r="D82" s="23" t="inlineStr">
        <is>
          <t>ساختار حقوقی/واجدیت</t>
        </is>
      </c>
      <c r="E82" s="23" t="inlineStr">
        <is>
          <t>F=خیر, E=خیر</t>
        </is>
      </c>
      <c r="F82" s="23" t="inlineStr">
        <is>
          <t>F=بله, E=بله</t>
        </is>
      </c>
      <c r="G82" s="23" t="inlineStr">
        <is>
          <t>اصلاح شد</t>
        </is>
      </c>
      <c r="H82" s="23" t="n"/>
      <c r="I82" s="23" t="n"/>
      <c r="J82" s="23" t="n"/>
      <c r="K82" s="23" t="n"/>
      <c r="L82" s="23" t="n"/>
      <c r="M82" s="23" t="n"/>
      <c r="N82" s="23" t="n"/>
      <c r="O82" s="23" t="n"/>
      <c r="P82" s="23" t="n"/>
      <c r="Q82" s="23" t="n"/>
      <c r="R82" s="23" t="n"/>
      <c r="S82" s="23" t="inlineStr">
        <is>
          <t>Cutoff ۱۴۰۳/۱۲/۲۹ از اطلاعیه ۱۳۰۹۳۸۶ (جلسه ۱۴۰۳/۱۱/۲۹؛ پیش‌تر در آرشیو نبود)؛ تا ۱۴۰۴/۰۳/۱۱ اطلاعیه دیگری نیست.</t>
        </is>
      </c>
      <c r="T82" s="23" t="n"/>
      <c r="U82" s="23" t="inlineStr">
        <is>
          <t>Confirmed</t>
        </is>
      </c>
      <c r="V82" s="23" t="n"/>
    </row>
    <row r="83" ht="43.5" customHeight="1" s="76">
      <c r="A83" s="25" t="inlineStr">
        <is>
          <t>وتجارت</t>
        </is>
      </c>
      <c r="B83" s="25" t="inlineStr">
        <is>
          <t>وتجارت</t>
        </is>
      </c>
      <c r="C83" s="25" t="inlineStr">
        <is>
          <t>۱۴۰۳→۱۴۰۴ (Cutoff 1403/12/29 → 1404/12/29)</t>
        </is>
      </c>
      <c r="D83" s="25" t="inlineStr">
        <is>
          <t>رویداد کرسی</t>
        </is>
      </c>
      <c r="E83" s="25" t="n"/>
      <c r="F83" s="25" t="n"/>
      <c r="G83" s="25" t="inlineStr">
        <is>
          <t>ثبت شد</t>
        </is>
      </c>
      <c r="H83" s="25" t="inlineStr">
        <is>
          <t>علی کی‌لانی</t>
        </is>
      </c>
      <c r="I83" s="25" t="inlineStr">
        <is>
          <t>علی کی‌لانی</t>
        </is>
      </c>
      <c r="J83" s="25" t="inlineStr">
        <is>
          <t>— (عضو حقیقی مستقیم)</t>
        </is>
      </c>
      <c r="K83" s="25" t="n"/>
      <c r="L83" s="25" t="n"/>
      <c r="M83" s="25" t="inlineStr">
        <is>
          <t>بدون تغییر</t>
        </is>
      </c>
      <c r="N83" s="25" t="inlineStr">
        <is>
          <t>—</t>
        </is>
      </c>
      <c r="O83" s="25" t="inlineStr">
        <is>
          <t>معرفی /تغییر در ترکیب اعضای هیئت مدیره/مدیر عامل(اصلاحیه)</t>
        </is>
      </c>
      <c r="P83" s="25" t="inlineStr">
        <is>
          <t>1404/09/15</t>
        </is>
      </c>
      <c r="Q83" s="25" t="inlineStr">
        <is>
          <t>1444154</t>
        </is>
      </c>
      <c r="R83" s="25" t="inlineStr">
        <is>
          <t>https://www.codal.ir/Reports/Decision.aspx?LetterSerial=tL1npzfj3XSDR4oEqs1VIw%3d%3d&amp;rt=3&amp;let=19&amp;ct=0&amp;ft=-1</t>
        </is>
      </c>
      <c r="S83" s="25" t="inlineStr">
        <is>
          <t>Snapshot مبنا: TracingNo 1159936؛ Snapshot پایان: TracingNo 1444154</t>
        </is>
      </c>
      <c r="T83" s="25" t="inlineStr">
        <is>
          <t>Cutoff ۱۴۰۳/۱۲/۲۹: ۵ عضو حقیقی مستقیم (اطلاعیه ۱۱۵۹۹۳۶؛ AGM FY1403 اطلاعیه ۱۳۸۵۲۵۳: «آخرین اعضا در سال مالی»).</t>
        </is>
      </c>
      <c r="U83" s="25" t="inlineStr">
        <is>
          <t>Needs Review</t>
        </is>
      </c>
      <c r="V83" s="25" t="inlineStr">
        <is>
          <t>عضو از ۱۴۰۰/۱۱/۰۹</t>
        </is>
      </c>
    </row>
    <row r="84" ht="58" customHeight="1" s="76">
      <c r="A84" s="23" t="inlineStr">
        <is>
          <t>وتجارت</t>
        </is>
      </c>
      <c r="B84" s="23" t="inlineStr">
        <is>
          <t>وتجارت</t>
        </is>
      </c>
      <c r="C84" s="23" t="inlineStr">
        <is>
          <t>۱۴۰۳→۱۴۰۴ (Cutoff 1403/12/29 → 1404/12/29)</t>
        </is>
      </c>
      <c r="D84" s="23" t="inlineStr">
        <is>
          <t>رویداد کرسی</t>
        </is>
      </c>
      <c r="E84" s="23" t="n"/>
      <c r="F84" s="23" t="n"/>
      <c r="G84" s="23" t="inlineStr">
        <is>
          <t>ثبت شد</t>
        </is>
      </c>
      <c r="H84" s="23" t="inlineStr">
        <is>
          <t>مرتضی ترک‌تبریزی</t>
        </is>
      </c>
      <c r="I84" s="23" t="inlineStr">
        <is>
          <t>مرتضی ترک‌تبریزی</t>
        </is>
      </c>
      <c r="J84" s="23" t="inlineStr">
        <is>
          <t>— (عضو حقیقی مستقیم)</t>
        </is>
      </c>
      <c r="K84" s="23" t="n"/>
      <c r="L84" s="23" t="n"/>
      <c r="M84" s="23" t="inlineStr">
        <is>
          <t>بدون تغییر</t>
        </is>
      </c>
      <c r="N84" s="23" t="inlineStr">
        <is>
          <t>—</t>
        </is>
      </c>
      <c r="O84" s="23" t="inlineStr">
        <is>
          <t>معرفی /تغییر در ترکیب اعضای هیئت مدیره/مدیر عامل(اصلاحیه)</t>
        </is>
      </c>
      <c r="P84" s="23" t="inlineStr">
        <is>
          <t>1404/09/15</t>
        </is>
      </c>
      <c r="Q84" s="23" t="inlineStr">
        <is>
          <t>1444154</t>
        </is>
      </c>
      <c r="R84" s="23" t="inlineStr">
        <is>
          <t>https://www.codal.ir/Reports/Decision.aspx?LetterSerial=tL1npzfj3XSDR4oEqs1VIw%3d%3d&amp;rt=3&amp;let=19&amp;ct=0&amp;ft=-1</t>
        </is>
      </c>
      <c r="S84" s="23" t="inlineStr">
        <is>
          <t>Snapshot مبنا: TracingNo 1159936؛ Snapshot پایان: TracingNo 1444154</t>
        </is>
      </c>
      <c r="T84" s="23" t="inlineStr">
        <is>
          <t>Cutoff ۱۴۰۳/۱۲/۲۹: ۵ عضو حقیقی مستقیم (اطلاعیه ۱۱۵۹۹۳۶؛ AGM FY1403 اطلاعیه ۱۳۸۵۲۵۳: «آخرین اعضا در سال مالی»).</t>
        </is>
      </c>
      <c r="U84" s="23" t="inlineStr">
        <is>
          <t>Needs Review</t>
        </is>
      </c>
      <c r="V84" s="23" t="inlineStr">
        <is>
          <t>عضویت پیوسته از ۱۳۹۸/۱۲/۱۴ (اطلاعیه ۶۱۵۲۴۸) و رئیس از ۱۴۰۱/۱۲/۲۵؛ «آخرین مشاهده ۱۴۰۱/۱۲/۲۵» نادرست است: او در FY1403 و FY1404 عضو بود</t>
        </is>
      </c>
    </row>
    <row r="85" ht="43.5" customHeight="1" s="76">
      <c r="A85" s="25" t="inlineStr">
        <is>
          <t>وتجارت</t>
        </is>
      </c>
      <c r="B85" s="25" t="inlineStr">
        <is>
          <t>وتجارت</t>
        </is>
      </c>
      <c r="C85" s="25" t="inlineStr">
        <is>
          <t>۱۴۰۳→۱۴۰۴ (Cutoff 1403/12/29 → 1404/12/29)</t>
        </is>
      </c>
      <c r="D85" s="25" t="inlineStr">
        <is>
          <t>رویداد کرسی</t>
        </is>
      </c>
      <c r="E85" s="25" t="n"/>
      <c r="F85" s="25" t="n"/>
      <c r="G85" s="25" t="inlineStr">
        <is>
          <t>ثبت شد</t>
        </is>
      </c>
      <c r="H85" s="25" t="inlineStr">
        <is>
          <t>هادی اخلاقی فیض‌آثار</t>
        </is>
      </c>
      <c r="I85" s="25" t="inlineStr">
        <is>
          <t>هادی اخلاقی فیض‌آثار</t>
        </is>
      </c>
      <c r="J85" s="25" t="inlineStr">
        <is>
          <t>— (عضو حقیقی مستقیم)</t>
        </is>
      </c>
      <c r="K85" s="25" t="n"/>
      <c r="L85" s="25" t="n"/>
      <c r="M85" s="25" t="inlineStr">
        <is>
          <t>بدون تغییر</t>
        </is>
      </c>
      <c r="N85" s="25" t="inlineStr">
        <is>
          <t>—</t>
        </is>
      </c>
      <c r="O85" s="25" t="inlineStr">
        <is>
          <t>معرفی /تغییر در ترکیب اعضای هیئت مدیره/مدیر عامل(اصلاحیه)</t>
        </is>
      </c>
      <c r="P85" s="25" t="inlineStr">
        <is>
          <t>1404/09/15</t>
        </is>
      </c>
      <c r="Q85" s="25" t="inlineStr">
        <is>
          <t>1444154</t>
        </is>
      </c>
      <c r="R85" s="25" t="inlineStr">
        <is>
          <t>https://www.codal.ir/Reports/Decision.aspx?LetterSerial=tL1npzfj3XSDR4oEqs1VIw%3d%3d&amp;rt=3&amp;let=19&amp;ct=0&amp;ft=-1</t>
        </is>
      </c>
      <c r="S85" s="25" t="inlineStr">
        <is>
          <t>Snapshot مبنا: TracingNo 1159936؛ Snapshot پایان: TracingNo 1444154</t>
        </is>
      </c>
      <c r="T85" s="25" t="inlineStr">
        <is>
          <t>Cutoff ۱۴۰۳/۱۲/۲۹: ۵ عضو حقیقی مستقیم (اطلاعیه ۱۱۵۹۹۳۶؛ AGM FY1403 اطلاعیه ۱۳۸۵۲۵۳: «آخرین اعضا در سال مالی»).</t>
        </is>
      </c>
      <c r="U85" s="25" t="inlineStr">
        <is>
          <t>Needs Review</t>
        </is>
      </c>
      <c r="V85" s="25" t="n"/>
    </row>
    <row r="86" ht="58" customHeight="1" s="76">
      <c r="A86" s="23" t="inlineStr">
        <is>
          <t>وتجارت</t>
        </is>
      </c>
      <c r="B86" s="23" t="inlineStr">
        <is>
          <t>وتجارت</t>
        </is>
      </c>
      <c r="C86" s="23" t="inlineStr">
        <is>
          <t>۱۴۰۳→۱۴۰۴ (Cutoff 1403/12/29 → 1404/12/29)</t>
        </is>
      </c>
      <c r="D86" s="23" t="inlineStr">
        <is>
          <t>رویداد کرسی</t>
        </is>
      </c>
      <c r="E86" s="23" t="n"/>
      <c r="F86" s="23" t="n"/>
      <c r="G86" s="23" t="inlineStr">
        <is>
          <t>ثبت شد</t>
        </is>
      </c>
      <c r="H86" s="23" t="inlineStr">
        <is>
          <t>حمیدرضا شریفیان</t>
        </is>
      </c>
      <c r="I86" s="23" t="inlineStr">
        <is>
          <t>— (خارج شده؛ کرسی بدون جایگزین)</t>
        </is>
      </c>
      <c r="J86" s="23" t="inlineStr">
        <is>
          <t>— (عضو حقیقی مستقیم)</t>
        </is>
      </c>
      <c r="K86" s="23" t="n"/>
      <c r="L86" s="23" t="n"/>
      <c r="M86" s="23" t="inlineStr">
        <is>
          <t>خروج بدون جایگزین</t>
        </is>
      </c>
      <c r="N86" s="23" t="inlineStr">
        <is>
          <t>نامشخص (بین ۱۴۰۳/۱۲/۳۰ و ۱۴۰۴/۰۸/۲۸)</t>
        </is>
      </c>
      <c r="O86" s="23" t="inlineStr">
        <is>
          <t>معرفی /تغییر در ترکیب اعضای هیئت مدیره/مدیر عامل(اصلاحیه)</t>
        </is>
      </c>
      <c r="P86" s="23" t="inlineStr">
        <is>
          <t>1404/09/15</t>
        </is>
      </c>
      <c r="Q86" s="23" t="inlineStr">
        <is>
          <t>1444154</t>
        </is>
      </c>
      <c r="R86" s="23" t="inlineStr">
        <is>
          <t>https://www.codal.ir/Reports/Decision.aspx?LetterSerial=tL1npzfj3XSDR4oEqs1VIw%3d%3d&amp;rt=3&amp;let=19&amp;ct=0&amp;ft=-1</t>
        </is>
      </c>
      <c r="S86" s="23" t="inlineStr">
        <is>
          <t>Snapshot مبنا: TracingNo 1159936؛ Snapshot پایان: TracingNo 1444154</t>
        </is>
      </c>
      <c r="T86" s="23" t="inlineStr">
        <is>
          <t>FY1403: حضور ۴۹/۵۰ جلسه عادی و AGM FY1403 او را عضو پایان سال می‌نامد؛ FY1404: در جدول جلسات نیست؛ اطلاعیه ۱۴۴۴۱۵۴ (جلسه ۱۴۰۴/۰۸/۲۸) او را ندارد</t>
        </is>
      </c>
      <c r="U86" s="23" t="inlineStr">
        <is>
          <t>Needs Review</t>
        </is>
      </c>
      <c r="V86" s="23" t="inlineStr">
        <is>
          <t>تاریخ و علت خروج در هیچ سند کدالی یافت نشد؛ اطلاعیه اولیه ۱۴۴۳۰۷۸ (جلسه ۱۴۰۴/۰۹/۰۱) هنوز او را دارد (تناقض)</t>
        </is>
      </c>
    </row>
    <row r="87" ht="43.5" customHeight="1" s="76">
      <c r="A87" s="25" t="inlineStr">
        <is>
          <t>وتجارت</t>
        </is>
      </c>
      <c r="B87" s="25" t="inlineStr">
        <is>
          <t>وتجارت</t>
        </is>
      </c>
      <c r="C87" s="25" t="inlineStr">
        <is>
          <t>۱۴۰۳→۱۴۰۴ (Cutoff 1403/12/29 → 1404/12/29)</t>
        </is>
      </c>
      <c r="D87" s="25" t="inlineStr">
        <is>
          <t>رویداد کرسی</t>
        </is>
      </c>
      <c r="E87" s="25" t="n"/>
      <c r="F87" s="25" t="n"/>
      <c r="G87" s="25" t="inlineStr">
        <is>
          <t>ثبت شد</t>
        </is>
      </c>
      <c r="H87" s="25" t="inlineStr">
        <is>
          <t>سیدمهدی حسینی دولت‌آبادی</t>
        </is>
      </c>
      <c r="I87" s="25" t="inlineStr">
        <is>
          <t>سیدمهدی حسینی دولت‌آبادی</t>
        </is>
      </c>
      <c r="J87" s="25" t="inlineStr">
        <is>
          <t>— (عضو حقیقی مستقیم)</t>
        </is>
      </c>
      <c r="K87" s="25" t="n"/>
      <c r="L87" s="25" t="n"/>
      <c r="M87" s="25" t="inlineStr">
        <is>
          <t>بدون تغییر</t>
        </is>
      </c>
      <c r="N87" s="25" t="inlineStr">
        <is>
          <t>—</t>
        </is>
      </c>
      <c r="O87" s="25" t="inlineStr">
        <is>
          <t>معرفی /تغییر در ترکیب اعضای هیئت مدیره/مدیر عامل(اصلاحیه)</t>
        </is>
      </c>
      <c r="P87" s="25" t="inlineStr">
        <is>
          <t>1404/09/15</t>
        </is>
      </c>
      <c r="Q87" s="25" t="inlineStr">
        <is>
          <t>1444154</t>
        </is>
      </c>
      <c r="R87" s="25" t="inlineStr">
        <is>
          <t>https://www.codal.ir/Reports/Decision.aspx?LetterSerial=tL1npzfj3XSDR4oEqs1VIw%3d%3d&amp;rt=3&amp;let=19&amp;ct=0&amp;ft=-1</t>
        </is>
      </c>
      <c r="S87" s="25" t="inlineStr">
        <is>
          <t>Snapshot مبنا: TracingNo 1159936؛ Snapshot پایان: TracingNo 1444154</t>
        </is>
      </c>
      <c r="T87" s="25" t="inlineStr">
        <is>
          <t>Cutoff ۱۴۰۳/۱۲/۲۹: ۵ عضو حقیقی مستقیم (اطلاعیه ۱۱۵۹۹۳۶؛ AGM FY1403 اطلاعیه ۱۳۸۵۲۵۳: «آخرین اعضا در سال مالی»).</t>
        </is>
      </c>
      <c r="U87" s="25" t="inlineStr">
        <is>
          <t>Needs Review</t>
        </is>
      </c>
      <c r="V87" s="25" t="inlineStr">
        <is>
          <t>عضو از ۱۴۰۲/۱۱/۳۰</t>
        </is>
      </c>
    </row>
    <row r="88" ht="43.5" customHeight="1" s="76">
      <c r="A88" s="23" t="inlineStr">
        <is>
          <t>وتجارت</t>
        </is>
      </c>
      <c r="B88" s="23" t="inlineStr">
        <is>
          <t>وتجارت</t>
        </is>
      </c>
      <c r="C88" s="23" t="inlineStr">
        <is>
          <t>۱۴۰۴</t>
        </is>
      </c>
      <c r="D88" s="23" t="inlineStr">
        <is>
          <t>REF05 گردش شخص حقیقی (G/H)</t>
        </is>
      </c>
      <c r="E88" s="23" t="inlineStr">
        <is>
          <t>1/5</t>
        </is>
      </c>
      <c r="F88" s="23" t="inlineStr">
        <is>
          <t>1/5</t>
        </is>
      </c>
      <c r="G88" s="23" t="inlineStr">
        <is>
          <t>بدون تغییر</t>
        </is>
      </c>
      <c r="H88" s="23" t="n"/>
      <c r="I88" s="23" t="n"/>
      <c r="J88" s="23" t="n"/>
      <c r="K88" s="23" t="n"/>
      <c r="L88" s="23" t="n"/>
      <c r="M88" s="23" t="n"/>
      <c r="N88" s="23" t="n"/>
      <c r="O88" s="23" t="inlineStr">
        <is>
          <t>جمع‌بندی از رویدادهای کرسی همین شرکت</t>
        </is>
      </c>
      <c r="P88" s="23" t="n"/>
      <c r="Q88" s="23" t="n"/>
      <c r="R88" s="23" t="n"/>
      <c r="S88" s="23" t="inlineStr">
        <is>
          <t>Cutoff ۱۴۰۳/۱۲/۲۹: ۵ عضو حقیقی مستقیم (اطلاعیه ۱۱۵۹۹۳۶؛ AGM FY1403 اطلاعیه ۱۳۸۵۲۵۳: «آخرین اعضا در سال مالی»).</t>
        </is>
      </c>
      <c r="T88" s="23" t="inlineStr">
        <is>
          <t>Cutoff ۱۴۰۴/۱۲/۲۹: ۴ عضو (اطلاعیه اصلاحی ۱۴۴۴۱۵۴ و جدول جلسات گزارش FY1404 ۱۵۷۳۰۳۲).</t>
        </is>
      </c>
      <c r="U88" s="23" t="inlineStr">
        <is>
          <t>Needs Review</t>
        </is>
      </c>
      <c r="V88" s="23" t="n"/>
    </row>
    <row r="89" ht="43.5" customHeight="1" s="76">
      <c r="A89" s="25" t="inlineStr">
        <is>
          <t>وتجارت</t>
        </is>
      </c>
      <c r="B89" s="25" t="inlineStr">
        <is>
          <t>وتجارت</t>
        </is>
      </c>
      <c r="C89" s="25" t="inlineStr">
        <is>
          <t>۱۴۰۴</t>
        </is>
      </c>
      <c r="D89" s="25" t="inlineStr">
        <is>
          <t>REF08 تغییر نماینده با شخص حقوقی ثابت (J/K)</t>
        </is>
      </c>
      <c r="E89" s="25" t="inlineStr">
        <is>
          <t>Missing/N/A</t>
        </is>
      </c>
      <c r="F89" s="25" t="inlineStr">
        <is>
          <t>N/A</t>
        </is>
      </c>
      <c r="G89" s="25" t="inlineStr">
        <is>
          <t>N/A تایید شد</t>
        </is>
      </c>
      <c r="H89" s="25" t="n"/>
      <c r="I89" s="25" t="n"/>
      <c r="J89" s="25" t="n"/>
      <c r="K89" s="25" t="n"/>
      <c r="L89" s="25" t="n"/>
      <c r="M89" s="25" t="n"/>
      <c r="N89" s="25" t="n"/>
      <c r="O89" s="25" t="inlineStr">
        <is>
          <t>جمع‌بندی از رویدادهای کرسی همین شرکت</t>
        </is>
      </c>
      <c r="P89" s="25" t="n"/>
      <c r="Q89" s="25" t="n"/>
      <c r="R89" s="25" t="n"/>
      <c r="S89" s="25" t="inlineStr">
        <is>
          <t>Cutoff ۱۴۰۳/۱۲/۲۹: ۵ عضو حقیقی مستقیم (اطلاعیه ۱۱۵۹۹۳۶؛ AGM FY1403 اطلاعیه ۱۳۸۵۲۵۳: «آخرین اعضا در سال مالی»).</t>
        </is>
      </c>
      <c r="T89" s="25" t="inlineStr">
        <is>
          <t>Cutoff ۱۴۰۴/۱۲/۲۹: ۴ عضو (اطلاعیه اصلاحی ۱۴۴۴۱۵۴ و جدول جلسات گزارش FY1404 ۱۵۷۳۰۳۲).</t>
        </is>
      </c>
      <c r="U89" s="25" t="inlineStr">
        <is>
          <t>High</t>
        </is>
      </c>
      <c r="V89" s="25" t="n"/>
    </row>
    <row r="90" ht="43.5" customHeight="1" s="76">
      <c r="A90" s="23" t="inlineStr">
        <is>
          <t>وتجارت</t>
        </is>
      </c>
      <c r="B90" s="23" t="inlineStr">
        <is>
          <t>وتجارت</t>
        </is>
      </c>
      <c r="C90" s="23" t="inlineStr">
        <is>
          <t>۱۴۰۴</t>
        </is>
      </c>
      <c r="D90" s="23" t="inlineStr">
        <is>
          <t>ROB_LEGAL تغییر شخص حقوقی (M/N)</t>
        </is>
      </c>
      <c r="E90" s="23" t="inlineStr">
        <is>
          <t>Missing/N/A</t>
        </is>
      </c>
      <c r="F90" s="23" t="inlineStr">
        <is>
          <t>N/A</t>
        </is>
      </c>
      <c r="G90" s="23" t="inlineStr">
        <is>
          <t>N/A تایید شد</t>
        </is>
      </c>
      <c r="H90" s="23" t="n"/>
      <c r="I90" s="23" t="n"/>
      <c r="J90" s="23" t="n"/>
      <c r="K90" s="23" t="n"/>
      <c r="L90" s="23" t="n"/>
      <c r="M90" s="23" t="n"/>
      <c r="N90" s="23" t="n"/>
      <c r="O90" s="23" t="inlineStr">
        <is>
          <t>جمع‌بندی از رویدادهای کرسی همین شرکت</t>
        </is>
      </c>
      <c r="P90" s="23" t="n"/>
      <c r="Q90" s="23" t="n"/>
      <c r="R90" s="23" t="n"/>
      <c r="S90" s="23" t="inlineStr">
        <is>
          <t>Cutoff ۱۴۰۳/۱۲/۲۹: ۵ عضو حقیقی مستقیم (اطلاعیه ۱۱۵۹۹۳۶؛ AGM FY1403 اطلاعیه ۱۳۸۵۲۵۳: «آخرین اعضا در سال مالی»).</t>
        </is>
      </c>
      <c r="T90" s="23" t="inlineStr">
        <is>
          <t>Cutoff ۱۴۰۴/۱۲/۲۹: ۴ عضو (اطلاعیه اصلاحی ۱۴۴۴۱۵۴ و جدول جلسات گزارش FY1404 ۱۵۷۳۰۳۲).</t>
        </is>
      </c>
      <c r="U90" s="23" t="inlineStr">
        <is>
          <t>High</t>
        </is>
      </c>
      <c r="V90" s="23" t="n"/>
    </row>
    <row r="91" ht="43.5" customHeight="1" s="76">
      <c r="A91" s="25" t="inlineStr">
        <is>
          <t>وتجارت</t>
        </is>
      </c>
      <c r="B91" s="25" t="inlineStr">
        <is>
          <t>وتجارت</t>
        </is>
      </c>
      <c r="C91" s="25" t="inlineStr">
        <is>
          <t>۱۴۰۴</t>
        </is>
      </c>
      <c r="D91" s="25" t="inlineStr">
        <is>
          <t>ROB_NEW عضو جدید (P/Q)</t>
        </is>
      </c>
      <c r="E91" s="25" t="inlineStr">
        <is>
          <t>0/4</t>
        </is>
      </c>
      <c r="F91" s="25" t="inlineStr">
        <is>
          <t>0/4</t>
        </is>
      </c>
      <c r="G91" s="25" t="inlineStr">
        <is>
          <t>بدون تغییر</t>
        </is>
      </c>
      <c r="H91" s="25" t="n"/>
      <c r="I91" s="25" t="n"/>
      <c r="J91" s="25" t="n"/>
      <c r="K91" s="25" t="n"/>
      <c r="L91" s="25" t="n"/>
      <c r="M91" s="25" t="n"/>
      <c r="N91" s="25" t="n"/>
      <c r="O91" s="25" t="inlineStr">
        <is>
          <t>جمع‌بندی از رویدادهای کرسی همین شرکت</t>
        </is>
      </c>
      <c r="P91" s="25" t="n"/>
      <c r="Q91" s="25" t="n"/>
      <c r="R91" s="25" t="n"/>
      <c r="S91" s="25" t="inlineStr">
        <is>
          <t>Cutoff ۱۴۰۳/۱۲/۲۹: ۵ عضو حقیقی مستقیم (اطلاعیه ۱۱۵۹۹۳۶؛ AGM FY1403 اطلاعیه ۱۳۸۵۲۵۳: «آخرین اعضا در سال مالی»).</t>
        </is>
      </c>
      <c r="T91" s="25" t="inlineStr">
        <is>
          <t>Cutoff ۱۴۰۴/۱۲/۲۹: ۴ عضو (اطلاعیه اصلاحی ۱۴۴۴۱۵۴ و جدول جلسات گزارش FY1404 ۱۵۷۳۰۳۲).</t>
        </is>
      </c>
      <c r="U91" s="25" t="inlineStr">
        <is>
          <t>Needs Review</t>
        </is>
      </c>
      <c r="V91" s="25" t="n"/>
    </row>
    <row r="92" ht="43.5" customHeight="1" s="76">
      <c r="A92" s="23" t="inlineStr">
        <is>
          <t>وتجارت</t>
        </is>
      </c>
      <c r="B92" s="23" t="inlineStr">
        <is>
          <t>وتجارت</t>
        </is>
      </c>
      <c r="C92" s="23" t="inlineStr">
        <is>
          <t>۱۴۰۴</t>
        </is>
      </c>
      <c r="D92" s="23" t="inlineStr">
        <is>
          <t>ROB_STABILITY ثبات (S/T)</t>
        </is>
      </c>
      <c r="E92" s="23" t="inlineStr">
        <is>
          <t>4/5</t>
        </is>
      </c>
      <c r="F92" s="23" t="inlineStr">
        <is>
          <t>4/5</t>
        </is>
      </c>
      <c r="G92" s="23" t="inlineStr">
        <is>
          <t>بدون تغییر</t>
        </is>
      </c>
      <c r="H92" s="23" t="n"/>
      <c r="I92" s="23" t="n"/>
      <c r="J92" s="23" t="n"/>
      <c r="K92" s="23" t="n"/>
      <c r="L92" s="23" t="n"/>
      <c r="M92" s="23" t="n"/>
      <c r="N92" s="23" t="n"/>
      <c r="O92" s="23" t="inlineStr">
        <is>
          <t>جمع‌بندی از رویدادهای کرسی همین شرکت</t>
        </is>
      </c>
      <c r="P92" s="23" t="n"/>
      <c r="Q92" s="23" t="n"/>
      <c r="R92" s="23" t="n"/>
      <c r="S92" s="23" t="inlineStr">
        <is>
          <t>Cutoff ۱۴۰۳/۱۲/۲۹: ۵ عضو حقیقی مستقیم (اطلاعیه ۱۱۵۹۹۳۶؛ AGM FY1403 اطلاعیه ۱۳۸۵۲۵۳: «آخرین اعضا در سال مالی»).</t>
        </is>
      </c>
      <c r="T92" s="23" t="inlineStr">
        <is>
          <t>Cutoff ۱۴۰۴/۱۲/۲۹: ۴ عضو (اطلاعیه اصلاحی ۱۴۴۴۱۵۴ و جدول جلسات گزارش FY1404 ۱۵۷۳۰۳۲).</t>
        </is>
      </c>
      <c r="U92" s="23" t="inlineStr">
        <is>
          <t>Needs Review</t>
        </is>
      </c>
      <c r="V92" s="23" t="n"/>
    </row>
    <row r="93" ht="29" customHeight="1" s="76">
      <c r="A93" s="25" t="inlineStr">
        <is>
          <t>وتجارت</t>
        </is>
      </c>
      <c r="B93" s="25" t="inlineStr">
        <is>
          <t>وتجارت</t>
        </is>
      </c>
      <c r="C93" s="25" t="inlineStr">
        <is>
          <t>۱۴۰۴</t>
        </is>
      </c>
      <c r="D93" s="25" t="inlineStr">
        <is>
          <t>تغییر رئیس هیئت مدیره (ستون V؛ ورودی CR1A)</t>
        </is>
      </c>
      <c r="E93" s="25" t="inlineStr">
        <is>
          <t>خیر</t>
        </is>
      </c>
      <c r="F93" s="25" t="inlineStr">
        <is>
          <t>خیر</t>
        </is>
      </c>
      <c r="G93" s="25" t="inlineStr">
        <is>
          <t>بدون تغییر</t>
        </is>
      </c>
      <c r="H93" s="25" t="n"/>
      <c r="I93" s="25" t="n"/>
      <c r="J93" s="25" t="n"/>
      <c r="K93" s="25" t="n"/>
      <c r="L93" s="25" t="n"/>
      <c r="M93" s="25" t="n"/>
      <c r="N93" s="25" t="n"/>
      <c r="O93" s="25" t="inlineStr">
        <is>
          <t>جدول Cutoff</t>
        </is>
      </c>
      <c r="P93" s="25" t="n"/>
      <c r="Q93" s="25" t="n"/>
      <c r="R93" s="25" t="n"/>
      <c r="S93" s="25" t="n"/>
      <c r="T93" s="25" t="n"/>
      <c r="U93" s="25" t="inlineStr">
        <is>
          <t>Needs Review</t>
        </is>
      </c>
      <c r="V93" s="25" t="inlineStr">
        <is>
          <t>CR1A در برگه‌های Audit/معماری بازمحاسبه نشد؛ فقط ستون V ورودی</t>
        </is>
      </c>
    </row>
    <row r="94" ht="72.5" customHeight="1" s="76">
      <c r="A94" s="23" t="inlineStr">
        <is>
          <t>حکشتی</t>
        </is>
      </c>
      <c r="B94" s="23" t="inlineStr">
        <is>
          <t>حکشتی</t>
        </is>
      </c>
      <c r="C94" s="23" t="inlineStr">
        <is>
          <t>۱۴۰۴</t>
        </is>
      </c>
      <c r="D94" s="23" t="inlineStr">
        <is>
          <t>REF05/REF08/ROB_*</t>
        </is>
      </c>
      <c r="E94" s="23" t="inlineStr">
        <is>
          <t>خارج از مخرج (SEAT_LEVEL_ONLY)</t>
        </is>
      </c>
      <c r="F94" s="23" t="inlineStr">
        <is>
          <t>Not Found (بدون تغییر عدد)</t>
        </is>
      </c>
      <c r="G94" s="23" t="inlineStr">
        <is>
          <t>حل‌نشده</t>
        </is>
      </c>
      <c r="H94" s="23" t="n"/>
      <c r="I94" s="23" t="n"/>
      <c r="J94" s="23" t="inlineStr">
        <is>
          <t>۵ شخص حقوقی: تأمین اجتماعی، مادر تخصصی بازرگانی→تأمین اندیش رفاه پردیس، صبا تأمین، صندوق بازنشستگی کشوری→آتیه صبا، استان گیلان→سیستان و بلوچستان</t>
        </is>
      </c>
      <c r="K94" s="23" t="inlineStr">
        <is>
          <t>فاقد نماینده</t>
        </is>
      </c>
      <c r="L94" s="23" t="inlineStr">
        <is>
          <t>فاقد نماینده</t>
        </is>
      </c>
      <c r="M94" s="23" t="inlineStr">
        <is>
          <t>تغییر ۳ شخص حقوقی در جلسه ۱۴۰۴/۰۸/۱۲ (مجمع ۱۴۰۴/۰۷/۱۵)</t>
        </is>
      </c>
      <c r="N94" s="23" t="inlineStr">
        <is>
          <t>1404/08/12</t>
        </is>
      </c>
      <c r="O94" s="23" t="inlineStr">
        <is>
          <t>معرفی /تغییر در ترکیب اعضای هیئت مدیره/مدیر عامل</t>
        </is>
      </c>
      <c r="P94" s="23" t="inlineStr">
        <is>
          <t>1404/08/18</t>
        </is>
      </c>
      <c r="Q94" s="23" t="inlineStr">
        <is>
          <t>1433770</t>
        </is>
      </c>
      <c r="R94" s="23" t="inlineStr">
        <is>
          <t>https://www.codal.ir/Reports/Decision.aspx?LetterSerial=ag9Rd4I5seaRFhQQQaQQQiZlm5lQ%3d%3d&amp;rt=2&amp;let=19&amp;ct=0&amp;ft=-1</t>
        </is>
      </c>
      <c r="S94" s="23" t="inlineStr">
        <is>
          <t>در اطلاعیه ۱۴۳۳۷۷۰، ۱۳۱۰۲۱۰، ۱۱۵۴۵۰۵، AGM ۱۴۱۵۷۰۸، گزارش‌های فعالیت (ص۸۷) و صورتجلسه مجمع پیوست، نام نماینده حقیقی ثبت نشده</t>
        </is>
      </c>
      <c r="T94" s="23" t="inlineStr">
        <is>
          <t>جستجوی کامل Type19 ۱۴۰۱–۱۴۰۵، گزارش‌های فعالیت دو سال، تصمیمات AGM و صورتجلسه‌های پیوست انجام شد؛ ورود دست‌ساز مجاز نیست</t>
        </is>
      </c>
      <c r="U94" s="23" t="inlineStr">
        <is>
          <t>Not Found</t>
        </is>
      </c>
      <c r="V94" s="23" t="inlineStr">
        <is>
          <t>سند لازم: صورتجلسه هیئت مدیره تعیین سمت با نام نمایندگان، یا صفحه رسمی هیئت مدیره در سایت کشتیرانی (irisl.net)؛ دسترسی از محیط اجرا مسدود بود</t>
        </is>
      </c>
    </row>
    <row r="95" ht="72.5" customHeight="1" s="76">
      <c r="A95" s="25" t="inlineStr">
        <is>
          <t>وپاسار</t>
        </is>
      </c>
      <c r="B95" s="25" t="inlineStr">
        <is>
          <t>وپاسار</t>
        </is>
      </c>
      <c r="C95" s="25" t="inlineStr">
        <is>
          <t>۱۴۰۴</t>
        </is>
      </c>
      <c r="D95" s="25" t="inlineStr">
        <is>
          <t>REF05 و سایر</t>
        </is>
      </c>
      <c r="E95" s="25" t="inlineStr">
        <is>
          <t>حل نشده</t>
        </is>
      </c>
      <c r="F95" s="25" t="inlineStr">
        <is>
          <t>Not Found (بدون تغییر عدد)</t>
        </is>
      </c>
      <c r="G95" s="25" t="inlineStr">
        <is>
          <t>حل‌نشده</t>
        </is>
      </c>
      <c r="H95" s="25" t="n"/>
      <c r="I95" s="25" t="n"/>
      <c r="J95" s="25" t="inlineStr">
        <is>
          <t>— (اعضای حقیقی مستقیم)</t>
        </is>
      </c>
      <c r="K95" s="25" t="n"/>
      <c r="L95" s="25" t="n"/>
      <c r="M95" s="25" t="inlineStr">
        <is>
          <t>اعضای هیئت مدیره FY1403: ۷ نفر در گزارش سالانه (مجمع ۱۴۰۲/۰۴/۲۸) اما ۵ نفر در تصمیمات مجمع ۱۴۰۴/۰۶/۱۷</t>
        </is>
      </c>
      <c r="N95" s="25" t="n"/>
      <c r="O95" s="25" t="inlineStr">
        <is>
          <t>گزارش فعالیت هیئت مدیره منتهی به ۱۴۰۳/۱۲/۳۰ (بانک پاسارگاد)</t>
        </is>
      </c>
      <c r="P95" s="25" t="inlineStr">
        <is>
          <t>1404/06/16</t>
        </is>
      </c>
      <c r="Q95" s="25" t="inlineStr">
        <is>
          <t>1396276</t>
        </is>
      </c>
      <c r="R95" s="25" t="inlineStr">
        <is>
          <t>https://www.codal.ir/Reports/Attachment.aspx?LetterSerial=Cxkdj8wztt52xU9MoBXp2w%3d%3d</t>
        </is>
      </c>
      <c r="S95" s="25" t="inlineStr">
        <is>
          <t>اطلاعیه ن-۴۵ از ۱۴۰۲/۰۴/۰۵ به بعد وجود ندارد؛ گزارش فعالیت FY1404 منتشر نشده؛ AGM ۱۴۰۵/۰۴/۳۱ (۱۵۷۳۳۳۷) بدون حد نصاب (۱۴٫۲۱٪)؛ گزارش FY1403 اسکن تصویری است</t>
        </is>
      </c>
      <c r="T95" s="25" t="inlineStr">
        <is>
          <t>نه Snapshot پایان (۱۴۰۴/۱۲/۲۹) و نه خروج/ورود اعضا بین ۷ و ۵ نفر قابل اثبات است</t>
        </is>
      </c>
      <c r="U95" s="25" t="inlineStr">
        <is>
          <t>Not Found</t>
        </is>
      </c>
      <c r="V95" s="25" t="inlineStr">
        <is>
          <t>سند لازم: گزارش فعالیت هیئت مدیره FY1404 یا اطلاعیه ن-۴۵ تغییر ترکیب یا صورتجلسه مجمع ۱۴۰۴ با فهرست اعضا؛ ثبت دستی ردیف FY1403 (۷ نفر) با خوانش تصویر جدول انجام شد ولی با AGM هم‌خوان نیست</t>
        </is>
      </c>
    </row>
  </sheetData>
  <mergeCells count="2">
    <mergeCell ref="A2:V2"/>
    <mergeCell ref="A1:V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1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1" customWidth="1" style="76" min="1" max="1"/>
    <col width="32" customWidth="1" style="76" min="2" max="2"/>
    <col width="30" customWidth="1" style="76" min="3" max="3"/>
    <col width="32" customWidth="1" style="76" min="4" max="4"/>
    <col width="40" customWidth="1" style="76" min="5" max="6"/>
    <col width="30" customWidth="1" style="76" min="7" max="7"/>
    <col width="52" customWidth="1" style="76" min="8" max="8"/>
    <col width="26" customWidth="1" style="76" min="9" max="9"/>
  </cols>
  <sheetData>
    <row r="1" ht="30" customHeight="1" s="76">
      <c r="A1" s="87" t="inlineStr">
        <is>
          <t>جمع‌بندی نهایی Turnover Resolution — v38</t>
        </is>
      </c>
    </row>
    <row r="2" ht="22" customHeight="1" s="76">
      <c r="A2" s="85" t="inlineStr">
        <is>
          <t>مقادیر به‌صورت صورت/مخرج؛ Missing به صفر تبدیل نشده است.</t>
        </is>
      </c>
    </row>
    <row r="3" ht="30" customHeight="1" s="76">
      <c r="A3" s="24" t="inlineStr">
        <is>
          <t>شرکت</t>
        </is>
      </c>
      <c r="B3" s="24" t="inlineStr">
        <is>
          <t>مسئله اولیه</t>
        </is>
      </c>
      <c r="C3" s="24" t="inlineStr">
        <is>
          <t>وضعیت نهایی</t>
        </is>
      </c>
      <c r="D3" s="24" t="inlineStr">
        <is>
          <t>متغیر مرتبط</t>
        </is>
      </c>
      <c r="E3" s="24" t="inlineStr">
        <is>
          <t>مقدار قبلی</t>
        </is>
      </c>
      <c r="F3" s="24" t="inlineStr">
        <is>
          <t>مقدار نهایی</t>
        </is>
      </c>
      <c r="G3" s="24" t="inlineStr">
        <is>
          <t>منبع اصلی</t>
        </is>
      </c>
      <c r="H3" s="24" t="inlineStr">
        <is>
          <t>خلاصه دلیل تغییر</t>
        </is>
      </c>
      <c r="I3" s="24" t="inlineStr">
        <is>
          <t>نیاز به بررسی بیشتر</t>
        </is>
      </c>
    </row>
    <row r="4" ht="43.5" customHeight="1" s="76">
      <c r="A4" s="23" t="inlineStr">
        <is>
          <t>تاپیکو</t>
        </is>
      </c>
      <c r="B4" s="23" t="inlineStr">
        <is>
          <t>Turnover نیازمند بازبینی منبع؛ Snapshot ناهمتراز</t>
        </is>
      </c>
      <c r="C4" s="23" t="inlineStr">
        <is>
          <t>حل شد (Confirmed)</t>
        </is>
      </c>
      <c r="D4" s="23" t="inlineStr">
        <is>
          <t>REF05 / REF08 / ROB_LEGAL / ROB_NEW / ROB_STABILITY / چرخش رئیس</t>
        </is>
      </c>
      <c r="E4" s="23" t="inlineStr">
        <is>
          <t>REF05 2/5 ؛ REF08 2/4 ؛ NEW 2/5</t>
        </is>
      </c>
      <c r="F4" s="23" t="inlineStr">
        <is>
          <t>REF05 3/5 ؛ REF08 3/5 ؛ NEW 3/5</t>
        </is>
      </c>
      <c r="G4" s="23" t="inlineStr">
        <is>
          <t>1311653 → 1477918</t>
        </is>
      </c>
      <c r="H4" s="23" t="inlineStr">
        <is>
          <t>مبنا ۱۴۰۳/۱۲/۲۹ با اطلاعیه‌های ۱۴۰۳/۱۰/۲۳ و ۱۴۰۳/۱۲/۰۴ بازسازی شد؛ ۳ تغییر نماینده (شستا، صبا، دارویی)؛ رئیس تغییر کرد</t>
        </is>
      </c>
      <c r="I4" s="23" t="inlineStr">
        <is>
          <t>خیر</t>
        </is>
      </c>
    </row>
    <row r="5" ht="43.5" customHeight="1" s="76">
      <c r="A5" s="25" t="inlineStr">
        <is>
          <t>کچاد</t>
        </is>
      </c>
      <c r="B5" s="25" t="inlineStr">
        <is>
          <t>ممیزی Turnover؛ شک به تغییر سمت/انتخاب مجدد</t>
        </is>
      </c>
      <c r="C5" s="25" t="inlineStr">
        <is>
          <t>حل شد (Confirmed)</t>
        </is>
      </c>
      <c r="D5" s="25" t="inlineStr">
        <is>
          <t>REF05 / REF08 / ROB_LEGAL / ROB_NEW / ROB_STABILITY / چرخش رئیس</t>
        </is>
      </c>
      <c r="E5" s="25" t="inlineStr">
        <is>
          <t>REF05 0/4 ؛ REF08 0/4 ؛ NEW 1/5</t>
        </is>
      </c>
      <c r="F5" s="25" t="inlineStr">
        <is>
          <t>REF05 2/4 ؛ REF08 2/4 ؛ NEW 3/5</t>
        </is>
      </c>
      <c r="G5" s="25" t="inlineStr">
        <is>
          <t>1287746 → 1473973</t>
        </is>
      </c>
      <c r="H5" s="25" t="inlineStr">
        <is>
          <t>گزارش FY1403 پس از Cutoff بود؛ با Type19 ۱۴۰۳/۱۰/۰۵ دو تغییر نماینده (امید، سپه) آشکار شد؛ کرسی خوزستان خالی→پر شد</t>
        </is>
      </c>
      <c r="I5" s="25" t="inlineStr">
        <is>
          <t>خیر</t>
        </is>
      </c>
    </row>
    <row r="6" ht="29" customHeight="1" s="76">
      <c r="A6" s="23" t="inlineStr">
        <is>
          <t>پارسان</t>
        </is>
      </c>
      <c r="B6" s="23" t="inlineStr">
        <is>
          <t>ساختار کرسی‌های حقوقی و Q=7</t>
        </is>
      </c>
      <c r="C6" s="23" t="inlineStr">
        <is>
          <t>حل شد (High)</t>
        </is>
      </c>
      <c r="D6" s="23" t="inlineStr">
        <is>
          <t>REF05 / REF08 / ROB_LEGAL / ROB_NEW / ROB_STABILITY / چرخش رئیس</t>
        </is>
      </c>
      <c r="E6" s="23" t="inlineStr">
        <is>
          <t>REF05 0/5 ؛ REF08 Missing/N/A ؛ NEW 2/7</t>
        </is>
      </c>
      <c r="F6" s="23" t="inlineStr">
        <is>
          <t>REF05 2/5 ؛ REF08 2/5 ؛ NEW 2/5</t>
        </is>
      </c>
      <c r="G6" s="23" t="inlineStr">
        <is>
          <t>1288275 → 1443940</t>
        </is>
      </c>
      <c r="H6" s="23" t="inlineStr">
        <is>
          <t>۵ کرسی حقوقی؛ ۲ تغییر نماینده (دریابان، صنعتی و بازرگانی غدیر)؛ مجمع ۱۴۰۴/۱۰/۲۳ تا Cutoff عملیاتی نشد</t>
        </is>
      </c>
      <c r="I6" s="23" t="inlineStr">
        <is>
          <t>خیر (حساسیت: مجمع ۱۴۰۴/۱۰/۲۳)</t>
        </is>
      </c>
    </row>
    <row r="7" ht="29" customHeight="1" s="76">
      <c r="A7" s="25" t="inlineStr">
        <is>
          <t>وتجارت</t>
        </is>
      </c>
      <c r="B7" s="25" t="inlineStr">
        <is>
          <t>ساختار کرسی حقوقی و تاریخ ترک‌تبریزی</t>
        </is>
      </c>
      <c r="C7" s="25" t="inlineStr">
        <is>
          <t>ساختار حل شد؛ مقدار حفظ؛ Needs Review (تاریخ خروج)</t>
        </is>
      </c>
      <c r="D7" s="25" t="inlineStr">
        <is>
          <t>REF05 / REF08 / ROB_LEGAL / ROB_NEW / ROB_STABILITY / چرخش رئیس</t>
        </is>
      </c>
      <c r="E7" s="25" t="inlineStr">
        <is>
          <t>REF05 1/5 ؛ REF08 Missing/N/A ؛ NEW 0/4</t>
        </is>
      </c>
      <c r="F7" s="25" t="inlineStr">
        <is>
          <t>REF05 1/5 ؛ REF08 N/A ؛ NEW 0/4</t>
        </is>
      </c>
      <c r="G7" s="25" t="inlineStr">
        <is>
          <t>1159936 → 1444154 / 1573032</t>
        </is>
      </c>
      <c r="H7" s="25" t="inlineStr">
        <is>
          <t>۵ عضو حقیقی مستقیم؛ خروج شریفیان بدون جایگزین؛ تاریخ خروج مستند نیست؛ ترک‌تبریزی عضو پیوسته از ۱۳۹۸/۱۲/۱۴</t>
        </is>
      </c>
      <c r="I7" s="25" t="inlineStr">
        <is>
          <t>بله: سند خروج شریفیان</t>
        </is>
      </c>
    </row>
    <row r="8" ht="29" customHeight="1" s="76">
      <c r="A8" s="23" t="inlineStr">
        <is>
          <t>جم</t>
        </is>
      </c>
      <c r="B8" s="23" t="inlineStr">
        <is>
          <t>عضو جدید/Turnover (P&lt;G)</t>
        </is>
      </c>
      <c r="C8" s="23" t="inlineStr">
        <is>
          <t>حل شد (High)</t>
        </is>
      </c>
      <c r="D8" s="23" t="inlineStr">
        <is>
          <t>REF05 / REF08 / ROB_LEGAL / ROB_NEW / ROB_STABILITY / چرخش رئیس</t>
        </is>
      </c>
      <c r="E8" s="23" t="inlineStr">
        <is>
          <t>REF05 2/5 ؛ REF08 2/4 ؛ NEW 0/5</t>
        </is>
      </c>
      <c r="F8" s="23" t="inlineStr">
        <is>
          <t>REF05 2/5 ؛ REF08 2/4 ؛ NEW 1/5</t>
        </is>
      </c>
      <c r="G8" s="23" t="inlineStr">
        <is>
          <t>1171265 → 1527389</t>
        </is>
      </c>
      <c r="H8" s="23" t="inlineStr">
        <is>
          <t>P&lt;G ناشی از جابه‌جایی دو نماینده (مشروع)؛ ورود معینی ۱۴۰۴/۱۲/۲۵ → P=1؛ رئیس تغییر کرد</t>
        </is>
      </c>
      <c r="I8" s="23" t="inlineStr">
        <is>
          <t>خیر (حساسیت انتشار پس از Cutoff)</t>
        </is>
      </c>
    </row>
    <row r="9" ht="29" customHeight="1" s="76">
      <c r="A9" s="25" t="inlineStr">
        <is>
          <t>خساپا</t>
        </is>
      </c>
      <c r="B9" s="25" t="inlineStr">
        <is>
          <t>عضو جدید و جابه‌جایی کرسی</t>
        </is>
      </c>
      <c r="C9" s="25" t="inlineStr">
        <is>
          <t>حل شد (Confirmed؛ بدون تغییر)</t>
        </is>
      </c>
      <c r="D9" s="25" t="inlineStr">
        <is>
          <t>REF05 / REF08 / ROB_LEGAL / ROB_NEW / ROB_STABILITY / چرخش رئیس</t>
        </is>
      </c>
      <c r="E9" s="25" t="inlineStr">
        <is>
          <t>REF05 3/5 ؛ REF08 3/5 ؛ NEW 2/5</t>
        </is>
      </c>
      <c r="F9" s="25" t="inlineStr">
        <is>
          <t>REF05 3/5 ؛ REF08 3/5 ؛ NEW 2/5</t>
        </is>
      </c>
      <c r="G9" s="25" t="inlineStr">
        <is>
          <t>1295938 → 1386511</t>
        </is>
      </c>
      <c r="H9" s="25" t="inlineStr">
        <is>
          <t>زنجیره کامل مقادیر v35 را تایید کرد؛ P&lt;G ناشی از انتقال پرویزیان</t>
        </is>
      </c>
      <c r="I9" s="25" t="inlineStr">
        <is>
          <t>خیر</t>
        </is>
      </c>
    </row>
    <row r="10" ht="29" customHeight="1" s="76">
      <c r="A10" s="23" t="inlineStr">
        <is>
          <t>خودرو</t>
        </is>
      </c>
      <c r="B10" s="23" t="inlineStr">
        <is>
          <t>REF08 ناقص</t>
        </is>
      </c>
      <c r="C10" s="23" t="inlineStr">
        <is>
          <t>حل شد (Confirmed)</t>
        </is>
      </c>
      <c r="D10" s="23" t="inlineStr">
        <is>
          <t>REF05 / REF08 / ROB_LEGAL / ROB_NEW / ROB_STABILITY / چرخش رئیس</t>
        </is>
      </c>
      <c r="E10" s="23" t="inlineStr">
        <is>
          <t>REF05 1/5 ؛ REF08 Missing/N/A ؛ NEW 1/5</t>
        </is>
      </c>
      <c r="F10" s="23" t="inlineStr">
        <is>
          <t>REF05 1/5 ؛ REF08 1/5 ؛ NEW 1/5</t>
        </is>
      </c>
      <c r="G10" s="23" t="inlineStr">
        <is>
          <t>1306740 → 1417850 + گزارش FY1404 ص۵۳</t>
        </is>
      </c>
      <c r="H10" s="23" t="inlineStr">
        <is>
          <t>نائیجی جایگزین شفیعی در ۱۴۰۴/۰۷/۱۹ (کرسی گنجینه ایرانیان) → REF08 = ۱ از ۵</t>
        </is>
      </c>
      <c r="I10" s="23" t="inlineStr">
        <is>
          <t>خیر</t>
        </is>
      </c>
    </row>
    <row r="11" ht="29" customHeight="1" s="76">
      <c r="A11" s="25" t="inlineStr">
        <is>
          <t>وپاسار</t>
        </is>
      </c>
      <c r="B11" s="25" t="inlineStr">
        <is>
          <t>نبود داده ۱۴۰۴</t>
        </is>
      </c>
      <c r="C11" s="25" t="inlineStr">
        <is>
          <t>حل نشد (Not Found)</t>
        </is>
      </c>
      <c r="D11" s="25" t="inlineStr">
        <is>
          <t>REF05 / REF08 / ROB_LEGAL / ROB_NEW / ROB_STABILITY / چرخش رئیس</t>
        </is>
      </c>
      <c r="E11" s="25" t="inlineStr">
        <is>
          <t>بدون مقدار</t>
        </is>
      </c>
      <c r="F11" s="25" t="inlineStr">
        <is>
          <t>Not Found (بدون مقدار)</t>
        </is>
      </c>
      <c r="G11" s="25" t="inlineStr">
        <is>
          <t>1396276 / 1401549 / 1573337</t>
        </is>
      </c>
      <c r="H11" s="25" t="inlineStr">
        <is>
          <t>اطلاعیه ن-۴۵ و گزارش FY1404 وجود ندارد؛ AGM FY1404 بدون حد نصاب؛ پایه FY1403 ناسازگار</t>
        </is>
      </c>
      <c r="I11" s="25" t="inlineStr">
        <is>
          <t>بله: گزارش FY1404/ن-۴۵</t>
        </is>
      </c>
    </row>
    <row r="12" ht="29" customHeight="1" s="76">
      <c r="A12" s="23" t="inlineStr">
        <is>
          <t>حکشتی</t>
        </is>
      </c>
      <c r="B12" s="23" t="inlineStr">
        <is>
          <t>نبود نماینده‌های حقیقی</t>
        </is>
      </c>
      <c r="C12" s="23" t="inlineStr">
        <is>
          <t>حل نشد (Not Found)</t>
        </is>
      </c>
      <c r="D12" s="23" t="inlineStr">
        <is>
          <t>REF05 / REF08 / ROB_LEGAL / ROB_NEW / ROB_STABILITY / چرخش رئیس</t>
        </is>
      </c>
      <c r="E12" s="23" t="inlineStr">
        <is>
          <t>بدون مقدار</t>
        </is>
      </c>
      <c r="F12" s="23" t="inlineStr">
        <is>
          <t>Not Found (بدون مقدار)</t>
        </is>
      </c>
      <c r="G12" s="23" t="inlineStr">
        <is>
          <t>1433770 / 1310210</t>
        </is>
      </c>
      <c r="H12" s="23" t="inlineStr">
        <is>
          <t>در تمام اسناد کدال نماینده‌ها «فاقد نماینده»اند</t>
        </is>
      </c>
      <c r="I12" s="23" t="inlineStr">
        <is>
          <t>بله: صورتجلسه با نام نمایندگان</t>
        </is>
      </c>
    </row>
    <row r="13" ht="29" customHeight="1" s="76">
      <c r="A13" s="25" t="inlineStr">
        <is>
          <t>شپدیس</t>
        </is>
      </c>
      <c r="B13" s="25" t="inlineStr">
        <is>
          <t>نبود داده سال قبل</t>
        </is>
      </c>
      <c r="C13" s="25" t="inlineStr">
        <is>
          <t>حل شد (Confirmed)</t>
        </is>
      </c>
      <c r="D13" s="25" t="inlineStr">
        <is>
          <t>REF05 / REF08 / ROB_LEGAL / ROB_NEW / ROB_STABILITY / چرخش رئیس</t>
        </is>
      </c>
      <c r="E13" s="25" t="inlineStr">
        <is>
          <t>REF05 Missing/N/A ؛ REF08 Missing/N/A ؛ NEW Missing/N/A</t>
        </is>
      </c>
      <c r="F13" s="25" t="inlineStr">
        <is>
          <t>REF05 1/4 ؛ REF08 1/4 ؛ NEW 2/5</t>
        </is>
      </c>
      <c r="G13" s="25" t="inlineStr">
        <is>
          <t>1309386 → 1443721</t>
        </is>
      </c>
      <c r="H13" s="25" t="inlineStr">
        <is>
          <t>اطلاعیه ۱۴۰۳/۱۱/۲۹ یافت شد؛ سه تغییر در پنجره؛ ۱ تغییر نماینده + ورود در کرسی خالی</t>
        </is>
      </c>
      <c r="I13" s="25" t="inlineStr">
        <is>
          <t>خیر</t>
        </is>
      </c>
    </row>
  </sheetData>
  <mergeCells count="2">
    <mergeCell ref="A1:I1"/>
    <mergeCell ref="A2:I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S85"/>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style="76" min="1" max="1"/>
    <col width="12" customWidth="1" style="76" min="2" max="2"/>
    <col width="16" customWidth="1" style="76" min="3" max="3"/>
    <col width="30" customWidth="1" style="76" min="4" max="4"/>
    <col width="24" customWidth="1" style="76" min="5" max="6"/>
    <col width="20" customWidth="1" style="76" min="7" max="7"/>
    <col width="14" customWidth="1" style="76" min="8" max="8"/>
    <col width="16" customWidth="1" style="76" min="9" max="10"/>
    <col width="18" customWidth="1" style="76" min="11" max="11"/>
    <col width="20" customWidth="1" style="76" min="12" max="13"/>
    <col width="30" customWidth="1" style="76" min="14" max="14"/>
    <col width="34" customWidth="1" style="76" min="15" max="15"/>
    <col width="12" customWidth="1" style="76" min="16" max="16"/>
    <col width="10" customWidth="1" style="76" min="17" max="17"/>
    <col width="40" customWidth="1" style="76" min="18" max="19"/>
  </cols>
  <sheetData>
    <row r="1" ht="30" customHeight="1" s="76">
      <c r="A1" s="87" t="inlineStr">
        <is>
          <t>بازسازی سطح کرسی/عضو — v38</t>
        </is>
      </c>
    </row>
    <row r="2" ht="22" customHeight="1" s="76">
      <c r="A2" s="85" t="inlineStr">
        <is>
          <t>هر کرسی در دو Cutoff؛ تاریخ مؤثر از تاریخ انتشار جدا شده است.</t>
        </is>
      </c>
    </row>
    <row r="3" ht="30" customHeight="1" s="76">
      <c r="A3" s="24" t="inlineStr">
        <is>
          <t>شرکت</t>
        </is>
      </c>
      <c r="B3" s="24" t="inlineStr">
        <is>
          <t>نماد</t>
        </is>
      </c>
      <c r="C3" s="24" t="inlineStr">
        <is>
          <t>Snapshot</t>
        </is>
      </c>
      <c r="D3" s="24" t="inlineStr">
        <is>
          <t>شخص حقوقی دارنده کرسی</t>
        </is>
      </c>
      <c r="E3" s="24" t="inlineStr">
        <is>
          <t>نماینده حقیقی</t>
        </is>
      </c>
      <c r="F3" s="24" t="inlineStr">
        <is>
          <t>سمت</t>
        </is>
      </c>
      <c r="G3" s="24" t="inlineStr">
        <is>
          <t>تاریخ انتصاب/موثر</t>
        </is>
      </c>
      <c r="H3" s="24" t="inlineStr">
        <is>
          <t>تاریخ معرفی (انتشار اطلاعیه)</t>
        </is>
      </c>
      <c r="I3" s="24" t="inlineStr">
        <is>
          <t>تاریخ اولین مشاهده معتبر</t>
        </is>
      </c>
      <c r="J3" s="24" t="inlineStr">
        <is>
          <t>تاریخ آخرین مشاهده معتبر</t>
        </is>
      </c>
      <c r="K3" s="24" t="inlineStr">
        <is>
          <t>وضعیت ادامه عضویت</t>
        </is>
      </c>
      <c r="L3" s="24" t="inlineStr">
        <is>
          <t>وضعیت خروج</t>
        </is>
      </c>
      <c r="M3" s="24" t="inlineStr">
        <is>
          <t>وضعیت ورود</t>
        </is>
      </c>
      <c r="N3" s="24" t="inlineStr">
        <is>
          <t>نوع تغییر</t>
        </is>
      </c>
      <c r="O3" s="24" t="inlineStr">
        <is>
          <t>عنوان منبع</t>
        </is>
      </c>
      <c r="P3" s="24" t="inlineStr">
        <is>
          <t>تاریخ منبع</t>
        </is>
      </c>
      <c r="Q3" s="24" t="inlineStr">
        <is>
          <t>TracingNo</t>
        </is>
      </c>
      <c r="R3" s="24" t="inlineStr">
        <is>
          <t>لینک</t>
        </is>
      </c>
      <c r="S3" s="24" t="inlineStr">
        <is>
          <t>ابهام</t>
        </is>
      </c>
    </row>
    <row r="4" ht="72.5" customHeight="1" s="76">
      <c r="A4" s="23" t="inlineStr">
        <is>
          <t>تاپیکو</t>
        </is>
      </c>
      <c r="B4" s="23" t="inlineStr">
        <is>
          <t>TAPICO(تاپیکو)</t>
        </is>
      </c>
      <c r="C4" s="23" t="inlineStr">
        <is>
          <t>Cutoff 1403/12/29</t>
        </is>
      </c>
      <c r="D4" s="23" t="inlineStr">
        <is>
          <t>سرمایه‌گذاری تأمین اجتماعی (شستا)</t>
        </is>
      </c>
      <c r="E4" s="23" t="inlineStr">
        <is>
          <t>عبدالکریم پهلوانی</t>
        </is>
      </c>
      <c r="F4" s="23" t="inlineStr">
        <is>
          <t>نایب رئیس (موظف)</t>
        </is>
      </c>
      <c r="G4" s="23" t="inlineStr">
        <is>
          <t>پیش از Cutoff 1403/12/29 یا نامشخص</t>
        </is>
      </c>
      <c r="H4" s="23" t="inlineStr">
        <is>
          <t>1403/12/04</t>
        </is>
      </c>
      <c r="I4" s="23" t="inlineStr">
        <is>
          <t>در Type19 مذکور</t>
        </is>
      </c>
      <c r="J4" s="23" t="inlineStr">
        <is>
          <t>در Type19 مذکور</t>
        </is>
      </c>
      <c r="K4" s="23" t="n"/>
      <c r="L4" s="23" t="inlineStr">
        <is>
          <t>خروج/جایگزینی 1404/06/26</t>
        </is>
      </c>
      <c r="M4" s="23" t="n"/>
      <c r="N4" s="23" t="inlineStr">
        <is>
          <t>تغییر نماینده حقیقی با شخص حقوقی ثابت</t>
        </is>
      </c>
      <c r="O4" s="23" t="inlineStr">
        <is>
          <t>معرفی /تغییر در ترکیب اعضای هیئت مدیره/مدیر عامل</t>
        </is>
      </c>
      <c r="P4" s="23" t="inlineStr">
        <is>
          <t>1403/12/04</t>
        </is>
      </c>
      <c r="Q4" s="23" t="inlineStr">
        <is>
          <t>1311653</t>
        </is>
      </c>
      <c r="R4" s="23" t="inlineStr">
        <is>
          <t>https://www.codal.ir/Reports/Decision.aspx?LetterSerial=QijK3OnJnjtoOOObOOOYV1GqeqyQ%3d%3d&amp;rt=2&amp;let=19&amp;ct=0&amp;ft=-1</t>
        </is>
      </c>
      <c r="S4" s="23" t="inlineStr">
        <is>
          <t>تاریخ گزارش به‌عنوان تاریخ انتصاب فرض نشد؛ نماینده قبلی در ۱۴۰۴/۰۱/۲۳ حذف شد (اطلاعیه ۱۳۳۳۹۷۲) و کرسی تا ۱۴۰۴/۰۶/۲۶ بدون نماینده بود؛ مقایسه Cutoff-to-Cutoff تغییر نماینده است</t>
        </is>
      </c>
    </row>
    <row r="5" ht="72.5" customHeight="1" s="76">
      <c r="A5" s="25" t="inlineStr">
        <is>
          <t>تاپیکو</t>
        </is>
      </c>
      <c r="B5" s="25" t="inlineStr">
        <is>
          <t>TAPICO(تاپیکو)</t>
        </is>
      </c>
      <c r="C5" s="25" t="inlineStr">
        <is>
          <t>Cutoff 1404/12/29</t>
        </is>
      </c>
      <c r="D5" s="25" t="inlineStr">
        <is>
          <t>سرمایه‌گذاری تأمین اجتماعی (شستا)</t>
        </is>
      </c>
      <c r="E5" s="25" t="inlineStr">
        <is>
          <t>روح‌اله شهیدی‌پور</t>
        </is>
      </c>
      <c r="F5" s="25" t="inlineStr">
        <is>
          <t>نایب رئیس و مدیرعامل (موظف)</t>
        </is>
      </c>
      <c r="G5" s="25" t="inlineStr">
        <is>
          <t>1404/06/26</t>
        </is>
      </c>
      <c r="H5" s="25" t="inlineStr">
        <is>
          <t>1404/11/06</t>
        </is>
      </c>
      <c r="I5" s="25" t="inlineStr">
        <is>
          <t>در Type19 مذکور</t>
        </is>
      </c>
      <c r="J5" s="25" t="inlineStr">
        <is>
          <t>در Type19 مذکور</t>
        </is>
      </c>
      <c r="K5" s="25" t="n"/>
      <c r="L5" s="25" t="n"/>
      <c r="M5" s="25" t="inlineStr">
        <is>
          <t>ورود 1404/06/26</t>
        </is>
      </c>
      <c r="N5" s="25" t="inlineStr">
        <is>
          <t>تغییر نماینده حقیقی با شخص حقوقی ثابت</t>
        </is>
      </c>
      <c r="O5" s="25" t="inlineStr">
        <is>
          <t>معرفی /تغییر در ترکیب اعضای هیئت مدیره/مدیر عامل(اصلاحیه)</t>
        </is>
      </c>
      <c r="P5" s="25" t="inlineStr">
        <is>
          <t>1404/11/06</t>
        </is>
      </c>
      <c r="Q5" s="25" t="inlineStr">
        <is>
          <t>1477918</t>
        </is>
      </c>
      <c r="R5" s="25" t="inlineStr">
        <is>
          <t>https://www.codal.ir/Reports/Decision.aspx?LetterSerial=Exef5qCkFaU4GYSKSR3wjg%3d%3d&amp;rt=2&amp;let=19&amp;ct=0&amp;ft=-1</t>
        </is>
      </c>
      <c r="S5" s="25" t="inlineStr">
        <is>
          <t>تاریخ گزارش به‌عنوان تاریخ انتصاب فرض نشد؛ نماینده قبلی در ۱۴۰۴/۰۱/۲۳ حذف شد (اطلاعیه ۱۳۳۳۹۷۲) و کرسی تا ۱۴۰۴/۰۶/۲۶ بدون نماینده بود؛ مقایسه Cutoff-to-Cutoff تغییر نماینده است</t>
        </is>
      </c>
    </row>
    <row r="6" ht="43.5" customHeight="1" s="76">
      <c r="A6" s="23" t="inlineStr">
        <is>
          <t>تاپیکو</t>
        </is>
      </c>
      <c r="B6" s="23" t="inlineStr">
        <is>
          <t>TAPICO(تاپیکو)</t>
        </is>
      </c>
      <c r="C6" s="23" t="inlineStr">
        <is>
          <t>Cutoff 1403/12/29</t>
        </is>
      </c>
      <c r="D6" s="23" t="inlineStr">
        <is>
          <t>سرمایه‌گذاری صبا تأمین</t>
        </is>
      </c>
      <c r="E6" s="23" t="inlineStr">
        <is>
          <t>اکبر محققی</t>
        </is>
      </c>
      <c r="F6" s="23" t="inlineStr">
        <is>
          <t>عضو (غیرموظف)</t>
        </is>
      </c>
      <c r="G6" s="23" t="inlineStr">
        <is>
          <t>پیش از Cutoff 1403/12/29 یا نامشخص</t>
        </is>
      </c>
      <c r="H6" s="23" t="inlineStr">
        <is>
          <t>1403/12/04</t>
        </is>
      </c>
      <c r="I6" s="23" t="inlineStr">
        <is>
          <t>در Type19 مذکور</t>
        </is>
      </c>
      <c r="J6" s="23" t="inlineStr">
        <is>
          <t>در Type19 مذکور</t>
        </is>
      </c>
      <c r="K6" s="23" t="n"/>
      <c r="L6" s="23" t="inlineStr">
        <is>
          <t>خروج/جایگزینی 1404/05/01</t>
        </is>
      </c>
      <c r="M6" s="23" t="n"/>
      <c r="N6" s="23" t="inlineStr">
        <is>
          <t>تغییر نماینده حقیقی با شخص حقوقی ثابت</t>
        </is>
      </c>
      <c r="O6" s="23" t="inlineStr">
        <is>
          <t>معرفی /تغییر در ترکیب اعضای هیئت مدیره/مدیر عامل</t>
        </is>
      </c>
      <c r="P6" s="23" t="inlineStr">
        <is>
          <t>1403/12/04</t>
        </is>
      </c>
      <c r="Q6" s="23" t="inlineStr">
        <is>
          <t>1311653</t>
        </is>
      </c>
      <c r="R6" s="23" t="inlineStr">
        <is>
          <t>https://www.codal.ir/Reports/Decision.aspx?LetterSerial=QijK3OnJnjtoOOObOOOYV1GqeqyQ%3d%3d&amp;rt=2&amp;let=19&amp;ct=0&amp;ft=-1</t>
        </is>
      </c>
      <c r="S6" s="23" t="inlineStr">
        <is>
          <t>تاریخ گزارش به‌عنوان تاریخ انتصاب فرض نشد</t>
        </is>
      </c>
    </row>
    <row r="7" ht="43.5" customHeight="1" s="76">
      <c r="A7" s="25" t="inlineStr">
        <is>
          <t>تاپیکو</t>
        </is>
      </c>
      <c r="B7" s="25" t="inlineStr">
        <is>
          <t>TAPICO(تاپیکو)</t>
        </is>
      </c>
      <c r="C7" s="25" t="inlineStr">
        <is>
          <t>Cutoff 1404/12/29</t>
        </is>
      </c>
      <c r="D7" s="25" t="inlineStr">
        <is>
          <t>سرمایه‌گذاری صبا تأمین</t>
        </is>
      </c>
      <c r="E7" s="25" t="inlineStr">
        <is>
          <t>کمیل پورضیائی</t>
        </is>
      </c>
      <c r="F7" s="25" t="inlineStr">
        <is>
          <t>عضو (غیرموظف)</t>
        </is>
      </c>
      <c r="G7" s="25" t="inlineStr">
        <is>
          <t>1404/05/01</t>
        </is>
      </c>
      <c r="H7" s="25" t="inlineStr">
        <is>
          <t>1404/11/06</t>
        </is>
      </c>
      <c r="I7" s="25" t="inlineStr">
        <is>
          <t>در Type19 مذکور</t>
        </is>
      </c>
      <c r="J7" s="25" t="inlineStr">
        <is>
          <t>در Type19 مذکور</t>
        </is>
      </c>
      <c r="K7" s="25" t="n"/>
      <c r="L7" s="25" t="n"/>
      <c r="M7" s="25" t="inlineStr">
        <is>
          <t>ورود 1404/05/01</t>
        </is>
      </c>
      <c r="N7" s="25" t="inlineStr">
        <is>
          <t>تغییر نماینده حقیقی با شخص حقوقی ثابت</t>
        </is>
      </c>
      <c r="O7" s="25" t="inlineStr">
        <is>
          <t>معرفی /تغییر در ترکیب اعضای هیئت مدیره/مدیر عامل(اصلاحیه)</t>
        </is>
      </c>
      <c r="P7" s="25" t="inlineStr">
        <is>
          <t>1404/11/06</t>
        </is>
      </c>
      <c r="Q7" s="25" t="inlineStr">
        <is>
          <t>1477918</t>
        </is>
      </c>
      <c r="R7" s="25" t="inlineStr">
        <is>
          <t>https://www.codal.ir/Reports/Decision.aspx?LetterSerial=Exef5qCkFaU4GYSKSR3wjg%3d%3d&amp;rt=2&amp;let=19&amp;ct=0&amp;ft=-1</t>
        </is>
      </c>
      <c r="S7" s="25" t="inlineStr">
        <is>
          <t>تاریخ گزارش به‌عنوان تاریخ انتصاب فرض نشد</t>
        </is>
      </c>
    </row>
    <row r="8" ht="58" customHeight="1" s="76">
      <c r="A8" s="23" t="inlineStr">
        <is>
          <t>تاپیکو</t>
        </is>
      </c>
      <c r="B8" s="23" t="inlineStr">
        <is>
          <t>TAPICO(تاپیکو)</t>
        </is>
      </c>
      <c r="C8" s="23" t="inlineStr">
        <is>
          <t>Cutoff 1403/12/29</t>
        </is>
      </c>
      <c r="D8" s="23" t="inlineStr">
        <is>
          <t>سرمایه‌گذاری صدر تأمین</t>
        </is>
      </c>
      <c r="E8" s="23" t="inlineStr">
        <is>
          <t>محمدمهدی رحمتی</t>
        </is>
      </c>
      <c r="F8" s="23" t="inlineStr">
        <is>
          <t>عضو (غیرموظف)</t>
        </is>
      </c>
      <c r="G8" s="23" t="inlineStr">
        <is>
          <t>پیش از Cutoff 1403/12/29 یا نامشخص</t>
        </is>
      </c>
      <c r="H8" s="23" t="inlineStr">
        <is>
          <t>1403/12/04</t>
        </is>
      </c>
      <c r="I8" s="23" t="inlineStr">
        <is>
          <t>در Type19 مذکور</t>
        </is>
      </c>
      <c r="J8" s="23" t="inlineStr">
        <is>
          <t>در Type19 مذکور</t>
        </is>
      </c>
      <c r="K8" s="23" t="inlineStr">
        <is>
          <t>ادامه تا Cutoff بعد</t>
        </is>
      </c>
      <c r="L8" s="23" t="n"/>
      <c r="M8" s="23" t="n"/>
      <c r="N8" s="23" t="inlineStr">
        <is>
          <t>تغییر سمت فقط (Turnover نیست)</t>
        </is>
      </c>
      <c r="O8" s="23" t="inlineStr">
        <is>
          <t>معرفی /تغییر در ترکیب اعضای هیئت مدیره/مدیر عامل</t>
        </is>
      </c>
      <c r="P8" s="23" t="inlineStr">
        <is>
          <t>1403/12/04</t>
        </is>
      </c>
      <c r="Q8" s="23" t="inlineStr">
        <is>
          <t>1311653</t>
        </is>
      </c>
      <c r="R8" s="23" t="inlineStr">
        <is>
          <t>https://www.codal.ir/Reports/Decision.aspx?LetterSerial=QijK3OnJnjtoOOObOOOYV1GqeqyQ%3d%3d&amp;rt=2&amp;let=19&amp;ct=0&amp;ft=-1</t>
        </is>
      </c>
      <c r="S8" s="23" t="inlineStr">
        <is>
          <t>تاریخ گزارش به‌عنوان تاریخ انتصاب فرض نشد؛ رحمتی از ۱۴۰۳/۱۲/۰۴ نماینده این کرسی است (جایگزین علی سیفیان) یعنی پیش از Cutoff مبنا</t>
        </is>
      </c>
    </row>
    <row r="9" ht="58" customHeight="1" s="76">
      <c r="A9" s="25" t="inlineStr">
        <is>
          <t>تاپیکو</t>
        </is>
      </c>
      <c r="B9" s="25" t="inlineStr">
        <is>
          <t>TAPICO(تاپیکو)</t>
        </is>
      </c>
      <c r="C9" s="25" t="inlineStr">
        <is>
          <t>Cutoff 1404/12/29</t>
        </is>
      </c>
      <c r="D9" s="25" t="inlineStr">
        <is>
          <t>سرمایه‌گذاری صدر تأمین</t>
        </is>
      </c>
      <c r="E9" s="25" t="inlineStr">
        <is>
          <t>محمدمهدی رحمتی</t>
        </is>
      </c>
      <c r="F9" s="25" t="inlineStr">
        <is>
          <t>رئیس هیئت مدیره (غیرموظف)</t>
        </is>
      </c>
      <c r="G9" s="25" t="inlineStr">
        <is>
          <t>پیش از Cutoff 1403/12/29 یا نامشخص</t>
        </is>
      </c>
      <c r="H9" s="25" t="inlineStr">
        <is>
          <t>1404/11/06</t>
        </is>
      </c>
      <c r="I9" s="25" t="inlineStr">
        <is>
          <t>در Type19 مذکور</t>
        </is>
      </c>
      <c r="J9" s="25" t="inlineStr">
        <is>
          <t>در Type19 مذکور</t>
        </is>
      </c>
      <c r="K9" s="25" t="inlineStr">
        <is>
          <t>ادامه</t>
        </is>
      </c>
      <c r="L9" s="25" t="n"/>
      <c r="M9" s="25" t="n"/>
      <c r="N9" s="25" t="inlineStr">
        <is>
          <t>تغییر سمت فقط (Turnover نیست)</t>
        </is>
      </c>
      <c r="O9" s="25" t="inlineStr">
        <is>
          <t>معرفی /تغییر در ترکیب اعضای هیئت مدیره/مدیر عامل(اصلاحیه)</t>
        </is>
      </c>
      <c r="P9" s="25" t="inlineStr">
        <is>
          <t>1404/11/06</t>
        </is>
      </c>
      <c r="Q9" s="25" t="inlineStr">
        <is>
          <t>1477918</t>
        </is>
      </c>
      <c r="R9" s="25" t="inlineStr">
        <is>
          <t>https://www.codal.ir/Reports/Decision.aspx?LetterSerial=Exef5qCkFaU4GYSKSR3wjg%3d%3d&amp;rt=2&amp;let=19&amp;ct=0&amp;ft=-1</t>
        </is>
      </c>
      <c r="S9" s="25" t="inlineStr">
        <is>
          <t>تاریخ گزارش به‌عنوان تاریخ انتصاب فرض نشد؛ رحمتی از ۱۴۰۳/۱۲/۰۴ نماینده این کرسی است (جایگزین علی سیفیان) یعنی پیش از Cutoff مبنا</t>
        </is>
      </c>
    </row>
    <row r="10" ht="43.5" customHeight="1" s="76">
      <c r="A10" s="23" t="inlineStr">
        <is>
          <t>تاپیکو</t>
        </is>
      </c>
      <c r="B10" s="23" t="inlineStr">
        <is>
          <t>TAPICO(تاپیکو)</t>
        </is>
      </c>
      <c r="C10" s="23" t="inlineStr">
        <is>
          <t>Cutoff 1403/12/29</t>
        </is>
      </c>
      <c r="D10" s="23" t="inlineStr">
        <is>
          <t>سرمایه‌گذاری سیمان تأمین</t>
        </is>
      </c>
      <c r="E10" s="23" t="inlineStr">
        <is>
          <t>هوشنگ ایزدی</t>
        </is>
      </c>
      <c r="F10" s="23" t="inlineStr">
        <is>
          <t>عضو (غیرموظف)</t>
        </is>
      </c>
      <c r="G10" s="23" t="inlineStr">
        <is>
          <t>پیش از Cutoff 1403/12/29 یا نامشخص</t>
        </is>
      </c>
      <c r="H10" s="23" t="inlineStr">
        <is>
          <t>1403/12/04</t>
        </is>
      </c>
      <c r="I10" s="23" t="inlineStr">
        <is>
          <t>در Type19 مذکور</t>
        </is>
      </c>
      <c r="J10" s="23" t="inlineStr">
        <is>
          <t>در Type19 مذکور</t>
        </is>
      </c>
      <c r="K10" s="23" t="inlineStr">
        <is>
          <t>ادامه تا Cutoff بعد</t>
        </is>
      </c>
      <c r="L10" s="23" t="n"/>
      <c r="M10" s="23" t="n"/>
      <c r="N10" s="23" t="inlineStr">
        <is>
          <t>بدون تغییر</t>
        </is>
      </c>
      <c r="O10" s="23" t="inlineStr">
        <is>
          <t>معرفی /تغییر در ترکیب اعضای هیئت مدیره/مدیر عامل</t>
        </is>
      </c>
      <c r="P10" s="23" t="inlineStr">
        <is>
          <t>1403/12/04</t>
        </is>
      </c>
      <c r="Q10" s="23" t="inlineStr">
        <is>
          <t>1311653</t>
        </is>
      </c>
      <c r="R10" s="23" t="inlineStr">
        <is>
          <t>https://www.codal.ir/Reports/Decision.aspx?LetterSerial=QijK3OnJnjtoOOObOOOYV1GqeqyQ%3d%3d&amp;rt=2&amp;let=19&amp;ct=0&amp;ft=-1</t>
        </is>
      </c>
      <c r="S10" s="23" t="inlineStr">
        <is>
          <t>تاریخ گزارش به‌عنوان تاریخ انتصاب فرض نشد؛ سمت میانی نایب رئیس (۱۴۰۴/۰۵/۰۱ تا ۱۴۰۴/۰۶/۲۶)؛ فقط تغییر سمت</t>
        </is>
      </c>
    </row>
    <row r="11" ht="43.5" customHeight="1" s="76">
      <c r="A11" s="25" t="inlineStr">
        <is>
          <t>تاپیکو</t>
        </is>
      </c>
      <c r="B11" s="25" t="inlineStr">
        <is>
          <t>TAPICO(تاپیکو)</t>
        </is>
      </c>
      <c r="C11" s="25" t="inlineStr">
        <is>
          <t>Cutoff 1404/12/29</t>
        </is>
      </c>
      <c r="D11" s="25" t="inlineStr">
        <is>
          <t>سرمایه‌گذاری سیمان تأمین</t>
        </is>
      </c>
      <c r="E11" s="25" t="inlineStr">
        <is>
          <t>هوشنگ ایزدی</t>
        </is>
      </c>
      <c r="F11" s="25" t="inlineStr">
        <is>
          <t>عضو (غیرموظف)</t>
        </is>
      </c>
      <c r="G11" s="25" t="inlineStr">
        <is>
          <t>پیش از Cutoff 1403/12/29 یا نامشخص</t>
        </is>
      </c>
      <c r="H11" s="25" t="inlineStr">
        <is>
          <t>1404/11/06</t>
        </is>
      </c>
      <c r="I11" s="25" t="inlineStr">
        <is>
          <t>در Type19 مذکور</t>
        </is>
      </c>
      <c r="J11" s="25" t="inlineStr">
        <is>
          <t>در Type19 مذکور</t>
        </is>
      </c>
      <c r="K11" s="25" t="inlineStr">
        <is>
          <t>ادامه</t>
        </is>
      </c>
      <c r="L11" s="25" t="n"/>
      <c r="M11" s="25" t="n"/>
      <c r="N11" s="25" t="inlineStr">
        <is>
          <t>بدون تغییر</t>
        </is>
      </c>
      <c r="O11" s="25" t="inlineStr">
        <is>
          <t>معرفی /تغییر در ترکیب اعضای هیئت مدیره/مدیر عامل(اصلاحیه)</t>
        </is>
      </c>
      <c r="P11" s="25" t="inlineStr">
        <is>
          <t>1404/11/06</t>
        </is>
      </c>
      <c r="Q11" s="25" t="inlineStr">
        <is>
          <t>1477918</t>
        </is>
      </c>
      <c r="R11" s="25" t="inlineStr">
        <is>
          <t>https://www.codal.ir/Reports/Decision.aspx?LetterSerial=Exef5qCkFaU4GYSKSR3wjg%3d%3d&amp;rt=2&amp;let=19&amp;ct=0&amp;ft=-1</t>
        </is>
      </c>
      <c r="S11" s="25" t="inlineStr">
        <is>
          <t>تاریخ گزارش به‌عنوان تاریخ انتصاب فرض نشد؛ سمت میانی نایب رئیس (۱۴۰۴/۰۵/۰۱ تا ۱۴۰۴/۰۶/۲۶)؛ فقط تغییر سمت</t>
        </is>
      </c>
    </row>
    <row r="12" ht="43.5" customHeight="1" s="76">
      <c r="A12" s="23" t="inlineStr">
        <is>
          <t>تاپیکو</t>
        </is>
      </c>
      <c r="B12" s="23" t="inlineStr">
        <is>
          <t>TAPICO(تاپیکو)</t>
        </is>
      </c>
      <c r="C12" s="23" t="inlineStr">
        <is>
          <t>Cutoff 1403/12/29</t>
        </is>
      </c>
      <c r="D12" s="23" t="inlineStr">
        <is>
          <t>سرمایه‌گذاری داروئی تأمین</t>
        </is>
      </c>
      <c r="E12" s="23" t="inlineStr">
        <is>
          <t>جعفر ربیعی</t>
        </is>
      </c>
      <c r="F12" s="23" t="inlineStr">
        <is>
          <t>رئیس هیئت مدیره (غیرموظف)</t>
        </is>
      </c>
      <c r="G12" s="23" t="inlineStr">
        <is>
          <t>پیش از Cutoff 1403/12/29 یا نامشخص</t>
        </is>
      </c>
      <c r="H12" s="23" t="inlineStr">
        <is>
          <t>1403/12/04</t>
        </is>
      </c>
      <c r="I12" s="23" t="inlineStr">
        <is>
          <t>در Type19 مذکور</t>
        </is>
      </c>
      <c r="J12" s="23" t="inlineStr">
        <is>
          <t>در Type19 مذکور</t>
        </is>
      </c>
      <c r="K12" s="23" t="n"/>
      <c r="L12" s="23" t="inlineStr">
        <is>
          <t>خروج/جایگزینی 1404/06/26</t>
        </is>
      </c>
      <c r="M12" s="23" t="n"/>
      <c r="N12" s="23" t="inlineStr">
        <is>
          <t>تغییر نماینده حقیقی با شخص حقوقی ثابت</t>
        </is>
      </c>
      <c r="O12" s="23" t="inlineStr">
        <is>
          <t>معرفی /تغییر در ترکیب اعضای هیئت مدیره/مدیر عامل</t>
        </is>
      </c>
      <c r="P12" s="23" t="inlineStr">
        <is>
          <t>1403/12/04</t>
        </is>
      </c>
      <c r="Q12" s="23" t="inlineStr">
        <is>
          <t>1311653</t>
        </is>
      </c>
      <c r="R12" s="23" t="inlineStr">
        <is>
          <t>https://www.codal.ir/Reports/Decision.aspx?LetterSerial=QijK3OnJnjtoOOObOOOYV1GqeqyQ%3d%3d&amp;rt=2&amp;let=19&amp;ct=0&amp;ft=-1</t>
        </is>
      </c>
      <c r="S12" s="23" t="inlineStr">
        <is>
          <t>تاریخ گزارش به‌عنوان تاریخ انتصاب فرض نشد؛ ربیعی رئیس بود؛ رئیس هیئت مدیره از ربیعی به رحمتی تغییر کرد</t>
        </is>
      </c>
    </row>
    <row r="13" ht="43.5" customHeight="1" s="76">
      <c r="A13" s="25" t="inlineStr">
        <is>
          <t>تاپیکو</t>
        </is>
      </c>
      <c r="B13" s="25" t="inlineStr">
        <is>
          <t>TAPICO(تاپیکو)</t>
        </is>
      </c>
      <c r="C13" s="25" t="inlineStr">
        <is>
          <t>Cutoff 1404/12/29</t>
        </is>
      </c>
      <c r="D13" s="25" t="inlineStr">
        <is>
          <t>سرمایه‌گذاری داروئی تأمین</t>
        </is>
      </c>
      <c r="E13" s="25" t="inlineStr">
        <is>
          <t>محمدحسین صابر</t>
        </is>
      </c>
      <c r="F13" s="25" t="inlineStr">
        <is>
          <t>عضو (غیرموظف)</t>
        </is>
      </c>
      <c r="G13" s="25" t="inlineStr">
        <is>
          <t>1404/06/26</t>
        </is>
      </c>
      <c r="H13" s="25" t="inlineStr">
        <is>
          <t>1404/11/06</t>
        </is>
      </c>
      <c r="I13" s="25" t="inlineStr">
        <is>
          <t>در Type19 مذکور</t>
        </is>
      </c>
      <c r="J13" s="25" t="inlineStr">
        <is>
          <t>در Type19 مذکور</t>
        </is>
      </c>
      <c r="K13" s="25" t="n"/>
      <c r="L13" s="25" t="n"/>
      <c r="M13" s="25" t="inlineStr">
        <is>
          <t>ورود 1404/06/26</t>
        </is>
      </c>
      <c r="N13" s="25" t="inlineStr">
        <is>
          <t>تغییر نماینده حقیقی با شخص حقوقی ثابت</t>
        </is>
      </c>
      <c r="O13" s="25" t="inlineStr">
        <is>
          <t>معرفی /تغییر در ترکیب اعضای هیئت مدیره/مدیر عامل(اصلاحیه)</t>
        </is>
      </c>
      <c r="P13" s="25" t="inlineStr">
        <is>
          <t>1404/11/06</t>
        </is>
      </c>
      <c r="Q13" s="25" t="inlineStr">
        <is>
          <t>1477918</t>
        </is>
      </c>
      <c r="R13" s="25" t="inlineStr">
        <is>
          <t>https://www.codal.ir/Reports/Decision.aspx?LetterSerial=Exef5qCkFaU4GYSKSR3wjg%3d%3d&amp;rt=2&amp;let=19&amp;ct=0&amp;ft=-1</t>
        </is>
      </c>
      <c r="S13" s="25" t="inlineStr">
        <is>
          <t>تاریخ گزارش به‌عنوان تاریخ انتصاب فرض نشد؛ ربیعی رئیس بود؛ رئیس هیئت مدیره از ربیعی به رحمتی تغییر کرد</t>
        </is>
      </c>
    </row>
    <row r="14" ht="43.5" customHeight="1" s="76">
      <c r="A14" s="23" t="inlineStr">
        <is>
          <t>کچاد</t>
        </is>
      </c>
      <c r="B14" s="23" t="inlineStr">
        <is>
          <t>کچاد</t>
        </is>
      </c>
      <c r="C14" s="23" t="inlineStr">
        <is>
          <t>Cutoff 1403/12/29</t>
        </is>
      </c>
      <c r="D14" s="23" t="inlineStr">
        <is>
          <t>گروه مدیریت سرمایه‌گذاری امید</t>
        </is>
      </c>
      <c r="E14" s="23" t="inlineStr">
        <is>
          <t>محمود صلاحی</t>
        </is>
      </c>
      <c r="F14" s="23" t="inlineStr">
        <is>
          <t>رئیس هیئت مدیره (غیرموظف)</t>
        </is>
      </c>
      <c r="G14" s="23" t="inlineStr">
        <is>
          <t>پیش از Cutoff 1403/12/29 یا نامشخص</t>
        </is>
      </c>
      <c r="H14" s="23" t="inlineStr">
        <is>
          <t>1403/10/05</t>
        </is>
      </c>
      <c r="I14" s="23" t="inlineStr">
        <is>
          <t>در Type19 مذکور</t>
        </is>
      </c>
      <c r="J14" s="23" t="inlineStr">
        <is>
          <t>در Type19 مذکور</t>
        </is>
      </c>
      <c r="K14" s="23" t="n"/>
      <c r="L14" s="23" t="inlineStr">
        <is>
          <t>خروج/جایگزینی 1404/02/24</t>
        </is>
      </c>
      <c r="M14" s="23" t="n"/>
      <c r="N14" s="23" t="inlineStr">
        <is>
          <t>تغییر نماینده حقیقی با شخص حقوقی ثابت</t>
        </is>
      </c>
      <c r="O14" s="23" t="inlineStr">
        <is>
          <t>معرفی /تغییر در ترکیب اعضای هیئت مدیره/مدیر عامل</t>
        </is>
      </c>
      <c r="P14" s="23" t="inlineStr">
        <is>
          <t>1403/10/05</t>
        </is>
      </c>
      <c r="Q14" s="23" t="inlineStr">
        <is>
          <t>1287746</t>
        </is>
      </c>
      <c r="R14" s="23" t="inlineStr">
        <is>
          <t>https://www.codal.ir/Reports/Decision.aspx?LetterSerial=v9VDr2f0BIJNqKEnWy6Rug%3d%3d&amp;rt=0&amp;let=19&amp;ct=0&amp;ft=-1</t>
        </is>
      </c>
      <c r="S14" s="23" t="inlineStr">
        <is>
          <t>تاریخ گزارش به‌عنوان تاریخ انتصاب فرض نشد؛ تغییر رئیس هیئت مدیره (صلاحی→تابش)</t>
        </is>
      </c>
    </row>
    <row r="15" ht="43.5" customHeight="1" s="76">
      <c r="A15" s="25" t="inlineStr">
        <is>
          <t>کچاد</t>
        </is>
      </c>
      <c r="B15" s="25" t="inlineStr">
        <is>
          <t>کچاد</t>
        </is>
      </c>
      <c r="C15" s="25" t="inlineStr">
        <is>
          <t>Cutoff 1404/12/29</t>
        </is>
      </c>
      <c r="D15" s="25" t="inlineStr">
        <is>
          <t>گروه مدیریت سرمایه‌گذاری امید</t>
        </is>
      </c>
      <c r="E15" s="25" t="inlineStr">
        <is>
          <t>محمدرضا تابش</t>
        </is>
      </c>
      <c r="F15" s="25" t="inlineStr">
        <is>
          <t>رئیس هیئت مدیره (غیرموظف)</t>
        </is>
      </c>
      <c r="G15" s="25" t="inlineStr">
        <is>
          <t>1404/02/24</t>
        </is>
      </c>
      <c r="H15" s="25" t="inlineStr">
        <is>
          <t>1404/10/29</t>
        </is>
      </c>
      <c r="I15" s="25" t="inlineStr">
        <is>
          <t>در Type19 مذکور</t>
        </is>
      </c>
      <c r="J15" s="25" t="inlineStr">
        <is>
          <t>در Type19 مذکور</t>
        </is>
      </c>
      <c r="K15" s="25" t="n"/>
      <c r="L15" s="25" t="n"/>
      <c r="M15" s="25" t="inlineStr">
        <is>
          <t>ورود 1404/02/24</t>
        </is>
      </c>
      <c r="N15" s="25" t="inlineStr">
        <is>
          <t>تغییر نماینده حقیقی با شخص حقوقی ثابت</t>
        </is>
      </c>
      <c r="O15" s="25" t="inlineStr">
        <is>
          <t>معرفی /تغییر در ترکیب اعضای هیئت مدیره/مدیر عامل</t>
        </is>
      </c>
      <c r="P15" s="25" t="inlineStr">
        <is>
          <t>1404/10/29</t>
        </is>
      </c>
      <c r="Q15" s="25" t="inlineStr">
        <is>
          <t>1473973</t>
        </is>
      </c>
      <c r="R15" s="25" t="inlineStr">
        <is>
          <t>https://www.codal.ir/Reports/Decision.aspx?LetterSerial=XPg1kJyBIkadWnCXHnsdKg%3d%3d&amp;rt=0&amp;let=19&amp;ct=0&amp;ft=-1</t>
        </is>
      </c>
      <c r="S15" s="25" t="inlineStr">
        <is>
          <t>تاریخ گزارش به‌عنوان تاریخ انتصاب فرض نشد؛ تغییر رئیس هیئت مدیره (صلاحی→تابش)</t>
        </is>
      </c>
    </row>
    <row r="16" ht="58" customHeight="1" s="76">
      <c r="A16" s="23" t="inlineStr">
        <is>
          <t>کچاد</t>
        </is>
      </c>
      <c r="B16" s="23" t="inlineStr">
        <is>
          <t>کچاد</t>
        </is>
      </c>
      <c r="C16" s="23" t="inlineStr">
        <is>
          <t>Cutoff 1403/12/29</t>
        </is>
      </c>
      <c r="D16" s="23" t="inlineStr">
        <is>
          <t>سرمایه‌گذاری توسعه معادن و فلزات</t>
        </is>
      </c>
      <c r="E16" s="23" t="inlineStr">
        <is>
          <t>فرید دهقانی</t>
        </is>
      </c>
      <c r="F16" s="23" t="inlineStr">
        <is>
          <t>عضو و مدیرعامل (موظف)</t>
        </is>
      </c>
      <c r="G16" s="23" t="inlineStr">
        <is>
          <t>پیش از Cutoff 1403/12/29 یا نامشخص</t>
        </is>
      </c>
      <c r="H16" s="23" t="inlineStr">
        <is>
          <t>1403/10/05</t>
        </is>
      </c>
      <c r="I16" s="23" t="inlineStr">
        <is>
          <t>در Type19 مذکور</t>
        </is>
      </c>
      <c r="J16" s="23" t="inlineStr">
        <is>
          <t>در Type19 مذکور</t>
        </is>
      </c>
      <c r="K16" s="23" t="inlineStr">
        <is>
          <t>ادامه تا Cutoff بعد</t>
        </is>
      </c>
      <c r="L16" s="23" t="n"/>
      <c r="M16" s="23" t="n"/>
      <c r="N16" s="23" t="inlineStr">
        <is>
          <t>بدون تغییر</t>
        </is>
      </c>
      <c r="O16" s="23" t="inlineStr">
        <is>
          <t>معرفی /تغییر در ترکیب اعضای هیئت مدیره/مدیر عامل</t>
        </is>
      </c>
      <c r="P16" s="23" t="inlineStr">
        <is>
          <t>1403/10/05</t>
        </is>
      </c>
      <c r="Q16" s="23" t="inlineStr">
        <is>
          <t>1287746</t>
        </is>
      </c>
      <c r="R16" s="23" t="inlineStr">
        <is>
          <t>https://www.codal.ir/Reports/Decision.aspx?LetterSerial=v9VDr2f0BIJNqKEnWy6Rug%3d%3d&amp;rt=0&amp;let=19&amp;ct=0&amp;ft=-1</t>
        </is>
      </c>
      <c r="S16" s="23" t="inlineStr">
        <is>
          <t>تاریخ گزارش به‌عنوان تاریخ انتصاب فرض نشد؛ نسخه اولیه ۱۳۴۳۲۳۷ به اشتباه «فاقد نماینده» داشت؛ اصلاحیه ۱۳۴۵۷۹۸ نماینده را حفظ کرد</t>
        </is>
      </c>
    </row>
    <row r="17" ht="58" customHeight="1" s="76">
      <c r="A17" s="25" t="inlineStr">
        <is>
          <t>کچاد</t>
        </is>
      </c>
      <c r="B17" s="25" t="inlineStr">
        <is>
          <t>کچاد</t>
        </is>
      </c>
      <c r="C17" s="25" t="inlineStr">
        <is>
          <t>Cutoff 1404/12/29</t>
        </is>
      </c>
      <c r="D17" s="25" t="inlineStr">
        <is>
          <t>سرمایه‌گذاری توسعه معادن و فلزات</t>
        </is>
      </c>
      <c r="E17" s="25" t="inlineStr">
        <is>
          <t>فرید دهقانی</t>
        </is>
      </c>
      <c r="F17" s="25" t="inlineStr">
        <is>
          <t>عضو و مدیرعامل (موظف)</t>
        </is>
      </c>
      <c r="G17" s="25" t="inlineStr">
        <is>
          <t>پیش از Cutoff 1403/12/29 یا نامشخص</t>
        </is>
      </c>
      <c r="H17" s="25" t="inlineStr">
        <is>
          <t>1404/10/29</t>
        </is>
      </c>
      <c r="I17" s="25" t="inlineStr">
        <is>
          <t>در Type19 مذکور</t>
        </is>
      </c>
      <c r="J17" s="25" t="inlineStr">
        <is>
          <t>در Type19 مذکور</t>
        </is>
      </c>
      <c r="K17" s="25" t="inlineStr">
        <is>
          <t>ادامه</t>
        </is>
      </c>
      <c r="L17" s="25" t="n"/>
      <c r="M17" s="25" t="n"/>
      <c r="N17" s="25" t="inlineStr">
        <is>
          <t>بدون تغییر</t>
        </is>
      </c>
      <c r="O17" s="25" t="inlineStr">
        <is>
          <t>معرفی /تغییر در ترکیب اعضای هیئت مدیره/مدیر عامل</t>
        </is>
      </c>
      <c r="P17" s="25" t="inlineStr">
        <is>
          <t>1404/10/29</t>
        </is>
      </c>
      <c r="Q17" s="25" t="inlineStr">
        <is>
          <t>1473973</t>
        </is>
      </c>
      <c r="R17" s="25" t="inlineStr">
        <is>
          <t>https://www.codal.ir/Reports/Decision.aspx?LetterSerial=XPg1kJyBIkadWnCXHnsdKg%3d%3d&amp;rt=0&amp;let=19&amp;ct=0&amp;ft=-1</t>
        </is>
      </c>
      <c r="S17" s="25" t="inlineStr">
        <is>
          <t>تاریخ گزارش به‌عنوان تاریخ انتصاب فرض نشد؛ نسخه اولیه ۱۳۴۳۲۳۷ به اشتباه «فاقد نماینده» داشت؛ اصلاحیه ۱۳۴۵۷۹۸ نماینده را حفظ کرد</t>
        </is>
      </c>
    </row>
    <row r="18" ht="72.5" customHeight="1" s="76">
      <c r="A18" s="23" t="inlineStr">
        <is>
          <t>کچاد</t>
        </is>
      </c>
      <c r="B18" s="23" t="inlineStr">
        <is>
          <t>کچاد</t>
        </is>
      </c>
      <c r="C18" s="23" t="inlineStr">
        <is>
          <t>Cutoff 1403/12/29</t>
        </is>
      </c>
      <c r="D18" s="23" t="inlineStr">
        <is>
          <t>سرمایه‌گذاری سپه</t>
        </is>
      </c>
      <c r="E18" s="23" t="inlineStr">
        <is>
          <t>سعید مستشار</t>
        </is>
      </c>
      <c r="F18" s="23" t="inlineStr">
        <is>
          <t>نایب رئیس (موظف)</t>
        </is>
      </c>
      <c r="G18" s="23" t="inlineStr">
        <is>
          <t>پیش از Cutoff 1403/12/29 یا نامشخص</t>
        </is>
      </c>
      <c r="H18" s="23" t="inlineStr">
        <is>
          <t>1403/10/05</t>
        </is>
      </c>
      <c r="I18" s="23" t="inlineStr">
        <is>
          <t>در Type19 مذکور</t>
        </is>
      </c>
      <c r="J18" s="23" t="inlineStr">
        <is>
          <t>در Type19 مذکور</t>
        </is>
      </c>
      <c r="K18" s="23" t="n"/>
      <c r="L18" s="23" t="inlineStr">
        <is>
          <t>خروج/جایگزینی 1404/02/24</t>
        </is>
      </c>
      <c r="M18" s="23" t="n"/>
      <c r="N18" s="23" t="inlineStr">
        <is>
          <t>تغییر نماینده حقیقی با شخص حقوقی ثابت</t>
        </is>
      </c>
      <c r="O18" s="23" t="inlineStr">
        <is>
          <t>معرفی /تغییر در ترکیب اعضای هیئت مدیره/مدیر عامل</t>
        </is>
      </c>
      <c r="P18" s="23" t="inlineStr">
        <is>
          <t>1403/10/05</t>
        </is>
      </c>
      <c r="Q18" s="23" t="inlineStr">
        <is>
          <t>1287746</t>
        </is>
      </c>
      <c r="R18" s="23" t="inlineStr">
        <is>
          <t>https://www.codal.ir/Reports/Decision.aspx?LetterSerial=v9VDr2f0BIJNqKEnWy6Rug%3d%3d&amp;rt=0&amp;let=19&amp;ct=0&amp;ft=-1</t>
        </is>
      </c>
      <c r="S18" s="23" t="inlineStr">
        <is>
          <t>تاریخ گزارش به‌عنوان تاریخ انتصاب فرض نشد؛ دهقانان از ۱۴۰۴/۰۲/۲۴ تا ۱۴۰۴/۱۰/۲۹ نایب رئیس بود و سپس به عضو بازگشت (فقط سمت)؛ انتخاب مجدد اشخاص حقوقی مجمع ۱۴۰۴/۰۵/۰۶ عضو جدید نیست</t>
        </is>
      </c>
    </row>
    <row r="19" ht="72.5" customHeight="1" s="76">
      <c r="A19" s="25" t="inlineStr">
        <is>
          <t>کچاد</t>
        </is>
      </c>
      <c r="B19" s="25" t="inlineStr">
        <is>
          <t>کچاد</t>
        </is>
      </c>
      <c r="C19" s="25" t="inlineStr">
        <is>
          <t>Cutoff 1404/12/29</t>
        </is>
      </c>
      <c r="D19" s="25" t="inlineStr">
        <is>
          <t>سرمایه‌گذاری سپه</t>
        </is>
      </c>
      <c r="E19" s="25" t="inlineStr">
        <is>
          <t>حامد دهقانان</t>
        </is>
      </c>
      <c r="F19" s="25" t="inlineStr">
        <is>
          <t>عضو (موظف)</t>
        </is>
      </c>
      <c r="G19" s="25" t="inlineStr">
        <is>
          <t>1404/02/24</t>
        </is>
      </c>
      <c r="H19" s="25" t="inlineStr">
        <is>
          <t>1404/10/29</t>
        </is>
      </c>
      <c r="I19" s="25" t="inlineStr">
        <is>
          <t>در Type19 مذکور</t>
        </is>
      </c>
      <c r="J19" s="25" t="inlineStr">
        <is>
          <t>در Type19 مذکور</t>
        </is>
      </c>
      <c r="K19" s="25" t="n"/>
      <c r="L19" s="25" t="n"/>
      <c r="M19" s="25" t="inlineStr">
        <is>
          <t>ورود 1404/02/24</t>
        </is>
      </c>
      <c r="N19" s="25" t="inlineStr">
        <is>
          <t>تغییر نماینده حقیقی با شخص حقوقی ثابت</t>
        </is>
      </c>
      <c r="O19" s="25" t="inlineStr">
        <is>
          <t>معرفی /تغییر در ترکیب اعضای هیئت مدیره/مدیر عامل</t>
        </is>
      </c>
      <c r="P19" s="25" t="inlineStr">
        <is>
          <t>1404/10/29</t>
        </is>
      </c>
      <c r="Q19" s="25" t="inlineStr">
        <is>
          <t>1473973</t>
        </is>
      </c>
      <c r="R19" s="25" t="inlineStr">
        <is>
          <t>https://www.codal.ir/Reports/Decision.aspx?LetterSerial=XPg1kJyBIkadWnCXHnsdKg%3d%3d&amp;rt=0&amp;let=19&amp;ct=0&amp;ft=-1</t>
        </is>
      </c>
      <c r="S19" s="25" t="inlineStr">
        <is>
          <t>تاریخ گزارش به‌عنوان تاریخ انتصاب فرض نشد؛ دهقانان از ۱۴۰۴/۰۲/۲۴ تا ۱۴۰۴/۱۰/۲۹ نایب رئیس بود و سپس به عضو بازگشت (فقط سمت)؛ انتخاب مجدد اشخاص حقوقی مجمع ۱۴۰۴/۰۵/۰۶ عضو جدید نیست</t>
        </is>
      </c>
    </row>
    <row r="20" ht="43.5" customHeight="1" s="76">
      <c r="A20" s="23" t="inlineStr">
        <is>
          <t>کچاد</t>
        </is>
      </c>
      <c r="B20" s="23" t="inlineStr">
        <is>
          <t>کچاد</t>
        </is>
      </c>
      <c r="C20" s="23" t="inlineStr">
        <is>
          <t>Cutoff 1403/12/29</t>
        </is>
      </c>
      <c r="D20" s="23" t="inlineStr">
        <is>
          <t>فولاد مبارکه اصفهان</t>
        </is>
      </c>
      <c r="E20" s="23" t="inlineStr">
        <is>
          <t>مهدی آقاپوربی‌شک</t>
        </is>
      </c>
      <c r="F20" s="23" t="inlineStr">
        <is>
          <t>عضو (غیرموظف)</t>
        </is>
      </c>
      <c r="G20" s="23" t="inlineStr">
        <is>
          <t>پیش از Cutoff 1403/12/29 یا نامشخص</t>
        </is>
      </c>
      <c r="H20" s="23" t="inlineStr">
        <is>
          <t>1403/10/05</t>
        </is>
      </c>
      <c r="I20" s="23" t="inlineStr">
        <is>
          <t>در Type19 مذکور</t>
        </is>
      </c>
      <c r="J20" s="23" t="inlineStr">
        <is>
          <t>در Type19 مذکور</t>
        </is>
      </c>
      <c r="K20" s="23" t="inlineStr">
        <is>
          <t>ادامه تا Cutoff بعد</t>
        </is>
      </c>
      <c r="L20" s="23" t="n"/>
      <c r="M20" s="23" t="n"/>
      <c r="N20" s="23" t="inlineStr">
        <is>
          <t>بدون تغییر</t>
        </is>
      </c>
      <c r="O20" s="23" t="inlineStr">
        <is>
          <t>معرفی /تغییر در ترکیب اعضای هیئت مدیره/مدیر عامل</t>
        </is>
      </c>
      <c r="P20" s="23" t="inlineStr">
        <is>
          <t>1403/10/05</t>
        </is>
      </c>
      <c r="Q20" s="23" t="inlineStr">
        <is>
          <t>1287746</t>
        </is>
      </c>
      <c r="R20" s="23" t="inlineStr">
        <is>
          <t>https://www.codal.ir/Reports/Decision.aspx?LetterSerial=v9VDr2f0BIJNqKEnWy6Rug%3d%3d&amp;rt=0&amp;let=19&amp;ct=0&amp;ft=-1</t>
        </is>
      </c>
      <c r="S20" s="23" t="inlineStr">
        <is>
          <t>تاریخ گزارش به‌عنوان تاریخ انتصاب فرض نشد؛ آقاپور از ۱۴۰۳/۰۹/۲۶ نماینده است (پیش از Cutoff مبنا)</t>
        </is>
      </c>
    </row>
    <row r="21" ht="43.5" customHeight="1" s="76">
      <c r="A21" s="25" t="inlineStr">
        <is>
          <t>کچاد</t>
        </is>
      </c>
      <c r="B21" s="25" t="inlineStr">
        <is>
          <t>کچاد</t>
        </is>
      </c>
      <c r="C21" s="25" t="inlineStr">
        <is>
          <t>Cutoff 1404/12/29</t>
        </is>
      </c>
      <c r="D21" s="25" t="inlineStr">
        <is>
          <t>فولاد مبارکه اصفهان</t>
        </is>
      </c>
      <c r="E21" s="25" t="inlineStr">
        <is>
          <t>مهدی آقاپوربی‌شک</t>
        </is>
      </c>
      <c r="F21" s="25" t="inlineStr">
        <is>
          <t>عضو (غیرموظف)</t>
        </is>
      </c>
      <c r="G21" s="25" t="inlineStr">
        <is>
          <t>پیش از Cutoff 1403/12/29 یا نامشخص</t>
        </is>
      </c>
      <c r="H21" s="25" t="inlineStr">
        <is>
          <t>1404/10/29</t>
        </is>
      </c>
      <c r="I21" s="25" t="inlineStr">
        <is>
          <t>در Type19 مذکور</t>
        </is>
      </c>
      <c r="J21" s="25" t="inlineStr">
        <is>
          <t>در Type19 مذکور</t>
        </is>
      </c>
      <c r="K21" s="25" t="inlineStr">
        <is>
          <t>ادامه</t>
        </is>
      </c>
      <c r="L21" s="25" t="n"/>
      <c r="M21" s="25" t="n"/>
      <c r="N21" s="25" t="inlineStr">
        <is>
          <t>بدون تغییر</t>
        </is>
      </c>
      <c r="O21" s="25" t="inlineStr">
        <is>
          <t>معرفی /تغییر در ترکیب اعضای هیئت مدیره/مدیر عامل</t>
        </is>
      </c>
      <c r="P21" s="25" t="inlineStr">
        <is>
          <t>1404/10/29</t>
        </is>
      </c>
      <c r="Q21" s="25" t="inlineStr">
        <is>
          <t>1473973</t>
        </is>
      </c>
      <c r="R21" s="25" t="inlineStr">
        <is>
          <t>https://www.codal.ir/Reports/Decision.aspx?LetterSerial=XPg1kJyBIkadWnCXHnsdKg%3d%3d&amp;rt=0&amp;let=19&amp;ct=0&amp;ft=-1</t>
        </is>
      </c>
      <c r="S21" s="25" t="inlineStr">
        <is>
          <t>تاریخ گزارش به‌عنوان تاریخ انتصاب فرض نشد؛ آقاپور از ۱۴۰۳/۰۹/۲۶ نماینده است (پیش از Cutoff مبنا)</t>
        </is>
      </c>
    </row>
    <row r="22" ht="72.5" customHeight="1" s="76">
      <c r="A22" s="23" t="inlineStr">
        <is>
          <t>کچاد</t>
        </is>
      </c>
      <c r="B22" s="23" t="inlineStr">
        <is>
          <t>کچاد</t>
        </is>
      </c>
      <c r="C22" s="23" t="inlineStr">
        <is>
          <t>Cutoff 1403/12/29</t>
        </is>
      </c>
      <c r="D22" s="23" t="inlineStr">
        <is>
          <t>سرمایه‌گذاری استان خوزستان</t>
        </is>
      </c>
      <c r="E22" s="23" t="inlineStr">
        <is>
          <t>— (کرسی بدون نماینده)</t>
        </is>
      </c>
      <c r="F22" s="23" t="inlineStr">
        <is>
          <t>عضو</t>
        </is>
      </c>
      <c r="G22" s="23" t="inlineStr">
        <is>
          <t>پیش از Cutoff 1403/12/29 یا نامشخص</t>
        </is>
      </c>
      <c r="H22" s="23" t="inlineStr">
        <is>
          <t>1403/10/05</t>
        </is>
      </c>
      <c r="I22" s="23" t="inlineStr">
        <is>
          <t>در Type19 مذکور</t>
        </is>
      </c>
      <c r="J22" s="23" t="inlineStr">
        <is>
          <t>در Type19 مذکور</t>
        </is>
      </c>
      <c r="K22" s="23" t="n"/>
      <c r="L22" s="23" t="inlineStr">
        <is>
          <t>خروج/جایگزینی 1404/05/06</t>
        </is>
      </c>
      <c r="M22" s="23" t="n"/>
      <c r="N22" s="23" t="inlineStr">
        <is>
          <t>ورود در کرسی خالی (غیرقابل مقایسه؛ عضو جدید)</t>
        </is>
      </c>
      <c r="O22" s="23" t="inlineStr">
        <is>
          <t>معرفی /تغییر در ترکیب اعضای هیئت مدیره/مدیر عامل</t>
        </is>
      </c>
      <c r="P22" s="23" t="inlineStr">
        <is>
          <t>1403/10/05</t>
        </is>
      </c>
      <c r="Q22" s="23" t="inlineStr">
        <is>
          <t>1287746</t>
        </is>
      </c>
      <c r="R22" s="23" t="inlineStr">
        <is>
          <t>https://www.codal.ir/Reports/Decision.aspx?LetterSerial=v9VDr2f0BIJNqKEnWy6Rug%3d%3d&amp;rt=0&amp;let=19&amp;ct=0&amp;ft=-1</t>
        </is>
      </c>
      <c r="S22" s="23" t="inlineStr">
        <is>
          <t>تاریخ گزارش به‌عنوان تاریخ انتصاب فرض نشد؛ نماینده قبلی محمدرضا بابائی دره در ۱۴۰۳/۰۹/۰۴ حذف شد؛ کرسی تا ۱۴۰۴/۰۵/۲۰ بدون نماینده؛ خدایار کریم‌نژاد عضو موقت میانی است و در هیچ‌یک از دو Cutoff حضور ندارد</t>
        </is>
      </c>
    </row>
    <row r="23" ht="72.5" customHeight="1" s="76">
      <c r="A23" s="25" t="inlineStr">
        <is>
          <t>کچاد</t>
        </is>
      </c>
      <c r="B23" s="25" t="inlineStr">
        <is>
          <t>کچاد</t>
        </is>
      </c>
      <c r="C23" s="25" t="inlineStr">
        <is>
          <t>Cutoff 1404/12/29</t>
        </is>
      </c>
      <c r="D23" s="25" t="inlineStr">
        <is>
          <t>سرمایه‌گذاری استان خوزستان</t>
        </is>
      </c>
      <c r="E23" s="25" t="inlineStr">
        <is>
          <t>مجتبی شعبانی</t>
        </is>
      </c>
      <c r="F23" s="25" t="inlineStr">
        <is>
          <t>نایب رئیس (غیرموظف)</t>
        </is>
      </c>
      <c r="G23" s="25" t="inlineStr">
        <is>
          <t>1404/05/06</t>
        </is>
      </c>
      <c r="H23" s="25" t="inlineStr">
        <is>
          <t>1404/10/29</t>
        </is>
      </c>
      <c r="I23" s="25" t="inlineStr">
        <is>
          <t>در Type19 مذکور</t>
        </is>
      </c>
      <c r="J23" s="25" t="inlineStr">
        <is>
          <t>در Type19 مذکور</t>
        </is>
      </c>
      <c r="K23" s="25" t="n"/>
      <c r="L23" s="25" t="n"/>
      <c r="M23" s="25" t="inlineStr">
        <is>
          <t>ورود 1404/05/06</t>
        </is>
      </c>
      <c r="N23" s="25" t="inlineStr">
        <is>
          <t>ورود در کرسی خالی (غیرقابل مقایسه؛ عضو جدید)</t>
        </is>
      </c>
      <c r="O23" s="25" t="inlineStr">
        <is>
          <t>معرفی /تغییر در ترکیب اعضای هیئت مدیره/مدیر عامل</t>
        </is>
      </c>
      <c r="P23" s="25" t="inlineStr">
        <is>
          <t>1404/10/29</t>
        </is>
      </c>
      <c r="Q23" s="25" t="inlineStr">
        <is>
          <t>1473973</t>
        </is>
      </c>
      <c r="R23" s="25" t="inlineStr">
        <is>
          <t>https://www.codal.ir/Reports/Decision.aspx?LetterSerial=XPg1kJyBIkadWnCXHnsdKg%3d%3d&amp;rt=0&amp;let=19&amp;ct=0&amp;ft=-1</t>
        </is>
      </c>
      <c r="S23" s="25" t="inlineStr">
        <is>
          <t>تاریخ گزارش به‌عنوان تاریخ انتصاب فرض نشد؛ نماینده قبلی محمدرضا بابائی دره در ۱۴۰۳/۰۹/۰۴ حذف شد؛ کرسی تا ۱۴۰۴/۰۵/۲۰ بدون نماینده؛ خدایار کریم‌نژاد عضو موقت میانی است و در هیچ‌یک از دو Cutoff حضور ندارد</t>
        </is>
      </c>
    </row>
    <row r="24" ht="43.5" customHeight="1" s="76">
      <c r="A24" s="23" t="inlineStr">
        <is>
          <t>پارسان</t>
        </is>
      </c>
      <c r="B24" s="23" t="inlineStr">
        <is>
          <t>پارسان</t>
        </is>
      </c>
      <c r="C24" s="23" t="inlineStr">
        <is>
          <t>Cutoff 1403/12/29</t>
        </is>
      </c>
      <c r="D24" s="23" t="inlineStr">
        <is>
          <t>سرمایه‌گذاری غدیر</t>
        </is>
      </c>
      <c r="E24" s="23" t="inlineStr">
        <is>
          <t>سیدجعفر هاشمی</t>
        </is>
      </c>
      <c r="F24" s="23" t="inlineStr">
        <is>
          <t>عضو و مدیرعامل (موظف)</t>
        </is>
      </c>
      <c r="G24" s="23" t="inlineStr">
        <is>
          <t>پیش از Cutoff 1403/12/29 یا نامشخص</t>
        </is>
      </c>
      <c r="H24" s="23" t="inlineStr">
        <is>
          <t>1403/10/05</t>
        </is>
      </c>
      <c r="I24" s="23" t="inlineStr">
        <is>
          <t>در Type19 مذکور</t>
        </is>
      </c>
      <c r="J24" s="23" t="inlineStr">
        <is>
          <t>در Type19 مذکور</t>
        </is>
      </c>
      <c r="K24" s="23" t="inlineStr">
        <is>
          <t>ادامه تا Cutoff بعد</t>
        </is>
      </c>
      <c r="L24" s="23" t="n"/>
      <c r="M24" s="23" t="n"/>
      <c r="N24" s="23" t="inlineStr">
        <is>
          <t>بدون تغییر</t>
        </is>
      </c>
      <c r="O24" s="23" t="inlineStr">
        <is>
          <t>معرفی /تغییر در ترکیب اعضای هیئت مدیره/مدیر عامل(اصلاحیه)</t>
        </is>
      </c>
      <c r="P24" s="23" t="inlineStr">
        <is>
          <t>1403/10/05</t>
        </is>
      </c>
      <c r="Q24" s="23" t="inlineStr">
        <is>
          <t>1288275</t>
        </is>
      </c>
      <c r="R24" s="23" t="inlineStr">
        <is>
          <t>https://www.codal.ir/Reports/Decision.aspx?LetterSerial=DsOgAmOOObOOOXCBilD6gqB1SIaw%3d%3d&amp;rt=2&amp;let=19&amp;ct=0&amp;ft=-1</t>
        </is>
      </c>
      <c r="S24" s="23" t="inlineStr">
        <is>
          <t>تاریخ گزارش به‌عنوان تاریخ انتصاب فرض نشد؛ جایگزین اسماعیل قنبری از ۱۴۰۳/۰۲/۱۴ (اطلاعیه ۱۱۹۰۰۲۲)؛ پیش از Cutoff مبنا</t>
        </is>
      </c>
    </row>
    <row r="25" ht="43.5" customHeight="1" s="76">
      <c r="A25" s="25" t="inlineStr">
        <is>
          <t>پارسان</t>
        </is>
      </c>
      <c r="B25" s="25" t="inlineStr">
        <is>
          <t>پارسان</t>
        </is>
      </c>
      <c r="C25" s="25" t="inlineStr">
        <is>
          <t>Cutoff 1404/12/29</t>
        </is>
      </c>
      <c r="D25" s="25" t="inlineStr">
        <is>
          <t>سرمایه‌گذاری غدیر</t>
        </is>
      </c>
      <c r="E25" s="25" t="inlineStr">
        <is>
          <t>سیدجعفر هاشمی</t>
        </is>
      </c>
      <c r="F25" s="25" t="inlineStr">
        <is>
          <t>عضو و مدیرعامل (موظف)</t>
        </is>
      </c>
      <c r="G25" s="25" t="inlineStr">
        <is>
          <t>پیش از Cutoff 1403/12/29 یا نامشخص</t>
        </is>
      </c>
      <c r="H25" s="25" t="inlineStr">
        <is>
          <t>1404/09/06</t>
        </is>
      </c>
      <c r="I25" s="25" t="inlineStr">
        <is>
          <t>در Type19 مذکور</t>
        </is>
      </c>
      <c r="J25" s="25" t="inlineStr">
        <is>
          <t>در Type19 مذکور</t>
        </is>
      </c>
      <c r="K25" s="25" t="inlineStr">
        <is>
          <t>ادامه</t>
        </is>
      </c>
      <c r="L25" s="25" t="n"/>
      <c r="M25" s="25" t="n"/>
      <c r="N25" s="25" t="inlineStr">
        <is>
          <t>بدون تغییر</t>
        </is>
      </c>
      <c r="O25" s="25" t="inlineStr">
        <is>
          <t>معرفی /تغییر در ترکیب اعضای هیئت مدیره/مدیر عامل(اصلاحیه)</t>
        </is>
      </c>
      <c r="P25" s="25" t="inlineStr">
        <is>
          <t>1404/09/06</t>
        </is>
      </c>
      <c r="Q25" s="25" t="inlineStr">
        <is>
          <t>1443940</t>
        </is>
      </c>
      <c r="R25" s="25" t="inlineStr">
        <is>
          <t>https://www.codal.ir/Reports/Decision.aspx?LetterSerial=zNIQQQaQQQIYcl2yMb4DUIPu3s7w%3d%3d&amp;rt=2&amp;let=19&amp;ct=0&amp;ft=-1</t>
        </is>
      </c>
      <c r="S25" s="25" t="inlineStr">
        <is>
          <t>تاریخ گزارش به‌عنوان تاریخ انتصاب فرض نشد؛ جایگزین اسماعیل قنبری از ۱۴۰۳/۰۲/۱۴ (اطلاعیه ۱۱۹۰۰۲۲)؛ پیش از Cutoff مبنا</t>
        </is>
      </c>
    </row>
    <row r="26" ht="43.5" customHeight="1" s="76">
      <c r="A26" s="23" t="inlineStr">
        <is>
          <t>پارسان</t>
        </is>
      </c>
      <c r="B26" s="23" t="inlineStr">
        <is>
          <t>پارسان</t>
        </is>
      </c>
      <c r="C26" s="23" t="inlineStr">
        <is>
          <t>Cutoff 1403/12/29</t>
        </is>
      </c>
      <c r="D26" s="23" t="inlineStr">
        <is>
          <t>سرمایه‌گذاری اعتضاد غدیر</t>
        </is>
      </c>
      <c r="E26" s="23" t="inlineStr">
        <is>
          <t>رحیم اسماعیلی دانا</t>
        </is>
      </c>
      <c r="F26" s="23" t="inlineStr">
        <is>
          <t>نایب رئیس (غیرموظف)</t>
        </is>
      </c>
      <c r="G26" s="23" t="inlineStr">
        <is>
          <t>پیش از Cutoff 1403/12/29 یا نامشخص</t>
        </is>
      </c>
      <c r="H26" s="23" t="inlineStr">
        <is>
          <t>1403/10/05</t>
        </is>
      </c>
      <c r="I26" s="23" t="inlineStr">
        <is>
          <t>در Type19 مذکور</t>
        </is>
      </c>
      <c r="J26" s="23" t="inlineStr">
        <is>
          <t>در Type19 مذکور</t>
        </is>
      </c>
      <c r="K26" s="23" t="inlineStr">
        <is>
          <t>ادامه تا Cutoff بعد</t>
        </is>
      </c>
      <c r="L26" s="23" t="n"/>
      <c r="M26" s="23" t="n"/>
      <c r="N26" s="23" t="inlineStr">
        <is>
          <t>بدون تغییر</t>
        </is>
      </c>
      <c r="O26" s="23" t="inlineStr">
        <is>
          <t>معرفی /تغییر در ترکیب اعضای هیئت مدیره/مدیر عامل(اصلاحیه)</t>
        </is>
      </c>
      <c r="P26" s="23" t="inlineStr">
        <is>
          <t>1403/10/05</t>
        </is>
      </c>
      <c r="Q26" s="23" t="inlineStr">
        <is>
          <t>1288275</t>
        </is>
      </c>
      <c r="R26" s="23" t="inlineStr">
        <is>
          <t>https://www.codal.ir/Reports/Decision.aspx?LetterSerial=DsOgAmOOObOOOXCBilD6gqB1SIaw%3d%3d&amp;rt=2&amp;let=19&amp;ct=0&amp;ft=-1</t>
        </is>
      </c>
      <c r="S26" s="23" t="inlineStr">
        <is>
          <t>تاریخ گزارش به‌عنوان تاریخ انتصاب فرض نشد</t>
        </is>
      </c>
    </row>
    <row r="27" ht="43.5" customHeight="1" s="76">
      <c r="A27" s="25" t="inlineStr">
        <is>
          <t>پارسان</t>
        </is>
      </c>
      <c r="B27" s="25" t="inlineStr">
        <is>
          <t>پارسان</t>
        </is>
      </c>
      <c r="C27" s="25" t="inlineStr">
        <is>
          <t>Cutoff 1404/12/29</t>
        </is>
      </c>
      <c r="D27" s="25" t="inlineStr">
        <is>
          <t>سرمایه‌گذاری اعتضاد غدیر</t>
        </is>
      </c>
      <c r="E27" s="25" t="inlineStr">
        <is>
          <t>رحیم اسماعیلی دانا</t>
        </is>
      </c>
      <c r="F27" s="25" t="inlineStr">
        <is>
          <t>نایب رئیس (غیرموظف)</t>
        </is>
      </c>
      <c r="G27" s="25" t="inlineStr">
        <is>
          <t>پیش از Cutoff 1403/12/29 یا نامشخص</t>
        </is>
      </c>
      <c r="H27" s="25" t="inlineStr">
        <is>
          <t>1404/09/06</t>
        </is>
      </c>
      <c r="I27" s="25" t="inlineStr">
        <is>
          <t>در Type19 مذکور</t>
        </is>
      </c>
      <c r="J27" s="25" t="inlineStr">
        <is>
          <t>در Type19 مذکور</t>
        </is>
      </c>
      <c r="K27" s="25" t="inlineStr">
        <is>
          <t>ادامه</t>
        </is>
      </c>
      <c r="L27" s="25" t="n"/>
      <c r="M27" s="25" t="n"/>
      <c r="N27" s="25" t="inlineStr">
        <is>
          <t>بدون تغییر</t>
        </is>
      </c>
      <c r="O27" s="25" t="inlineStr">
        <is>
          <t>معرفی /تغییر در ترکیب اعضای هیئت مدیره/مدیر عامل(اصلاحیه)</t>
        </is>
      </c>
      <c r="P27" s="25" t="inlineStr">
        <is>
          <t>1404/09/06</t>
        </is>
      </c>
      <c r="Q27" s="25" t="inlineStr">
        <is>
          <t>1443940</t>
        </is>
      </c>
      <c r="R27" s="25" t="inlineStr">
        <is>
          <t>https://www.codal.ir/Reports/Decision.aspx?LetterSerial=zNIQQQaQQQIYcl2yMb4DUIPu3s7w%3d%3d&amp;rt=2&amp;let=19&amp;ct=0&amp;ft=-1</t>
        </is>
      </c>
      <c r="S27" s="25" t="inlineStr">
        <is>
          <t>تاریخ گزارش به‌عنوان تاریخ انتصاب فرض نشد</t>
        </is>
      </c>
    </row>
    <row r="28" ht="43.5" customHeight="1" s="76">
      <c r="A28" s="23" t="inlineStr">
        <is>
          <t>پارسان</t>
        </is>
      </c>
      <c r="B28" s="23" t="inlineStr">
        <is>
          <t>پارسان</t>
        </is>
      </c>
      <c r="C28" s="23" t="inlineStr">
        <is>
          <t>Cutoff 1403/12/29</t>
        </is>
      </c>
      <c r="D28" s="23" t="inlineStr">
        <is>
          <t>دریابان جنوب ایران کیش</t>
        </is>
      </c>
      <c r="E28" s="23" t="inlineStr">
        <is>
          <t>محمدرضا حیدرزاده</t>
        </is>
      </c>
      <c r="F28" s="23" t="inlineStr">
        <is>
          <t>عضو (غیرموظف)</t>
        </is>
      </c>
      <c r="G28" s="23" t="inlineStr">
        <is>
          <t>پیش از Cutoff 1403/12/29 یا نامشخص</t>
        </is>
      </c>
      <c r="H28" s="23" t="inlineStr">
        <is>
          <t>1403/10/05</t>
        </is>
      </c>
      <c r="I28" s="23" t="inlineStr">
        <is>
          <t>در Type19 مذکور</t>
        </is>
      </c>
      <c r="J28" s="23" t="inlineStr">
        <is>
          <t>در Type19 مذکور</t>
        </is>
      </c>
      <c r="K28" s="23" t="n"/>
      <c r="L28" s="23" t="inlineStr">
        <is>
          <t>خروج/جایگزینی 1404/02/24</t>
        </is>
      </c>
      <c r="M28" s="23" t="n"/>
      <c r="N28" s="23" t="inlineStr">
        <is>
          <t>تغییر نماینده حقیقی با شخص حقوقی ثابت</t>
        </is>
      </c>
      <c r="O28" s="23" t="inlineStr">
        <is>
          <t>معرفی /تغییر در ترکیب اعضای هیئت مدیره/مدیر عامل(اصلاحیه)</t>
        </is>
      </c>
      <c r="P28" s="23" t="inlineStr">
        <is>
          <t>1403/10/05</t>
        </is>
      </c>
      <c r="Q28" s="23" t="inlineStr">
        <is>
          <t>1288275</t>
        </is>
      </c>
      <c r="R28" s="23" t="inlineStr">
        <is>
          <t>https://www.codal.ir/Reports/Decision.aspx?LetterSerial=DsOgAmOOObOOOXCBilD6gqB1SIaw%3d%3d&amp;rt=2&amp;let=19&amp;ct=0&amp;ft=-1</t>
        </is>
      </c>
      <c r="S28" s="23" t="inlineStr">
        <is>
          <t>تاریخ گزارش به‌عنوان تاریخ انتصاب فرض نشد</t>
        </is>
      </c>
    </row>
    <row r="29" ht="43.5" customHeight="1" s="76">
      <c r="A29" s="25" t="inlineStr">
        <is>
          <t>پارسان</t>
        </is>
      </c>
      <c r="B29" s="25" t="inlineStr">
        <is>
          <t>پارسان</t>
        </is>
      </c>
      <c r="C29" s="25" t="inlineStr">
        <is>
          <t>Cutoff 1404/12/29</t>
        </is>
      </c>
      <c r="D29" s="25" t="inlineStr">
        <is>
          <t>دریابان جنوب ایران کیش</t>
        </is>
      </c>
      <c r="E29" s="25" t="inlineStr">
        <is>
          <t>علی مهری‌پرگو</t>
        </is>
      </c>
      <c r="F29" s="25" t="inlineStr">
        <is>
          <t>عضو (غیرموظف)</t>
        </is>
      </c>
      <c r="G29" s="25" t="inlineStr">
        <is>
          <t>1404/02/24</t>
        </is>
      </c>
      <c r="H29" s="25" t="inlineStr">
        <is>
          <t>1404/09/06</t>
        </is>
      </c>
      <c r="I29" s="25" t="inlineStr">
        <is>
          <t>در Type19 مذکور</t>
        </is>
      </c>
      <c r="J29" s="25" t="inlineStr">
        <is>
          <t>در Type19 مذکور</t>
        </is>
      </c>
      <c r="K29" s="25" t="n"/>
      <c r="L29" s="25" t="n"/>
      <c r="M29" s="25" t="inlineStr">
        <is>
          <t>ورود 1404/02/24</t>
        </is>
      </c>
      <c r="N29" s="25" t="inlineStr">
        <is>
          <t>تغییر نماینده حقیقی با شخص حقوقی ثابت</t>
        </is>
      </c>
      <c r="O29" s="25" t="inlineStr">
        <is>
          <t>معرفی /تغییر در ترکیب اعضای هیئت مدیره/مدیر عامل(اصلاحیه)</t>
        </is>
      </c>
      <c r="P29" s="25" t="inlineStr">
        <is>
          <t>1404/09/06</t>
        </is>
      </c>
      <c r="Q29" s="25" t="inlineStr">
        <is>
          <t>1443940</t>
        </is>
      </c>
      <c r="R29" s="25" t="inlineStr">
        <is>
          <t>https://www.codal.ir/Reports/Decision.aspx?LetterSerial=zNIQQQaQQQIYcl2yMb4DUIPu3s7w%3d%3d&amp;rt=2&amp;let=19&amp;ct=0&amp;ft=-1</t>
        </is>
      </c>
      <c r="S29" s="25" t="inlineStr">
        <is>
          <t>تاریخ گزارش به‌عنوان تاریخ انتصاب فرض نشد</t>
        </is>
      </c>
    </row>
    <row r="30" ht="43.5" customHeight="1" s="76">
      <c r="A30" s="23" t="inlineStr">
        <is>
          <t>پارسان</t>
        </is>
      </c>
      <c r="B30" s="23" t="inlineStr">
        <is>
          <t>پارسان</t>
        </is>
      </c>
      <c r="C30" s="23" t="inlineStr">
        <is>
          <t>Cutoff 1403/12/29</t>
        </is>
      </c>
      <c r="D30" s="23" t="inlineStr">
        <is>
          <t>صنعتی و بازرگانی غدیر</t>
        </is>
      </c>
      <c r="E30" s="23" t="inlineStr">
        <is>
          <t>متین دیداری</t>
        </is>
      </c>
      <c r="F30" s="23" t="inlineStr">
        <is>
          <t>عضو (غیرموظف)</t>
        </is>
      </c>
      <c r="G30" s="23" t="inlineStr">
        <is>
          <t>پیش از Cutoff 1403/12/29 یا نامشخص</t>
        </is>
      </c>
      <c r="H30" s="23" t="inlineStr">
        <is>
          <t>1403/10/05</t>
        </is>
      </c>
      <c r="I30" s="23" t="inlineStr">
        <is>
          <t>در Type19 مذکور</t>
        </is>
      </c>
      <c r="J30" s="23" t="inlineStr">
        <is>
          <t>در Type19 مذکور</t>
        </is>
      </c>
      <c r="K30" s="23" t="n"/>
      <c r="L30" s="23" t="inlineStr">
        <is>
          <t>خروج/جایگزینی 1404/02/24</t>
        </is>
      </c>
      <c r="M30" s="23" t="n"/>
      <c r="N30" s="23" t="inlineStr">
        <is>
          <t>تغییر نماینده حقیقی با شخص حقوقی ثابت</t>
        </is>
      </c>
      <c r="O30" s="23" t="inlineStr">
        <is>
          <t>معرفی /تغییر در ترکیب اعضای هیئت مدیره/مدیر عامل(اصلاحیه)</t>
        </is>
      </c>
      <c r="P30" s="23" t="inlineStr">
        <is>
          <t>1403/10/05</t>
        </is>
      </c>
      <c r="Q30" s="23" t="inlineStr">
        <is>
          <t>1288275</t>
        </is>
      </c>
      <c r="R30" s="23" t="inlineStr">
        <is>
          <t>https://www.codal.ir/Reports/Decision.aspx?LetterSerial=DsOgAmOOObOOOXCBilD6gqB1SIaw%3d%3d&amp;rt=2&amp;let=19&amp;ct=0&amp;ft=-1</t>
        </is>
      </c>
      <c r="S30" s="23" t="inlineStr">
        <is>
          <t>تاریخ گزارش به‌عنوان تاریخ انتصاب فرض نشد</t>
        </is>
      </c>
    </row>
    <row r="31" ht="43.5" customHeight="1" s="76">
      <c r="A31" s="25" t="inlineStr">
        <is>
          <t>پارسان</t>
        </is>
      </c>
      <c r="B31" s="25" t="inlineStr">
        <is>
          <t>پارسان</t>
        </is>
      </c>
      <c r="C31" s="25" t="inlineStr">
        <is>
          <t>Cutoff 1404/12/29</t>
        </is>
      </c>
      <c r="D31" s="25" t="inlineStr">
        <is>
          <t>صنعتی و بازرگانی غدیر</t>
        </is>
      </c>
      <c r="E31" s="25" t="inlineStr">
        <is>
          <t>علیرضا غلامی</t>
        </is>
      </c>
      <c r="F31" s="25" t="inlineStr">
        <is>
          <t>عضو (غیرموظف)</t>
        </is>
      </c>
      <c r="G31" s="25" t="inlineStr">
        <is>
          <t>1404/02/24</t>
        </is>
      </c>
      <c r="H31" s="25" t="inlineStr">
        <is>
          <t>1404/09/06</t>
        </is>
      </c>
      <c r="I31" s="25" t="inlineStr">
        <is>
          <t>در Type19 مذکور</t>
        </is>
      </c>
      <c r="J31" s="25" t="inlineStr">
        <is>
          <t>در Type19 مذکور</t>
        </is>
      </c>
      <c r="K31" s="25" t="n"/>
      <c r="L31" s="25" t="n"/>
      <c r="M31" s="25" t="inlineStr">
        <is>
          <t>ورود 1404/02/24</t>
        </is>
      </c>
      <c r="N31" s="25" t="inlineStr">
        <is>
          <t>تغییر نماینده حقیقی با شخص حقوقی ثابت</t>
        </is>
      </c>
      <c r="O31" s="25" t="inlineStr">
        <is>
          <t>معرفی /تغییر در ترکیب اعضای هیئت مدیره/مدیر عامل(اصلاحیه)</t>
        </is>
      </c>
      <c r="P31" s="25" t="inlineStr">
        <is>
          <t>1404/09/06</t>
        </is>
      </c>
      <c r="Q31" s="25" t="inlineStr">
        <is>
          <t>1443940</t>
        </is>
      </c>
      <c r="R31" s="25" t="inlineStr">
        <is>
          <t>https://www.codal.ir/Reports/Decision.aspx?LetterSerial=zNIQQQaQQQIYcl2yMb4DUIPu3s7w%3d%3d&amp;rt=2&amp;let=19&amp;ct=0&amp;ft=-1</t>
        </is>
      </c>
      <c r="S31" s="25" t="inlineStr">
        <is>
          <t>تاریخ گزارش به‌عنوان تاریخ انتصاب فرض نشد</t>
        </is>
      </c>
    </row>
    <row r="32" ht="87" customHeight="1" s="76">
      <c r="A32" s="23" t="inlineStr">
        <is>
          <t>پارسان</t>
        </is>
      </c>
      <c r="B32" s="23" t="inlineStr">
        <is>
          <t>پارسان</t>
        </is>
      </c>
      <c r="C32" s="23" t="inlineStr">
        <is>
          <t>Cutoff 1403/12/29</t>
        </is>
      </c>
      <c r="D32" s="23" t="inlineStr">
        <is>
          <t>سرمایه‌گذاری مهرگان تأمین پارس</t>
        </is>
      </c>
      <c r="E32" s="23" t="inlineStr">
        <is>
          <t>احد امیری</t>
        </is>
      </c>
      <c r="F32" s="23" t="inlineStr">
        <is>
          <t>رئیس هیئت مدیره (غیرموظف)</t>
        </is>
      </c>
      <c r="G32" s="23" t="inlineStr">
        <is>
          <t>پیش از Cutoff 1403/12/29 یا نامشخص</t>
        </is>
      </c>
      <c r="H32" s="23" t="inlineStr">
        <is>
          <t>1403/10/05</t>
        </is>
      </c>
      <c r="I32" s="23" t="inlineStr">
        <is>
          <t>در Type19 مذکور</t>
        </is>
      </c>
      <c r="J32" s="23" t="inlineStr">
        <is>
          <t>در Type19 مذکور</t>
        </is>
      </c>
      <c r="K32" s="23" t="inlineStr">
        <is>
          <t>ادامه تا Cutoff بعد</t>
        </is>
      </c>
      <c r="L32" s="23" t="n"/>
      <c r="M32" s="23" t="n"/>
      <c r="N32" s="23" t="inlineStr">
        <is>
          <t>بدون تغییر</t>
        </is>
      </c>
      <c r="O32" s="23" t="inlineStr">
        <is>
          <t>معرفی /تغییر در ترکیب اعضای هیئت مدیره/مدیر عامل(اصلاحیه)</t>
        </is>
      </c>
      <c r="P32" s="23" t="inlineStr">
        <is>
          <t>1403/10/05</t>
        </is>
      </c>
      <c r="Q32" s="23" t="inlineStr">
        <is>
          <t>1288275</t>
        </is>
      </c>
      <c r="R32" s="23" t="inlineStr">
        <is>
          <t>https://www.codal.ir/Reports/Decision.aspx?LetterSerial=DsOgAmOOObOOOXCBilD6gqB1SIaw%3d%3d&amp;rt=2&amp;let=19&amp;ct=0&amp;ft=-1</t>
        </is>
      </c>
      <c r="S32" s="23" t="inlineStr">
        <is>
          <t>تاریخ گزارش به‌عنوان تاریخ انتصاب فرض نشد؛ 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is>
      </c>
    </row>
    <row r="33" ht="87" customHeight="1" s="76">
      <c r="A33" s="25" t="inlineStr">
        <is>
          <t>پارسان</t>
        </is>
      </c>
      <c r="B33" s="25" t="inlineStr">
        <is>
          <t>پارسان</t>
        </is>
      </c>
      <c r="C33" s="25" t="inlineStr">
        <is>
          <t>Cutoff 1404/12/29</t>
        </is>
      </c>
      <c r="D33" s="25" t="inlineStr">
        <is>
          <t>سرمایه‌گذاری مهرگان تأمین پارس</t>
        </is>
      </c>
      <c r="E33" s="25" t="inlineStr">
        <is>
          <t>احد امیری</t>
        </is>
      </c>
      <c r="F33" s="25" t="inlineStr">
        <is>
          <t>رئیس هیئت مدیره (غیرموظف)</t>
        </is>
      </c>
      <c r="G33" s="25" t="inlineStr">
        <is>
          <t>پیش از Cutoff 1403/12/29 یا نامشخص</t>
        </is>
      </c>
      <c r="H33" s="25" t="inlineStr">
        <is>
          <t>1404/09/06</t>
        </is>
      </c>
      <c r="I33" s="25" t="inlineStr">
        <is>
          <t>در Type19 مذکور</t>
        </is>
      </c>
      <c r="J33" s="25" t="inlineStr">
        <is>
          <t>در Type19 مذکور</t>
        </is>
      </c>
      <c r="K33" s="25" t="inlineStr">
        <is>
          <t>ادامه</t>
        </is>
      </c>
      <c r="L33" s="25" t="n"/>
      <c r="M33" s="25" t="n"/>
      <c r="N33" s="25" t="inlineStr">
        <is>
          <t>بدون تغییر</t>
        </is>
      </c>
      <c r="O33" s="25" t="inlineStr">
        <is>
          <t>معرفی /تغییر در ترکیب اعضای هیئت مدیره/مدیر عامل(اصلاحیه)</t>
        </is>
      </c>
      <c r="P33" s="25" t="inlineStr">
        <is>
          <t>1404/09/06</t>
        </is>
      </c>
      <c r="Q33" s="25" t="inlineStr">
        <is>
          <t>1443940</t>
        </is>
      </c>
      <c r="R33" s="25" t="inlineStr">
        <is>
          <t>https://www.codal.ir/Reports/Decision.aspx?LetterSerial=zNIQQQaQQQIYcl2yMb4DUIPu3s7w%3d%3d&amp;rt=2&amp;let=19&amp;ct=0&amp;ft=-1</t>
        </is>
      </c>
      <c r="S33" s="25" t="inlineStr">
        <is>
          <t>تاریخ گزارش به‌عنوان تاریخ انتصاب فرض نشد؛ 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is>
      </c>
    </row>
    <row r="34" ht="58" customHeight="1" s="76">
      <c r="A34" s="23" t="inlineStr">
        <is>
          <t>جم</t>
        </is>
      </c>
      <c r="B34" s="23" t="inlineStr">
        <is>
          <t>جم</t>
        </is>
      </c>
      <c r="C34" s="23" t="inlineStr">
        <is>
          <t>Cutoff 1403/12/29</t>
        </is>
      </c>
      <c r="D34" s="23" t="inlineStr">
        <is>
          <t>سرمایه‌گذاری نفت و گاز و پتروشیمی تأمین → گسترش تجارت هامون</t>
        </is>
      </c>
      <c r="E34" s="23" t="inlineStr">
        <is>
          <t>متین دیداری</t>
        </is>
      </c>
      <c r="F34" s="23" t="inlineStr">
        <is>
          <t>رئیس هیئت مدیره (غیرموظف)</t>
        </is>
      </c>
      <c r="G34" s="23" t="inlineStr">
        <is>
          <t>پیش از Cutoff 1403/12/29 یا نامشخص</t>
        </is>
      </c>
      <c r="H34" s="23" t="inlineStr">
        <is>
          <t>1402/12/28</t>
        </is>
      </c>
      <c r="I34" s="23" t="inlineStr">
        <is>
          <t>در Type19 مذکور</t>
        </is>
      </c>
      <c r="J34" s="23" t="inlineStr">
        <is>
          <t>در Type19 مذکور</t>
        </is>
      </c>
      <c r="K34" s="23" t="inlineStr">
        <is>
          <t>ادامه تا Cutoff بعد</t>
        </is>
      </c>
      <c r="L34" s="23" t="n"/>
      <c r="M34" s="23" t="n"/>
      <c r="N34" s="23" t="inlineStr">
        <is>
          <t>تغییر شخص حقوقی (نماینده ثابت)</t>
        </is>
      </c>
      <c r="O34" s="23" t="inlineStr">
        <is>
          <t>معرفی /تغییر در ترکیب اعضای هیئت مدیره/مدیر عامل</t>
        </is>
      </c>
      <c r="P34" s="23" t="inlineStr">
        <is>
          <t>1402/12/28</t>
        </is>
      </c>
      <c r="Q34" s="23" t="inlineStr">
        <is>
          <t>1171265</t>
        </is>
      </c>
      <c r="R34" s="23" t="inlineStr">
        <is>
          <t>https://www.codal.ir/Reports/Decision.aspx?LetterSerial=SZoueUaBHVA%2bs%2bgcP%2bwj4A%3d%3d&amp;rt=0&amp;let=19&amp;ct=0&amp;ft=-1</t>
        </is>
      </c>
      <c r="S34" s="23" t="inlineStr">
        <is>
          <t>تاریخ گزارش به‌عنوان تاریخ انتصاب فرض نشد؛ شخص حقوقی صاحب کرسی تغییر کرد؛ نماینده (دیداری) ثابت ماند؛ رئیس بودن او تا ۱۴۰۴/۱۲/۲۵ ادامه داشت</t>
        </is>
      </c>
    </row>
    <row r="35" ht="58" customHeight="1" s="76">
      <c r="A35" s="25" t="inlineStr">
        <is>
          <t>جم</t>
        </is>
      </c>
      <c r="B35" s="25" t="inlineStr">
        <is>
          <t>جم</t>
        </is>
      </c>
      <c r="C35" s="25" t="inlineStr">
        <is>
          <t>Cutoff 1404/12/29</t>
        </is>
      </c>
      <c r="D35" s="25" t="inlineStr">
        <is>
          <t>سرمایه‌گذاری نفت و گاز و پتروشیمی تأمین → گسترش تجارت هامون</t>
        </is>
      </c>
      <c r="E35" s="25" t="inlineStr">
        <is>
          <t>متین دیداری</t>
        </is>
      </c>
      <c r="F35" s="25" t="inlineStr">
        <is>
          <t>عضو (غیرموظف)</t>
        </is>
      </c>
      <c r="G35" s="25" t="inlineStr">
        <is>
          <t>پیش از Cutoff 1403/12/29 یا نامشخص</t>
        </is>
      </c>
      <c r="H35" s="25" t="inlineStr">
        <is>
          <t>1405/02/29</t>
        </is>
      </c>
      <c r="I35" s="25" t="inlineStr">
        <is>
          <t>در Type19 مذکور</t>
        </is>
      </c>
      <c r="J35" s="25" t="inlineStr">
        <is>
          <t>در Type19 مذکور</t>
        </is>
      </c>
      <c r="K35" s="25" t="inlineStr">
        <is>
          <t>ادامه</t>
        </is>
      </c>
      <c r="L35" s="25" t="n"/>
      <c r="M35" s="25" t="n"/>
      <c r="N35" s="25" t="inlineStr">
        <is>
          <t>تغییر شخص حقوقی (نماینده ثابت)</t>
        </is>
      </c>
      <c r="O35" s="25" t="inlineStr">
        <is>
          <t>معرفی /تغییر در ترکیب اعضای هیئت مدیره/مدیر عامل</t>
        </is>
      </c>
      <c r="P35" s="25" t="inlineStr">
        <is>
          <t>1405/02/29</t>
        </is>
      </c>
      <c r="Q35" s="25" t="inlineStr">
        <is>
          <t>1527389</t>
        </is>
      </c>
      <c r="R35" s="25" t="inlineStr">
        <is>
          <t>https://www.codal.ir/Reports/Decision.aspx?LetterSerial=QQQaQQQtpQVpIOOObOOOPhcgQQQaQQQA5ahYjCjA%3d%3d&amp;rt=0&amp;let=19&amp;ct=0&amp;ft=-1</t>
        </is>
      </c>
      <c r="S35" s="25" t="inlineStr">
        <is>
          <t>تاریخ گزارش به‌عنوان تاریخ انتصاب فرض نشد؛ شخص حقوقی صاحب کرسی تغییر کرد؛ نماینده (دیداری) ثابت ماند؛ رئیس بودن او تا ۱۴۰۴/۱۲/۲۵ ادامه داشت</t>
        </is>
      </c>
    </row>
    <row r="36" ht="43.5" customHeight="1" s="76">
      <c r="A36" s="23" t="inlineStr">
        <is>
          <t>جم</t>
        </is>
      </c>
      <c r="B36" s="23" t="inlineStr">
        <is>
          <t>جم</t>
        </is>
      </c>
      <c r="C36" s="23" t="inlineStr">
        <is>
          <t>Cutoff 1403/12/29</t>
        </is>
      </c>
      <c r="D36" s="23" t="inlineStr">
        <is>
          <t>صبا انرژی جهان‌گستر</t>
        </is>
      </c>
      <c r="E36" s="23" t="inlineStr">
        <is>
          <t>محمدهاشم نجفی اردکانی</t>
        </is>
      </c>
      <c r="F36" s="23" t="inlineStr">
        <is>
          <t>نایب رئیس و مدیرعامل (موظف)</t>
        </is>
      </c>
      <c r="G36" s="23" t="inlineStr">
        <is>
          <t>پیش از Cutoff 1403/12/29 یا نامشخص</t>
        </is>
      </c>
      <c r="H36" s="23" t="inlineStr">
        <is>
          <t>1402/12/28</t>
        </is>
      </c>
      <c r="I36" s="23" t="inlineStr">
        <is>
          <t>در Type19 مذکور</t>
        </is>
      </c>
      <c r="J36" s="23" t="inlineStr">
        <is>
          <t>در Type19 مذکور</t>
        </is>
      </c>
      <c r="K36" s="23" t="n"/>
      <c r="L36" s="23" t="inlineStr">
        <is>
          <t>خروج/جایگزینی 1404/06/04</t>
        </is>
      </c>
      <c r="M36" s="23" t="n"/>
      <c r="N36" s="23" t="inlineStr">
        <is>
          <t>تغییر نماینده حقیقی با شخص حقوقی ثابت</t>
        </is>
      </c>
      <c r="O36" s="23" t="inlineStr">
        <is>
          <t>معرفی /تغییر در ترکیب اعضای هیئت مدیره/مدیر عامل</t>
        </is>
      </c>
      <c r="P36" s="23" t="inlineStr">
        <is>
          <t>1402/12/28</t>
        </is>
      </c>
      <c r="Q36" s="23" t="inlineStr">
        <is>
          <t>1171265</t>
        </is>
      </c>
      <c r="R36" s="23" t="inlineStr">
        <is>
          <t>https://www.codal.ir/Reports/Decision.aspx?LetterSerial=SZoueUaBHVA%2bs%2bgcP%2bwj4A%3d%3d&amp;rt=0&amp;let=19&amp;ct=0&amp;ft=-1</t>
        </is>
      </c>
      <c r="S36" s="23" t="inlineStr">
        <is>
          <t>تاریخ گزارش به‌عنوان تاریخ انتصاب فرض نشد؛ جابه‌جایی همان دو فرد بین کرسی‌ها؛ عضو جدید نیست</t>
        </is>
      </c>
    </row>
    <row r="37" ht="43.5" customHeight="1" s="76">
      <c r="A37" s="25" t="inlineStr">
        <is>
          <t>جم</t>
        </is>
      </c>
      <c r="B37" s="25" t="inlineStr">
        <is>
          <t>جم</t>
        </is>
      </c>
      <c r="C37" s="25" t="inlineStr">
        <is>
          <t>Cutoff 1404/12/29</t>
        </is>
      </c>
      <c r="D37" s="25" t="inlineStr">
        <is>
          <t>صبا انرژی جهان‌گستر</t>
        </is>
      </c>
      <c r="E37" s="25" t="inlineStr">
        <is>
          <t>امیر اکبری</t>
        </is>
      </c>
      <c r="F37" s="25" t="inlineStr">
        <is>
          <t>نایب رئیس (موظف)</t>
        </is>
      </c>
      <c r="G37" s="25" t="inlineStr">
        <is>
          <t>1404/06/04</t>
        </is>
      </c>
      <c r="H37" s="25" t="inlineStr">
        <is>
          <t>1405/02/29</t>
        </is>
      </c>
      <c r="I37" s="25" t="inlineStr">
        <is>
          <t>در Type19 مذکور</t>
        </is>
      </c>
      <c r="J37" s="25" t="inlineStr">
        <is>
          <t>در Type19 مذکور</t>
        </is>
      </c>
      <c r="K37" s="25" t="n"/>
      <c r="L37" s="25" t="n"/>
      <c r="M37" s="25" t="inlineStr">
        <is>
          <t>ورود 1404/06/04</t>
        </is>
      </c>
      <c r="N37" s="25" t="inlineStr">
        <is>
          <t>تغییر نماینده حقیقی با شخص حقوقی ثابت</t>
        </is>
      </c>
      <c r="O37" s="25" t="inlineStr">
        <is>
          <t>معرفی /تغییر در ترکیب اعضای هیئت مدیره/مدیر عامل</t>
        </is>
      </c>
      <c r="P37" s="25" t="inlineStr">
        <is>
          <t>1405/02/29</t>
        </is>
      </c>
      <c r="Q37" s="25" t="inlineStr">
        <is>
          <t>1527389</t>
        </is>
      </c>
      <c r="R37" s="25" t="inlineStr">
        <is>
          <t>https://www.codal.ir/Reports/Decision.aspx?LetterSerial=QQQaQQQtpQVpIOOObOOOPhcgQQQaQQQA5ahYjCjA%3d%3d&amp;rt=0&amp;let=19&amp;ct=0&amp;ft=-1</t>
        </is>
      </c>
      <c r="S37" s="25" t="inlineStr">
        <is>
          <t>تاریخ گزارش به‌عنوان تاریخ انتصاب فرض نشد؛ جابه‌جایی همان دو فرد بین کرسی‌ها؛ عضو جدید نیست</t>
        </is>
      </c>
    </row>
    <row r="38" ht="43.5" customHeight="1" s="76">
      <c r="A38" s="23" t="inlineStr">
        <is>
          <t>جم</t>
        </is>
      </c>
      <c r="B38" s="23" t="inlineStr">
        <is>
          <t>جم</t>
        </is>
      </c>
      <c r="C38" s="23" t="inlineStr">
        <is>
          <t>Cutoff 1403/12/29</t>
        </is>
      </c>
      <c r="D38" s="23" t="inlineStr">
        <is>
          <t>کاوشگران بازار سرمایه</t>
        </is>
      </c>
      <c r="E38" s="23" t="inlineStr">
        <is>
          <t>محمدسجاد سیاهکارزاده</t>
        </is>
      </c>
      <c r="F38" s="23" t="inlineStr">
        <is>
          <t>عضو (غیرموظف)</t>
        </is>
      </c>
      <c r="G38" s="23" t="inlineStr">
        <is>
          <t>پیش از Cutoff 1403/12/29 یا نامشخص</t>
        </is>
      </c>
      <c r="H38" s="23" t="inlineStr">
        <is>
          <t>1402/12/28</t>
        </is>
      </c>
      <c r="I38" s="23" t="inlineStr">
        <is>
          <t>در Type19 مذکور</t>
        </is>
      </c>
      <c r="J38" s="23" t="inlineStr">
        <is>
          <t>در Type19 مذکور</t>
        </is>
      </c>
      <c r="K38" s="23" t="inlineStr">
        <is>
          <t>ادامه تا Cutoff بعد</t>
        </is>
      </c>
      <c r="L38" s="23" t="n"/>
      <c r="M38" s="23" t="n"/>
      <c r="N38" s="23" t="inlineStr">
        <is>
          <t>تغییر سمت فقط (Turnover نیست)</t>
        </is>
      </c>
      <c r="O38" s="23" t="inlineStr">
        <is>
          <t>معرفی /تغییر در ترکیب اعضای هیئت مدیره/مدیر عامل</t>
        </is>
      </c>
      <c r="P38" s="23" t="inlineStr">
        <is>
          <t>1402/12/28</t>
        </is>
      </c>
      <c r="Q38" s="23" t="inlineStr">
        <is>
          <t>1171265</t>
        </is>
      </c>
      <c r="R38" s="23" t="inlineStr">
        <is>
          <t>https://www.codal.ir/Reports/Decision.aspx?LetterSerial=SZoueUaBHVA%2bs%2bgcP%2bwj4A%3d%3d&amp;rt=0&amp;let=19&amp;ct=0&amp;ft=-1</t>
        </is>
      </c>
      <c r="S38" s="23" t="inlineStr">
        <is>
          <t>تاریخ گزارش به‌عنوان تاریخ انتصاب فرض نشد؛ تغییر رئیس هیئت مدیره (دیداری→سیاهکارزاده)</t>
        </is>
      </c>
    </row>
    <row r="39" ht="43.5" customHeight="1" s="76">
      <c r="A39" s="25" t="inlineStr">
        <is>
          <t>جم</t>
        </is>
      </c>
      <c r="B39" s="25" t="inlineStr">
        <is>
          <t>جم</t>
        </is>
      </c>
      <c r="C39" s="25" t="inlineStr">
        <is>
          <t>Cutoff 1404/12/29</t>
        </is>
      </c>
      <c r="D39" s="25" t="inlineStr">
        <is>
          <t>کاوشگران بازار سرمایه</t>
        </is>
      </c>
      <c r="E39" s="25" t="inlineStr">
        <is>
          <t>محمدسجاد سیاهکارزاده</t>
        </is>
      </c>
      <c r="F39" s="25" t="inlineStr">
        <is>
          <t>رئیس هیئت مدیره (غیرموظف)</t>
        </is>
      </c>
      <c r="G39" s="25" t="inlineStr">
        <is>
          <t>پیش از Cutoff 1403/12/29 یا نامشخص</t>
        </is>
      </c>
      <c r="H39" s="25" t="inlineStr">
        <is>
          <t>1405/02/29</t>
        </is>
      </c>
      <c r="I39" s="25" t="inlineStr">
        <is>
          <t>در Type19 مذکور</t>
        </is>
      </c>
      <c r="J39" s="25" t="inlineStr">
        <is>
          <t>در Type19 مذکور</t>
        </is>
      </c>
      <c r="K39" s="25" t="inlineStr">
        <is>
          <t>ادامه</t>
        </is>
      </c>
      <c r="L39" s="25" t="n"/>
      <c r="M39" s="25" t="n"/>
      <c r="N39" s="25" t="inlineStr">
        <is>
          <t>تغییر سمت فقط (Turnover نیست)</t>
        </is>
      </c>
      <c r="O39" s="25" t="inlineStr">
        <is>
          <t>معرفی /تغییر در ترکیب اعضای هیئت مدیره/مدیر عامل</t>
        </is>
      </c>
      <c r="P39" s="25" t="inlineStr">
        <is>
          <t>1405/02/29</t>
        </is>
      </c>
      <c r="Q39" s="25" t="inlineStr">
        <is>
          <t>1527389</t>
        </is>
      </c>
      <c r="R39" s="25" t="inlineStr">
        <is>
          <t>https://www.codal.ir/Reports/Decision.aspx?LetterSerial=QQQaQQQtpQVpIOOObOOOPhcgQQQaQQQA5ahYjCjA%3d%3d&amp;rt=0&amp;let=19&amp;ct=0&amp;ft=-1</t>
        </is>
      </c>
      <c r="S39" s="25" t="inlineStr">
        <is>
          <t>تاریخ گزارش به‌عنوان تاریخ انتصاب فرض نشد؛ تغییر رئیس هیئت مدیره (دیداری→سیاهکارزاده)</t>
        </is>
      </c>
    </row>
    <row r="40" ht="43.5" customHeight="1" s="76">
      <c r="A40" s="23" t="inlineStr">
        <is>
          <t>جم</t>
        </is>
      </c>
      <c r="B40" s="23" t="inlineStr">
        <is>
          <t>جم</t>
        </is>
      </c>
      <c r="C40" s="23" t="inlineStr">
        <is>
          <t>Cutoff 1403/12/29</t>
        </is>
      </c>
      <c r="D40" s="23" t="inlineStr">
        <is>
          <t>سرمایه‌گذاری استان اردبیل</t>
        </is>
      </c>
      <c r="E40" s="23" t="inlineStr">
        <is>
          <t>مهدی قربانی</t>
        </is>
      </c>
      <c r="F40" s="23" t="inlineStr">
        <is>
          <t>عضو (غیرموظف)</t>
        </is>
      </c>
      <c r="G40" s="23" t="inlineStr">
        <is>
          <t>پیش از Cutoff 1403/12/29 یا نامشخص</t>
        </is>
      </c>
      <c r="H40" s="23" t="inlineStr">
        <is>
          <t>1402/12/28</t>
        </is>
      </c>
      <c r="I40" s="23" t="inlineStr">
        <is>
          <t>در Type19 مذکور</t>
        </is>
      </c>
      <c r="J40" s="23" t="inlineStr">
        <is>
          <t>در Type19 مذکور</t>
        </is>
      </c>
      <c r="K40" s="23" t="inlineStr">
        <is>
          <t>ادامه تا Cutoff بعد</t>
        </is>
      </c>
      <c r="L40" s="23" t="n"/>
      <c r="M40" s="23" t="n"/>
      <c r="N40" s="23" t="inlineStr">
        <is>
          <t>بدون تغییر</t>
        </is>
      </c>
      <c r="O40" s="23" t="inlineStr">
        <is>
          <t>معرفی /تغییر در ترکیب اعضای هیئت مدیره/مدیر عامل</t>
        </is>
      </c>
      <c r="P40" s="23" t="inlineStr">
        <is>
          <t>1402/12/28</t>
        </is>
      </c>
      <c r="Q40" s="23" t="inlineStr">
        <is>
          <t>1171265</t>
        </is>
      </c>
      <c r="R40" s="23" t="inlineStr">
        <is>
          <t>https://www.codal.ir/Reports/Decision.aspx?LetterSerial=SZoueUaBHVA%2bs%2bgcP%2bwj4A%3d%3d&amp;rt=0&amp;let=19&amp;ct=0&amp;ft=-1</t>
        </is>
      </c>
      <c r="S40" s="23" t="inlineStr">
        <is>
          <t>تاریخ گزارش به‌عنوان تاریخ انتصاب فرض نشد</t>
        </is>
      </c>
    </row>
    <row r="41" ht="43.5" customHeight="1" s="76">
      <c r="A41" s="25" t="inlineStr">
        <is>
          <t>جم</t>
        </is>
      </c>
      <c r="B41" s="25" t="inlineStr">
        <is>
          <t>جم</t>
        </is>
      </c>
      <c r="C41" s="25" t="inlineStr">
        <is>
          <t>Cutoff 1404/12/29</t>
        </is>
      </c>
      <c r="D41" s="25" t="inlineStr">
        <is>
          <t>سرمایه‌گذاری استان اردبیل</t>
        </is>
      </c>
      <c r="E41" s="25" t="inlineStr">
        <is>
          <t>مهدی قربانی</t>
        </is>
      </c>
      <c r="F41" s="25" t="inlineStr">
        <is>
          <t>عضو (غیرموظف)</t>
        </is>
      </c>
      <c r="G41" s="25" t="inlineStr">
        <is>
          <t>پیش از Cutoff 1403/12/29 یا نامشخص</t>
        </is>
      </c>
      <c r="H41" s="25" t="inlineStr">
        <is>
          <t>1405/02/29</t>
        </is>
      </c>
      <c r="I41" s="25" t="inlineStr">
        <is>
          <t>در Type19 مذکور</t>
        </is>
      </c>
      <c r="J41" s="25" t="inlineStr">
        <is>
          <t>در Type19 مذکور</t>
        </is>
      </c>
      <c r="K41" s="25" t="inlineStr">
        <is>
          <t>ادامه</t>
        </is>
      </c>
      <c r="L41" s="25" t="n"/>
      <c r="M41" s="25" t="n"/>
      <c r="N41" s="25" t="inlineStr">
        <is>
          <t>بدون تغییر</t>
        </is>
      </c>
      <c r="O41" s="25" t="inlineStr">
        <is>
          <t>معرفی /تغییر در ترکیب اعضای هیئت مدیره/مدیر عامل</t>
        </is>
      </c>
      <c r="P41" s="25" t="inlineStr">
        <is>
          <t>1405/02/29</t>
        </is>
      </c>
      <c r="Q41" s="25" t="inlineStr">
        <is>
          <t>1527389</t>
        </is>
      </c>
      <c r="R41" s="25" t="inlineStr">
        <is>
          <t>https://www.codal.ir/Reports/Decision.aspx?LetterSerial=QQQaQQQtpQVpIOOObOOOPhcgQQQaQQQA5ahYjCjA%3d%3d&amp;rt=0&amp;let=19&amp;ct=0&amp;ft=-1</t>
        </is>
      </c>
      <c r="S41" s="25" t="inlineStr">
        <is>
          <t>تاریخ گزارش به‌عنوان تاریخ انتصاب فرض نشد</t>
        </is>
      </c>
    </row>
    <row r="42" ht="43.5" customHeight="1" s="76">
      <c r="A42" s="23" t="inlineStr">
        <is>
          <t>جم</t>
        </is>
      </c>
      <c r="B42" s="23" t="inlineStr">
        <is>
          <t>جم</t>
        </is>
      </c>
      <c r="C42" s="23" t="inlineStr">
        <is>
          <t>Cutoff 1403/12/29</t>
        </is>
      </c>
      <c r="D42" s="23" t="inlineStr">
        <is>
          <t>خدمات گستر صبا انرژی</t>
        </is>
      </c>
      <c r="E42" s="23" t="inlineStr">
        <is>
          <t>امیر اکبری</t>
        </is>
      </c>
      <c r="F42" s="23" t="inlineStr">
        <is>
          <t>عضو (موظف)</t>
        </is>
      </c>
      <c r="G42" s="23" t="inlineStr">
        <is>
          <t>پیش از Cutoff 1403/12/29 یا نامشخص</t>
        </is>
      </c>
      <c r="H42" s="23" t="inlineStr">
        <is>
          <t>1402/12/28</t>
        </is>
      </c>
      <c r="I42" s="23" t="inlineStr">
        <is>
          <t>در Type19 مذکور</t>
        </is>
      </c>
      <c r="J42" s="23" t="inlineStr">
        <is>
          <t>در Type19 مذکور</t>
        </is>
      </c>
      <c r="K42" s="23" t="n"/>
      <c r="L42" s="23" t="inlineStr">
        <is>
          <t>خروج/جایگزینی 1404/12/25</t>
        </is>
      </c>
      <c r="M42" s="23" t="n"/>
      <c r="N42" s="23" t="inlineStr">
        <is>
          <t>تغییر نماینده حقیقی با شخص حقوقی ثابت</t>
        </is>
      </c>
      <c r="O42" s="23" t="inlineStr">
        <is>
          <t>معرفی /تغییر در ترکیب اعضای هیئت مدیره/مدیر عامل</t>
        </is>
      </c>
      <c r="P42" s="23" t="inlineStr">
        <is>
          <t>1402/12/28</t>
        </is>
      </c>
      <c r="Q42" s="23" t="inlineStr">
        <is>
          <t>1171265</t>
        </is>
      </c>
      <c r="R42" s="23" t="inlineStr">
        <is>
          <t>https://www.codal.ir/Reports/Decision.aspx?LetterSerial=SZoueUaBHVA%2bs%2bgcP%2bwj4A%3d%3d&amp;rt=0&amp;let=19&amp;ct=0&amp;ft=-1</t>
        </is>
      </c>
      <c r="S42" s="23" t="inlineStr">
        <is>
          <t>تاریخ گزارش به‌عنوان تاریخ انتصاب فرض نشد؛ زنجیره: اکبری→نجفی (۱۴۰۴/۰۶/۰۴)→معینی (۱۴۰۴/۱۲/۲۵)؛ معینی تنها عضو جدید</t>
        </is>
      </c>
    </row>
    <row r="43" ht="43.5" customHeight="1" s="76">
      <c r="A43" s="25" t="inlineStr">
        <is>
          <t>جم</t>
        </is>
      </c>
      <c r="B43" s="25" t="inlineStr">
        <is>
          <t>جم</t>
        </is>
      </c>
      <c r="C43" s="25" t="inlineStr">
        <is>
          <t>Cutoff 1404/12/29</t>
        </is>
      </c>
      <c r="D43" s="25" t="inlineStr">
        <is>
          <t>خدمات گستر صبا انرژی</t>
        </is>
      </c>
      <c r="E43" s="25" t="inlineStr">
        <is>
          <t>حسن معینی</t>
        </is>
      </c>
      <c r="F43" s="25" t="inlineStr">
        <is>
          <t>عضو (موظف)</t>
        </is>
      </c>
      <c r="G43" s="25" t="inlineStr">
        <is>
          <t>1404/12/25</t>
        </is>
      </c>
      <c r="H43" s="25" t="inlineStr">
        <is>
          <t>1405/02/29</t>
        </is>
      </c>
      <c r="I43" s="25" t="inlineStr">
        <is>
          <t>در Type19 مذکور</t>
        </is>
      </c>
      <c r="J43" s="25" t="inlineStr">
        <is>
          <t>در Type19 مذکور</t>
        </is>
      </c>
      <c r="K43" s="25" t="n"/>
      <c r="L43" s="25" t="n"/>
      <c r="M43" s="25" t="inlineStr">
        <is>
          <t>ورود 1404/12/25</t>
        </is>
      </c>
      <c r="N43" s="25" t="inlineStr">
        <is>
          <t>تغییر نماینده حقیقی با شخص حقوقی ثابت</t>
        </is>
      </c>
      <c r="O43" s="25" t="inlineStr">
        <is>
          <t>معرفی /تغییر در ترکیب اعضای هیئت مدیره/مدیر عامل</t>
        </is>
      </c>
      <c r="P43" s="25" t="inlineStr">
        <is>
          <t>1405/02/29</t>
        </is>
      </c>
      <c r="Q43" s="25" t="inlineStr">
        <is>
          <t>1527389</t>
        </is>
      </c>
      <c r="R43" s="25" t="inlineStr">
        <is>
          <t>https://www.codal.ir/Reports/Decision.aspx?LetterSerial=QQQaQQQtpQVpIOOObOOOPhcgQQQaQQQA5ahYjCjA%3d%3d&amp;rt=0&amp;let=19&amp;ct=0&amp;ft=-1</t>
        </is>
      </c>
      <c r="S43" s="25" t="inlineStr">
        <is>
          <t>تاریخ گزارش به‌عنوان تاریخ انتصاب فرض نشد؛ زنجیره: اکبری→نجفی (۱۴۰۴/۰۶/۰۴)→معینی (۱۴۰۴/۱۲/۲۵)؛ معینی تنها عضو جدید</t>
        </is>
      </c>
    </row>
    <row r="44" ht="43.5" customHeight="1" s="76">
      <c r="A44" s="23" t="inlineStr">
        <is>
          <t>خساپا</t>
        </is>
      </c>
      <c r="B44" s="23" t="inlineStr">
        <is>
          <t>خساپا</t>
        </is>
      </c>
      <c r="C44" s="23" t="inlineStr">
        <is>
          <t>Cutoff 1403/12/29</t>
        </is>
      </c>
      <c r="D44" s="23" t="inlineStr">
        <is>
          <t>سرمایه‌گذاری گروه صنعتی رنا</t>
        </is>
      </c>
      <c r="E44" s="23" t="inlineStr">
        <is>
          <t>کورش پرویزیان</t>
        </is>
      </c>
      <c r="F44" s="23" t="inlineStr">
        <is>
          <t>رئیس (غیرموظف)</t>
        </is>
      </c>
      <c r="G44" s="23" t="inlineStr">
        <is>
          <t>پیش از Cutoff 1403/12/29 یا نامشخص</t>
        </is>
      </c>
      <c r="H44" s="23" t="inlineStr">
        <is>
          <t>1403/11/03</t>
        </is>
      </c>
      <c r="I44" s="23" t="inlineStr">
        <is>
          <t>در Type19 مذکور</t>
        </is>
      </c>
      <c r="J44" s="23" t="inlineStr">
        <is>
          <t>در Type19 مذکور</t>
        </is>
      </c>
      <c r="K44" s="23" t="n"/>
      <c r="L44" s="23" t="inlineStr">
        <is>
          <t>خروج/جایگزینی 1404/02/08</t>
        </is>
      </c>
      <c r="M44" s="23" t="n"/>
      <c r="N44" s="23" t="inlineStr">
        <is>
          <t>تغییر نماینده حقیقی با شخص حقوقی ثابت</t>
        </is>
      </c>
      <c r="O44" s="23" t="inlineStr">
        <is>
          <t>معرفی /تغییر در ترکیب اعضای هیئت مدیره/مدیر عامل</t>
        </is>
      </c>
      <c r="P44" s="23" t="inlineStr">
        <is>
          <t>1403/11/03</t>
        </is>
      </c>
      <c r="Q44" s="23" t="inlineStr">
        <is>
          <t>1295938</t>
        </is>
      </c>
      <c r="R44" s="23" t="inlineStr">
        <is>
          <t>https://www.codal.ir/Reports/Decision.aspx?LetterSerial=0rlsOOObOOOEFaa9IMoCD90IUbxA%3d%3d&amp;rt=0&amp;let=19&amp;ct=0&amp;ft=-1</t>
        </is>
      </c>
      <c r="S44" s="23" t="inlineStr">
        <is>
          <t>تاریخ گزارش به‌عنوان تاریخ انتصاب فرض نشد</t>
        </is>
      </c>
    </row>
    <row r="45" ht="43.5" customHeight="1" s="76">
      <c r="A45" s="25" t="inlineStr">
        <is>
          <t>خساپا</t>
        </is>
      </c>
      <c r="B45" s="25" t="inlineStr">
        <is>
          <t>خساپا</t>
        </is>
      </c>
      <c r="C45" s="25" t="inlineStr">
        <is>
          <t>Cutoff 1404/12/29</t>
        </is>
      </c>
      <c r="D45" s="25" t="inlineStr">
        <is>
          <t>سرمایه‌گذاری گروه صنعتی رنا</t>
        </is>
      </c>
      <c r="E45" s="25" t="inlineStr">
        <is>
          <t>رحیم علیشاهی</t>
        </is>
      </c>
      <c r="F45" s="25" t="inlineStr">
        <is>
          <t>عضو (غیرموظف)</t>
        </is>
      </c>
      <c r="G45" s="25" t="inlineStr">
        <is>
          <t>1404/02/08</t>
        </is>
      </c>
      <c r="H45" s="25" t="inlineStr">
        <is>
          <t>1404/05/15</t>
        </is>
      </c>
      <c r="I45" s="25" t="inlineStr">
        <is>
          <t>در Type19 مذکور</t>
        </is>
      </c>
      <c r="J45" s="25" t="inlineStr">
        <is>
          <t>در Type19 مذکور</t>
        </is>
      </c>
      <c r="K45" s="25" t="n"/>
      <c r="L45" s="25" t="n"/>
      <c r="M45" s="25" t="inlineStr">
        <is>
          <t>ورود 1404/02/08</t>
        </is>
      </c>
      <c r="N45" s="25" t="inlineStr">
        <is>
          <t>تغییر نماینده حقیقی با شخص حقوقی ثابت</t>
        </is>
      </c>
      <c r="O45" s="25" t="inlineStr">
        <is>
          <t>معرفی /تغییر در ترکیب اعضای هیئت مدیره/مدیر عامل</t>
        </is>
      </c>
      <c r="P45" s="25" t="inlineStr">
        <is>
          <t>1404/05/15</t>
        </is>
      </c>
      <c r="Q45" s="25" t="inlineStr">
        <is>
          <t>1386511</t>
        </is>
      </c>
      <c r="R45" s="25" t="inlineStr">
        <is>
          <t>https://www.codal.ir/Reports/Decision.aspx?LetterSerial=UJ1so0i61H6WpTMWJ3OsCA%3d%3d&amp;rt=0&amp;let=19&amp;ct=0&amp;ft=-1</t>
        </is>
      </c>
      <c r="S45" s="25" t="inlineStr">
        <is>
          <t>تاریخ گزارش به‌عنوان تاریخ انتصاب فرض نشد</t>
        </is>
      </c>
    </row>
    <row r="46" ht="43.5" customHeight="1" s="76">
      <c r="A46" s="23" t="inlineStr">
        <is>
          <t>خساپا</t>
        </is>
      </c>
      <c r="B46" s="23" t="inlineStr">
        <is>
          <t>خساپا</t>
        </is>
      </c>
      <c r="C46" s="23" t="inlineStr">
        <is>
          <t>Cutoff 1403/12/29</t>
        </is>
      </c>
      <c r="D46" s="23" t="inlineStr">
        <is>
          <t>گروه سرمایه‌گذاری کارکنان سایپا</t>
        </is>
      </c>
      <c r="E46" s="23" t="inlineStr">
        <is>
          <t>علی شیخ‌زاده</t>
        </is>
      </c>
      <c r="F46" s="23" t="inlineStr">
        <is>
          <t>عضو و مدیرعامل (موظف)</t>
        </is>
      </c>
      <c r="G46" s="23" t="inlineStr">
        <is>
          <t>پیش از Cutoff 1403/12/29 یا نامشخص</t>
        </is>
      </c>
      <c r="H46" s="23" t="inlineStr">
        <is>
          <t>1403/11/03</t>
        </is>
      </c>
      <c r="I46" s="23" t="inlineStr">
        <is>
          <t>در Type19 مذکور</t>
        </is>
      </c>
      <c r="J46" s="23" t="inlineStr">
        <is>
          <t>در Type19 مذکور</t>
        </is>
      </c>
      <c r="K46" s="23" t="inlineStr">
        <is>
          <t>ادامه تا Cutoff بعد</t>
        </is>
      </c>
      <c r="L46" s="23" t="n"/>
      <c r="M46" s="23" t="n"/>
      <c r="N46" s="23" t="inlineStr">
        <is>
          <t>تغییر سمت فقط (Turnover نیست)</t>
        </is>
      </c>
      <c r="O46" s="23" t="inlineStr">
        <is>
          <t>معرفی /تغییر در ترکیب اعضای هیئت مدیره/مدیر عامل</t>
        </is>
      </c>
      <c r="P46" s="23" t="inlineStr">
        <is>
          <t>1403/11/03</t>
        </is>
      </c>
      <c r="Q46" s="23" t="inlineStr">
        <is>
          <t>1295938</t>
        </is>
      </c>
      <c r="R46" s="23" t="inlineStr">
        <is>
          <t>https://www.codal.ir/Reports/Decision.aspx?LetterSerial=0rlsOOObOOOEFaa9IMoCD90IUbxA%3d%3d&amp;rt=0&amp;let=19&amp;ct=0&amp;ft=-1</t>
        </is>
      </c>
      <c r="S46" s="23" t="inlineStr">
        <is>
          <t>تاریخ گزارش به‌عنوان تاریخ انتصاب فرض نشد</t>
        </is>
      </c>
    </row>
    <row r="47" ht="43.5" customHeight="1" s="76">
      <c r="A47" s="25" t="inlineStr">
        <is>
          <t>خساپا</t>
        </is>
      </c>
      <c r="B47" s="25" t="inlineStr">
        <is>
          <t>خساپا</t>
        </is>
      </c>
      <c r="C47" s="25" t="inlineStr">
        <is>
          <t>Cutoff 1404/12/29</t>
        </is>
      </c>
      <c r="D47" s="25" t="inlineStr">
        <is>
          <t>گروه سرمایه‌گذاری کارکنان سایپا</t>
        </is>
      </c>
      <c r="E47" s="25" t="inlineStr">
        <is>
          <t>علی شیخ‌زاده</t>
        </is>
      </c>
      <c r="F47" s="25" t="inlineStr">
        <is>
          <t>نایب رئیس (موظف)</t>
        </is>
      </c>
      <c r="G47" s="25" t="inlineStr">
        <is>
          <t>پیش از Cutoff 1403/12/29 یا نامشخص</t>
        </is>
      </c>
      <c r="H47" s="25" t="inlineStr">
        <is>
          <t>1404/05/15</t>
        </is>
      </c>
      <c r="I47" s="25" t="inlineStr">
        <is>
          <t>در Type19 مذکور</t>
        </is>
      </c>
      <c r="J47" s="25" t="inlineStr">
        <is>
          <t>در Type19 مذکور</t>
        </is>
      </c>
      <c r="K47" s="25" t="inlineStr">
        <is>
          <t>ادامه</t>
        </is>
      </c>
      <c r="L47" s="25" t="n"/>
      <c r="M47" s="25" t="n"/>
      <c r="N47" s="25" t="inlineStr">
        <is>
          <t>تغییر سمت فقط (Turnover نیست)</t>
        </is>
      </c>
      <c r="O47" s="25" t="inlineStr">
        <is>
          <t>معرفی /تغییر در ترکیب اعضای هیئت مدیره/مدیر عامل</t>
        </is>
      </c>
      <c r="P47" s="25" t="inlineStr">
        <is>
          <t>1404/05/15</t>
        </is>
      </c>
      <c r="Q47" s="25" t="inlineStr">
        <is>
          <t>1386511</t>
        </is>
      </c>
      <c r="R47" s="25" t="inlineStr">
        <is>
          <t>https://www.codal.ir/Reports/Decision.aspx?LetterSerial=UJ1so0i61H6WpTMWJ3OsCA%3d%3d&amp;rt=0&amp;let=19&amp;ct=0&amp;ft=-1</t>
        </is>
      </c>
      <c r="S47" s="25" t="inlineStr">
        <is>
          <t>تاریخ گزارش به‌عنوان تاریخ انتصاب فرض نشد</t>
        </is>
      </c>
    </row>
    <row r="48" ht="43.5" customHeight="1" s="76">
      <c r="A48" s="23" t="inlineStr">
        <is>
          <t>خساپا</t>
        </is>
      </c>
      <c r="B48" s="23" t="inlineStr">
        <is>
          <t>خساپا</t>
        </is>
      </c>
      <c r="C48" s="23" t="inlineStr">
        <is>
          <t>Cutoff 1403/12/29</t>
        </is>
      </c>
      <c r="D48" s="23" t="inlineStr">
        <is>
          <t>صندوق حمایت و بازنشستگی کارکنان فولاد</t>
        </is>
      </c>
      <c r="E48" s="23" t="inlineStr">
        <is>
          <t>مجید بهرامی</t>
        </is>
      </c>
      <c r="F48" s="23" t="inlineStr">
        <is>
          <t>عضو (غیرموظف)</t>
        </is>
      </c>
      <c r="G48" s="23" t="inlineStr">
        <is>
          <t>پیش از Cutoff 1403/12/29 یا نامشخص</t>
        </is>
      </c>
      <c r="H48" s="23" t="inlineStr">
        <is>
          <t>1403/11/03</t>
        </is>
      </c>
      <c r="I48" s="23" t="inlineStr">
        <is>
          <t>در Type19 مذکور</t>
        </is>
      </c>
      <c r="J48" s="23" t="inlineStr">
        <is>
          <t>در Type19 مذکور</t>
        </is>
      </c>
      <c r="K48" s="23" t="inlineStr">
        <is>
          <t>ادامه تا Cutoff بعد</t>
        </is>
      </c>
      <c r="L48" s="23" t="n"/>
      <c r="M48" s="23" t="n"/>
      <c r="N48" s="23" t="inlineStr">
        <is>
          <t>بدون تغییر</t>
        </is>
      </c>
      <c r="O48" s="23" t="inlineStr">
        <is>
          <t>معرفی /تغییر در ترکیب اعضای هیئت مدیره/مدیر عامل</t>
        </is>
      </c>
      <c r="P48" s="23" t="inlineStr">
        <is>
          <t>1403/11/03</t>
        </is>
      </c>
      <c r="Q48" s="23" t="inlineStr">
        <is>
          <t>1295938</t>
        </is>
      </c>
      <c r="R48" s="23" t="inlineStr">
        <is>
          <t>https://www.codal.ir/Reports/Decision.aspx?LetterSerial=0rlsOOObOOOEFaa9IMoCD90IUbxA%3d%3d&amp;rt=0&amp;let=19&amp;ct=0&amp;ft=-1</t>
        </is>
      </c>
      <c r="S48" s="23" t="inlineStr">
        <is>
          <t>تاریخ گزارش به‌عنوان تاریخ انتصاب فرض نشد؛ بهرامی از ۱۴۰۳/۱۱/۰۳ (جایگزین سهیل‌نژاد) پیش از Cutoff</t>
        </is>
      </c>
    </row>
    <row r="49" ht="43.5" customHeight="1" s="76">
      <c r="A49" s="25" t="inlineStr">
        <is>
          <t>خساپا</t>
        </is>
      </c>
      <c r="B49" s="25" t="inlineStr">
        <is>
          <t>خساپا</t>
        </is>
      </c>
      <c r="C49" s="25" t="inlineStr">
        <is>
          <t>Cutoff 1404/12/29</t>
        </is>
      </c>
      <c r="D49" s="25" t="inlineStr">
        <is>
          <t>صندوق حمایت و بازنشستگی کارکنان فولاد</t>
        </is>
      </c>
      <c r="E49" s="25" t="inlineStr">
        <is>
          <t>مجید بهرامی</t>
        </is>
      </c>
      <c r="F49" s="25" t="inlineStr">
        <is>
          <t>عضو (غیرموظف)</t>
        </is>
      </c>
      <c r="G49" s="25" t="inlineStr">
        <is>
          <t>پیش از Cutoff 1403/12/29 یا نامشخص</t>
        </is>
      </c>
      <c r="H49" s="25" t="inlineStr">
        <is>
          <t>1404/05/15</t>
        </is>
      </c>
      <c r="I49" s="25" t="inlineStr">
        <is>
          <t>در Type19 مذکور</t>
        </is>
      </c>
      <c r="J49" s="25" t="inlineStr">
        <is>
          <t>در Type19 مذکور</t>
        </is>
      </c>
      <c r="K49" s="25" t="inlineStr">
        <is>
          <t>ادامه</t>
        </is>
      </c>
      <c r="L49" s="25" t="n"/>
      <c r="M49" s="25" t="n"/>
      <c r="N49" s="25" t="inlineStr">
        <is>
          <t>بدون تغییر</t>
        </is>
      </c>
      <c r="O49" s="25" t="inlineStr">
        <is>
          <t>معرفی /تغییر در ترکیب اعضای هیئت مدیره/مدیر عامل</t>
        </is>
      </c>
      <c r="P49" s="25" t="inlineStr">
        <is>
          <t>1404/05/15</t>
        </is>
      </c>
      <c r="Q49" s="25" t="inlineStr">
        <is>
          <t>1386511</t>
        </is>
      </c>
      <c r="R49" s="25" t="inlineStr">
        <is>
          <t>https://www.codal.ir/Reports/Decision.aspx?LetterSerial=UJ1so0i61H6WpTMWJ3OsCA%3d%3d&amp;rt=0&amp;let=19&amp;ct=0&amp;ft=-1</t>
        </is>
      </c>
      <c r="S49" s="25" t="inlineStr">
        <is>
          <t>تاریخ گزارش به‌عنوان تاریخ انتصاب فرض نشد؛ بهرامی از ۱۴۰۳/۱۱/۰۳ (جایگزین سهیل‌نژاد) پیش از Cutoff</t>
        </is>
      </c>
    </row>
    <row r="50" ht="43.5" customHeight="1" s="76">
      <c r="A50" s="23" t="inlineStr">
        <is>
          <t>خساپا</t>
        </is>
      </c>
      <c r="B50" s="23" t="inlineStr">
        <is>
          <t>خساپا</t>
        </is>
      </c>
      <c r="C50" s="23" t="inlineStr">
        <is>
          <t>Cutoff 1403/12/29</t>
        </is>
      </c>
      <c r="D50" s="23" t="inlineStr">
        <is>
          <t>توسعه سرمایه رادین</t>
        </is>
      </c>
      <c r="E50" s="23" t="inlineStr">
        <is>
          <t>علی شیدائی نرمیقی</t>
        </is>
      </c>
      <c r="F50" s="23" t="inlineStr">
        <is>
          <t>نایب رئیس (غیرموظف)</t>
        </is>
      </c>
      <c r="G50" s="23" t="inlineStr">
        <is>
          <t>پیش از Cutoff 1403/12/29 یا نامشخص</t>
        </is>
      </c>
      <c r="H50" s="23" t="inlineStr">
        <is>
          <t>1403/11/03</t>
        </is>
      </c>
      <c r="I50" s="23" t="inlineStr">
        <is>
          <t>در Type19 مذکور</t>
        </is>
      </c>
      <c r="J50" s="23" t="inlineStr">
        <is>
          <t>در Type19 مذکور</t>
        </is>
      </c>
      <c r="K50" s="23" t="n"/>
      <c r="L50" s="23" t="inlineStr">
        <is>
          <t>خروج/جایگزینی 1404/02/08</t>
        </is>
      </c>
      <c r="M50" s="23" t="n"/>
      <c r="N50" s="23" t="inlineStr">
        <is>
          <t>تغییر نماینده حقیقی با شخص حقوقی ثابت</t>
        </is>
      </c>
      <c r="O50" s="23" t="inlineStr">
        <is>
          <t>معرفی /تغییر در ترکیب اعضای هیئت مدیره/مدیر عامل</t>
        </is>
      </c>
      <c r="P50" s="23" t="inlineStr">
        <is>
          <t>1403/11/03</t>
        </is>
      </c>
      <c r="Q50" s="23" t="inlineStr">
        <is>
          <t>1295938</t>
        </is>
      </c>
      <c r="R50" s="23" t="inlineStr">
        <is>
          <t>https://www.codal.ir/Reports/Decision.aspx?LetterSerial=0rlsOOObOOOEFaa9IMoCD90IUbxA%3d%3d&amp;rt=0&amp;let=19&amp;ct=0&amp;ft=-1</t>
        </is>
      </c>
      <c r="S50" s="23" t="inlineStr">
        <is>
          <t>تاریخ گزارش به‌عنوان تاریخ انتصاب فرض نشد</t>
        </is>
      </c>
    </row>
    <row r="51" ht="43.5" customHeight="1" s="76">
      <c r="A51" s="25" t="inlineStr">
        <is>
          <t>خساپا</t>
        </is>
      </c>
      <c r="B51" s="25" t="inlineStr">
        <is>
          <t>خساپا</t>
        </is>
      </c>
      <c r="C51" s="25" t="inlineStr">
        <is>
          <t>Cutoff 1404/12/29</t>
        </is>
      </c>
      <c r="D51" s="25" t="inlineStr">
        <is>
          <t>توسعه سرمایه رادین</t>
        </is>
      </c>
      <c r="E51" s="25" t="inlineStr">
        <is>
          <t>مهدی رادمنش</t>
        </is>
      </c>
      <c r="F51" s="25" t="inlineStr">
        <is>
          <t>عضو (موظف)</t>
        </is>
      </c>
      <c r="G51" s="25" t="inlineStr">
        <is>
          <t>1404/02/08</t>
        </is>
      </c>
      <c r="H51" s="25" t="inlineStr">
        <is>
          <t>1404/05/15</t>
        </is>
      </c>
      <c r="I51" s="25" t="inlineStr">
        <is>
          <t>در Type19 مذکور</t>
        </is>
      </c>
      <c r="J51" s="25" t="inlineStr">
        <is>
          <t>در Type19 مذکور</t>
        </is>
      </c>
      <c r="K51" s="25" t="n"/>
      <c r="L51" s="25" t="n"/>
      <c r="M51" s="25" t="inlineStr">
        <is>
          <t>ورود 1404/02/08</t>
        </is>
      </c>
      <c r="N51" s="25" t="inlineStr">
        <is>
          <t>تغییر نماینده حقیقی با شخص حقوقی ثابت</t>
        </is>
      </c>
      <c r="O51" s="25" t="inlineStr">
        <is>
          <t>معرفی /تغییر در ترکیب اعضای هیئت مدیره/مدیر عامل</t>
        </is>
      </c>
      <c r="P51" s="25" t="inlineStr">
        <is>
          <t>1404/05/15</t>
        </is>
      </c>
      <c r="Q51" s="25" t="inlineStr">
        <is>
          <t>1386511</t>
        </is>
      </c>
      <c r="R51" s="25" t="inlineStr">
        <is>
          <t>https://www.codal.ir/Reports/Decision.aspx?LetterSerial=UJ1so0i61H6WpTMWJ3OsCA%3d%3d&amp;rt=0&amp;let=19&amp;ct=0&amp;ft=-1</t>
        </is>
      </c>
      <c r="S51" s="25" t="inlineStr">
        <is>
          <t>تاریخ گزارش به‌عنوان تاریخ انتصاب فرض نشد</t>
        </is>
      </c>
    </row>
    <row r="52" ht="43.5" customHeight="1" s="76">
      <c r="A52" s="23" t="inlineStr">
        <is>
          <t>خساپا</t>
        </is>
      </c>
      <c r="B52" s="23" t="inlineStr">
        <is>
          <t>خساپا</t>
        </is>
      </c>
      <c r="C52" s="23" t="inlineStr">
        <is>
          <t>Cutoff 1403/12/29</t>
        </is>
      </c>
      <c r="D52" s="23" t="inlineStr">
        <is>
          <t>سازمان مدیریت صنعتی</t>
        </is>
      </c>
      <c r="E52" s="23" t="inlineStr">
        <is>
          <t>محمدرضا شیخ‌عطار</t>
        </is>
      </c>
      <c r="F52" s="23" t="inlineStr">
        <is>
          <t>عضو (موظف)</t>
        </is>
      </c>
      <c r="G52" s="23" t="inlineStr">
        <is>
          <t>پیش از Cutoff 1403/12/29 یا نامشخص</t>
        </is>
      </c>
      <c r="H52" s="23" t="inlineStr">
        <is>
          <t>1403/11/03</t>
        </is>
      </c>
      <c r="I52" s="23" t="inlineStr">
        <is>
          <t>در Type19 مذکور</t>
        </is>
      </c>
      <c r="J52" s="23" t="inlineStr">
        <is>
          <t>در Type19 مذکور</t>
        </is>
      </c>
      <c r="K52" s="23" t="n"/>
      <c r="L52" s="23" t="inlineStr">
        <is>
          <t>خروج/جایگزینی 1404/02/08</t>
        </is>
      </c>
      <c r="M52" s="23" t="n"/>
      <c r="N52" s="23" t="inlineStr">
        <is>
          <t>تغییر نماینده حقیقی با شخص حقوقی ثابت</t>
        </is>
      </c>
      <c r="O52" s="23" t="inlineStr">
        <is>
          <t>معرفی /تغییر در ترکیب اعضای هیئت مدیره/مدیر عامل</t>
        </is>
      </c>
      <c r="P52" s="23" t="inlineStr">
        <is>
          <t>1403/11/03</t>
        </is>
      </c>
      <c r="Q52" s="23" t="inlineStr">
        <is>
          <t>1295938</t>
        </is>
      </c>
      <c r="R52" s="23" t="inlineStr">
        <is>
          <t>https://www.codal.ir/Reports/Decision.aspx?LetterSerial=0rlsOOObOOOEFaa9IMoCD90IUbxA%3d%3d&amp;rt=0&amp;let=19&amp;ct=0&amp;ft=-1</t>
        </is>
      </c>
      <c r="S52" s="23" t="inlineStr">
        <is>
          <t>تاریخ گزارش به‌عنوان تاریخ انتصاب فرض نشد؛ پرویزیان از کرسی رنا به کرسی سازمان مدیریت صنعتی رفت؛ عضو جدید نیست (P&lt;G مشروع)</t>
        </is>
      </c>
    </row>
    <row r="53" ht="43.5" customHeight="1" s="76">
      <c r="A53" s="25" t="inlineStr">
        <is>
          <t>خساپا</t>
        </is>
      </c>
      <c r="B53" s="25" t="inlineStr">
        <is>
          <t>خساپا</t>
        </is>
      </c>
      <c r="C53" s="25" t="inlineStr">
        <is>
          <t>Cutoff 1404/12/29</t>
        </is>
      </c>
      <c r="D53" s="25" t="inlineStr">
        <is>
          <t>سازمان مدیریت صنعتی</t>
        </is>
      </c>
      <c r="E53" s="25" t="inlineStr">
        <is>
          <t>کورش پرویزیان</t>
        </is>
      </c>
      <c r="F53" s="25" t="inlineStr">
        <is>
          <t>رئیس (غیرموظف)</t>
        </is>
      </c>
      <c r="G53" s="25" t="inlineStr">
        <is>
          <t>1404/02/08</t>
        </is>
      </c>
      <c r="H53" s="25" t="inlineStr">
        <is>
          <t>1404/05/15</t>
        </is>
      </c>
      <c r="I53" s="25" t="inlineStr">
        <is>
          <t>در Type19 مذکور</t>
        </is>
      </c>
      <c r="J53" s="25" t="inlineStr">
        <is>
          <t>در Type19 مذکور</t>
        </is>
      </c>
      <c r="K53" s="25" t="n"/>
      <c r="L53" s="25" t="n"/>
      <c r="M53" s="25" t="inlineStr">
        <is>
          <t>ورود 1404/02/08</t>
        </is>
      </c>
      <c r="N53" s="25" t="inlineStr">
        <is>
          <t>تغییر نماینده حقیقی با شخص حقوقی ثابت</t>
        </is>
      </c>
      <c r="O53" s="25" t="inlineStr">
        <is>
          <t>معرفی /تغییر در ترکیب اعضای هیئت مدیره/مدیر عامل</t>
        </is>
      </c>
      <c r="P53" s="25" t="inlineStr">
        <is>
          <t>1404/05/15</t>
        </is>
      </c>
      <c r="Q53" s="25" t="inlineStr">
        <is>
          <t>1386511</t>
        </is>
      </c>
      <c r="R53" s="25" t="inlineStr">
        <is>
          <t>https://www.codal.ir/Reports/Decision.aspx?LetterSerial=UJ1so0i61H6WpTMWJ3OsCA%3d%3d&amp;rt=0&amp;let=19&amp;ct=0&amp;ft=-1</t>
        </is>
      </c>
      <c r="S53" s="25" t="inlineStr">
        <is>
          <t>تاریخ گزارش به‌عنوان تاریخ انتصاب فرض نشد؛ پرویزیان از کرسی رنا به کرسی سازمان مدیریت صنعتی رفت؛ عضو جدید نیست (P&lt;G مشروع)</t>
        </is>
      </c>
    </row>
    <row r="54" ht="43.5" customHeight="1" s="76">
      <c r="A54" s="23" t="inlineStr">
        <is>
          <t>خودرو</t>
        </is>
      </c>
      <c r="B54" s="23" t="inlineStr">
        <is>
          <t>خودرو</t>
        </is>
      </c>
      <c r="C54" s="23" t="inlineStr">
        <is>
          <t>Cutoff 1403/12/29</t>
        </is>
      </c>
      <c r="D54" s="23" t="inlineStr">
        <is>
          <t>خدمات گستر صبا انرژی</t>
        </is>
      </c>
      <c r="E54" s="23" t="inlineStr">
        <is>
          <t>عبدالله سلطانی ثانی</t>
        </is>
      </c>
      <c r="F54" s="23" t="inlineStr">
        <is>
          <t>عضو (غیرموظف)</t>
        </is>
      </c>
      <c r="G54" s="23" t="inlineStr">
        <is>
          <t>پیش از Cutoff 1403/12/29 یا نامشخص</t>
        </is>
      </c>
      <c r="H54" s="23" t="inlineStr">
        <is>
          <t>1403/11/21</t>
        </is>
      </c>
      <c r="I54" s="23" t="inlineStr">
        <is>
          <t>در Type19 مذکور</t>
        </is>
      </c>
      <c r="J54" s="23" t="inlineStr">
        <is>
          <t>در Type19 مذکور</t>
        </is>
      </c>
      <c r="K54" s="23" t="inlineStr">
        <is>
          <t>ادامه تا Cutoff بعد</t>
        </is>
      </c>
      <c r="L54" s="23" t="n"/>
      <c r="M54" s="23" t="n"/>
      <c r="N54" s="23" t="inlineStr">
        <is>
          <t>بدون تغییر</t>
        </is>
      </c>
      <c r="O54" s="23" t="inlineStr">
        <is>
          <t>معرفی /تغییر در ترکیب اعضای هیئت مدیره/مدیر عامل</t>
        </is>
      </c>
      <c r="P54" s="23" t="inlineStr">
        <is>
          <t>1403/11/21</t>
        </is>
      </c>
      <c r="Q54" s="23" t="inlineStr">
        <is>
          <t>1306740</t>
        </is>
      </c>
      <c r="R54" s="23" t="inlineStr">
        <is>
          <t>https://www.codal.ir/Reports/Decision.aspx?LetterSerial=gVTCoHYs1M0v5mNrsaCDkA%3d%3d&amp;rt=0&amp;let=19&amp;ct=0&amp;ft=-1</t>
        </is>
      </c>
      <c r="S54" s="23" t="inlineStr">
        <is>
          <t>تاریخ گزارش به‌عنوان تاریخ انتصاب فرض نشد</t>
        </is>
      </c>
    </row>
    <row r="55" ht="43.5" customHeight="1" s="76">
      <c r="A55" s="25" t="inlineStr">
        <is>
          <t>خودرو</t>
        </is>
      </c>
      <c r="B55" s="25" t="inlineStr">
        <is>
          <t>خودرو</t>
        </is>
      </c>
      <c r="C55" s="25" t="inlineStr">
        <is>
          <t>Cutoff 1404/12/29</t>
        </is>
      </c>
      <c r="D55" s="25" t="inlineStr">
        <is>
          <t>خدمات گستر صبا انرژی</t>
        </is>
      </c>
      <c r="E55" s="25" t="inlineStr">
        <is>
          <t>عبدالله سلطانی ثانی</t>
        </is>
      </c>
      <c r="F55" s="25" t="inlineStr">
        <is>
          <t>عضو (غیرموظف)</t>
        </is>
      </c>
      <c r="G55" s="25" t="inlineStr">
        <is>
          <t>پیش از Cutoff 1403/12/29 یا نامشخص</t>
        </is>
      </c>
      <c r="H55" s="25" t="inlineStr">
        <is>
          <t>1404/07/21</t>
        </is>
      </c>
      <c r="I55" s="25" t="inlineStr">
        <is>
          <t>در Type19 مذکور</t>
        </is>
      </c>
      <c r="J55" s="25" t="inlineStr">
        <is>
          <t>در Type19 مذکور</t>
        </is>
      </c>
      <c r="K55" s="25" t="inlineStr">
        <is>
          <t>ادامه</t>
        </is>
      </c>
      <c r="L55" s="25" t="n"/>
      <c r="M55" s="25" t="n"/>
      <c r="N55" s="25" t="inlineStr">
        <is>
          <t>بدون تغییر</t>
        </is>
      </c>
      <c r="O55" s="25" t="inlineStr">
        <is>
          <t>معرفی /تغییر در ترکیب اعضای هیئت مدیره/مدیر عامل</t>
        </is>
      </c>
      <c r="P55" s="25" t="inlineStr">
        <is>
          <t>1404/07/21</t>
        </is>
      </c>
      <c r="Q55" s="25" t="inlineStr">
        <is>
          <t>1417850</t>
        </is>
      </c>
      <c r="R55" s="25" t="inlineStr">
        <is>
          <t>https://www.codal.ir/Reports/Decision.aspx?LetterSerial=8qXiOOObOOOscQQQaQQQfIOkx3DWj8Uw1Q%3d%3d&amp;rt=0&amp;let=19&amp;ct=0&amp;ft=-1</t>
        </is>
      </c>
      <c r="S55" s="25" t="inlineStr">
        <is>
          <t>تاریخ گزارش به‌عنوان تاریخ انتصاب فرض نشد</t>
        </is>
      </c>
    </row>
    <row r="56" ht="43.5" customHeight="1" s="76">
      <c r="A56" s="23" t="inlineStr">
        <is>
          <t>خودرو</t>
        </is>
      </c>
      <c r="B56" s="23" t="inlineStr">
        <is>
          <t>خودرو</t>
        </is>
      </c>
      <c r="C56" s="23" t="inlineStr">
        <is>
          <t>Cutoff 1403/12/29</t>
        </is>
      </c>
      <c r="D56" s="23" t="inlineStr">
        <is>
          <t>مدیریت سرمایه‌گذاری ملی ایران</t>
        </is>
      </c>
      <c r="E56" s="23" t="inlineStr">
        <is>
          <t>عادل پیرمحمدی</t>
        </is>
      </c>
      <c r="F56" s="23" t="inlineStr">
        <is>
          <t>عضو (موظف)</t>
        </is>
      </c>
      <c r="G56" s="23" t="inlineStr">
        <is>
          <t>پیش از Cutoff 1403/12/29 یا نامشخص</t>
        </is>
      </c>
      <c r="H56" s="23" t="inlineStr">
        <is>
          <t>1403/11/21</t>
        </is>
      </c>
      <c r="I56" s="23" t="inlineStr">
        <is>
          <t>در Type19 مذکور</t>
        </is>
      </c>
      <c r="J56" s="23" t="inlineStr">
        <is>
          <t>در Type19 مذکور</t>
        </is>
      </c>
      <c r="K56" s="23" t="inlineStr">
        <is>
          <t>ادامه تا Cutoff بعد</t>
        </is>
      </c>
      <c r="L56" s="23" t="n"/>
      <c r="M56" s="23" t="n"/>
      <c r="N56" s="23" t="inlineStr">
        <is>
          <t>بدون تغییر</t>
        </is>
      </c>
      <c r="O56" s="23" t="inlineStr">
        <is>
          <t>معرفی /تغییر در ترکیب اعضای هیئت مدیره/مدیر عامل</t>
        </is>
      </c>
      <c r="P56" s="23" t="inlineStr">
        <is>
          <t>1403/11/21</t>
        </is>
      </c>
      <c r="Q56" s="23" t="inlineStr">
        <is>
          <t>1306740</t>
        </is>
      </c>
      <c r="R56" s="23" t="inlineStr">
        <is>
          <t>https://www.codal.ir/Reports/Decision.aspx?LetterSerial=gVTCoHYs1M0v5mNrsaCDkA%3d%3d&amp;rt=0&amp;let=19&amp;ct=0&amp;ft=-1</t>
        </is>
      </c>
      <c r="S56" s="23" t="inlineStr">
        <is>
          <t>تاریخ گزارش به‌عنوان تاریخ انتصاب فرض نشد؛ تا ۱۴۰۵/۰۳/۱۹ در هیئت مدیره (پس از Cutoff)</t>
        </is>
      </c>
    </row>
    <row r="57" ht="43.5" customHeight="1" s="76">
      <c r="A57" s="25" t="inlineStr">
        <is>
          <t>خودرو</t>
        </is>
      </c>
      <c r="B57" s="25" t="inlineStr">
        <is>
          <t>خودرو</t>
        </is>
      </c>
      <c r="C57" s="25" t="inlineStr">
        <is>
          <t>Cutoff 1404/12/29</t>
        </is>
      </c>
      <c r="D57" s="25" t="inlineStr">
        <is>
          <t>مدیریت سرمایه‌گذاری ملی ایران</t>
        </is>
      </c>
      <c r="E57" s="25" t="inlineStr">
        <is>
          <t>عادل پیرمحمدی</t>
        </is>
      </c>
      <c r="F57" s="25" t="inlineStr">
        <is>
          <t>عضو (موظف/غیرموظف)</t>
        </is>
      </c>
      <c r="G57" s="25" t="inlineStr">
        <is>
          <t>پیش از Cutoff 1403/12/29 یا نامشخص</t>
        </is>
      </c>
      <c r="H57" s="25" t="inlineStr">
        <is>
          <t>1404/07/21</t>
        </is>
      </c>
      <c r="I57" s="25" t="inlineStr">
        <is>
          <t>در Type19 مذکور</t>
        </is>
      </c>
      <c r="J57" s="25" t="inlineStr">
        <is>
          <t>در Type19 مذکور</t>
        </is>
      </c>
      <c r="K57" s="25" t="inlineStr">
        <is>
          <t>ادامه</t>
        </is>
      </c>
      <c r="L57" s="25" t="n"/>
      <c r="M57" s="25" t="n"/>
      <c r="N57" s="25" t="inlineStr">
        <is>
          <t>بدون تغییر</t>
        </is>
      </c>
      <c r="O57" s="25" t="inlineStr">
        <is>
          <t>معرفی /تغییر در ترکیب اعضای هیئت مدیره/مدیر عامل</t>
        </is>
      </c>
      <c r="P57" s="25" t="inlineStr">
        <is>
          <t>1404/07/21</t>
        </is>
      </c>
      <c r="Q57" s="25" t="inlineStr">
        <is>
          <t>1417850</t>
        </is>
      </c>
      <c r="R57" s="25" t="inlineStr">
        <is>
          <t>https://www.codal.ir/Reports/Decision.aspx?LetterSerial=8qXiOOObOOOscQQQaQQQfIOkx3DWj8Uw1Q%3d%3d&amp;rt=0&amp;let=19&amp;ct=0&amp;ft=-1</t>
        </is>
      </c>
      <c r="S57" s="25" t="inlineStr">
        <is>
          <t>تاریخ گزارش به‌عنوان تاریخ انتصاب فرض نشد؛ تا ۱۴۰۵/۰۳/۱۹ در هیئت مدیره (پس از Cutoff)</t>
        </is>
      </c>
    </row>
    <row r="58" ht="43.5" customHeight="1" s="76">
      <c r="A58" s="23" t="inlineStr">
        <is>
          <t>خودرو</t>
        </is>
      </c>
      <c r="B58" s="23" t="inlineStr">
        <is>
          <t>خودرو</t>
        </is>
      </c>
      <c r="C58" s="23" t="inlineStr">
        <is>
          <t>Cutoff 1403/12/29</t>
        </is>
      </c>
      <c r="D58" s="23" t="inlineStr">
        <is>
          <t>سرمایه‌گذاری گنجینه ایرانیان</t>
        </is>
      </c>
      <c r="E58" s="23" t="inlineStr">
        <is>
          <t>مرتضی شفیعی</t>
        </is>
      </c>
      <c r="F58" s="23" t="inlineStr">
        <is>
          <t>عضو (غیرموظف)</t>
        </is>
      </c>
      <c r="G58" s="23" t="inlineStr">
        <is>
          <t>پیش از Cutoff 1403/12/29 یا نامشخص</t>
        </is>
      </c>
      <c r="H58" s="23" t="inlineStr">
        <is>
          <t>1403/11/21</t>
        </is>
      </c>
      <c r="I58" s="23" t="inlineStr">
        <is>
          <t>در Type19 مذکور</t>
        </is>
      </c>
      <c r="J58" s="23" t="inlineStr">
        <is>
          <t>در Type19 مذکور</t>
        </is>
      </c>
      <c r="K58" s="23" t="n"/>
      <c r="L58" s="23" t="inlineStr">
        <is>
          <t>خروج/جایگزینی 1404/07/19</t>
        </is>
      </c>
      <c r="M58" s="23" t="n"/>
      <c r="N58" s="23" t="inlineStr">
        <is>
          <t>تغییر نماینده حقیقی با شخص حقوقی ثابت</t>
        </is>
      </c>
      <c r="O58" s="23" t="inlineStr">
        <is>
          <t>معرفی /تغییر در ترکیب اعضای هیئت مدیره/مدیر عامل</t>
        </is>
      </c>
      <c r="P58" s="23" t="inlineStr">
        <is>
          <t>1403/11/21</t>
        </is>
      </c>
      <c r="Q58" s="23" t="inlineStr">
        <is>
          <t>1306740</t>
        </is>
      </c>
      <c r="R58" s="23" t="inlineStr">
        <is>
          <t>https://www.codal.ir/Reports/Decision.aspx?LetterSerial=gVTCoHYs1M0v5mNrsaCDkA%3d%3d&amp;rt=0&amp;let=19&amp;ct=0&amp;ft=-1</t>
        </is>
      </c>
      <c r="S58" s="23" t="inlineStr">
        <is>
          <t>تاریخ گزارش به‌عنوان تاریخ انتصاب فرض نشد؛ اولین مورد REF08 خودرو</t>
        </is>
      </c>
    </row>
    <row r="59" ht="43.5" customHeight="1" s="76">
      <c r="A59" s="25" t="inlineStr">
        <is>
          <t>خودرو</t>
        </is>
      </c>
      <c r="B59" s="25" t="inlineStr">
        <is>
          <t>خودرو</t>
        </is>
      </c>
      <c r="C59" s="25" t="inlineStr">
        <is>
          <t>Cutoff 1404/12/29</t>
        </is>
      </c>
      <c r="D59" s="25" t="inlineStr">
        <is>
          <t>سرمایه‌گذاری گنجینه ایرانیان</t>
        </is>
      </c>
      <c r="E59" s="25" t="inlineStr">
        <is>
          <t>حامد نائیجی</t>
        </is>
      </c>
      <c r="F59" s="25" t="inlineStr">
        <is>
          <t>عضو (غیرموظف)</t>
        </is>
      </c>
      <c r="G59" s="25" t="inlineStr">
        <is>
          <t>1404/07/19</t>
        </is>
      </c>
      <c r="H59" s="25" t="inlineStr">
        <is>
          <t>1404/07/21</t>
        </is>
      </c>
      <c r="I59" s="25" t="inlineStr">
        <is>
          <t>در Type19 مذکور</t>
        </is>
      </c>
      <c r="J59" s="25" t="inlineStr">
        <is>
          <t>در Type19 مذکور</t>
        </is>
      </c>
      <c r="K59" s="25" t="n"/>
      <c r="L59" s="25" t="n"/>
      <c r="M59" s="25" t="inlineStr">
        <is>
          <t>ورود 1404/07/19</t>
        </is>
      </c>
      <c r="N59" s="25" t="inlineStr">
        <is>
          <t>تغییر نماینده حقیقی با شخص حقوقی ثابت</t>
        </is>
      </c>
      <c r="O59" s="25" t="inlineStr">
        <is>
          <t>معرفی /تغییر در ترکیب اعضای هیئت مدیره/مدیر عامل</t>
        </is>
      </c>
      <c r="P59" s="25" t="inlineStr">
        <is>
          <t>1404/07/21</t>
        </is>
      </c>
      <c r="Q59" s="25" t="inlineStr">
        <is>
          <t>1417850</t>
        </is>
      </c>
      <c r="R59" s="25" t="inlineStr">
        <is>
          <t>https://www.codal.ir/Reports/Decision.aspx?LetterSerial=8qXiOOObOOOscQQQaQQQfIOkx3DWj8Uw1Q%3d%3d&amp;rt=0&amp;let=19&amp;ct=0&amp;ft=-1</t>
        </is>
      </c>
      <c r="S59" s="25" t="inlineStr">
        <is>
          <t>تاریخ گزارش به‌عنوان تاریخ انتصاب فرض نشد؛ اولین مورد REF08 خودرو</t>
        </is>
      </c>
    </row>
    <row r="60" ht="43.5" customHeight="1" s="76">
      <c r="A60" s="23" t="inlineStr">
        <is>
          <t>خودرو</t>
        </is>
      </c>
      <c r="B60" s="23" t="inlineStr">
        <is>
          <t>خودرو</t>
        </is>
      </c>
      <c r="C60" s="23" t="inlineStr">
        <is>
          <t>Cutoff 1403/12/29</t>
        </is>
      </c>
      <c r="D60" s="23" t="inlineStr">
        <is>
          <t>بهینه‌سازان بهمن</t>
        </is>
      </c>
      <c r="E60" s="23" t="inlineStr">
        <is>
          <t>یوسف الهی شکیب</t>
        </is>
      </c>
      <c r="F60" s="23" t="inlineStr">
        <is>
          <t>رئیس (غیرموظف)</t>
        </is>
      </c>
      <c r="G60" s="23" t="inlineStr">
        <is>
          <t>پیش از Cutoff 1403/12/29 یا نامشخص</t>
        </is>
      </c>
      <c r="H60" s="23" t="inlineStr">
        <is>
          <t>1403/11/21</t>
        </is>
      </c>
      <c r="I60" s="23" t="inlineStr">
        <is>
          <t>در Type19 مذکور</t>
        </is>
      </c>
      <c r="J60" s="23" t="inlineStr">
        <is>
          <t>در Type19 مذکور</t>
        </is>
      </c>
      <c r="K60" s="23" t="inlineStr">
        <is>
          <t>ادامه تا Cutoff بعد</t>
        </is>
      </c>
      <c r="L60" s="23" t="n"/>
      <c r="M60" s="23" t="n"/>
      <c r="N60" s="23" t="inlineStr">
        <is>
          <t>بدون تغییر</t>
        </is>
      </c>
      <c r="O60" s="23" t="inlineStr">
        <is>
          <t>معرفی /تغییر در ترکیب اعضای هیئت مدیره/مدیر عامل</t>
        </is>
      </c>
      <c r="P60" s="23" t="inlineStr">
        <is>
          <t>1403/11/21</t>
        </is>
      </c>
      <c r="Q60" s="23" t="inlineStr">
        <is>
          <t>1306740</t>
        </is>
      </c>
      <c r="R60" s="23" t="inlineStr">
        <is>
          <t>https://www.codal.ir/Reports/Decision.aspx?LetterSerial=gVTCoHYs1M0v5mNrsaCDkA%3d%3d&amp;rt=0&amp;let=19&amp;ct=0&amp;ft=-1</t>
        </is>
      </c>
      <c r="S60" s="23" t="inlineStr">
        <is>
          <t>تاریخ گزارش به‌عنوان تاریخ انتصاب فرض نشد</t>
        </is>
      </c>
    </row>
    <row r="61" ht="43.5" customHeight="1" s="76">
      <c r="A61" s="25" t="inlineStr">
        <is>
          <t>خودرو</t>
        </is>
      </c>
      <c r="B61" s="25" t="inlineStr">
        <is>
          <t>خودرو</t>
        </is>
      </c>
      <c r="C61" s="25" t="inlineStr">
        <is>
          <t>Cutoff 1404/12/29</t>
        </is>
      </c>
      <c r="D61" s="25" t="inlineStr">
        <is>
          <t>بهینه‌سازان بهمن</t>
        </is>
      </c>
      <c r="E61" s="25" t="inlineStr">
        <is>
          <t>یوسف الهی شکیب</t>
        </is>
      </c>
      <c r="F61" s="25" t="inlineStr">
        <is>
          <t>رئیس (غیرموظف)</t>
        </is>
      </c>
      <c r="G61" s="25" t="inlineStr">
        <is>
          <t>پیش از Cutoff 1403/12/29 یا نامشخص</t>
        </is>
      </c>
      <c r="H61" s="25" t="inlineStr">
        <is>
          <t>1404/07/21</t>
        </is>
      </c>
      <c r="I61" s="25" t="inlineStr">
        <is>
          <t>در Type19 مذکور</t>
        </is>
      </c>
      <c r="J61" s="25" t="inlineStr">
        <is>
          <t>در Type19 مذکور</t>
        </is>
      </c>
      <c r="K61" s="25" t="inlineStr">
        <is>
          <t>ادامه</t>
        </is>
      </c>
      <c r="L61" s="25" t="n"/>
      <c r="M61" s="25" t="n"/>
      <c r="N61" s="25" t="inlineStr">
        <is>
          <t>بدون تغییر</t>
        </is>
      </c>
      <c r="O61" s="25" t="inlineStr">
        <is>
          <t>معرفی /تغییر در ترکیب اعضای هیئت مدیره/مدیر عامل</t>
        </is>
      </c>
      <c r="P61" s="25" t="inlineStr">
        <is>
          <t>1404/07/21</t>
        </is>
      </c>
      <c r="Q61" s="25" t="inlineStr">
        <is>
          <t>1417850</t>
        </is>
      </c>
      <c r="R61" s="25" t="inlineStr">
        <is>
          <t>https://www.codal.ir/Reports/Decision.aspx?LetterSerial=8qXiOOObOOOscQQQaQQQfIOkx3DWj8Uw1Q%3d%3d&amp;rt=0&amp;let=19&amp;ct=0&amp;ft=-1</t>
        </is>
      </c>
      <c r="S61" s="25" t="inlineStr">
        <is>
          <t>تاریخ گزارش به‌عنوان تاریخ انتصاب فرض نشد</t>
        </is>
      </c>
    </row>
    <row r="62" ht="43.5" customHeight="1" s="76">
      <c r="A62" s="23" t="inlineStr">
        <is>
          <t>خودرو</t>
        </is>
      </c>
      <c r="B62" s="23" t="inlineStr">
        <is>
          <t>خودرو</t>
        </is>
      </c>
      <c r="C62" s="23" t="inlineStr">
        <is>
          <t>Cutoff 1403/12/29</t>
        </is>
      </c>
      <c r="D62" s="23" t="inlineStr">
        <is>
          <t>اعتبار آفرین</t>
        </is>
      </c>
      <c r="E62" s="23" t="inlineStr">
        <is>
          <t>جمشید ایمانی کتک‌لاهیجانی</t>
        </is>
      </c>
      <c r="F62" s="23" t="inlineStr">
        <is>
          <t>نایب رئیس (موظف)</t>
        </is>
      </c>
      <c r="G62" s="23" t="inlineStr">
        <is>
          <t>پیش از Cutoff 1403/12/29 یا نامشخص</t>
        </is>
      </c>
      <c r="H62" s="23" t="inlineStr">
        <is>
          <t>1403/11/21</t>
        </is>
      </c>
      <c r="I62" s="23" t="inlineStr">
        <is>
          <t>در Type19 مذکور</t>
        </is>
      </c>
      <c r="J62" s="23" t="inlineStr">
        <is>
          <t>در Type19 مذکور</t>
        </is>
      </c>
      <c r="K62" s="23" t="inlineStr">
        <is>
          <t>ادامه تا Cutoff بعد</t>
        </is>
      </c>
      <c r="L62" s="23" t="n"/>
      <c r="M62" s="23" t="n"/>
      <c r="N62" s="23" t="inlineStr">
        <is>
          <t>بدون تغییر</t>
        </is>
      </c>
      <c r="O62" s="23" t="inlineStr">
        <is>
          <t>معرفی /تغییر در ترکیب اعضای هیئت مدیره/مدیر عامل</t>
        </is>
      </c>
      <c r="P62" s="23" t="inlineStr">
        <is>
          <t>1403/11/21</t>
        </is>
      </c>
      <c r="Q62" s="23" t="inlineStr">
        <is>
          <t>1306740</t>
        </is>
      </c>
      <c r="R62" s="23" t="inlineStr">
        <is>
          <t>https://www.codal.ir/Reports/Decision.aspx?LetterSerial=gVTCoHYs1M0v5mNrsaCDkA%3d%3d&amp;rt=0&amp;let=19&amp;ct=0&amp;ft=-1</t>
        </is>
      </c>
      <c r="S62" s="23" t="inlineStr">
        <is>
          <t>تاریخ گزارش به‌عنوان تاریخ انتصاب فرض نشد</t>
        </is>
      </c>
    </row>
    <row r="63" ht="43.5" customHeight="1" s="76">
      <c r="A63" s="25" t="inlineStr">
        <is>
          <t>خودرو</t>
        </is>
      </c>
      <c r="B63" s="25" t="inlineStr">
        <is>
          <t>خودرو</t>
        </is>
      </c>
      <c r="C63" s="25" t="inlineStr">
        <is>
          <t>Cutoff 1404/12/29</t>
        </is>
      </c>
      <c r="D63" s="25" t="inlineStr">
        <is>
          <t>اعتبار آفرین</t>
        </is>
      </c>
      <c r="E63" s="25" t="inlineStr">
        <is>
          <t>جمشید ایمانی کتک‌لاهیجانی</t>
        </is>
      </c>
      <c r="F63" s="25" t="inlineStr">
        <is>
          <t>نایب رئیس (موظف)</t>
        </is>
      </c>
      <c r="G63" s="25" t="inlineStr">
        <is>
          <t>پیش از Cutoff 1403/12/29 یا نامشخص</t>
        </is>
      </c>
      <c r="H63" s="25" t="inlineStr">
        <is>
          <t>1404/07/21</t>
        </is>
      </c>
      <c r="I63" s="25" t="inlineStr">
        <is>
          <t>در Type19 مذکور</t>
        </is>
      </c>
      <c r="J63" s="25" t="inlineStr">
        <is>
          <t>در Type19 مذکور</t>
        </is>
      </c>
      <c r="K63" s="25" t="inlineStr">
        <is>
          <t>ادامه</t>
        </is>
      </c>
      <c r="L63" s="25" t="n"/>
      <c r="M63" s="25" t="n"/>
      <c r="N63" s="25" t="inlineStr">
        <is>
          <t>بدون تغییر</t>
        </is>
      </c>
      <c r="O63" s="25" t="inlineStr">
        <is>
          <t>معرفی /تغییر در ترکیب اعضای هیئت مدیره/مدیر عامل</t>
        </is>
      </c>
      <c r="P63" s="25" t="inlineStr">
        <is>
          <t>1404/07/21</t>
        </is>
      </c>
      <c r="Q63" s="25" t="inlineStr">
        <is>
          <t>1417850</t>
        </is>
      </c>
      <c r="R63" s="25" t="inlineStr">
        <is>
          <t>https://www.codal.ir/Reports/Decision.aspx?LetterSerial=8qXiOOObOOOscQQQaQQQfIOkx3DWj8Uw1Q%3d%3d&amp;rt=0&amp;let=19&amp;ct=0&amp;ft=-1</t>
        </is>
      </c>
      <c r="S63" s="25" t="inlineStr">
        <is>
          <t>تاریخ گزارش به‌عنوان تاریخ انتصاب فرض نشد</t>
        </is>
      </c>
    </row>
    <row r="64" ht="43.5" customHeight="1" s="76">
      <c r="A64" s="23" t="inlineStr">
        <is>
          <t>شپدیس</t>
        </is>
      </c>
      <c r="B64" s="23" t="inlineStr">
        <is>
          <t>شپدیس</t>
        </is>
      </c>
      <c r="C64" s="23" t="inlineStr">
        <is>
          <t>Cutoff 1403/12/29</t>
        </is>
      </c>
      <c r="D64" s="23" t="inlineStr">
        <is>
          <t>گروه گسترش نفت و گاز پارسیان</t>
        </is>
      </c>
      <c r="E64" s="23" t="inlineStr">
        <is>
          <t>عبدالرحیم قنبریان</t>
        </is>
      </c>
      <c r="F64" s="23" t="inlineStr">
        <is>
          <t>نایب رئیس (موظف)</t>
        </is>
      </c>
      <c r="G64" s="23" t="inlineStr">
        <is>
          <t>پیش از Cutoff 1403/12/29 یا نامشخص</t>
        </is>
      </c>
      <c r="H64" s="23" t="inlineStr">
        <is>
          <t>1403/11/29</t>
        </is>
      </c>
      <c r="I64" s="23" t="inlineStr">
        <is>
          <t>در Type19 مذکور</t>
        </is>
      </c>
      <c r="J64" s="23" t="inlineStr">
        <is>
          <t>در Type19 مذکور</t>
        </is>
      </c>
      <c r="K64" s="23" t="inlineStr">
        <is>
          <t>ادامه تا Cutoff بعد</t>
        </is>
      </c>
      <c r="L64" s="23" t="n"/>
      <c r="M64" s="23" t="n"/>
      <c r="N64" s="23" t="inlineStr">
        <is>
          <t>بدون تغییر</t>
        </is>
      </c>
      <c r="O64" s="23" t="inlineStr">
        <is>
          <t>معرفی /تغییر در ترکیب اعضای هیئت مدیره/مدیر عامل</t>
        </is>
      </c>
      <c r="P64" s="23" t="inlineStr">
        <is>
          <t>1403/11/29</t>
        </is>
      </c>
      <c r="Q64" s="23" t="inlineStr">
        <is>
          <t>1309386</t>
        </is>
      </c>
      <c r="R64" s="23" t="inlineStr">
        <is>
          <t>https://www.codal.ir/Reports/Decision.aspx?LetterSerial=C4XsKe3dMCJ7F1MqOaUJBw%3d%3d&amp;rt=0&amp;let=19&amp;ct=0&amp;ft=-1</t>
        </is>
      </c>
      <c r="S64" s="23" t="inlineStr">
        <is>
          <t>تاریخ گزارش به‌عنوان تاریخ انتصاب فرض نشد؛ قنبریان از ۱۴۰۳/۱۱/۲۹ جایگزین میری لواسانی (پیش از Cutoff)</t>
        </is>
      </c>
    </row>
    <row r="65" ht="43.5" customHeight="1" s="76">
      <c r="A65" s="25" t="inlineStr">
        <is>
          <t>شپدیس</t>
        </is>
      </c>
      <c r="B65" s="25" t="inlineStr">
        <is>
          <t>شپدیس</t>
        </is>
      </c>
      <c r="C65" s="25" t="inlineStr">
        <is>
          <t>Cutoff 1404/12/29</t>
        </is>
      </c>
      <c r="D65" s="25" t="inlineStr">
        <is>
          <t>گروه گسترش نفت و گاز پارسیان</t>
        </is>
      </c>
      <c r="E65" s="25" t="inlineStr">
        <is>
          <t>عبدالرحیم قنبریان</t>
        </is>
      </c>
      <c r="F65" s="25" t="inlineStr">
        <is>
          <t>نایب رئیس (موظف)</t>
        </is>
      </c>
      <c r="G65" s="25" t="inlineStr">
        <is>
          <t>پیش از Cutoff 1403/12/29 یا نامشخص</t>
        </is>
      </c>
      <c r="H65" s="25" t="inlineStr">
        <is>
          <t>1404/09/05</t>
        </is>
      </c>
      <c r="I65" s="25" t="inlineStr">
        <is>
          <t>در Type19 مذکور</t>
        </is>
      </c>
      <c r="J65" s="25" t="inlineStr">
        <is>
          <t>در Type19 مذکور</t>
        </is>
      </c>
      <c r="K65" s="25" t="inlineStr">
        <is>
          <t>ادامه</t>
        </is>
      </c>
      <c r="L65" s="25" t="n"/>
      <c r="M65" s="25" t="n"/>
      <c r="N65" s="25" t="inlineStr">
        <is>
          <t>بدون تغییر</t>
        </is>
      </c>
      <c r="O65" s="25" t="inlineStr">
        <is>
          <t>معرفی /تغییر در ترکیب اعضای هیئت مدیره/مدیر عامل</t>
        </is>
      </c>
      <c r="P65" s="25" t="inlineStr">
        <is>
          <t>1404/09/05</t>
        </is>
      </c>
      <c r="Q65" s="25" t="inlineStr">
        <is>
          <t>1443721</t>
        </is>
      </c>
      <c r="R65" s="25" t="inlineStr">
        <is>
          <t>https://www.codal.ir/Reports/Decision.aspx?LetterSerial=Lh6dCOOObOOOOOObOOOHmUIfwOOObOOOrvn9DNRQ%3d%3d&amp;rt=0&amp;let=19&amp;ct=0&amp;ft=-1</t>
        </is>
      </c>
      <c r="S65" s="25" t="inlineStr">
        <is>
          <t>تاریخ گزارش به‌عنوان تاریخ انتصاب فرض نشد؛ قنبریان از ۱۴۰۳/۱۱/۲۹ جایگزین میری لواسانی (پیش از Cutoff)</t>
        </is>
      </c>
    </row>
    <row r="66" ht="43.5" customHeight="1" s="76">
      <c r="A66" s="23" t="inlineStr">
        <is>
          <t>شپدیس</t>
        </is>
      </c>
      <c r="B66" s="23" t="inlineStr">
        <is>
          <t>شپدیس</t>
        </is>
      </c>
      <c r="C66" s="23" t="inlineStr">
        <is>
          <t>Cutoff 1403/12/29</t>
        </is>
      </c>
      <c r="D66" s="23" t="inlineStr">
        <is>
          <t>بازرگانی پتروشیمی</t>
        </is>
      </c>
      <c r="E66" s="23" t="inlineStr">
        <is>
          <t>سیدعلی نواب‌فر</t>
        </is>
      </c>
      <c r="F66" s="23" t="inlineStr">
        <is>
          <t>نایب رئیس (غیرموظف)</t>
        </is>
      </c>
      <c r="G66" s="23" t="inlineStr">
        <is>
          <t>پیش از Cutoff 1403/12/29 یا نامشخص</t>
        </is>
      </c>
      <c r="H66" s="23" t="inlineStr">
        <is>
          <t>1403/11/29</t>
        </is>
      </c>
      <c r="I66" s="23" t="inlineStr">
        <is>
          <t>در Type19 مذکور</t>
        </is>
      </c>
      <c r="J66" s="23" t="inlineStr">
        <is>
          <t>در Type19 مذکور</t>
        </is>
      </c>
      <c r="K66" s="23" t="n"/>
      <c r="L66" s="23" t="inlineStr">
        <is>
          <t>خروج/جایگزینی 1404/09/05</t>
        </is>
      </c>
      <c r="M66" s="23" t="n"/>
      <c r="N66" s="23" t="inlineStr">
        <is>
          <t>تغییر نماینده حقیقی با شخص حقوقی ثابت</t>
        </is>
      </c>
      <c r="O66" s="23" t="inlineStr">
        <is>
          <t>معرفی /تغییر در ترکیب اعضای هیئت مدیره/مدیر عامل</t>
        </is>
      </c>
      <c r="P66" s="23" t="inlineStr">
        <is>
          <t>1403/11/29</t>
        </is>
      </c>
      <c r="Q66" s="23" t="inlineStr">
        <is>
          <t>1309386</t>
        </is>
      </c>
      <c r="R66" s="23" t="inlineStr">
        <is>
          <t>https://www.codal.ir/Reports/Decision.aspx?LetterSerial=C4XsKe3dMCJ7F1MqOaUJBw%3d%3d&amp;rt=0&amp;let=19&amp;ct=0&amp;ft=-1</t>
        </is>
      </c>
      <c r="S66" s="23" t="inlineStr">
        <is>
          <t>تاریخ گزارش به‌عنوان تاریخ انتصاب فرض نشد؛ کاردار عضو میانی است و در هیچ‌یک از دو Cutoff حضور ندارد</t>
        </is>
      </c>
    </row>
    <row r="67" ht="43.5" customHeight="1" s="76">
      <c r="A67" s="25" t="inlineStr">
        <is>
          <t>شپدیس</t>
        </is>
      </c>
      <c r="B67" s="25" t="inlineStr">
        <is>
          <t>شپدیس</t>
        </is>
      </c>
      <c r="C67" s="25" t="inlineStr">
        <is>
          <t>Cutoff 1404/12/29</t>
        </is>
      </c>
      <c r="D67" s="25" t="inlineStr">
        <is>
          <t>بازرگانی پتروشیمی</t>
        </is>
      </c>
      <c r="E67" s="25" t="inlineStr">
        <is>
          <t>حسین سلاح‌ورزی</t>
        </is>
      </c>
      <c r="F67" s="25" t="inlineStr">
        <is>
          <t>عضو (غیرموظف)</t>
        </is>
      </c>
      <c r="G67" s="25" t="inlineStr">
        <is>
          <t>1404/09/05</t>
        </is>
      </c>
      <c r="H67" s="25" t="inlineStr">
        <is>
          <t>1404/09/05</t>
        </is>
      </c>
      <c r="I67" s="25" t="inlineStr">
        <is>
          <t>در Type19 مذکور</t>
        </is>
      </c>
      <c r="J67" s="25" t="inlineStr">
        <is>
          <t>در Type19 مذکور</t>
        </is>
      </c>
      <c r="K67" s="25" t="n"/>
      <c r="L67" s="25" t="n"/>
      <c r="M67" s="25" t="inlineStr">
        <is>
          <t>ورود 1404/09/05</t>
        </is>
      </c>
      <c r="N67" s="25" t="inlineStr">
        <is>
          <t>تغییر نماینده حقیقی با شخص حقوقی ثابت</t>
        </is>
      </c>
      <c r="O67" s="25" t="inlineStr">
        <is>
          <t>معرفی /تغییر در ترکیب اعضای هیئت مدیره/مدیر عامل</t>
        </is>
      </c>
      <c r="P67" s="25" t="inlineStr">
        <is>
          <t>1404/09/05</t>
        </is>
      </c>
      <c r="Q67" s="25" t="inlineStr">
        <is>
          <t>1443721</t>
        </is>
      </c>
      <c r="R67" s="25" t="inlineStr">
        <is>
          <t>https://www.codal.ir/Reports/Decision.aspx?LetterSerial=Lh6dCOOObOOOOOObOOOHmUIfwOOObOOOrvn9DNRQ%3d%3d&amp;rt=0&amp;let=19&amp;ct=0&amp;ft=-1</t>
        </is>
      </c>
      <c r="S67" s="25" t="inlineStr">
        <is>
          <t>تاریخ گزارش به‌عنوان تاریخ انتصاب فرض نشد؛ کاردار عضو میانی است و در هیچ‌یک از دو Cutoff حضور ندارد</t>
        </is>
      </c>
    </row>
    <row r="68" ht="43.5" customHeight="1" s="76">
      <c r="A68" s="23" t="inlineStr">
        <is>
          <t>شپدیس</t>
        </is>
      </c>
      <c r="B68" s="23" t="inlineStr">
        <is>
          <t>شپدیس</t>
        </is>
      </c>
      <c r="C68" s="23" t="inlineStr">
        <is>
          <t>Cutoff 1403/12/29</t>
        </is>
      </c>
      <c r="D68" s="23" t="inlineStr">
        <is>
          <t>خدمات مدیریت هامون سپاهان</t>
        </is>
      </c>
      <c r="E68" s="23" t="inlineStr">
        <is>
          <t>هوشنگ گودرزی</t>
        </is>
      </c>
      <c r="F68" s="23" t="inlineStr">
        <is>
          <t>رئیس (غیرموظف)</t>
        </is>
      </c>
      <c r="G68" s="23" t="inlineStr">
        <is>
          <t>پیش از Cutoff 1403/12/29 یا نامشخص</t>
        </is>
      </c>
      <c r="H68" s="23" t="inlineStr">
        <is>
          <t>1403/11/29</t>
        </is>
      </c>
      <c r="I68" s="23" t="inlineStr">
        <is>
          <t>در Type19 مذکور</t>
        </is>
      </c>
      <c r="J68" s="23" t="inlineStr">
        <is>
          <t>در Type19 مذکور</t>
        </is>
      </c>
      <c r="K68" s="23" t="inlineStr">
        <is>
          <t>ادامه تا Cutoff بعد</t>
        </is>
      </c>
      <c r="L68" s="23" t="n"/>
      <c r="M68" s="23" t="n"/>
      <c r="N68" s="23" t="inlineStr">
        <is>
          <t>تغییر سمت فقط (Turnover نیست)</t>
        </is>
      </c>
      <c r="O68" s="23" t="inlineStr">
        <is>
          <t>معرفی /تغییر در ترکیب اعضای هیئت مدیره/مدیر عامل</t>
        </is>
      </c>
      <c r="P68" s="23" t="inlineStr">
        <is>
          <t>1403/11/29</t>
        </is>
      </c>
      <c r="Q68" s="23" t="inlineStr">
        <is>
          <t>1309386</t>
        </is>
      </c>
      <c r="R68" s="23" t="inlineStr">
        <is>
          <t>https://www.codal.ir/Reports/Decision.aspx?LetterSerial=C4XsKe3dMCJ7F1MqOaUJBw%3d%3d&amp;rt=0&amp;let=19&amp;ct=0&amp;ft=-1</t>
        </is>
      </c>
      <c r="S68" s="23" t="inlineStr">
        <is>
          <t>تاریخ گزارش به‌عنوان تاریخ انتصاب فرض نشد</t>
        </is>
      </c>
    </row>
    <row r="69" ht="43.5" customHeight="1" s="76">
      <c r="A69" s="25" t="inlineStr">
        <is>
          <t>شپدیس</t>
        </is>
      </c>
      <c r="B69" s="25" t="inlineStr">
        <is>
          <t>شپدیس</t>
        </is>
      </c>
      <c r="C69" s="25" t="inlineStr">
        <is>
          <t>Cutoff 1404/12/29</t>
        </is>
      </c>
      <c r="D69" s="25" t="inlineStr">
        <is>
          <t>خدمات مدیریت هامون سپاهان</t>
        </is>
      </c>
      <c r="E69" s="25" t="inlineStr">
        <is>
          <t>هوشنگ گودرزی</t>
        </is>
      </c>
      <c r="F69" s="25" t="inlineStr">
        <is>
          <t>عضو (غیرموظف)</t>
        </is>
      </c>
      <c r="G69" s="25" t="inlineStr">
        <is>
          <t>پیش از Cutoff 1403/12/29 یا نامشخص</t>
        </is>
      </c>
      <c r="H69" s="25" t="inlineStr">
        <is>
          <t>1404/09/05</t>
        </is>
      </c>
      <c r="I69" s="25" t="inlineStr">
        <is>
          <t>در Type19 مذکور</t>
        </is>
      </c>
      <c r="J69" s="25" t="inlineStr">
        <is>
          <t>در Type19 مذکور</t>
        </is>
      </c>
      <c r="K69" s="25" t="inlineStr">
        <is>
          <t>ادامه</t>
        </is>
      </c>
      <c r="L69" s="25" t="n"/>
      <c r="M69" s="25" t="n"/>
      <c r="N69" s="25" t="inlineStr">
        <is>
          <t>تغییر سمت فقط (Turnover نیست)</t>
        </is>
      </c>
      <c r="O69" s="25" t="inlineStr">
        <is>
          <t>معرفی /تغییر در ترکیب اعضای هیئت مدیره/مدیر عامل</t>
        </is>
      </c>
      <c r="P69" s="25" t="inlineStr">
        <is>
          <t>1404/09/05</t>
        </is>
      </c>
      <c r="Q69" s="25" t="inlineStr">
        <is>
          <t>1443721</t>
        </is>
      </c>
      <c r="R69" s="25" t="inlineStr">
        <is>
          <t>https://www.codal.ir/Reports/Decision.aspx?LetterSerial=Lh6dCOOObOOOOOObOOOHmUIfwOOObOOOrvn9DNRQ%3d%3d&amp;rt=0&amp;let=19&amp;ct=0&amp;ft=-1</t>
        </is>
      </c>
      <c r="S69" s="25" t="inlineStr">
        <is>
          <t>تاریخ گزارش به‌عنوان تاریخ انتصاب فرض نشد</t>
        </is>
      </c>
    </row>
    <row r="70" ht="58" customHeight="1" s="76">
      <c r="A70" s="23" t="inlineStr">
        <is>
          <t>شپدیس</t>
        </is>
      </c>
      <c r="B70" s="23" t="inlineStr">
        <is>
          <t>شپدیس</t>
        </is>
      </c>
      <c r="C70" s="23" t="inlineStr">
        <is>
          <t>Cutoff 1403/12/29</t>
        </is>
      </c>
      <c r="D70" s="23" t="inlineStr">
        <is>
          <t>سرمایه‌گذاری هامون سپاهان</t>
        </is>
      </c>
      <c r="E70" s="23" t="inlineStr">
        <is>
          <t>— (کرسی بدون نماینده)</t>
        </is>
      </c>
      <c r="F70" s="23" t="inlineStr">
        <is>
          <t>عضو</t>
        </is>
      </c>
      <c r="G70" s="23" t="inlineStr">
        <is>
          <t>پیش از Cutoff 1403/12/29 یا نامشخص</t>
        </is>
      </c>
      <c r="H70" s="23" t="inlineStr">
        <is>
          <t>1403/11/29</t>
        </is>
      </c>
      <c r="I70" s="23" t="inlineStr">
        <is>
          <t>در Type19 مذکور</t>
        </is>
      </c>
      <c r="J70" s="23" t="inlineStr">
        <is>
          <t>در Type19 مذکور</t>
        </is>
      </c>
      <c r="K70" s="23" t="n"/>
      <c r="L70" s="23" t="inlineStr">
        <is>
          <t>خروج/جایگزینی 1404/08/17</t>
        </is>
      </c>
      <c r="M70" s="23" t="n"/>
      <c r="N70" s="23" t="inlineStr">
        <is>
          <t>ورود در کرسی خالی (غیرقابل مقایسه؛ عضو جدید)</t>
        </is>
      </c>
      <c r="O70" s="23" t="inlineStr">
        <is>
          <t>معرفی /تغییر در ترکیب اعضای هیئت مدیره/مدیر عامل</t>
        </is>
      </c>
      <c r="P70" s="23" t="inlineStr">
        <is>
          <t>1403/11/29</t>
        </is>
      </c>
      <c r="Q70" s="23" t="inlineStr">
        <is>
          <t>1309386</t>
        </is>
      </c>
      <c r="R70" s="23" t="inlineStr">
        <is>
          <t>https://www.codal.ir/Reports/Decision.aspx?LetterSerial=C4XsKe3dMCJ7F1MqOaUJBw%3d%3d&amp;rt=0&amp;let=19&amp;ct=0&amp;ft=-1</t>
        </is>
      </c>
      <c r="S70" s="23" t="inlineStr">
        <is>
          <t>تاریخ گزارش به‌عنوان تاریخ انتصاب فرض نشد؛ اکبر جعفری در ۱۴۰۳/۱۱/۲۹ حذف شد؛ کرسی تا ۱۴۰۴/۰۸/۱۷ بدون نماینده؛ ورود شاه‌ولدی (رئیس)</t>
        </is>
      </c>
    </row>
    <row r="71" ht="58" customHeight="1" s="76">
      <c r="A71" s="25" t="inlineStr">
        <is>
          <t>شپدیس</t>
        </is>
      </c>
      <c r="B71" s="25" t="inlineStr">
        <is>
          <t>شپدیس</t>
        </is>
      </c>
      <c r="C71" s="25" t="inlineStr">
        <is>
          <t>Cutoff 1404/12/29</t>
        </is>
      </c>
      <c r="D71" s="25" t="inlineStr">
        <is>
          <t>سرمایه‌گذاری هامون سپاهان</t>
        </is>
      </c>
      <c r="E71" s="25" t="inlineStr">
        <is>
          <t>حسن شاه‌ولدی</t>
        </is>
      </c>
      <c r="F71" s="25" t="inlineStr">
        <is>
          <t>رئیس (غیرموظف)</t>
        </is>
      </c>
      <c r="G71" s="25" t="inlineStr">
        <is>
          <t>1404/08/17</t>
        </is>
      </c>
      <c r="H71" s="25" t="inlineStr">
        <is>
          <t>1404/09/05</t>
        </is>
      </c>
      <c r="I71" s="25" t="inlineStr">
        <is>
          <t>در Type19 مذکور</t>
        </is>
      </c>
      <c r="J71" s="25" t="inlineStr">
        <is>
          <t>در Type19 مذکور</t>
        </is>
      </c>
      <c r="K71" s="25" t="n"/>
      <c r="L71" s="25" t="n"/>
      <c r="M71" s="25" t="inlineStr">
        <is>
          <t>ورود 1404/08/17</t>
        </is>
      </c>
      <c r="N71" s="25" t="inlineStr">
        <is>
          <t>ورود در کرسی خالی (غیرقابل مقایسه؛ عضو جدید)</t>
        </is>
      </c>
      <c r="O71" s="25" t="inlineStr">
        <is>
          <t>معرفی /تغییر در ترکیب اعضای هیئت مدیره/مدیر عامل</t>
        </is>
      </c>
      <c r="P71" s="25" t="inlineStr">
        <is>
          <t>1404/09/05</t>
        </is>
      </c>
      <c r="Q71" s="25" t="inlineStr">
        <is>
          <t>1443721</t>
        </is>
      </c>
      <c r="R71" s="25" t="inlineStr">
        <is>
          <t>https://www.codal.ir/Reports/Decision.aspx?LetterSerial=Lh6dCOOObOOOOOObOOOHmUIfwOOObOOOrvn9DNRQ%3d%3d&amp;rt=0&amp;let=19&amp;ct=0&amp;ft=-1</t>
        </is>
      </c>
      <c r="S71" s="25" t="inlineStr">
        <is>
          <t>تاریخ گزارش به‌عنوان تاریخ انتصاب فرض نشد؛ اکبر جعفری در ۱۴۰۳/۱۱/۲۹ حذف شد؛ کرسی تا ۱۴۰۴/۰۸/۱۷ بدون نماینده؛ ورود شاه‌ولدی (رئیس)</t>
        </is>
      </c>
    </row>
    <row r="72" ht="43.5" customHeight="1" s="76">
      <c r="A72" s="23" t="inlineStr">
        <is>
          <t>شپدیس</t>
        </is>
      </c>
      <c r="B72" s="23" t="inlineStr">
        <is>
          <t>شپدیس</t>
        </is>
      </c>
      <c r="C72" s="23" t="inlineStr">
        <is>
          <t>Cutoff 1403/12/29</t>
        </is>
      </c>
      <c r="D72" s="23" t="inlineStr">
        <is>
          <t>بازرگانی و تجارت هامون سپاهان</t>
        </is>
      </c>
      <c r="E72" s="23" t="inlineStr">
        <is>
          <t>محمدعلی سلیمانی</t>
        </is>
      </c>
      <c r="F72" s="23" t="inlineStr">
        <is>
          <t>عضو (غیرموظف)</t>
        </is>
      </c>
      <c r="G72" s="23" t="inlineStr">
        <is>
          <t>پیش از Cutoff 1403/12/29 یا نامشخص</t>
        </is>
      </c>
      <c r="H72" s="23" t="inlineStr">
        <is>
          <t>1403/11/29</t>
        </is>
      </c>
      <c r="I72" s="23" t="inlineStr">
        <is>
          <t>در Type19 مذکور</t>
        </is>
      </c>
      <c r="J72" s="23" t="inlineStr">
        <is>
          <t>در Type19 مذکور</t>
        </is>
      </c>
      <c r="K72" s="23" t="inlineStr">
        <is>
          <t>ادامه تا Cutoff بعد</t>
        </is>
      </c>
      <c r="L72" s="23" t="n"/>
      <c r="M72" s="23" t="n"/>
      <c r="N72" s="23" t="inlineStr">
        <is>
          <t>بدون تغییر</t>
        </is>
      </c>
      <c r="O72" s="23" t="inlineStr">
        <is>
          <t>معرفی /تغییر در ترکیب اعضای هیئت مدیره/مدیر عامل</t>
        </is>
      </c>
      <c r="P72" s="23" t="inlineStr">
        <is>
          <t>1403/11/29</t>
        </is>
      </c>
      <c r="Q72" s="23" t="inlineStr">
        <is>
          <t>1309386</t>
        </is>
      </c>
      <c r="R72" s="23" t="inlineStr">
        <is>
          <t>https://www.codal.ir/Reports/Decision.aspx?LetterSerial=C4XsKe3dMCJ7F1MqOaUJBw%3d%3d&amp;rt=0&amp;let=19&amp;ct=0&amp;ft=-1</t>
        </is>
      </c>
      <c r="S72" s="23" t="inlineStr">
        <is>
          <t>تاریخ گزارش به‌عنوان تاریخ انتصاب فرض نشد؛ سلیمانی از ۱۴۰۳/۱۱/۲۹ (جایگزین ایجازی) پیش از Cutoff</t>
        </is>
      </c>
    </row>
    <row r="73" ht="43.5" customHeight="1" s="76">
      <c r="A73" s="25" t="inlineStr">
        <is>
          <t>شپدیس</t>
        </is>
      </c>
      <c r="B73" s="25" t="inlineStr">
        <is>
          <t>شپدیس</t>
        </is>
      </c>
      <c r="C73" s="25" t="inlineStr">
        <is>
          <t>Cutoff 1404/12/29</t>
        </is>
      </c>
      <c r="D73" s="25" t="inlineStr">
        <is>
          <t>بازرگانی و تجارت هامون سپاهان</t>
        </is>
      </c>
      <c r="E73" s="25" t="inlineStr">
        <is>
          <t>محمدعلی سلیمانی</t>
        </is>
      </c>
      <c r="F73" s="25" t="inlineStr">
        <is>
          <t>عضو (غیرموظف)</t>
        </is>
      </c>
      <c r="G73" s="25" t="inlineStr">
        <is>
          <t>پیش از Cutoff 1403/12/29 یا نامشخص</t>
        </is>
      </c>
      <c r="H73" s="25" t="inlineStr">
        <is>
          <t>1404/09/05</t>
        </is>
      </c>
      <c r="I73" s="25" t="inlineStr">
        <is>
          <t>در Type19 مذکور</t>
        </is>
      </c>
      <c r="J73" s="25" t="inlineStr">
        <is>
          <t>در Type19 مذکور</t>
        </is>
      </c>
      <c r="K73" s="25" t="inlineStr">
        <is>
          <t>ادامه</t>
        </is>
      </c>
      <c r="L73" s="25" t="n"/>
      <c r="M73" s="25" t="n"/>
      <c r="N73" s="25" t="inlineStr">
        <is>
          <t>بدون تغییر</t>
        </is>
      </c>
      <c r="O73" s="25" t="inlineStr">
        <is>
          <t>معرفی /تغییر در ترکیب اعضای هیئت مدیره/مدیر عامل</t>
        </is>
      </c>
      <c r="P73" s="25" t="inlineStr">
        <is>
          <t>1404/09/05</t>
        </is>
      </c>
      <c r="Q73" s="25" t="inlineStr">
        <is>
          <t>1443721</t>
        </is>
      </c>
      <c r="R73" s="25" t="inlineStr">
        <is>
          <t>https://www.codal.ir/Reports/Decision.aspx?LetterSerial=Lh6dCOOObOOOOOObOOOHmUIfwOOObOOOrvn9DNRQ%3d%3d&amp;rt=0&amp;let=19&amp;ct=0&amp;ft=-1</t>
        </is>
      </c>
      <c r="S73" s="25" t="inlineStr">
        <is>
          <t>تاریخ گزارش به‌عنوان تاریخ انتصاب فرض نشد؛ سلیمانی از ۱۴۰۳/۱۱/۲۹ (جایگزین ایجازی) پیش از Cutoff</t>
        </is>
      </c>
    </row>
    <row r="74" ht="43.5" customHeight="1" s="76">
      <c r="A74" s="23" t="inlineStr">
        <is>
          <t>وتجارت</t>
        </is>
      </c>
      <c r="B74" s="23" t="inlineStr">
        <is>
          <t>وتجارت</t>
        </is>
      </c>
      <c r="C74" s="23" t="inlineStr">
        <is>
          <t>Cutoff 1403/12/29</t>
        </is>
      </c>
      <c r="D74" s="23" t="inlineStr">
        <is>
          <t>— (عضو حقیقی مستقیم)</t>
        </is>
      </c>
      <c r="E74" s="23" t="inlineStr">
        <is>
          <t>علی کی‌لانی</t>
        </is>
      </c>
      <c r="F74" s="23" t="inlineStr">
        <is>
          <t>عضو (موظف)</t>
        </is>
      </c>
      <c r="G74" s="23" t="inlineStr">
        <is>
          <t>پیش از Cutoff 1403/12/29 یا نامشخص</t>
        </is>
      </c>
      <c r="H74" s="23" t="inlineStr">
        <is>
          <t>1402/12/08</t>
        </is>
      </c>
      <c r="I74" s="23" t="inlineStr">
        <is>
          <t>در Type19 مذکور</t>
        </is>
      </c>
      <c r="J74" s="23" t="inlineStr">
        <is>
          <t>در Type19 مذکور</t>
        </is>
      </c>
      <c r="K74" s="23" t="inlineStr">
        <is>
          <t>ادامه تا Cutoff بعد</t>
        </is>
      </c>
      <c r="L74" s="23" t="n"/>
      <c r="M74" s="23" t="n"/>
      <c r="N74" s="23" t="inlineStr">
        <is>
          <t>بدون تغییر</t>
        </is>
      </c>
      <c r="O74" s="23" t="inlineStr">
        <is>
          <t>معرفی /تغییر در ترکیب اعضای هیئت مدیره/مدیر عامل</t>
        </is>
      </c>
      <c r="P74" s="23" t="inlineStr">
        <is>
          <t>1402/12/08</t>
        </is>
      </c>
      <c r="Q74" s="23" t="inlineStr">
        <is>
          <t>1159936</t>
        </is>
      </c>
      <c r="R74" s="23" t="inlineStr">
        <is>
          <t>https://www.codal.ir/Reports/Decision.aspx?LetterSerial=OqEx%2bg3X3xQQQaQQQ1V8FTa1bU9w%3d%3d&amp;rt=3&amp;let=19&amp;ct=0&amp;ft=-1</t>
        </is>
      </c>
      <c r="S74" s="23" t="inlineStr">
        <is>
          <t>تاریخ گزارش به‌عنوان تاریخ انتصاب فرض نشد؛ عضو از ۱۴۰۰/۱۱/۰۹</t>
        </is>
      </c>
    </row>
    <row r="75" ht="43.5" customHeight="1" s="76">
      <c r="A75" s="25" t="inlineStr">
        <is>
          <t>وتجارت</t>
        </is>
      </c>
      <c r="B75" s="25" t="inlineStr">
        <is>
          <t>وتجارت</t>
        </is>
      </c>
      <c r="C75" s="25" t="inlineStr">
        <is>
          <t>Cutoff 1404/12/29</t>
        </is>
      </c>
      <c r="D75" s="25" t="inlineStr">
        <is>
          <t>— (عضو حقیقی مستقیم)</t>
        </is>
      </c>
      <c r="E75" s="25" t="inlineStr">
        <is>
          <t>علی کی‌لانی</t>
        </is>
      </c>
      <c r="F75" s="25" t="inlineStr">
        <is>
          <t>عضو (موظف)</t>
        </is>
      </c>
      <c r="G75" s="25" t="inlineStr">
        <is>
          <t>پیش از Cutoff 1403/12/29 یا نامشخص</t>
        </is>
      </c>
      <c r="H75" s="25" t="inlineStr">
        <is>
          <t>1404/09/15</t>
        </is>
      </c>
      <c r="I75" s="25" t="inlineStr">
        <is>
          <t>در Type19 مذکور</t>
        </is>
      </c>
      <c r="J75" s="25" t="inlineStr">
        <is>
          <t>در Type19 مذکور</t>
        </is>
      </c>
      <c r="K75" s="25" t="inlineStr">
        <is>
          <t>ادامه</t>
        </is>
      </c>
      <c r="L75" s="25" t="n"/>
      <c r="M75" s="25" t="n"/>
      <c r="N75" s="25" t="inlineStr">
        <is>
          <t>بدون تغییر</t>
        </is>
      </c>
      <c r="O75" s="25" t="inlineStr">
        <is>
          <t>معرفی /تغییر در ترکیب اعضای هیئت مدیره/مدیر عامل(اصلاحیه)</t>
        </is>
      </c>
      <c r="P75" s="25" t="inlineStr">
        <is>
          <t>1404/09/15</t>
        </is>
      </c>
      <c r="Q75" s="25" t="inlineStr">
        <is>
          <t>1444154</t>
        </is>
      </c>
      <c r="R75" s="25" t="inlineStr">
        <is>
          <t>https://www.codal.ir/Reports/Decision.aspx?LetterSerial=tL1npzfj3XSDR4oEqs1VIw%3d%3d&amp;rt=3&amp;let=19&amp;ct=0&amp;ft=-1</t>
        </is>
      </c>
      <c r="S75" s="25" t="inlineStr">
        <is>
          <t>تاریخ گزارش به‌عنوان تاریخ انتصاب فرض نشد؛ عضو از ۱۴۰۰/۱۱/۰۹</t>
        </is>
      </c>
    </row>
    <row r="76" ht="72.5" customHeight="1" s="76">
      <c r="A76" s="23" t="inlineStr">
        <is>
          <t>وتجارت</t>
        </is>
      </c>
      <c r="B76" s="23" t="inlineStr">
        <is>
          <t>وتجارت</t>
        </is>
      </c>
      <c r="C76" s="23" t="inlineStr">
        <is>
          <t>Cutoff 1403/12/29</t>
        </is>
      </c>
      <c r="D76" s="23" t="inlineStr">
        <is>
          <t>— (عضو حقیقی مستقیم)</t>
        </is>
      </c>
      <c r="E76" s="23" t="inlineStr">
        <is>
          <t>مرتضی ترک‌تبریزی</t>
        </is>
      </c>
      <c r="F76" s="23" t="inlineStr">
        <is>
          <t>رئیس (موظف)</t>
        </is>
      </c>
      <c r="G76" s="23" t="inlineStr">
        <is>
          <t>پیش از Cutoff 1403/12/29 یا نامشخص</t>
        </is>
      </c>
      <c r="H76" s="23" t="inlineStr">
        <is>
          <t>1402/12/08</t>
        </is>
      </c>
      <c r="I76" s="23" t="inlineStr">
        <is>
          <t>در Type19 مذکور</t>
        </is>
      </c>
      <c r="J76" s="23" t="inlineStr">
        <is>
          <t>در Type19 مذکور</t>
        </is>
      </c>
      <c r="K76" s="23" t="inlineStr">
        <is>
          <t>ادامه تا Cutoff بعد</t>
        </is>
      </c>
      <c r="L76" s="23" t="n"/>
      <c r="M76" s="23" t="n"/>
      <c r="N76" s="23" t="inlineStr">
        <is>
          <t>بدون تغییر</t>
        </is>
      </c>
      <c r="O76" s="23" t="inlineStr">
        <is>
          <t>معرفی /تغییر در ترکیب اعضای هیئت مدیره/مدیر عامل</t>
        </is>
      </c>
      <c r="P76" s="23" t="inlineStr">
        <is>
          <t>1402/12/08</t>
        </is>
      </c>
      <c r="Q76" s="23" t="inlineStr">
        <is>
          <t>1159936</t>
        </is>
      </c>
      <c r="R76" s="23" t="inlineStr">
        <is>
          <t>https://www.codal.ir/Reports/Decision.aspx?LetterSerial=OqEx%2bg3X3xQQQaQQQ1V8FTa1bU9w%3d%3d&amp;rt=3&amp;let=19&amp;ct=0&amp;ft=-1</t>
        </is>
      </c>
      <c r="S76" s="23" t="inlineStr">
        <is>
          <t>تاریخ گزارش به‌عنوان تاریخ انتصاب فرض نشد؛ عضویت پیوسته از ۱۳۹۸/۱۲/۱۴ (اطلاعیه ۶۱۵۲۴۸) و رئیس از ۱۴۰۱/۱۲/۲۵؛ «آخرین مشاهده ۱۴۰۱/۱۲/۲۵» نادرست است: او در FY1403 و FY1404 عضو بود</t>
        </is>
      </c>
    </row>
    <row r="77" ht="72.5" customHeight="1" s="76">
      <c r="A77" s="25" t="inlineStr">
        <is>
          <t>وتجارت</t>
        </is>
      </c>
      <c r="B77" s="25" t="inlineStr">
        <is>
          <t>وتجارت</t>
        </is>
      </c>
      <c r="C77" s="25" t="inlineStr">
        <is>
          <t>Cutoff 1404/12/29</t>
        </is>
      </c>
      <c r="D77" s="25" t="inlineStr">
        <is>
          <t>— (عضو حقیقی مستقیم)</t>
        </is>
      </c>
      <c r="E77" s="25" t="inlineStr">
        <is>
          <t>مرتضی ترک‌تبریزی</t>
        </is>
      </c>
      <c r="F77" s="25" t="inlineStr">
        <is>
          <t>رئیس (موظف)</t>
        </is>
      </c>
      <c r="G77" s="25" t="inlineStr">
        <is>
          <t>پیش از Cutoff 1403/12/29 یا نامشخص</t>
        </is>
      </c>
      <c r="H77" s="25" t="inlineStr">
        <is>
          <t>1404/09/15</t>
        </is>
      </c>
      <c r="I77" s="25" t="inlineStr">
        <is>
          <t>در Type19 مذکور</t>
        </is>
      </c>
      <c r="J77" s="25" t="inlineStr">
        <is>
          <t>در Type19 مذکور</t>
        </is>
      </c>
      <c r="K77" s="25" t="inlineStr">
        <is>
          <t>ادامه</t>
        </is>
      </c>
      <c r="L77" s="25" t="n"/>
      <c r="M77" s="25" t="n"/>
      <c r="N77" s="25" t="inlineStr">
        <is>
          <t>بدون تغییر</t>
        </is>
      </c>
      <c r="O77" s="25" t="inlineStr">
        <is>
          <t>معرفی /تغییر در ترکیب اعضای هیئت مدیره/مدیر عامل(اصلاحیه)</t>
        </is>
      </c>
      <c r="P77" s="25" t="inlineStr">
        <is>
          <t>1404/09/15</t>
        </is>
      </c>
      <c r="Q77" s="25" t="inlineStr">
        <is>
          <t>1444154</t>
        </is>
      </c>
      <c r="R77" s="25" t="inlineStr">
        <is>
          <t>https://www.codal.ir/Reports/Decision.aspx?LetterSerial=tL1npzfj3XSDR4oEqs1VIw%3d%3d&amp;rt=3&amp;let=19&amp;ct=0&amp;ft=-1</t>
        </is>
      </c>
      <c r="S77" s="25" t="inlineStr">
        <is>
          <t>تاریخ گزارش به‌عنوان تاریخ انتصاب فرض نشد؛ عضویت پیوسته از ۱۳۹۸/۱۲/۱۴ (اطلاعیه ۶۱۵۲۴۸) و رئیس از ۱۴۰۱/۱۲/۲۵؛ «آخرین مشاهده ۱۴۰۱/۱۲/۲۵» نادرست است: او در FY1403 و FY1404 عضو بود</t>
        </is>
      </c>
    </row>
    <row r="78" ht="43.5" customHeight="1" s="76">
      <c r="A78" s="23" t="inlineStr">
        <is>
          <t>وتجارت</t>
        </is>
      </c>
      <c r="B78" s="23" t="inlineStr">
        <is>
          <t>وتجارت</t>
        </is>
      </c>
      <c r="C78" s="23" t="inlineStr">
        <is>
          <t>Cutoff 1403/12/29</t>
        </is>
      </c>
      <c r="D78" s="23" t="inlineStr">
        <is>
          <t>— (عضو حقیقی مستقیم)</t>
        </is>
      </c>
      <c r="E78" s="23" t="inlineStr">
        <is>
          <t>هادی اخلاقی فیض‌آثار</t>
        </is>
      </c>
      <c r="F78" s="23" t="inlineStr">
        <is>
          <t>عضو و مدیرعامل (موظف)</t>
        </is>
      </c>
      <c r="G78" s="23" t="inlineStr">
        <is>
          <t>پیش از Cutoff 1403/12/29 یا نامشخص</t>
        </is>
      </c>
      <c r="H78" s="23" t="inlineStr">
        <is>
          <t>1402/12/08</t>
        </is>
      </c>
      <c r="I78" s="23" t="inlineStr">
        <is>
          <t>در Type19 مذکور</t>
        </is>
      </c>
      <c r="J78" s="23" t="inlineStr">
        <is>
          <t>در Type19 مذکور</t>
        </is>
      </c>
      <c r="K78" s="23" t="inlineStr">
        <is>
          <t>ادامه تا Cutoff بعد</t>
        </is>
      </c>
      <c r="L78" s="23" t="n"/>
      <c r="M78" s="23" t="n"/>
      <c r="N78" s="23" t="inlineStr">
        <is>
          <t>بدون تغییر</t>
        </is>
      </c>
      <c r="O78" s="23" t="inlineStr">
        <is>
          <t>معرفی /تغییر در ترکیب اعضای هیئت مدیره/مدیر عامل</t>
        </is>
      </c>
      <c r="P78" s="23" t="inlineStr">
        <is>
          <t>1402/12/08</t>
        </is>
      </c>
      <c r="Q78" s="23" t="inlineStr">
        <is>
          <t>1159936</t>
        </is>
      </c>
      <c r="R78" s="23" t="inlineStr">
        <is>
          <t>https://www.codal.ir/Reports/Decision.aspx?LetterSerial=OqEx%2bg3X3xQQQaQQQ1V8FTa1bU9w%3d%3d&amp;rt=3&amp;let=19&amp;ct=0&amp;ft=-1</t>
        </is>
      </c>
      <c r="S78" s="23" t="inlineStr">
        <is>
          <t>تاریخ گزارش به‌عنوان تاریخ انتصاب فرض نشد</t>
        </is>
      </c>
    </row>
    <row r="79" ht="43.5" customHeight="1" s="76">
      <c r="A79" s="25" t="inlineStr">
        <is>
          <t>وتجارت</t>
        </is>
      </c>
      <c r="B79" s="25" t="inlineStr">
        <is>
          <t>وتجارت</t>
        </is>
      </c>
      <c r="C79" s="25" t="inlineStr">
        <is>
          <t>Cutoff 1404/12/29</t>
        </is>
      </c>
      <c r="D79" s="25" t="inlineStr">
        <is>
          <t>— (عضو حقیقی مستقیم)</t>
        </is>
      </c>
      <c r="E79" s="25" t="inlineStr">
        <is>
          <t>هادی اخلاقی فیض‌آثار</t>
        </is>
      </c>
      <c r="F79" s="25" t="inlineStr">
        <is>
          <t>عضو و مدیرعامل (موظف)</t>
        </is>
      </c>
      <c r="G79" s="25" t="inlineStr">
        <is>
          <t>پیش از Cutoff 1403/12/29 یا نامشخص</t>
        </is>
      </c>
      <c r="H79" s="25" t="inlineStr">
        <is>
          <t>1404/09/15</t>
        </is>
      </c>
      <c r="I79" s="25" t="inlineStr">
        <is>
          <t>در Type19 مذکور</t>
        </is>
      </c>
      <c r="J79" s="25" t="inlineStr">
        <is>
          <t>در Type19 مذکور</t>
        </is>
      </c>
      <c r="K79" s="25" t="inlineStr">
        <is>
          <t>ادامه</t>
        </is>
      </c>
      <c r="L79" s="25" t="n"/>
      <c r="M79" s="25" t="n"/>
      <c r="N79" s="25" t="inlineStr">
        <is>
          <t>بدون تغییر</t>
        </is>
      </c>
      <c r="O79" s="25" t="inlineStr">
        <is>
          <t>معرفی /تغییر در ترکیب اعضای هیئت مدیره/مدیر عامل(اصلاحیه)</t>
        </is>
      </c>
      <c r="P79" s="25" t="inlineStr">
        <is>
          <t>1404/09/15</t>
        </is>
      </c>
      <c r="Q79" s="25" t="inlineStr">
        <is>
          <t>1444154</t>
        </is>
      </c>
      <c r="R79" s="25" t="inlineStr">
        <is>
          <t>https://www.codal.ir/Reports/Decision.aspx?LetterSerial=tL1npzfj3XSDR4oEqs1VIw%3d%3d&amp;rt=3&amp;let=19&amp;ct=0&amp;ft=-1</t>
        </is>
      </c>
      <c r="S79" s="25" t="inlineStr">
        <is>
          <t>تاریخ گزارش به‌عنوان تاریخ انتصاب فرض نشد</t>
        </is>
      </c>
    </row>
    <row r="80" ht="58" customHeight="1" s="76">
      <c r="A80" s="23" t="inlineStr">
        <is>
          <t>وتجارت</t>
        </is>
      </c>
      <c r="B80" s="23" t="inlineStr">
        <is>
          <t>وتجارت</t>
        </is>
      </c>
      <c r="C80" s="23" t="inlineStr">
        <is>
          <t>Cutoff 1403/12/29</t>
        </is>
      </c>
      <c r="D80" s="23" t="inlineStr">
        <is>
          <t>— (عضو حقیقی مستقیم)</t>
        </is>
      </c>
      <c r="E80" s="23" t="inlineStr">
        <is>
          <t>حمیدرضا شریفیان</t>
        </is>
      </c>
      <c r="F80" s="23" t="inlineStr">
        <is>
          <t>نایب رئیس (موظف)</t>
        </is>
      </c>
      <c r="G80" s="23" t="inlineStr">
        <is>
          <t>پیش از Cutoff 1403/12/29 یا نامشخص</t>
        </is>
      </c>
      <c r="H80" s="23" t="inlineStr">
        <is>
          <t>1402/12/08</t>
        </is>
      </c>
      <c r="I80" s="23" t="inlineStr">
        <is>
          <t>در Type19 مذکور</t>
        </is>
      </c>
      <c r="J80" s="23" t="inlineStr">
        <is>
          <t>در Type19 مذکور</t>
        </is>
      </c>
      <c r="K80" s="23" t="n"/>
      <c r="L80" s="23" t="inlineStr">
        <is>
          <t>خروج/جایگزینی نامشخص (بین ۱۴۰۳/۱۲/۳۰ و ۱۴۰۴/۰۸/۲۸)</t>
        </is>
      </c>
      <c r="M80" s="23" t="n"/>
      <c r="N80" s="23" t="inlineStr">
        <is>
          <t>خروج بدون جایگزین</t>
        </is>
      </c>
      <c r="O80" s="23" t="inlineStr">
        <is>
          <t>معرفی /تغییر در ترکیب اعضای هیئت مدیره/مدیر عامل</t>
        </is>
      </c>
      <c r="P80" s="23" t="inlineStr">
        <is>
          <t>1402/12/08</t>
        </is>
      </c>
      <c r="Q80" s="23" t="inlineStr">
        <is>
          <t>1159936</t>
        </is>
      </c>
      <c r="R80" s="23" t="inlineStr">
        <is>
          <t>https://www.codal.ir/Reports/Decision.aspx?LetterSerial=OqEx%2bg3X3xQQQaQQQ1V8FTa1bU9w%3d%3d&amp;rt=3&amp;let=19&amp;ct=0&amp;ft=-1</t>
        </is>
      </c>
      <c r="S80" s="23" t="inlineStr">
        <is>
          <t>تاریخ گزارش به‌عنوان تاریخ انتصاب فرض نشد؛ تاریخ و علت خروج در هیچ سند کدالی یافت نشد؛ اطلاعیه اولیه ۱۴۴۳۰۷۸ (جلسه ۱۴۰۴/۰۹/۰۱) هنوز او را دارد (تناقض)</t>
        </is>
      </c>
    </row>
    <row r="81" ht="58" customHeight="1" s="76">
      <c r="A81" s="25" t="inlineStr">
        <is>
          <t>وتجارت</t>
        </is>
      </c>
      <c r="B81" s="25" t="inlineStr">
        <is>
          <t>وتجارت</t>
        </is>
      </c>
      <c r="C81" s="25" t="inlineStr">
        <is>
          <t>Cutoff 1404/12/29</t>
        </is>
      </c>
      <c r="D81" s="25" t="inlineStr">
        <is>
          <t>— (عضو حقیقی مستقیم)</t>
        </is>
      </c>
      <c r="E81" s="25" t="inlineStr">
        <is>
          <t>— (خارج شده؛ کرسی بدون جایگزین)</t>
        </is>
      </c>
      <c r="F81" s="25" t="n"/>
      <c r="G81" s="25" t="inlineStr">
        <is>
          <t>نامشخص (بین ۱۴۰۳/۱۲/۳۰ و ۱۴۰۴/۰۸/۲۸)</t>
        </is>
      </c>
      <c r="H81" s="25" t="inlineStr">
        <is>
          <t>1404/09/15</t>
        </is>
      </c>
      <c r="I81" s="25" t="inlineStr">
        <is>
          <t>در Type19 مذکور</t>
        </is>
      </c>
      <c r="J81" s="25" t="inlineStr">
        <is>
          <t>در Type19 مذکور</t>
        </is>
      </c>
      <c r="K81" s="25" t="n"/>
      <c r="L81" s="25" t="n"/>
      <c r="M81" s="25" t="inlineStr">
        <is>
          <t>ورود نامشخص (بین ۱۴۰۳/۱۲/۳۰ و ۱۴۰۴/۰۸/۲۸)</t>
        </is>
      </c>
      <c r="N81" s="25" t="inlineStr">
        <is>
          <t>خروج بدون جایگزین</t>
        </is>
      </c>
      <c r="O81" s="25" t="inlineStr">
        <is>
          <t>معرفی /تغییر در ترکیب اعضای هیئت مدیره/مدیر عامل(اصلاحیه)</t>
        </is>
      </c>
      <c r="P81" s="25" t="inlineStr">
        <is>
          <t>1404/09/15</t>
        </is>
      </c>
      <c r="Q81" s="25" t="inlineStr">
        <is>
          <t>1444154</t>
        </is>
      </c>
      <c r="R81" s="25" t="inlineStr">
        <is>
          <t>https://www.codal.ir/Reports/Decision.aspx?LetterSerial=tL1npzfj3XSDR4oEqs1VIw%3d%3d&amp;rt=3&amp;let=19&amp;ct=0&amp;ft=-1</t>
        </is>
      </c>
      <c r="S81" s="25" t="inlineStr">
        <is>
          <t>تاریخ گزارش به‌عنوان تاریخ انتصاب فرض نشد؛ تاریخ و علت خروج در هیچ سند کدالی یافت نشد؛ اطلاعیه اولیه ۱۴۴۳۰۷۸ (جلسه ۱۴۰۴/۰۹/۰۱) هنوز او را دارد (تناقض)</t>
        </is>
      </c>
    </row>
    <row r="82" ht="43.5" customHeight="1" s="76">
      <c r="A82" s="23" t="inlineStr">
        <is>
          <t>وتجارت</t>
        </is>
      </c>
      <c r="B82" s="23" t="inlineStr">
        <is>
          <t>وتجارت</t>
        </is>
      </c>
      <c r="C82" s="23" t="inlineStr">
        <is>
          <t>Cutoff 1403/12/29</t>
        </is>
      </c>
      <c r="D82" s="23" t="inlineStr">
        <is>
          <t>— (عضو حقیقی مستقیم)</t>
        </is>
      </c>
      <c r="E82" s="23" t="inlineStr">
        <is>
          <t>سیدمهدی حسینی دولت‌آبادی</t>
        </is>
      </c>
      <c r="F82" s="23" t="inlineStr">
        <is>
          <t>عضو (موظف)</t>
        </is>
      </c>
      <c r="G82" s="23" t="inlineStr">
        <is>
          <t>پیش از Cutoff 1403/12/29 یا نامشخص</t>
        </is>
      </c>
      <c r="H82" s="23" t="inlineStr">
        <is>
          <t>1402/12/08</t>
        </is>
      </c>
      <c r="I82" s="23" t="inlineStr">
        <is>
          <t>در Type19 مذکور</t>
        </is>
      </c>
      <c r="J82" s="23" t="inlineStr">
        <is>
          <t>در Type19 مذکور</t>
        </is>
      </c>
      <c r="K82" s="23" t="inlineStr">
        <is>
          <t>ادامه تا Cutoff بعد</t>
        </is>
      </c>
      <c r="L82" s="23" t="n"/>
      <c r="M82" s="23" t="n"/>
      <c r="N82" s="23" t="inlineStr">
        <is>
          <t>بدون تغییر</t>
        </is>
      </c>
      <c r="O82" s="23" t="inlineStr">
        <is>
          <t>معرفی /تغییر در ترکیب اعضای هیئت مدیره/مدیر عامل</t>
        </is>
      </c>
      <c r="P82" s="23" t="inlineStr">
        <is>
          <t>1402/12/08</t>
        </is>
      </c>
      <c r="Q82" s="23" t="inlineStr">
        <is>
          <t>1159936</t>
        </is>
      </c>
      <c r="R82" s="23" t="inlineStr">
        <is>
          <t>https://www.codal.ir/Reports/Decision.aspx?LetterSerial=OqEx%2bg3X3xQQQaQQQ1V8FTa1bU9w%3d%3d&amp;rt=3&amp;let=19&amp;ct=0&amp;ft=-1</t>
        </is>
      </c>
      <c r="S82" s="23" t="inlineStr">
        <is>
          <t>تاریخ گزارش به‌عنوان تاریخ انتصاب فرض نشد؛ عضو از ۱۴۰۲/۱۱/۳۰</t>
        </is>
      </c>
    </row>
    <row r="83" ht="43.5" customHeight="1" s="76">
      <c r="A83" s="25" t="inlineStr">
        <is>
          <t>وتجارت</t>
        </is>
      </c>
      <c r="B83" s="25" t="inlineStr">
        <is>
          <t>وتجارت</t>
        </is>
      </c>
      <c r="C83" s="25" t="inlineStr">
        <is>
          <t>Cutoff 1404/12/29</t>
        </is>
      </c>
      <c r="D83" s="25" t="inlineStr">
        <is>
          <t>— (عضو حقیقی مستقیم)</t>
        </is>
      </c>
      <c r="E83" s="25" t="inlineStr">
        <is>
          <t>سیدمهدی حسینی دولت‌آبادی</t>
        </is>
      </c>
      <c r="F83" s="25" t="inlineStr">
        <is>
          <t>عضو (موظف)</t>
        </is>
      </c>
      <c r="G83" s="25" t="inlineStr">
        <is>
          <t>پیش از Cutoff 1403/12/29 یا نامشخص</t>
        </is>
      </c>
      <c r="H83" s="25" t="inlineStr">
        <is>
          <t>1404/09/15</t>
        </is>
      </c>
      <c r="I83" s="25" t="inlineStr">
        <is>
          <t>در Type19 مذکور</t>
        </is>
      </c>
      <c r="J83" s="25" t="inlineStr">
        <is>
          <t>در Type19 مذکور</t>
        </is>
      </c>
      <c r="K83" s="25" t="inlineStr">
        <is>
          <t>ادامه</t>
        </is>
      </c>
      <c r="L83" s="25" t="n"/>
      <c r="M83" s="25" t="n"/>
      <c r="N83" s="25" t="inlineStr">
        <is>
          <t>بدون تغییر</t>
        </is>
      </c>
      <c r="O83" s="25" t="inlineStr">
        <is>
          <t>معرفی /تغییر در ترکیب اعضای هیئت مدیره/مدیر عامل(اصلاحیه)</t>
        </is>
      </c>
      <c r="P83" s="25" t="inlineStr">
        <is>
          <t>1404/09/15</t>
        </is>
      </c>
      <c r="Q83" s="25" t="inlineStr">
        <is>
          <t>1444154</t>
        </is>
      </c>
      <c r="R83" s="25" t="inlineStr">
        <is>
          <t>https://www.codal.ir/Reports/Decision.aspx?LetterSerial=tL1npzfj3XSDR4oEqs1VIw%3d%3d&amp;rt=3&amp;let=19&amp;ct=0&amp;ft=-1</t>
        </is>
      </c>
      <c r="S83" s="25" t="inlineStr">
        <is>
          <t>تاریخ گزارش به‌عنوان تاریخ انتصاب فرض نشد؛ عضو از ۱۴۰۲/۱۱/۳۰</t>
        </is>
      </c>
    </row>
    <row r="84" ht="20" customHeight="1" s="76">
      <c r="A84" s="23" t="inlineStr">
        <is>
          <t>حکشتی</t>
        </is>
      </c>
      <c r="B84" s="23" t="inlineStr">
        <is>
          <t>حکشتی</t>
        </is>
      </c>
      <c r="C84" s="23" t="inlineStr">
        <is>
          <t>—</t>
        </is>
      </c>
      <c r="D84" s="23" t="inlineStr">
        <is>
          <t>—</t>
        </is>
      </c>
      <c r="E84" s="23" t="inlineStr">
        <is>
          <t>Not Found</t>
        </is>
      </c>
      <c r="F84" s="23" t="n"/>
      <c r="G84" s="23" t="n"/>
      <c r="H84" s="23" t="n"/>
      <c r="I84" s="23" t="n"/>
      <c r="J84" s="23" t="n"/>
      <c r="K84" s="23" t="n"/>
      <c r="L84" s="23" t="n"/>
      <c r="M84" s="23" t="n"/>
      <c r="N84" s="23" t="inlineStr">
        <is>
          <t>Not Found</t>
        </is>
      </c>
      <c r="O84" s="23" t="n"/>
      <c r="P84" s="23" t="n"/>
      <c r="Q84" s="23" t="n"/>
      <c r="R84" s="23" t="n"/>
      <c r="S84" s="23" t="inlineStr">
        <is>
          <t>نام نماینده در هیچ سند کدال ثبت نشده</t>
        </is>
      </c>
    </row>
    <row r="85" ht="20" customHeight="1" s="76">
      <c r="A85" s="25" t="inlineStr">
        <is>
          <t>وپاسار</t>
        </is>
      </c>
      <c r="B85" s="25" t="inlineStr">
        <is>
          <t>وپاسار</t>
        </is>
      </c>
      <c r="C85" s="25" t="inlineStr">
        <is>
          <t>—</t>
        </is>
      </c>
      <c r="D85" s="25" t="inlineStr">
        <is>
          <t>—</t>
        </is>
      </c>
      <c r="E85" s="25" t="inlineStr">
        <is>
          <t>Not Found</t>
        </is>
      </c>
      <c r="F85" s="25" t="n"/>
      <c r="G85" s="25" t="n"/>
      <c r="H85" s="25" t="n"/>
      <c r="I85" s="25" t="n"/>
      <c r="J85" s="25" t="n"/>
      <c r="K85" s="25" t="n"/>
      <c r="L85" s="25" t="n"/>
      <c r="M85" s="25" t="n"/>
      <c r="N85" s="25" t="inlineStr">
        <is>
          <t>Not Found</t>
        </is>
      </c>
      <c r="O85" s="25" t="n"/>
      <c r="P85" s="25" t="n"/>
      <c r="Q85" s="25" t="n"/>
      <c r="R85" s="25" t="n"/>
      <c r="S85" s="25" t="inlineStr">
        <is>
          <t>Snapshot ۱۴۰۴/۱۲/۲۹ مستند نیست</t>
        </is>
      </c>
    </row>
  </sheetData>
  <mergeCells count="2">
    <mergeCell ref="A2:S2"/>
    <mergeCell ref="A1:S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44"/>
  <sheetViews>
    <sheetView showGridLines="0" rightToLeft="1" workbookViewId="0">
      <pane ySplit="3" topLeftCell="A4" activePane="bottomLeft" state="frozen"/>
      <selection pane="bottomLeft" activeCell="A1" sqref="A1"/>
    </sheetView>
  </sheetViews>
  <sheetFormatPr baseColWidth="10" defaultColWidth="8.83203125" defaultRowHeight="15"/>
  <cols>
    <col width="28" customWidth="1" style="76" min="1" max="1"/>
    <col width="10" customWidth="1" style="76" min="2" max="2"/>
    <col width="60" customWidth="1" style="76" min="3" max="4"/>
  </cols>
  <sheetData>
    <row r="1" ht="30" customHeight="1" s="76">
      <c r="A1" s="87" t="inlineStr">
        <is>
          <t>فهرست سلول‌های تغییرداده‌شده نسبت به v37</t>
        </is>
      </c>
    </row>
    <row r="2" ht="22" customHeight="1" s="76">
      <c r="A2" s="85" t="inlineStr">
        <is>
          <t>تعداد سلول‌های تغییر یافته در برگه‌های موجود: 141. برگه‌های جدید جداگانه شمرده نمی‌شوند.</t>
        </is>
      </c>
    </row>
    <row r="3" ht="30" customHeight="1" s="76">
      <c r="A3" s="24" t="inlineStr">
        <is>
          <t>برگه</t>
        </is>
      </c>
      <c r="B3" s="24" t="inlineStr">
        <is>
          <t>سلول</t>
        </is>
      </c>
      <c r="C3" s="24" t="inlineStr">
        <is>
          <t>مقدار v37</t>
        </is>
      </c>
      <c r="D3" s="24" t="inlineStr">
        <is>
          <t>مقدار v38</t>
        </is>
      </c>
    </row>
    <row r="4" ht="20" customHeight="1" s="76">
      <c r="A4" s="23" t="inlineStr">
        <is>
          <t>Turnover نهایی</t>
        </is>
      </c>
      <c r="B4" s="23" t="inlineStr">
        <is>
          <t>G5</t>
        </is>
      </c>
      <c r="C4" s="23" t="inlineStr">
        <is>
          <t>2</t>
        </is>
      </c>
      <c r="D4" s="23" t="inlineStr">
        <is>
          <t>3</t>
        </is>
      </c>
    </row>
    <row r="5" ht="20" customHeight="1" s="76">
      <c r="A5" s="25" t="inlineStr">
        <is>
          <t>Turnover نهایی</t>
        </is>
      </c>
      <c r="B5" s="25" t="inlineStr">
        <is>
          <t>J5</t>
        </is>
      </c>
      <c r="C5" s="25" t="inlineStr">
        <is>
          <t>2</t>
        </is>
      </c>
      <c r="D5" s="25" t="inlineStr">
        <is>
          <t>3</t>
        </is>
      </c>
    </row>
    <row r="6" ht="20" customHeight="1" s="76">
      <c r="A6" s="23" t="inlineStr">
        <is>
          <t>Turnover نهایی</t>
        </is>
      </c>
      <c r="B6" s="23" t="inlineStr">
        <is>
          <t>K5</t>
        </is>
      </c>
      <c r="C6" s="23" t="inlineStr">
        <is>
          <t>4</t>
        </is>
      </c>
      <c r="D6" s="23" t="inlineStr">
        <is>
          <t>5</t>
        </is>
      </c>
    </row>
    <row r="7" ht="20" customHeight="1" s="76">
      <c r="A7" s="25" t="inlineStr">
        <is>
          <t>Turnover نهایی</t>
        </is>
      </c>
      <c r="B7" s="25" t="inlineStr">
        <is>
          <t>N5</t>
        </is>
      </c>
      <c r="C7" s="25" t="inlineStr">
        <is>
          <t>4</t>
        </is>
      </c>
      <c r="D7" s="25" t="inlineStr">
        <is>
          <t>5</t>
        </is>
      </c>
    </row>
    <row r="8" ht="20" customHeight="1" s="76">
      <c r="A8" s="23" t="inlineStr">
        <is>
          <t>Turnover نهایی</t>
        </is>
      </c>
      <c r="B8" s="23" t="inlineStr">
        <is>
          <t>P5</t>
        </is>
      </c>
      <c r="C8" s="23" t="inlineStr">
        <is>
          <t>2</t>
        </is>
      </c>
      <c r="D8" s="23" t="inlineStr">
        <is>
          <t>3</t>
        </is>
      </c>
    </row>
    <row r="9" ht="20" customHeight="1" s="76">
      <c r="A9" s="25" t="inlineStr">
        <is>
          <t>Turnover نهایی</t>
        </is>
      </c>
      <c r="B9" s="25" t="inlineStr">
        <is>
          <t>S5</t>
        </is>
      </c>
      <c r="C9" s="25" t="inlineStr">
        <is>
          <t>3</t>
        </is>
      </c>
      <c r="D9" s="25" t="inlineStr">
        <is>
          <t>2</t>
        </is>
      </c>
    </row>
    <row r="10" ht="20" customHeight="1" s="76">
      <c r="A10" s="23" t="inlineStr">
        <is>
          <t>Turnover نهایی</t>
        </is>
      </c>
      <c r="B10" s="23" t="inlineStr">
        <is>
          <t>V5</t>
        </is>
      </c>
      <c r="C10" s="23" t="inlineStr">
        <is>
          <t>خیر</t>
        </is>
      </c>
      <c r="D10" s="23" t="inlineStr">
        <is>
          <t>بله</t>
        </is>
      </c>
    </row>
    <row r="11" ht="20" customHeight="1" s="76">
      <c r="A11" s="25" t="inlineStr">
        <is>
          <t>Turnover نهایی</t>
        </is>
      </c>
      <c r="B11" s="25" t="inlineStr">
        <is>
          <t>C5</t>
        </is>
      </c>
      <c r="C11" s="25" t="inlineStr">
        <is>
          <t>متوسط</t>
        </is>
      </c>
      <c r="D11" s="25" t="inlineStr">
        <is>
          <t>بالا</t>
        </is>
      </c>
    </row>
    <row r="12" ht="20" customHeight="1" s="76">
      <c r="A12" s="23" t="inlineStr">
        <is>
          <t>Turnover نهایی</t>
        </is>
      </c>
      <c r="B12" s="23" t="inlineStr">
        <is>
          <t>D5</t>
        </is>
      </c>
      <c r="C12" s="23" t="inlineStr">
        <is>
          <t>DIRECT_ROSTER_COMPARISON</t>
        </is>
      </c>
      <c r="D12" s="23" t="inlineStr">
        <is>
          <t>TYPE19_CUTOFF_CHRONOLOGY_V38</t>
        </is>
      </c>
    </row>
    <row r="13" ht="20" customHeight="1" s="76">
      <c r="A13" s="25" t="inlineStr">
        <is>
          <t>Turnover نهایی</t>
        </is>
      </c>
      <c r="B13" s="25" t="inlineStr">
        <is>
          <t>X5</t>
        </is>
      </c>
      <c r="C13" s="25" t="inlineStr">
        <is>
          <t>نیازمند بازبینی منبع</t>
        </is>
      </c>
      <c r="D13" s="25" t="inlineStr">
        <is>
          <t>تاییدشده (v38)</t>
        </is>
      </c>
    </row>
    <row r="14" ht="29" customHeight="1" s="76">
      <c r="A14" s="23" t="inlineStr">
        <is>
          <t>Turnover نهایی</t>
        </is>
      </c>
      <c r="B14" s="23" t="inlineStr">
        <is>
          <t>Z5</t>
        </is>
      </c>
      <c r="C14" s="23" t="inlineStr">
        <is>
          <t>Iran_BSI_v33_Phase4_2K_FinalTurnoverClosure.xlsx | برگه های گردش اشخاص حقیقی، تغییر نمایند</t>
        </is>
      </c>
      <c r="D14" s="23" t="inlineStr">
        <is>
          <t>Iran_BSI_v33_Phase4_2K_FinalTurnoverClosure.xlsx | برگه های گردش اشخاص حقیقی، تغییر نمایند</t>
        </is>
      </c>
    </row>
    <row r="15" ht="29" customHeight="1" s="76">
      <c r="A15" s="25" t="inlineStr">
        <is>
          <t>Turnover نهایی</t>
        </is>
      </c>
      <c r="B15" s="25" t="inlineStr">
        <is>
          <t>AA5</t>
        </is>
      </c>
      <c r="C15" s="25" t="inlineStr">
        <is>
          <t>برای ردیابی پایه به فایل v33 و Source_IDهای همان فاز مراجعه شود</t>
        </is>
      </c>
      <c r="D15" s="25" t="inlineStr">
        <is>
          <t>https://www.codal.ir/Reports/Decision.aspx?LetterSerial=QijK3OnJnjtoOOObOOOYV1GqeqyQ%3d%3d</t>
        </is>
      </c>
    </row>
    <row r="16" ht="29" customHeight="1" s="76">
      <c r="A16" s="23" t="inlineStr">
        <is>
          <t>Turnover نهایی</t>
        </is>
      </c>
      <c r="B16" s="23" t="inlineStr">
        <is>
          <t>W5</t>
        </is>
      </c>
      <c r="C16" s="23" t="inlineStr">
        <is>
          <t>تایید قبلی | v36: NEEDS_SOURCE_REVIEW (≥۳ عضو پس از Cutoff FY1403؛ Snapshot ناهمتراز)</t>
        </is>
      </c>
      <c r="D16" s="23" t="inlineStr">
        <is>
          <t>v38: جدول مبنای ۱۴۰۳/۱۲/۲۹ از اطلاعیه ۱۳۱۱۶۵۳ (۱۴۰۳/۱۲/۰۴) و ۱۲۹۴۹۹۵ (۱۴۰۳/۱۰/۲۳) و اطلاعی</t>
        </is>
      </c>
    </row>
    <row r="17" ht="20" customHeight="1" s="76">
      <c r="A17" s="25" t="inlineStr">
        <is>
          <t>Turnover نهایی</t>
        </is>
      </c>
      <c r="B17" s="25" t="inlineStr">
        <is>
          <t>G20</t>
        </is>
      </c>
      <c r="C17" s="25" t="inlineStr">
        <is>
          <t>0</t>
        </is>
      </c>
      <c r="D17" s="25" t="inlineStr">
        <is>
          <t>2</t>
        </is>
      </c>
    </row>
    <row r="18" ht="20" customHeight="1" s="76">
      <c r="A18" s="23" t="inlineStr">
        <is>
          <t>Turnover نهایی</t>
        </is>
      </c>
      <c r="B18" s="23" t="inlineStr">
        <is>
          <t>J20</t>
        </is>
      </c>
      <c r="C18" s="23" t="inlineStr">
        <is>
          <t>0</t>
        </is>
      </c>
      <c r="D18" s="23" t="inlineStr">
        <is>
          <t>2</t>
        </is>
      </c>
    </row>
    <row r="19" ht="20" customHeight="1" s="76">
      <c r="A19" s="25" t="inlineStr">
        <is>
          <t>Turnover نهایی</t>
        </is>
      </c>
      <c r="B19" s="25" t="inlineStr">
        <is>
          <t>P20</t>
        </is>
      </c>
      <c r="C19" s="25" t="inlineStr">
        <is>
          <t>1</t>
        </is>
      </c>
      <c r="D19" s="25" t="inlineStr">
        <is>
          <t>3</t>
        </is>
      </c>
    </row>
    <row r="20" ht="20" customHeight="1" s="76">
      <c r="A20" s="23" t="inlineStr">
        <is>
          <t>Turnover نهایی</t>
        </is>
      </c>
      <c r="B20" s="23" t="inlineStr">
        <is>
          <t>S20</t>
        </is>
      </c>
      <c r="C20" s="23" t="inlineStr">
        <is>
          <t>4</t>
        </is>
      </c>
      <c r="D20" s="23" t="inlineStr">
        <is>
          <t>2</t>
        </is>
      </c>
    </row>
    <row r="21" ht="20" customHeight="1" s="76">
      <c r="A21" s="25" t="inlineStr">
        <is>
          <t>Turnover نهایی</t>
        </is>
      </c>
      <c r="B21" s="25" t="inlineStr">
        <is>
          <t>V20</t>
        </is>
      </c>
      <c r="C21" s="25" t="inlineStr">
        <is>
          <t>خیر</t>
        </is>
      </c>
      <c r="D21" s="25" t="inlineStr">
        <is>
          <t>بله</t>
        </is>
      </c>
    </row>
    <row r="22" ht="20" customHeight="1" s="76">
      <c r="A22" s="23" t="inlineStr">
        <is>
          <t>Turnover نهایی</t>
        </is>
      </c>
      <c r="B22" s="23" t="inlineStr">
        <is>
          <t>D20</t>
        </is>
      </c>
      <c r="C22" s="23" t="inlineStr">
        <is>
          <t>ANNUAL_REPORT_PLUS_TYPE19</t>
        </is>
      </c>
      <c r="D22" s="23" t="inlineStr">
        <is>
          <t>TYPE19_CUTOFF_CHRONOLOGY_V38</t>
        </is>
      </c>
    </row>
    <row r="23" ht="20" customHeight="1" s="76">
      <c r="A23" s="25" t="inlineStr">
        <is>
          <t>Turnover نهایی</t>
        </is>
      </c>
      <c r="B23" s="25" t="inlineStr">
        <is>
          <t>X20</t>
        </is>
      </c>
      <c r="C23" s="25" t="inlineStr">
        <is>
          <t>نیازمند بازبینی منبع</t>
        </is>
      </c>
      <c r="D23" s="25" t="inlineStr">
        <is>
          <t>تاییدشده (v38)</t>
        </is>
      </c>
    </row>
    <row r="24" ht="29" customHeight="1" s="76">
      <c r="A24" s="23" t="inlineStr">
        <is>
          <t>Turnover نهایی</t>
        </is>
      </c>
      <c r="B24" s="23" t="inlineStr">
        <is>
          <t>Z20</t>
        </is>
      </c>
      <c r="C24" s="23" t="inlineStr">
        <is>
          <t>SRC_KCHD_1403_001 | گزارش فعالیت هیئت مدیره | ۱۴۰۳ | ۴ | Snapshot مبنا برای ۱۴۰۳ و ثبت صری</t>
        </is>
      </c>
      <c r="D24" s="23" t="inlineStr">
        <is>
          <t>SRC_KCHD_1403_001 | گزارش فعالیت هیئت مدیره | ۱۴۰۳ | ۴ | Snapshot مبنا برای ۱۴۰۳ و ثبت صری</t>
        </is>
      </c>
    </row>
    <row r="25" ht="43.5" customHeight="1" s="76">
      <c r="A25" s="25" t="inlineStr">
        <is>
          <t>Turnover نهایی</t>
        </is>
      </c>
      <c r="B25" s="25" t="inlineStr">
        <is>
          <t>AA20</t>
        </is>
      </c>
      <c r="C25" s="25" t="inlineStr">
        <is>
          <t>https://www.codal.ir/Reports/Attachment.aspx?LetterSerial=RjOGt7pH1eRnl2ioIPNqDg%3d%3d
htt</t>
        </is>
      </c>
      <c r="D25" s="25" t="inlineStr">
        <is>
          <t>https://www.codal.ir/Reports/Decision.aspx?LetterSerial=v9VDr2f0BIJNqKEnWy6Rug%3d%3d&amp;rt=0&amp;</t>
        </is>
      </c>
    </row>
    <row r="26" ht="29" customHeight="1" s="76">
      <c r="A26" s="23" t="inlineStr">
        <is>
          <t>Turnover نهایی</t>
        </is>
      </c>
      <c r="B26" s="23" t="inlineStr">
        <is>
          <t>W20</t>
        </is>
      </c>
      <c r="C26" s="23" t="inlineStr">
        <is>
          <t>یک کرسی خالی از مخرج Turnover حذف شد | v36: NEEDS_SOURCE_REVIEW (K≠N−M)</t>
        </is>
      </c>
      <c r="D26" s="23" t="inlineStr">
        <is>
          <t xml:space="preserve">v38: Cutoff ۱۴۰۳/۱۲/۲۹ از اطلاعیه ۱۲۸۷۷۴۶ (جلسه ۱۴۰۳/۰۹/۲۶) و اصلاحیه‌های ۱۲۷۴۸۱۰/۱۲۷۵۲۳۴ </t>
        </is>
      </c>
    </row>
    <row r="27" ht="20" customHeight="1" s="76">
      <c r="A27" s="25" t="inlineStr">
        <is>
          <t>Turnover نهایی</t>
        </is>
      </c>
      <c r="B27" s="25" t="inlineStr">
        <is>
          <t>G22</t>
        </is>
      </c>
      <c r="C27" s="25" t="inlineStr">
        <is>
          <t>0</t>
        </is>
      </c>
      <c r="D27" s="25" t="inlineStr">
        <is>
          <t>2</t>
        </is>
      </c>
    </row>
    <row r="28" ht="20" customHeight="1" s="76">
      <c r="A28" s="23" t="inlineStr">
        <is>
          <t>Turnover نهایی</t>
        </is>
      </c>
      <c r="B28" s="23" t="inlineStr">
        <is>
          <t>J22</t>
        </is>
      </c>
      <c r="C28" s="23" t="n"/>
      <c r="D28" s="23" t="inlineStr">
        <is>
          <t>2</t>
        </is>
      </c>
    </row>
    <row r="29" ht="20" customHeight="1" s="76">
      <c r="A29" s="25" t="inlineStr">
        <is>
          <t>Turnover نهایی</t>
        </is>
      </c>
      <c r="B29" s="25" t="inlineStr">
        <is>
          <t>K22</t>
        </is>
      </c>
      <c r="C29" s="25" t="n"/>
      <c r="D29" s="25" t="inlineStr">
        <is>
          <t>5</t>
        </is>
      </c>
    </row>
    <row r="30" ht="20" customHeight="1" s="76">
      <c r="A30" s="23" t="inlineStr">
        <is>
          <t>Turnover نهایی</t>
        </is>
      </c>
      <c r="B30" s="23" t="inlineStr">
        <is>
          <t>M22</t>
        </is>
      </c>
      <c r="C30" s="23" t="n"/>
      <c r="D30" s="23" t="inlineStr">
        <is>
          <t>0</t>
        </is>
      </c>
    </row>
    <row r="31" ht="20" customHeight="1" s="76">
      <c r="A31" s="25" t="inlineStr">
        <is>
          <t>Turnover نهایی</t>
        </is>
      </c>
      <c r="B31" s="25" t="inlineStr">
        <is>
          <t>N22</t>
        </is>
      </c>
      <c r="C31" s="25" t="n"/>
      <c r="D31" s="25" t="inlineStr">
        <is>
          <t>5</t>
        </is>
      </c>
    </row>
    <row r="32" ht="20" customHeight="1" s="76">
      <c r="A32" s="23" t="inlineStr">
        <is>
          <t>Turnover نهایی</t>
        </is>
      </c>
      <c r="B32" s="23" t="inlineStr">
        <is>
          <t>Q22</t>
        </is>
      </c>
      <c r="C32" s="23" t="inlineStr">
        <is>
          <t>7</t>
        </is>
      </c>
      <c r="D32" s="23" t="inlineStr">
        <is>
          <t>5</t>
        </is>
      </c>
    </row>
    <row r="33" ht="20" customHeight="1" s="76">
      <c r="A33" s="25" t="inlineStr">
        <is>
          <t>Turnover نهایی</t>
        </is>
      </c>
      <c r="B33" s="25" t="inlineStr">
        <is>
          <t>S22</t>
        </is>
      </c>
      <c r="C33" s="25" t="inlineStr">
        <is>
          <t>5</t>
        </is>
      </c>
      <c r="D33" s="25" t="inlineStr">
        <is>
          <t>3</t>
        </is>
      </c>
    </row>
    <row r="34" ht="20" customHeight="1" s="76">
      <c r="A34" s="23" t="inlineStr">
        <is>
          <t>Turnover نهایی</t>
        </is>
      </c>
      <c r="B34" s="23" t="inlineStr">
        <is>
          <t>F22</t>
        </is>
      </c>
      <c r="C34" s="23" t="inlineStr">
        <is>
          <t>خیر</t>
        </is>
      </c>
      <c r="D34" s="23" t="inlineStr">
        <is>
          <t>بله</t>
        </is>
      </c>
    </row>
    <row r="35" ht="20" customHeight="1" s="76">
      <c r="A35" s="25" t="inlineStr">
        <is>
          <t>Turnover نهایی</t>
        </is>
      </c>
      <c r="B35" s="25" t="inlineStr">
        <is>
          <t>D22</t>
        </is>
      </c>
      <c r="C35" s="25" t="inlineStr">
        <is>
          <t>DIRECT_ANNUAL_REPORT_COMPARISON</t>
        </is>
      </c>
      <c r="D35" s="25" t="inlineStr">
        <is>
          <t>TYPE19_CUTOFF_CHRONOLOGY_V38</t>
        </is>
      </c>
    </row>
    <row r="36" ht="20" customHeight="1" s="76">
      <c r="A36" s="23" t="inlineStr">
        <is>
          <t>Turnover نهایی</t>
        </is>
      </c>
      <c r="B36" s="23" t="inlineStr">
        <is>
          <t>X22</t>
        </is>
      </c>
      <c r="C36" s="23" t="inlineStr">
        <is>
          <t>نیازمند بازبینی منبع</t>
        </is>
      </c>
      <c r="D36" s="23" t="inlineStr">
        <is>
          <t>تاییدشده (v38)</t>
        </is>
      </c>
    </row>
    <row r="37" ht="43.5" customHeight="1" s="76">
      <c r="A37" s="25" t="inlineStr">
        <is>
          <t>Turnover نهایی</t>
        </is>
      </c>
      <c r="B37" s="25" t="inlineStr">
        <is>
          <t>Z22</t>
        </is>
      </c>
      <c r="C37" s="25" t="inlineStr">
        <is>
          <t>SRC_PRSN_1403_001 | گزارش فعالیت هیئت مدیره | ۱۴۰۳ | ۵۰ | Snapshot مبنا برای ۱۴۰۳
SRC_PRSN</t>
        </is>
      </c>
      <c r="D37" s="25" t="inlineStr">
        <is>
          <t>SRC_PRSN_1403_001 | گزارش فعالیت هیئت مدیره | ۱۴۰۳ | ۵۰ | Snapshot مبنا برای ۱۴۰۳
SRC_PRSN</t>
        </is>
      </c>
    </row>
    <row r="38" ht="29" customHeight="1" s="76">
      <c r="A38" s="23" t="inlineStr">
        <is>
          <t>Turnover نهایی</t>
        </is>
      </c>
      <c r="B38" s="23" t="inlineStr">
        <is>
          <t>AA22</t>
        </is>
      </c>
      <c r="C38" s="23" t="inlineStr">
        <is>
          <t>https://www.codal.ir/Reports/Attachment.aspx?LetterSerial=Pzx8AUWEOOObOOOMcLjZdiSXNAoA%3d%</t>
        </is>
      </c>
      <c r="D38" s="23" t="inlineStr">
        <is>
          <t>https://www.codal.ir/Reports/Decision.aspx?LetterSerial=DsOgAmOOObOOOXCBilD6gqB1SIaw%3d%3d</t>
        </is>
      </c>
    </row>
    <row r="39" ht="29" customHeight="1" s="76">
      <c r="A39" s="25" t="inlineStr">
        <is>
          <t>Turnover نهایی</t>
        </is>
      </c>
      <c r="B39" s="25" t="inlineStr">
        <is>
          <t>W22</t>
        </is>
      </c>
      <c r="C39" s="25" t="inlineStr">
        <is>
          <t>ساختار شخص حقوقی برای این Measure قابل اعمال نبود | v36: NEEDS_SOURCE_REVIEW (Q=7 در برابر</t>
        </is>
      </c>
      <c r="D39" s="25" t="inlineStr">
        <is>
          <t xml:space="preserve">v38: Cutoff ۱۴۰۳/۱۲/۲۹ از اطلاعیه ۱۲۸۸۲۷۵ (۱۴۰۳/۱۰/۰۵) و ۱۳۲۷۵۲۲ (۱۴۰۴/۰۱/۱۸، به‌روزرسانی </t>
        </is>
      </c>
    </row>
    <row r="40" ht="20" customHeight="1" s="76">
      <c r="A40" s="23" t="inlineStr">
        <is>
          <t>Turnover نهایی</t>
        </is>
      </c>
      <c r="B40" s="23" t="inlineStr">
        <is>
          <t>P24</t>
        </is>
      </c>
      <c r="C40" s="23" t="inlineStr">
        <is>
          <t>0</t>
        </is>
      </c>
      <c r="D40" s="23" t="inlineStr">
        <is>
          <t>1</t>
        </is>
      </c>
    </row>
    <row r="41" ht="20" customHeight="1" s="76">
      <c r="A41" s="25" t="inlineStr">
        <is>
          <t>Turnover نهایی</t>
        </is>
      </c>
      <c r="B41" s="25" t="inlineStr">
        <is>
          <t>V24</t>
        </is>
      </c>
      <c r="C41" s="25" t="inlineStr">
        <is>
          <t>خیر</t>
        </is>
      </c>
      <c r="D41" s="25" t="inlineStr">
        <is>
          <t>بله</t>
        </is>
      </c>
    </row>
    <row r="42" ht="20" customHeight="1" s="76">
      <c r="A42" s="23" t="inlineStr">
        <is>
          <t>Turnover نهایی</t>
        </is>
      </c>
      <c r="B42" s="23" t="inlineStr">
        <is>
          <t>D24</t>
        </is>
      </c>
      <c r="C42" s="23" t="inlineStr">
        <is>
          <t>ANNUAL_REPORT_PLUS_TYPE19</t>
        </is>
      </c>
      <c r="D42" s="23" t="inlineStr">
        <is>
          <t>TYPE19_CUTOFF_CHRONOLOGY_V38</t>
        </is>
      </c>
    </row>
    <row r="43" ht="20" customHeight="1" s="76">
      <c r="A43" s="25" t="inlineStr">
        <is>
          <t>Turnover نهایی</t>
        </is>
      </c>
      <c r="B43" s="25" t="inlineStr">
        <is>
          <t>X24</t>
        </is>
      </c>
      <c r="C43" s="25" t="inlineStr">
        <is>
          <t>نیازمند بازبینی منبع</t>
        </is>
      </c>
      <c r="D43" s="25" t="inlineStr">
        <is>
          <t>تاییدشده (v38)</t>
        </is>
      </c>
    </row>
    <row r="44" ht="43.5" customHeight="1" s="76">
      <c r="A44" s="23" t="inlineStr">
        <is>
          <t>Turnover نهایی</t>
        </is>
      </c>
      <c r="B44" s="23" t="inlineStr">
        <is>
          <t>Z24</t>
        </is>
      </c>
      <c r="C44" s="23" t="inlineStr">
        <is>
          <t>SRC_JAM_1404_002 | گزارش فعالیت هیئت مدیره | ۱۴۰۳ | ۳۵ | Snapshot مبنا برای ۱۴۰۳
SRC_JAM_1</t>
        </is>
      </c>
      <c r="D44" s="23" t="inlineStr">
        <is>
          <t>SRC_JAM_1404_002 | گزارش فعالیت هیئت مدیره | ۱۴۰۳ | ۳۵ | Snapshot مبنا برای ۱۴۰۳
SRC_JAM_1</t>
        </is>
      </c>
    </row>
    <row r="45" ht="43.5" customHeight="1" s="76">
      <c r="A45" s="25" t="inlineStr">
        <is>
          <t>Turnover نهایی</t>
        </is>
      </c>
      <c r="B45" s="25" t="inlineStr">
        <is>
          <t>AA24</t>
        </is>
      </c>
      <c r="C45" s="25" t="inlineStr">
        <is>
          <t>https://www.codal.ir/Reports/Attachment.aspx?LetterSerial=7DOfnJSrljlS4F1ZUoECfA%3d%3d
htt</t>
        </is>
      </c>
      <c r="D45" s="25" t="inlineStr">
        <is>
          <t>https://www.codal.ir/Reports/Decision.aspx?LetterSerial=SZoueUaBHVA%2bs%2bgcP%2bwj4A%3d%3d</t>
        </is>
      </c>
    </row>
    <row r="46" ht="29" customHeight="1" s="76">
      <c r="A46" s="23" t="inlineStr">
        <is>
          <t>Turnover نهایی</t>
        </is>
      </c>
      <c r="B46" s="23" t="inlineStr">
        <is>
          <t>W24</t>
        </is>
      </c>
      <c r="C46" s="23" t="inlineStr">
        <is>
          <t>گزارش سالانه ۱۴۰۴ به دلیل اطلاعات پس از Cutoff مبنا نشد | v36: NEEDS_SOURCE_REVIEW (P&lt;G)</t>
        </is>
      </c>
      <c r="D46" s="23" t="inlineStr">
        <is>
          <t>v38: Cutoff ۱۴۰۳/۱۲/۲۹: اطلاعیه ۱۱۷۱۲۶۵ (۱۴۰۲/۱۲/۲۸: اکبری جایگزین قنبریان) + گزارش FY1403</t>
        </is>
      </c>
    </row>
    <row r="47" ht="20" customHeight="1" s="76">
      <c r="A47" s="25" t="inlineStr">
        <is>
          <t>Turnover نهایی</t>
        </is>
      </c>
      <c r="B47" s="25" t="inlineStr">
        <is>
          <t>D27</t>
        </is>
      </c>
      <c r="C47" s="25" t="inlineStr">
        <is>
          <t>DIRECT_TYPE19_COMPARISON</t>
        </is>
      </c>
      <c r="D47" s="25" t="inlineStr">
        <is>
          <t>TYPE19_CUTOFF_CHRONOLOGY_V38</t>
        </is>
      </c>
    </row>
    <row r="48" ht="20" customHeight="1" s="76">
      <c r="A48" s="23" t="inlineStr">
        <is>
          <t>Turnover نهایی</t>
        </is>
      </c>
      <c r="B48" s="23" t="inlineStr">
        <is>
          <t>X27</t>
        </is>
      </c>
      <c r="C48" s="23" t="inlineStr">
        <is>
          <t>نیازمند بازبینی منبع</t>
        </is>
      </c>
      <c r="D48" s="23" t="inlineStr">
        <is>
          <t>تاییدشده (v38)</t>
        </is>
      </c>
    </row>
    <row r="49" ht="43.5" customHeight="1" s="76">
      <c r="A49" s="25" t="inlineStr">
        <is>
          <t>Turnover نهایی</t>
        </is>
      </c>
      <c r="B49" s="25" t="inlineStr">
        <is>
          <t>Z27</t>
        </is>
      </c>
      <c r="C49" s="25" t="inlineStr">
        <is>
          <t>SRC_KHSP_1404_002 | افشای نوع ۱۹ | ۱۴۰۳ | ۱ | Snapshot مبنا ۱۴۰۳
SRC_KHSP_1404_004 | افشای</t>
        </is>
      </c>
      <c r="D49" s="25" t="inlineStr">
        <is>
          <t>SRC_KHSP_1404_002 | افشای نوع ۱۹ | ۱۴۰۳ | ۱ | Snapshot مبنا ۱۴۰۳
SRC_KHSP_1404_004 | افشای</t>
        </is>
      </c>
    </row>
    <row r="50" ht="29" customHeight="1" s="76">
      <c r="A50" s="23" t="inlineStr">
        <is>
          <t>Turnover نهایی</t>
        </is>
      </c>
      <c r="B50" s="23" t="inlineStr">
        <is>
          <t>AA27</t>
        </is>
      </c>
      <c r="C50" s="23" t="inlineStr">
        <is>
          <t>https://www.codal.ir/Reports/Decision.aspx?LetterSerial=0rlsOOObOOOEFaa9IMoCD90IUbxA%3d%3d</t>
        </is>
      </c>
      <c r="D50" s="23" t="inlineStr">
        <is>
          <t>https://www.codal.ir/Reports/Decision.aspx?LetterSerial=0rlsOOObOOOEFaa9IMoCD90IUbxA%3d%3d</t>
        </is>
      </c>
    </row>
    <row r="51" ht="29" customHeight="1" s="76">
      <c r="A51" s="25" t="inlineStr">
        <is>
          <t>Turnover نهایی</t>
        </is>
      </c>
      <c r="B51" s="25" t="inlineStr">
        <is>
          <t>W27</t>
        </is>
      </c>
      <c r="C51" s="25" t="inlineStr">
        <is>
          <t>جابجایی یک فرد میان دو کرسی حقوقی از عضو جدید تفکیک شد | v36: NEEDS_SOURCE_REVIEW (P&lt;G)</t>
        </is>
      </c>
      <c r="D51" s="25" t="inlineStr">
        <is>
          <t>v38: Cutoff ۱۴۰۳/۱۲/۲۹ از اطلاعیه ۱۲۹۵۹۳۸ (۱۴۰۳/۱۱/۰۳)؛ تاریخ‌های انتصاب گزارش‌های FY1403/</t>
        </is>
      </c>
    </row>
    <row r="52" ht="20" customHeight="1" s="76">
      <c r="A52" s="23" t="inlineStr">
        <is>
          <t>Turnover نهایی</t>
        </is>
      </c>
      <c r="B52" s="23" t="inlineStr">
        <is>
          <t>J7</t>
        </is>
      </c>
      <c r="C52" s="23" t="n"/>
      <c r="D52" s="23" t="inlineStr">
        <is>
          <t>1</t>
        </is>
      </c>
    </row>
    <row r="53" ht="20" customHeight="1" s="76">
      <c r="A53" s="25" t="inlineStr">
        <is>
          <t>Turnover نهایی</t>
        </is>
      </c>
      <c r="B53" s="25" t="inlineStr">
        <is>
          <t>K7</t>
        </is>
      </c>
      <c r="C53" s="25" t="n"/>
      <c r="D53" s="25" t="inlineStr">
        <is>
          <t>5</t>
        </is>
      </c>
    </row>
    <row r="54" ht="20" customHeight="1" s="76">
      <c r="A54" s="23" t="inlineStr">
        <is>
          <t>Turnover نهایی</t>
        </is>
      </c>
      <c r="B54" s="23" t="inlineStr">
        <is>
          <t>M7</t>
        </is>
      </c>
      <c r="C54" s="23" t="n"/>
      <c r="D54" s="23" t="inlineStr">
        <is>
          <t>0</t>
        </is>
      </c>
    </row>
    <row r="55" ht="20" customHeight="1" s="76">
      <c r="A55" s="25" t="inlineStr">
        <is>
          <t>Turnover نهایی</t>
        </is>
      </c>
      <c r="B55" s="25" t="inlineStr">
        <is>
          <t>N7</t>
        </is>
      </c>
      <c r="C55" s="25" t="n"/>
      <c r="D55" s="25" t="inlineStr">
        <is>
          <t>5</t>
        </is>
      </c>
    </row>
    <row r="56" ht="20" customHeight="1" s="76">
      <c r="A56" s="23" t="inlineStr">
        <is>
          <t>Turnover نهایی</t>
        </is>
      </c>
      <c r="B56" s="23" t="inlineStr">
        <is>
          <t>C7</t>
        </is>
      </c>
      <c r="C56" s="23" t="inlineStr">
        <is>
          <t>متوسط</t>
        </is>
      </c>
      <c r="D56" s="23" t="inlineStr">
        <is>
          <t>بالا</t>
        </is>
      </c>
    </row>
    <row r="57" ht="20" customHeight="1" s="76">
      <c r="A57" s="25" t="inlineStr">
        <is>
          <t>Turnover نهایی</t>
        </is>
      </c>
      <c r="B57" s="25" t="inlineStr">
        <is>
          <t>D7</t>
        </is>
      </c>
      <c r="C57" s="25" t="inlineStr">
        <is>
          <t>MEMBERSHIP_START_RECONSTRUCTION</t>
        </is>
      </c>
      <c r="D57" s="25" t="inlineStr">
        <is>
          <t>TYPE19_CUTOFF_CHRONOLOGY_V38</t>
        </is>
      </c>
    </row>
    <row r="58" ht="20" customHeight="1" s="76">
      <c r="A58" s="23" t="inlineStr">
        <is>
          <t>Turnover نهایی</t>
        </is>
      </c>
      <c r="B58" s="23" t="inlineStr">
        <is>
          <t>X7</t>
        </is>
      </c>
      <c r="C58" s="23" t="inlineStr">
        <is>
          <t>REF05 اصلاح و تایید شده؛ REF08 نیازمند بازبینی</t>
        </is>
      </c>
      <c r="D58" s="23" t="inlineStr">
        <is>
          <t>تاییدشده (v38)</t>
        </is>
      </c>
    </row>
    <row r="59" ht="29" customHeight="1" s="76">
      <c r="A59" s="25" t="inlineStr">
        <is>
          <t>Turnover نهایی</t>
        </is>
      </c>
      <c r="B59" s="25" t="inlineStr">
        <is>
          <t>Z7</t>
        </is>
      </c>
      <c r="C59" s="25" t="inlineStr">
        <is>
          <t>Iran_BSI_v33_Phase4_2K_FinalTurnoverClosure.xlsx | روش MEMBERSHIP_START_RECONSTRUCTION و ب</t>
        </is>
      </c>
      <c r="D59" s="25" t="inlineStr">
        <is>
          <t>Iran_BSI_v33_Phase4_2K_FinalTurnoverClosure.xlsx | روش MEMBERSHIP_START_RECONSTRUCTION و ب</t>
        </is>
      </c>
    </row>
    <row r="60" ht="29" customHeight="1" s="76">
      <c r="A60" s="23" t="inlineStr">
        <is>
          <t>Turnover نهایی</t>
        </is>
      </c>
      <c r="B60" s="23" t="inlineStr">
        <is>
          <t>AA7</t>
        </is>
      </c>
      <c r="C60" s="23" t="inlineStr">
        <is>
          <t>برای ردیابی پایه به فایل v33 و Source_IDهای همان فاز مراجعه شود</t>
        </is>
      </c>
      <c r="D60" s="23" t="inlineStr">
        <is>
          <t>https://www.codal.ir/Reports/Decision.aspx?LetterSerial=gVTCoHYs1M0v5mNrsaCDkA%3d%3d&amp;rt=0&amp;</t>
        </is>
      </c>
    </row>
    <row r="61" ht="29" customHeight="1" s="76">
      <c r="A61" s="25" t="inlineStr">
        <is>
          <t>Turnover نهایی</t>
        </is>
      </c>
      <c r="B61" s="25" t="inlineStr">
        <is>
          <t>W7</t>
        </is>
      </c>
      <c r="C61" s="25" t="inlineStr">
        <is>
          <t>بازسازی از تاریخ شروع عضویت؛ محدودیت روش حفظ شد | v36: G=1/5 طبق SRC_IKCO_1404_001_origina</t>
        </is>
      </c>
      <c r="D61" s="25" t="inlineStr">
        <is>
          <t>v38: Cutoff ۱۴۰۳/۱۲/۲۹ از اطلاعیه ۱۳۰۶۷۴۰ (۱۴۰۳/۱۱/۲۱) و اصلاحیه ۱۳۰۸۷۴۴ پس از مجمع ۱۴۰۳/۱</t>
        </is>
      </c>
    </row>
    <row r="62" ht="20" customHeight="1" s="76">
      <c r="A62" s="23" t="inlineStr">
        <is>
          <t>Turnover نهایی</t>
        </is>
      </c>
      <c r="B62" s="23" t="inlineStr">
        <is>
          <t>G33</t>
        </is>
      </c>
      <c r="C62" s="23" t="n"/>
      <c r="D62" s="23" t="inlineStr">
        <is>
          <t>1</t>
        </is>
      </c>
    </row>
    <row r="63" ht="20" customHeight="1" s="76">
      <c r="A63" s="25" t="inlineStr">
        <is>
          <t>Turnover نهایی</t>
        </is>
      </c>
      <c r="B63" s="25" t="inlineStr">
        <is>
          <t>H33</t>
        </is>
      </c>
      <c r="C63" s="25" t="n"/>
      <c r="D63" s="25" t="inlineStr">
        <is>
          <t>4</t>
        </is>
      </c>
    </row>
    <row r="64" ht="20" customHeight="1" s="76">
      <c r="A64" s="23" t="inlineStr">
        <is>
          <t>Turnover نهایی</t>
        </is>
      </c>
      <c r="B64" s="23" t="inlineStr">
        <is>
          <t>J33</t>
        </is>
      </c>
      <c r="C64" s="23" t="n"/>
      <c r="D64" s="23" t="inlineStr">
        <is>
          <t>1</t>
        </is>
      </c>
    </row>
    <row r="65" ht="20" customHeight="1" s="76">
      <c r="A65" s="25" t="inlineStr">
        <is>
          <t>Turnover نهایی</t>
        </is>
      </c>
      <c r="B65" s="25" t="inlineStr">
        <is>
          <t>K33</t>
        </is>
      </c>
      <c r="C65" s="25" t="n"/>
      <c r="D65" s="25" t="inlineStr">
        <is>
          <t>4</t>
        </is>
      </c>
    </row>
    <row r="66" ht="20" customHeight="1" s="76">
      <c r="A66" s="23" t="inlineStr">
        <is>
          <t>Turnover نهایی</t>
        </is>
      </c>
      <c r="B66" s="23" t="inlineStr">
        <is>
          <t>M33</t>
        </is>
      </c>
      <c r="C66" s="23" t="n"/>
      <c r="D66" s="23" t="inlineStr">
        <is>
          <t>0</t>
        </is>
      </c>
    </row>
    <row r="67" ht="20" customHeight="1" s="76">
      <c r="A67" s="25" t="inlineStr">
        <is>
          <t>Turnover نهایی</t>
        </is>
      </c>
      <c r="B67" s="25" t="inlineStr">
        <is>
          <t>N33</t>
        </is>
      </c>
      <c r="C67" s="25" t="n"/>
      <c r="D67" s="25" t="inlineStr">
        <is>
          <t>5</t>
        </is>
      </c>
    </row>
    <row r="68" ht="20" customHeight="1" s="76">
      <c r="A68" s="23" t="inlineStr">
        <is>
          <t>Turnover نهایی</t>
        </is>
      </c>
      <c r="B68" s="23" t="inlineStr">
        <is>
          <t>P33</t>
        </is>
      </c>
      <c r="C68" s="23" t="n"/>
      <c r="D68" s="23" t="inlineStr">
        <is>
          <t>2</t>
        </is>
      </c>
    </row>
    <row r="69" ht="20" customHeight="1" s="76">
      <c r="A69" s="25" t="inlineStr">
        <is>
          <t>Turnover نهایی</t>
        </is>
      </c>
      <c r="B69" s="25" t="inlineStr">
        <is>
          <t>Q33</t>
        </is>
      </c>
      <c r="C69" s="25" t="n"/>
      <c r="D69" s="25" t="inlineStr">
        <is>
          <t>5</t>
        </is>
      </c>
    </row>
    <row r="70" ht="20" customHeight="1" s="76">
      <c r="A70" s="23" t="inlineStr">
        <is>
          <t>Turnover نهایی</t>
        </is>
      </c>
      <c r="B70" s="23" t="inlineStr">
        <is>
          <t>S33</t>
        </is>
      </c>
      <c r="C70" s="23" t="n"/>
      <c r="D70" s="23" t="inlineStr">
        <is>
          <t>3</t>
        </is>
      </c>
    </row>
    <row r="71" ht="20" customHeight="1" s="76">
      <c r="A71" s="25" t="inlineStr">
        <is>
          <t>Turnover نهایی</t>
        </is>
      </c>
      <c r="B71" s="25" t="inlineStr">
        <is>
          <t>T33</t>
        </is>
      </c>
      <c r="C71" s="25" t="n"/>
      <c r="D71" s="25" t="inlineStr">
        <is>
          <t>4</t>
        </is>
      </c>
    </row>
    <row r="72" ht="20" customHeight="1" s="76">
      <c r="A72" s="23" t="inlineStr">
        <is>
          <t>Turnover نهایی</t>
        </is>
      </c>
      <c r="B72" s="23" t="inlineStr">
        <is>
          <t>V33</t>
        </is>
      </c>
      <c r="C72" s="23" t="inlineStr">
        <is>
          <t>نامشخص</t>
        </is>
      </c>
      <c r="D72" s="23" t="inlineStr">
        <is>
          <t>بله</t>
        </is>
      </c>
    </row>
    <row r="73" ht="20" customHeight="1" s="76">
      <c r="A73" s="25" t="inlineStr">
        <is>
          <t>Turnover نهایی</t>
        </is>
      </c>
      <c r="B73" s="25" t="inlineStr">
        <is>
          <t>F33</t>
        </is>
      </c>
      <c r="C73" s="25" t="inlineStr">
        <is>
          <t>خیر</t>
        </is>
      </c>
      <c r="D73" s="25" t="inlineStr">
        <is>
          <t>بله</t>
        </is>
      </c>
    </row>
    <row r="74" ht="20" customHeight="1" s="76">
      <c r="A74" s="23" t="inlineStr">
        <is>
          <t>Turnover نهایی</t>
        </is>
      </c>
      <c r="B74" s="23" t="inlineStr">
        <is>
          <t>E33</t>
        </is>
      </c>
      <c r="C74" s="23" t="inlineStr">
        <is>
          <t>خیر</t>
        </is>
      </c>
      <c r="D74" s="23" t="inlineStr">
        <is>
          <t>بله</t>
        </is>
      </c>
    </row>
    <row r="75" ht="20" customHeight="1" s="76">
      <c r="A75" s="25" t="inlineStr">
        <is>
          <t>Turnover نهایی</t>
        </is>
      </c>
      <c r="B75" s="25" t="inlineStr">
        <is>
          <t>C33</t>
        </is>
      </c>
      <c r="C75" s="25" t="inlineStr">
        <is>
          <t>محدودیت داده</t>
        </is>
      </c>
      <c r="D75" s="25" t="inlineStr">
        <is>
          <t>بالا</t>
        </is>
      </c>
    </row>
    <row r="76" ht="20" customHeight="1" s="76">
      <c r="A76" s="23" t="inlineStr">
        <is>
          <t>Turnover نهایی</t>
        </is>
      </c>
      <c r="B76" s="23" t="inlineStr">
        <is>
          <t>D33</t>
        </is>
      </c>
      <c r="C76" s="23" t="inlineStr">
        <is>
          <t>MISSING_PRIOR_YEAR</t>
        </is>
      </c>
      <c r="D76" s="23" t="inlineStr">
        <is>
          <t>TYPE19_CUTOFF_CHRONOLOGY_V38</t>
        </is>
      </c>
    </row>
    <row r="77" ht="20" customHeight="1" s="76">
      <c r="A77" s="25" t="inlineStr">
        <is>
          <t>Turnover نهایی</t>
        </is>
      </c>
      <c r="B77" s="25" t="inlineStr">
        <is>
          <t>X33</t>
        </is>
      </c>
      <c r="C77" s="25" t="inlineStr">
        <is>
          <t>خارج از مخرج پایلوت</t>
        </is>
      </c>
      <c r="D77" s="25" t="inlineStr">
        <is>
          <t>تاییدشده (v38)</t>
        </is>
      </c>
    </row>
    <row r="78" ht="29" customHeight="1" s="76">
      <c r="A78" s="23" t="inlineStr">
        <is>
          <t>Turnover نهایی</t>
        </is>
      </c>
      <c r="B78" s="23" t="inlineStr">
        <is>
          <t>Z33</t>
        </is>
      </c>
      <c r="C78" s="23" t="inlineStr">
        <is>
          <t>Iran_BSI_v33_Phase4_2K_FinalTurnoverClosure.xlsx | وضعیت ۳۰ شرکت | سند FY1403 برای تطبیق د</t>
        </is>
      </c>
      <c r="D78" s="23" t="inlineStr">
        <is>
          <t>Iran_BSI_v33_Phase4_2K_FinalTurnoverClosure.xlsx | وضعیت ۳۰ شرکت | سند FY1403 برای تطبیق د</t>
        </is>
      </c>
    </row>
    <row r="79" ht="29" customHeight="1" s="76">
      <c r="A79" s="25" t="inlineStr">
        <is>
          <t>Turnover نهایی</t>
        </is>
      </c>
      <c r="B79" s="25" t="inlineStr">
        <is>
          <t>AA33</t>
        </is>
      </c>
      <c r="C79" s="25" t="inlineStr">
        <is>
          <t>برای ردیابی پایه به فایل v33 و Source_IDهای همان فاز مراجعه شود</t>
        </is>
      </c>
      <c r="D79" s="25" t="inlineStr">
        <is>
          <t>https://www.codal.ir/Reports/Decision.aspx?LetterSerial=C4XsKe3dMCJ7F1MqOaUJBw%3d%3d&amp;rt=0&amp;</t>
        </is>
      </c>
    </row>
    <row r="80" ht="29" customHeight="1" s="76">
      <c r="A80" s="23" t="inlineStr">
        <is>
          <t>Turnover نهایی</t>
        </is>
      </c>
      <c r="B80" s="23" t="inlineStr">
        <is>
          <t>W33</t>
        </is>
      </c>
      <c r="C80" s="23" t="inlineStr">
        <is>
          <t>سند FY1403 برای تطبیق دو سال در پایلوت موجود نیست</t>
        </is>
      </c>
      <c r="D80" s="23" t="inlineStr">
        <is>
          <t>v38: Cutoff ۱۴۰۳/۱۲/۲۹ از اطلاعیه ۱۳۰۹۳۸۶ (جلسه ۱۴۰۳/۱۱/۲۹؛ پیش‌تر در آرشیو نبود)؛ تا ۱۴۰۴</t>
        </is>
      </c>
    </row>
    <row r="81" ht="29" customHeight="1" s="76">
      <c r="A81" s="25" t="inlineStr">
        <is>
          <t>Turnover نهایی</t>
        </is>
      </c>
      <c r="B81" s="25" t="inlineStr">
        <is>
          <t>D12</t>
        </is>
      </c>
      <c r="C81" s="25" t="inlineStr">
        <is>
          <t>DIRECT_ROSTER_COMPARISON_WITH_BOARD_SIZE_CHANGE</t>
        </is>
      </c>
      <c r="D81" s="25" t="inlineStr">
        <is>
          <t>DIRECT_ROSTER_COMPARISON_WITH_BOARD_SIZE_CHANGE (v38 بازبینی: خروج بدون جایگزین)</t>
        </is>
      </c>
    </row>
    <row r="82" ht="20" customHeight="1" s="76">
      <c r="A82" s="23" t="inlineStr">
        <is>
          <t>Turnover نهایی</t>
        </is>
      </c>
      <c r="B82" s="23" t="inlineStr">
        <is>
          <t>X12</t>
        </is>
      </c>
      <c r="C82" s="23" t="inlineStr">
        <is>
          <t>نیازمند بازبینی منبع</t>
        </is>
      </c>
      <c r="D82" s="23" t="inlineStr">
        <is>
          <t>ساختار تایید؛ مقدار حفظ؛ تاریخ خروج Needs Review (v38)</t>
        </is>
      </c>
    </row>
    <row r="83" ht="29" customHeight="1" s="76">
      <c r="A83" s="25" t="inlineStr">
        <is>
          <t>Turnover نهایی</t>
        </is>
      </c>
      <c r="B83" s="25" t="inlineStr">
        <is>
          <t>Z12</t>
        </is>
      </c>
      <c r="C83" s="25" t="inlineStr">
        <is>
          <t>SRC_VTEJ_1404_004 | گزارش فعالیت هیئت مدیره مربوط به سال مالی ۱۴۰۳ | ۱۴۰۳ | صفحه ۳۷ | منبع</t>
        </is>
      </c>
      <c r="D83" s="25" t="inlineStr">
        <is>
          <t>SRC_VTEJ_1404_004 | گزارش فعالیت هیئت مدیره مربوط به سال مالی ۱۴۰۳ | ۱۴۰۳ | صفحه ۳۷ | منبع</t>
        </is>
      </c>
    </row>
    <row r="84" ht="29" customHeight="1" s="76">
      <c r="A84" s="23" t="inlineStr">
        <is>
          <t>Turnover نهایی</t>
        </is>
      </c>
      <c r="B84" s="23" t="inlineStr">
        <is>
          <t>AA12</t>
        </is>
      </c>
      <c r="C84" s="23" t="inlineStr">
        <is>
          <t>برای ردیابی پایه به فایل v33 و Source_IDهای همان فاز مراجعه شود</t>
        </is>
      </c>
      <c r="D84" s="23" t="inlineStr">
        <is>
          <t>https://www.codal.ir/Reports/Decision.aspx?LetterSerial=OqEx%2bg3X3xQQQaQQQ1V8FTa1bU9w%3d%</t>
        </is>
      </c>
    </row>
    <row r="85" ht="29" customHeight="1" s="76">
      <c r="A85" s="25" t="inlineStr">
        <is>
          <t>Turnover نهایی</t>
        </is>
      </c>
      <c r="B85" s="25" t="inlineStr">
        <is>
          <t>W12</t>
        </is>
      </c>
      <c r="C85" s="25" t="inlineStr">
        <is>
          <t>ساختار نمایندگی شخص حقوقی در گزارش مبنا وجود ندارد | v36: NEEDS_SOURCE_REVIEW (H=5 در براب</t>
        </is>
      </c>
      <c r="D85" s="25" t="inlineStr">
        <is>
          <t>v38: Cutoff ۱۴۰۳/۱۲/۲۹: ۵ عضو حقیقی مستقیم (اطلاعیه ۱۱۵۹۹۳۶؛ AGM FY1403 اطلاعیه ۱۳۸۵۲۵۳: «</t>
        </is>
      </c>
    </row>
    <row r="86" ht="29" customHeight="1" s="76">
      <c r="A86" s="23" t="inlineStr">
        <is>
          <t>Turnover نهایی</t>
        </is>
      </c>
      <c r="B86" s="23" t="inlineStr">
        <is>
          <t>W32</t>
        </is>
      </c>
      <c r="C86" s="23" t="inlineStr">
        <is>
          <t>سطح کرسی بدون نماینده حقیقی قابل شناسایی</t>
        </is>
      </c>
      <c r="D86" s="23" t="inlineStr">
        <is>
          <t>v38: Not Found — در اطلاعیه‌های ن-۴۵، گزارش فعالیت، AGM و پیوست‌ها نام نماینده حقیقی ثبت ن</t>
        </is>
      </c>
    </row>
    <row r="87" ht="29" customHeight="1" s="76">
      <c r="A87" s="25" t="inlineStr">
        <is>
          <t>Turnover نهایی</t>
        </is>
      </c>
      <c r="B87" s="25" t="inlineStr">
        <is>
          <t>W31</t>
        </is>
      </c>
      <c r="C87" s="25" t="inlineStr">
        <is>
          <t>FY1403 موجود است اما Snapshot قابل اتکای FY1404 در آرشیو بارگذاری شده وجود ندارد</t>
        </is>
      </c>
      <c r="D87" s="25" t="inlineStr">
        <is>
          <t>v38: Not Found — برای ۱۴۰۴/۱۲/۲۹: اطلاعیه ن-۴۵ در ۱۴۰۳–۱۴۰۴ نیست، گزارش فعالیت FY1404 منتش</t>
        </is>
      </c>
    </row>
    <row r="88" ht="20" customHeight="1" s="76">
      <c r="A88" s="23" t="inlineStr">
        <is>
          <t>وضعیت ۳۰ شرکت</t>
        </is>
      </c>
      <c r="B88" s="23" t="inlineStr">
        <is>
          <t>B5</t>
        </is>
      </c>
      <c r="C88" s="23" t="inlineStr">
        <is>
          <t>تاییدشده</t>
        </is>
      </c>
      <c r="D88" s="23" t="inlineStr">
        <is>
          <t>تاییدشده (v38)</t>
        </is>
      </c>
    </row>
    <row r="89" ht="20" customHeight="1" s="76">
      <c r="A89" s="25" t="inlineStr">
        <is>
          <t>وضعیت ۳۰ شرکت</t>
        </is>
      </c>
      <c r="B89" s="25" t="inlineStr">
        <is>
          <t>E5</t>
        </is>
      </c>
      <c r="C89" s="25" t="inlineStr">
        <is>
          <t>متوسط</t>
        </is>
      </c>
      <c r="D89" s="25" t="inlineStr">
        <is>
          <t>بالا</t>
        </is>
      </c>
    </row>
    <row r="90" ht="20" customHeight="1" s="76">
      <c r="A90" s="23" t="inlineStr">
        <is>
          <t>وضعیت ۳۰ شرکت</t>
        </is>
      </c>
      <c r="B90" s="23" t="inlineStr">
        <is>
          <t>G5</t>
        </is>
      </c>
      <c r="C90" s="23" t="inlineStr">
        <is>
          <t>DIRECT_ROSTER_COMPARISON</t>
        </is>
      </c>
      <c r="D90" s="23" t="inlineStr">
        <is>
          <t>TYPE19_CUTOFF_CHRONOLOGY_V38</t>
        </is>
      </c>
    </row>
    <row r="91" ht="20" customHeight="1" s="76">
      <c r="A91" s="25" t="inlineStr">
        <is>
          <t>وضعیت ۳۰ شرکت</t>
        </is>
      </c>
      <c r="B91" s="25" t="inlineStr">
        <is>
          <t>H5</t>
        </is>
      </c>
      <c r="C91" s="25" t="inlineStr">
        <is>
          <t>تایید قبلی</t>
        </is>
      </c>
      <c r="D91" s="25" t="inlineStr">
        <is>
          <t>v38: ۳ تغییر نماینده با شخص حقوقی ثابت؛ Confirmed</t>
        </is>
      </c>
    </row>
    <row r="92" ht="20" customHeight="1" s="76">
      <c r="A92" s="23" t="inlineStr">
        <is>
          <t>وضعیت ۳۰ شرکت</t>
        </is>
      </c>
      <c r="B92" s="23" t="inlineStr">
        <is>
          <t>B20</t>
        </is>
      </c>
      <c r="C92" s="23" t="inlineStr">
        <is>
          <t>تاییدشده</t>
        </is>
      </c>
      <c r="D92" s="23" t="inlineStr">
        <is>
          <t>تاییدشده (v38)</t>
        </is>
      </c>
    </row>
    <row r="93" ht="20" customHeight="1" s="76">
      <c r="A93" s="25" t="inlineStr">
        <is>
          <t>وضعیت ۳۰ شرکت</t>
        </is>
      </c>
      <c r="B93" s="25" t="inlineStr">
        <is>
          <t>G20</t>
        </is>
      </c>
      <c r="C93" s="25" t="inlineStr">
        <is>
          <t>ANNUAL_REPORT_PLUS_TYPE19</t>
        </is>
      </c>
      <c r="D93" s="25" t="inlineStr">
        <is>
          <t>TYPE19_CUTOFF_CHRONOLOGY_V38</t>
        </is>
      </c>
    </row>
    <row r="94" ht="29" customHeight="1" s="76">
      <c r="A94" s="23" t="inlineStr">
        <is>
          <t>وضعیت ۳۰ شرکت</t>
        </is>
      </c>
      <c r="B94" s="23" t="inlineStr">
        <is>
          <t>H20</t>
        </is>
      </c>
      <c r="C94" s="23" t="inlineStr">
        <is>
          <t>یک کرسی خالی از مخرج Turnover حذف شد</t>
        </is>
      </c>
      <c r="D94" s="23" t="inlineStr">
        <is>
          <t>v38: Snapshot مبنا از Type19 ۱۴۰۳/۱۰/۰۵ نه گزارش پس از Cutoff؛ Confirmed</t>
        </is>
      </c>
    </row>
    <row r="95" ht="20" customHeight="1" s="76">
      <c r="A95" s="25" t="inlineStr">
        <is>
          <t>وضعیت ۳۰ شرکت</t>
        </is>
      </c>
      <c r="B95" s="25" t="inlineStr">
        <is>
          <t>B22</t>
        </is>
      </c>
      <c r="C95" s="25" t="inlineStr">
        <is>
          <t>تاییدشده</t>
        </is>
      </c>
      <c r="D95" s="25" t="inlineStr">
        <is>
          <t>تاییدشده (v38)</t>
        </is>
      </c>
    </row>
    <row r="96" ht="20" customHeight="1" s="76">
      <c r="A96" s="23" t="inlineStr">
        <is>
          <t>وضعیت ۳۰ شرکت</t>
        </is>
      </c>
      <c r="B96" s="23" t="inlineStr">
        <is>
          <t>D22</t>
        </is>
      </c>
      <c r="C96" s="23" t="inlineStr">
        <is>
          <t>قابل اعمال نیست</t>
        </is>
      </c>
      <c r="D96" s="23" t="inlineStr">
        <is>
          <t>قابل محاسبه</t>
        </is>
      </c>
    </row>
    <row r="97" ht="20" customHeight="1" s="76">
      <c r="A97" s="25" t="inlineStr">
        <is>
          <t>وضعیت ۳۰ شرکت</t>
        </is>
      </c>
      <c r="B97" s="25" t="inlineStr">
        <is>
          <t>G22</t>
        </is>
      </c>
      <c r="C97" s="25" t="inlineStr">
        <is>
          <t>DIRECT_ANNUAL_REPORT_COMPARISON</t>
        </is>
      </c>
      <c r="D97" s="25" t="inlineStr">
        <is>
          <t>TYPE19_CUTOFF_CHRONOLOGY_V38</t>
        </is>
      </c>
    </row>
    <row r="98" ht="20" customHeight="1" s="76">
      <c r="A98" s="23" t="inlineStr">
        <is>
          <t>وضعیت ۳۰ شرکت</t>
        </is>
      </c>
      <c r="B98" s="23" t="inlineStr">
        <is>
          <t>H22</t>
        </is>
      </c>
      <c r="C98" s="23" t="inlineStr">
        <is>
          <t>ساختار شخص حقوقی برای این Measure قابل اعمال نبود</t>
        </is>
      </c>
      <c r="D98" s="23" t="inlineStr">
        <is>
          <t>v38: ساختار ۵ کرسی حقوقی؛ High</t>
        </is>
      </c>
    </row>
    <row r="99" ht="20" customHeight="1" s="76">
      <c r="A99" s="25" t="inlineStr">
        <is>
          <t>وضعیت ۳۰ شرکت</t>
        </is>
      </c>
      <c r="B99" s="25" t="inlineStr">
        <is>
          <t>B24</t>
        </is>
      </c>
      <c r="C99" s="25" t="inlineStr">
        <is>
          <t>تاییدشده</t>
        </is>
      </c>
      <c r="D99" s="25" t="inlineStr">
        <is>
          <t>تاییدشده (v38)</t>
        </is>
      </c>
    </row>
    <row r="100" ht="20" customHeight="1" s="76">
      <c r="A100" s="23" t="inlineStr">
        <is>
          <t>وضعیت ۳۰ شرکت</t>
        </is>
      </c>
      <c r="B100" s="23" t="inlineStr">
        <is>
          <t>G24</t>
        </is>
      </c>
      <c r="C100" s="23" t="inlineStr">
        <is>
          <t>ANNUAL_REPORT_PLUS_TYPE19</t>
        </is>
      </c>
      <c r="D100" s="23" t="inlineStr">
        <is>
          <t>TYPE19_CUTOFF_CHRONOLOGY_V38</t>
        </is>
      </c>
    </row>
    <row r="101" ht="20" customHeight="1" s="76">
      <c r="A101" s="25" t="inlineStr">
        <is>
          <t>وضعیت ۳۰ شرکت</t>
        </is>
      </c>
      <c r="B101" s="25" t="inlineStr">
        <is>
          <t>H24</t>
        </is>
      </c>
      <c r="C101" s="25" t="inlineStr">
        <is>
          <t>گزارش سالانه ۱۴۰۴ به دلیل اطلاعات پس از Cutoff مبنا نشد</t>
        </is>
      </c>
      <c r="D101" s="25" t="inlineStr">
        <is>
          <t>v38: عضو جدید معینی (۱۴۰۴/۱۲/۲۵)؛ High</t>
        </is>
      </c>
    </row>
    <row r="102" ht="20" customHeight="1" s="76">
      <c r="A102" s="23" t="inlineStr">
        <is>
          <t>وضعیت ۳۰ شرکت</t>
        </is>
      </c>
      <c r="B102" s="23" t="inlineStr">
        <is>
          <t>B7</t>
        </is>
      </c>
      <c r="C102" s="23" t="inlineStr">
        <is>
          <t>تاییدشده</t>
        </is>
      </c>
      <c r="D102" s="23" t="inlineStr">
        <is>
          <t>تاییدشده (v38)</t>
        </is>
      </c>
    </row>
    <row r="103" ht="20" customHeight="1" s="76">
      <c r="A103" s="25" t="inlineStr">
        <is>
          <t>وضعیت ۳۰ شرکت</t>
        </is>
      </c>
      <c r="B103" s="25" t="inlineStr">
        <is>
          <t>E7</t>
        </is>
      </c>
      <c r="C103" s="25" t="inlineStr">
        <is>
          <t>متوسط</t>
        </is>
      </c>
      <c r="D103" s="25" t="inlineStr">
        <is>
          <t>بالا</t>
        </is>
      </c>
    </row>
    <row r="104" ht="20" customHeight="1" s="76">
      <c r="A104" s="23" t="inlineStr">
        <is>
          <t>وضعیت ۳۰ شرکت</t>
        </is>
      </c>
      <c r="B104" s="23" t="inlineStr">
        <is>
          <t>G7</t>
        </is>
      </c>
      <c r="C104" s="23" t="inlineStr">
        <is>
          <t>MEMBERSHIP_START_RECONSTRUCTION</t>
        </is>
      </c>
      <c r="D104" s="23" t="inlineStr">
        <is>
          <t>TYPE19_CUTOFF_CHRONOLOGY_V38</t>
        </is>
      </c>
    </row>
    <row r="105" ht="20" customHeight="1" s="76">
      <c r="A105" s="25" t="inlineStr">
        <is>
          <t>وضعیت ۳۰ شرکت</t>
        </is>
      </c>
      <c r="B105" s="25" t="inlineStr">
        <is>
          <t>H7</t>
        </is>
      </c>
      <c r="C105" s="25" t="inlineStr">
        <is>
          <t>بازسازی از تاریخ شروع عضویت؛ محدودیت روش حفظ شد</t>
        </is>
      </c>
      <c r="D105" s="25" t="inlineStr">
        <is>
          <t>v38: REF08 = ۱ از ۵؛ Confirmed</t>
        </is>
      </c>
    </row>
    <row r="106" ht="20" customHeight="1" s="76">
      <c r="A106" s="23" t="inlineStr">
        <is>
          <t>وضعیت ۳۰ شرکت</t>
        </is>
      </c>
      <c r="B106" s="23" t="inlineStr">
        <is>
          <t>B33</t>
        </is>
      </c>
      <c r="C106" s="23" t="inlineStr">
        <is>
          <t>خارج از مخرج</t>
        </is>
      </c>
      <c r="D106" s="23" t="inlineStr">
        <is>
          <t>تاییدشده (v38)</t>
        </is>
      </c>
    </row>
    <row r="107" ht="20" customHeight="1" s="76">
      <c r="A107" s="25" t="inlineStr">
        <is>
          <t>وضعیت ۳۰ شرکت</t>
        </is>
      </c>
      <c r="B107" s="25" t="inlineStr">
        <is>
          <t>C33</t>
        </is>
      </c>
      <c r="C107" s="25" t="inlineStr">
        <is>
          <t>خیر</t>
        </is>
      </c>
      <c r="D107" s="25" t="inlineStr">
        <is>
          <t>بله</t>
        </is>
      </c>
    </row>
    <row r="108" ht="20" customHeight="1" s="76">
      <c r="A108" s="23" t="inlineStr">
        <is>
          <t>وضعیت ۳۰ شرکت</t>
        </is>
      </c>
      <c r="B108" s="23" t="inlineStr">
        <is>
          <t>D33</t>
        </is>
      </c>
      <c r="C108" s="23" t="inlineStr">
        <is>
          <t>قابل اعمال نیست</t>
        </is>
      </c>
      <c r="D108" s="23" t="inlineStr">
        <is>
          <t>قابل محاسبه</t>
        </is>
      </c>
    </row>
    <row r="109" ht="20" customHeight="1" s="76">
      <c r="A109" s="25" t="inlineStr">
        <is>
          <t>وضعیت ۳۰ شرکت</t>
        </is>
      </c>
      <c r="B109" s="25" t="inlineStr">
        <is>
          <t>E33</t>
        </is>
      </c>
      <c r="C109" s="25" t="inlineStr">
        <is>
          <t>محدودیت داده</t>
        </is>
      </c>
      <c r="D109" s="25" t="inlineStr">
        <is>
          <t>بالا</t>
        </is>
      </c>
    </row>
    <row r="110" ht="20" customHeight="1" s="76">
      <c r="A110" s="23" t="inlineStr">
        <is>
          <t>وضعیت ۳۰ شرکت</t>
        </is>
      </c>
      <c r="B110" s="23" t="inlineStr">
        <is>
          <t>G33</t>
        </is>
      </c>
      <c r="C110" s="23" t="inlineStr">
        <is>
          <t>MISSING_PRIOR_YEAR</t>
        </is>
      </c>
      <c r="D110" s="23" t="inlineStr">
        <is>
          <t>TYPE19_CUTOFF_CHRONOLOGY_V38</t>
        </is>
      </c>
    </row>
    <row r="111" ht="20" customHeight="1" s="76">
      <c r="A111" s="25" t="inlineStr">
        <is>
          <t>وضعیت ۳۰ شرکت</t>
        </is>
      </c>
      <c r="B111" s="25" t="inlineStr">
        <is>
          <t>H33</t>
        </is>
      </c>
      <c r="C111" s="25" t="inlineStr">
        <is>
          <t>سند FY1403 برای تطبیق دو سال در پایلوت موجود نیست</t>
        </is>
      </c>
      <c r="D111" s="25" t="inlineStr">
        <is>
          <t>v38: Snapshot ۱۴۰۳/۱۱/۲۹ یافت شد؛ Confirmed</t>
        </is>
      </c>
    </row>
    <row r="112" ht="20" customHeight="1" s="76">
      <c r="A112" s="23" t="inlineStr">
        <is>
          <t>وضعیت ۳۰ شرکت</t>
        </is>
      </c>
      <c r="B112" s="23" t="inlineStr">
        <is>
          <t>B27</t>
        </is>
      </c>
      <c r="C112" s="23" t="inlineStr">
        <is>
          <t>تاییدشده</t>
        </is>
      </c>
      <c r="D112" s="23" t="inlineStr">
        <is>
          <t>تاییدشده (v38)</t>
        </is>
      </c>
    </row>
    <row r="113" ht="29" customHeight="1" s="76">
      <c r="A113" s="25" t="inlineStr">
        <is>
          <t>وضعیت ۳۰ شرکت</t>
        </is>
      </c>
      <c r="B113" s="25" t="inlineStr">
        <is>
          <t>H27</t>
        </is>
      </c>
      <c r="C113" s="25" t="inlineStr">
        <is>
          <t>جابجایی یک فرد میان دو کرسی حقوقی از عضو جدید تفکیک شد</t>
        </is>
      </c>
      <c r="D113" s="25" t="inlineStr">
        <is>
          <t>v38: مقادیر v35 با زنجیره کامل تایید شد؛ P&lt;G مشروع (جابه‌جایی پرویزیان)</t>
        </is>
      </c>
    </row>
    <row r="114" ht="20" customHeight="1" s="76">
      <c r="A114" s="23" t="inlineStr">
        <is>
          <t>وضعیت ۳۰ شرکت</t>
        </is>
      </c>
      <c r="B114" s="23" t="inlineStr">
        <is>
          <t>B12</t>
        </is>
      </c>
      <c r="C114" s="23" t="inlineStr">
        <is>
          <t>تاییدشده</t>
        </is>
      </c>
      <c r="D114" s="23" t="inlineStr">
        <is>
          <t>تاییدشده؛ تاریخ خروج Needs Review</t>
        </is>
      </c>
    </row>
    <row r="115" ht="20" customHeight="1" s="76">
      <c r="A115" s="25" t="inlineStr">
        <is>
          <t>وضعیت ۳۰ شرکت</t>
        </is>
      </c>
      <c r="B115" s="25" t="inlineStr">
        <is>
          <t>H12</t>
        </is>
      </c>
      <c r="C115" s="25" t="inlineStr">
        <is>
          <t>ساختار نمایندگی شخص حقوقی در گزارش مبنا وجود ندارد</t>
        </is>
      </c>
      <c r="D115" s="25" t="inlineStr">
        <is>
          <t>v38: ساختار ۵ عضو حقیقی مستقیم؛ شریفیان خارج شد</t>
        </is>
      </c>
    </row>
    <row r="116" ht="20" customHeight="1" s="76">
      <c r="A116" s="23" t="inlineStr">
        <is>
          <t>وضعیت ۳۰ شرکت</t>
        </is>
      </c>
      <c r="B116" s="23" t="inlineStr">
        <is>
          <t>B32</t>
        </is>
      </c>
      <c r="C116" s="23" t="inlineStr">
        <is>
          <t>خارج از مخرج</t>
        </is>
      </c>
      <c r="D116" s="23" t="inlineStr">
        <is>
          <t>Not Found (v38)</t>
        </is>
      </c>
    </row>
    <row r="117" ht="20" customHeight="1" s="76">
      <c r="A117" s="25" t="inlineStr">
        <is>
          <t>وضعیت ۳۰ شرکت</t>
        </is>
      </c>
      <c r="B117" s="25" t="inlineStr">
        <is>
          <t>H32</t>
        </is>
      </c>
      <c r="C117" s="25" t="inlineStr">
        <is>
          <t>سطح کرسی بدون نماینده حقیقی قابل شناسایی</t>
        </is>
      </c>
      <c r="D117" s="25" t="inlineStr">
        <is>
          <t>v38: نام نماینده در هیچ سند کدال نیست</t>
        </is>
      </c>
    </row>
    <row r="118" ht="20" customHeight="1" s="76">
      <c r="A118" s="23" t="inlineStr">
        <is>
          <t>وضعیت ۳۰ شرکت</t>
        </is>
      </c>
      <c r="B118" s="23" t="inlineStr">
        <is>
          <t>B31</t>
        </is>
      </c>
      <c r="C118" s="23" t="inlineStr">
        <is>
          <t>حل نشده</t>
        </is>
      </c>
      <c r="D118" s="23" t="inlineStr">
        <is>
          <t>Not Found (v38)</t>
        </is>
      </c>
    </row>
    <row r="119" ht="29" customHeight="1" s="76">
      <c r="A119" s="25" t="inlineStr">
        <is>
          <t>وضعیت ۳۰ شرکت</t>
        </is>
      </c>
      <c r="B119" s="25" t="inlineStr">
        <is>
          <t>H31</t>
        </is>
      </c>
      <c r="C119" s="25" t="inlineStr">
        <is>
          <t>FY1403 موجود است اما Snapshot قابل اتکای FY1404 در آرشیو بارگذاری شده وجود ندارد</t>
        </is>
      </c>
      <c r="D119" s="25" t="inlineStr">
        <is>
          <t>v38: FY1404 board report/Type19 وجود ندارد</t>
        </is>
      </c>
    </row>
    <row r="120" ht="20" customHeight="1" s="76">
      <c r="A120" s="23" t="inlineStr">
        <is>
          <t>جدول استاد</t>
        </is>
      </c>
      <c r="B120" s="23" t="inlineStr">
        <is>
          <t>D14</t>
        </is>
      </c>
      <c r="C120" s="23" t="inlineStr">
        <is>
          <t>27</t>
        </is>
      </c>
      <c r="D120" s="23" t="inlineStr">
        <is>
          <t>28</t>
        </is>
      </c>
    </row>
    <row r="121" ht="20" customHeight="1" s="76">
      <c r="A121" s="25" t="inlineStr">
        <is>
          <t>جدول استاد</t>
        </is>
      </c>
      <c r="B121" s="25" t="inlineStr">
        <is>
          <t>E14</t>
        </is>
      </c>
      <c r="C121" s="25" t="inlineStr">
        <is>
          <t>28</t>
        </is>
      </c>
      <c r="D121" s="25" t="inlineStr">
        <is>
          <t>29</t>
        </is>
      </c>
    </row>
    <row r="122" ht="20" customHeight="1" s="76">
      <c r="A122" s="23" t="inlineStr">
        <is>
          <t>جدول استاد</t>
        </is>
      </c>
      <c r="B122" s="23" t="inlineStr">
        <is>
          <t>D15</t>
        </is>
      </c>
      <c r="C122" s="23" t="inlineStr">
        <is>
          <t>22</t>
        </is>
      </c>
      <c r="D122" s="23" t="inlineStr">
        <is>
          <t>25</t>
        </is>
      </c>
    </row>
    <row r="123" ht="20" customHeight="1" s="76">
      <c r="A123" s="25" t="inlineStr">
        <is>
          <t>جدول استاد</t>
        </is>
      </c>
      <c r="B123" s="25" t="inlineStr">
        <is>
          <t>E15</t>
        </is>
      </c>
      <c r="C123" s="25" t="inlineStr">
        <is>
          <t>23</t>
        </is>
      </c>
      <c r="D123" s="25" t="inlineStr">
        <is>
          <t>25</t>
        </is>
      </c>
    </row>
    <row r="124" ht="20" customHeight="1" s="76">
      <c r="A124" s="23" t="inlineStr">
        <is>
          <t>معماری به روز شده</t>
        </is>
      </c>
      <c r="B124" s="23" t="inlineStr">
        <is>
          <t>D9</t>
        </is>
      </c>
      <c r="C124" s="23" t="inlineStr">
        <is>
          <t>27</t>
        </is>
      </c>
      <c r="D124" s="23" t="inlineStr">
        <is>
          <t>28</t>
        </is>
      </c>
    </row>
    <row r="125" ht="20" customHeight="1" s="76">
      <c r="A125" s="25" t="inlineStr">
        <is>
          <t>معماری به روز شده</t>
        </is>
      </c>
      <c r="B125" s="25" t="inlineStr">
        <is>
          <t>E9</t>
        </is>
      </c>
      <c r="C125" s="25" t="inlineStr">
        <is>
          <t>28</t>
        </is>
      </c>
      <c r="D125" s="25" t="inlineStr">
        <is>
          <t>29</t>
        </is>
      </c>
    </row>
    <row r="126" ht="20" customHeight="1" s="76">
      <c r="A126" s="23" t="inlineStr">
        <is>
          <t>معماری به روز شده</t>
        </is>
      </c>
      <c r="B126" s="23" t="inlineStr">
        <is>
          <t>D15</t>
        </is>
      </c>
      <c r="C126" s="23" t="inlineStr">
        <is>
          <t>22</t>
        </is>
      </c>
      <c r="D126" s="23" t="inlineStr">
        <is>
          <t>25</t>
        </is>
      </c>
    </row>
    <row r="127" ht="20" customHeight="1" s="76">
      <c r="A127" s="25" t="inlineStr">
        <is>
          <t>معماری به روز شده</t>
        </is>
      </c>
      <c r="B127" s="25" t="inlineStr">
        <is>
          <t>E15</t>
        </is>
      </c>
      <c r="C127" s="25" t="inlineStr">
        <is>
          <t>23</t>
        </is>
      </c>
      <c r="D127" s="25" t="inlineStr">
        <is>
          <t>25</t>
        </is>
      </c>
    </row>
    <row r="128" ht="20" customHeight="1" s="76">
      <c r="A128" s="23" t="inlineStr">
        <is>
          <t>خلاصه نهایی</t>
        </is>
      </c>
      <c r="B128" s="23" t="inlineStr">
        <is>
          <t>C11</t>
        </is>
      </c>
      <c r="C128" s="23" t="inlineStr">
        <is>
          <t>۲۲ از ۲۳ واجد شرایط</t>
        </is>
      </c>
      <c r="D128" s="23" t="inlineStr">
        <is>
          <t>25 از 25 واجد شرایط (v38)</t>
        </is>
      </c>
    </row>
    <row r="129" ht="20" customHeight="1" s="76">
      <c r="A129" s="25" t="inlineStr">
        <is>
          <t>چک لیست نهایی</t>
        </is>
      </c>
      <c r="B129" s="25" t="inlineStr">
        <is>
          <t>C3</t>
        </is>
      </c>
      <c r="C129" s="25" t="inlineStr">
        <is>
          <t>۲۸ شرکت؛ حکشتی و شپدیس خارج از مخرج</t>
        </is>
      </c>
      <c r="D129" s="25" t="inlineStr">
        <is>
          <t>29 شرکت؛ حکشتی خارج از مخرج؛ وپاسار حل نشده (v38)</t>
        </is>
      </c>
    </row>
    <row r="130" ht="20" customHeight="1" s="76">
      <c r="A130" s="23" t="inlineStr">
        <is>
          <t>چک لیست نهایی</t>
        </is>
      </c>
      <c r="B130" s="23" t="inlineStr">
        <is>
          <t>C4</t>
        </is>
      </c>
      <c r="C130" s="23" t="inlineStr">
        <is>
          <t>۲۷ از ۲۸</t>
        </is>
      </c>
      <c r="D130" s="23" t="inlineStr">
        <is>
          <t>28 از 29 (v38)</t>
        </is>
      </c>
    </row>
    <row r="131" ht="20" customHeight="1" s="76">
      <c r="A131" s="25" t="inlineStr">
        <is>
          <t>گپ های باز</t>
        </is>
      </c>
      <c r="B131" s="25" t="inlineStr">
        <is>
          <t>F4</t>
        </is>
      </c>
      <c r="C131" s="25" t="inlineStr">
        <is>
          <t>باز</t>
        </is>
      </c>
      <c r="D131" s="25" t="inlineStr">
        <is>
          <t>حل شد (v38)</t>
        </is>
      </c>
    </row>
    <row r="132" ht="20" customHeight="1" s="76">
      <c r="A132" s="23" t="inlineStr">
        <is>
          <t>گپ های باز</t>
        </is>
      </c>
      <c r="B132" s="23" t="inlineStr">
        <is>
          <t>H4</t>
        </is>
      </c>
      <c r="C132" s="23" t="inlineStr">
        <is>
          <t>بدون شاهد جدید عدد اصلاح نشود</t>
        </is>
      </c>
      <c r="D132" s="23" t="inlineStr">
        <is>
          <t>Confirmed: Snapshot تاپیکو بازسازی شد</t>
        </is>
      </c>
    </row>
    <row r="133" ht="20" customHeight="1" s="76">
      <c r="A133" s="25" t="inlineStr">
        <is>
          <t>گپ های باز</t>
        </is>
      </c>
      <c r="B133" s="25" t="inlineStr">
        <is>
          <t>F5</t>
        </is>
      </c>
      <c r="C133" s="25" t="inlineStr">
        <is>
          <t>باز</t>
        </is>
      </c>
      <c r="D133" s="25" t="inlineStr">
        <is>
          <t>حل شد (v38)</t>
        </is>
      </c>
    </row>
    <row r="134" ht="20" customHeight="1" s="76">
      <c r="A134" s="23" t="inlineStr">
        <is>
          <t>گپ های باز</t>
        </is>
      </c>
      <c r="B134" s="23" t="inlineStr">
        <is>
          <t>H5</t>
        </is>
      </c>
      <c r="C134" s="23" t="inlineStr">
        <is>
          <t>Missing به صفر تبدیل نشود</t>
        </is>
      </c>
      <c r="D134" s="23" t="inlineStr">
        <is>
          <t>Confirmed: Snapshot مبنا Look-Ahead بود</t>
        </is>
      </c>
    </row>
    <row r="135" ht="20" customHeight="1" s="76">
      <c r="A135" s="25" t="inlineStr">
        <is>
          <t>گپ های باز</t>
        </is>
      </c>
      <c r="B135" s="25" t="inlineStr">
        <is>
          <t>F6</t>
        </is>
      </c>
      <c r="C135" s="25" t="inlineStr">
        <is>
          <t>باز</t>
        </is>
      </c>
      <c r="D135" s="25" t="inlineStr">
        <is>
          <t>حل شد (v38)</t>
        </is>
      </c>
    </row>
    <row r="136" ht="20" customHeight="1" s="76">
      <c r="A136" s="23" t="inlineStr">
        <is>
          <t>گپ های باز</t>
        </is>
      </c>
      <c r="B136" s="23" t="inlineStr">
        <is>
          <t>H6</t>
        </is>
      </c>
      <c r="C136" s="23" t="inlineStr">
        <is>
          <t>بدون حدس</t>
        </is>
      </c>
      <c r="D136" s="23" t="inlineStr">
        <is>
          <t>High: Q=5؛ ۵ کرسی حقوقی</t>
        </is>
      </c>
    </row>
    <row r="137" ht="20" customHeight="1" s="76">
      <c r="A137" s="25" t="inlineStr">
        <is>
          <t>گپ های باز</t>
        </is>
      </c>
      <c r="B137" s="25" t="inlineStr">
        <is>
          <t>F7</t>
        </is>
      </c>
      <c r="C137" s="25" t="inlineStr">
        <is>
          <t>باز</t>
        </is>
      </c>
      <c r="D137" s="25" t="inlineStr">
        <is>
          <t>تکمیل جزئی (v38)</t>
        </is>
      </c>
    </row>
    <row r="138" ht="20" customHeight="1" s="76">
      <c r="A138" s="23" t="inlineStr">
        <is>
          <t>گپ های باز</t>
        </is>
      </c>
      <c r="B138" s="23" t="inlineStr">
        <is>
          <t>H7</t>
        </is>
      </c>
      <c r="C138" s="23" t="inlineStr">
        <is>
          <t>منبع جایگزین SRC_VTEJ_1404_004 در نظر گرفته شود</t>
        </is>
      </c>
      <c r="D138" s="23" t="inlineStr">
        <is>
          <t>ساختار تایید؛ تاریخ خروج شریفیان Needs Review</t>
        </is>
      </c>
    </row>
    <row r="139" ht="20" customHeight="1" s="76">
      <c r="A139" s="25" t="inlineStr">
        <is>
          <t>گپ های باز</t>
        </is>
      </c>
      <c r="B139" s="25" t="inlineStr">
        <is>
          <t>F8</t>
        </is>
      </c>
      <c r="C139" s="25" t="inlineStr">
        <is>
          <t>باز</t>
        </is>
      </c>
      <c r="D139" s="25" t="inlineStr">
        <is>
          <t>حل شد (v38)</t>
        </is>
      </c>
    </row>
    <row r="140" ht="20" customHeight="1" s="76">
      <c r="A140" s="23" t="inlineStr">
        <is>
          <t>گپ های باز</t>
        </is>
      </c>
      <c r="B140" s="23" t="inlineStr">
        <is>
          <t>H8</t>
        </is>
      </c>
      <c r="C140" s="23" t="inlineStr">
        <is>
          <t>جابجایی داخلی فرد عضو جدید محسوب نشود</t>
        </is>
      </c>
      <c r="D140" s="23" t="inlineStr">
        <is>
          <t>P&lt;G مشروع (جابه‌جایی)؛ P=1</t>
        </is>
      </c>
    </row>
    <row r="141" ht="20" customHeight="1" s="76">
      <c r="A141" s="25" t="inlineStr">
        <is>
          <t>گپ های باز</t>
        </is>
      </c>
      <c r="B141" s="25" t="inlineStr">
        <is>
          <t>F9</t>
        </is>
      </c>
      <c r="C141" s="25" t="inlineStr">
        <is>
          <t>باز</t>
        </is>
      </c>
      <c r="D141" s="25" t="inlineStr">
        <is>
          <t>حل شد (v38)</t>
        </is>
      </c>
    </row>
    <row r="142" ht="20" customHeight="1" s="76">
      <c r="A142" s="23" t="inlineStr">
        <is>
          <t>گپ های باز</t>
        </is>
      </c>
      <c r="B142" s="23" t="inlineStr">
        <is>
          <t>H9</t>
        </is>
      </c>
      <c r="C142" s="23" t="inlineStr">
        <is>
          <t>فرد منتقل شده عضو جدید نیست</t>
        </is>
      </c>
      <c r="D142" s="23" t="inlineStr">
        <is>
          <t>مقادیر v35 تایید؛ P&lt;G مشروع</t>
        </is>
      </c>
    </row>
    <row r="143" ht="20" customHeight="1" s="76">
      <c r="A143" s="25" t="inlineStr">
        <is>
          <t>گپ های باز</t>
        </is>
      </c>
      <c r="B143" s="25" t="inlineStr">
        <is>
          <t>F13</t>
        </is>
      </c>
      <c r="C143" s="25" t="inlineStr">
        <is>
          <t>باز</t>
        </is>
      </c>
      <c r="D143" s="25" t="inlineStr">
        <is>
          <t>حل شد (v38)</t>
        </is>
      </c>
    </row>
    <row r="144" ht="20" customHeight="1" s="76">
      <c r="A144" s="23" t="inlineStr">
        <is>
          <t>گپ های باز</t>
        </is>
      </c>
      <c r="B144" s="23" t="inlineStr">
        <is>
          <t>H13</t>
        </is>
      </c>
      <c r="C144" s="23" t="inlineStr">
        <is>
          <t>تا تایید، Missing باقی بماند</t>
        </is>
      </c>
      <c r="D144" s="23" t="inlineStr">
        <is>
          <t>REF08 خودرو = ۱/۵</t>
        </is>
      </c>
    </row>
  </sheetData>
  <mergeCells count="2">
    <mergeCell ref="A1:D1"/>
    <mergeCell ref="A2:D2"/>
  </mergeCells>
  <pageMargins left="0.75" right="0.75" top="1" bottom="1" header="0.5" footer="0.5"/>
</worksheet>
</file>

<file path=xl/worksheets/sheet69.xml><?xml version="1.0" encoding="utf-8"?>
<worksheet xmlns="http://schemas.openxmlformats.org/spreadsheetml/2006/main">
  <sheetPr>
    <outlinePr summaryBelow="1" summaryRight="1"/>
    <pageSetUpPr fitToPage="1"/>
  </sheetPr>
  <dimension ref="A1:E159"/>
  <sheetViews>
    <sheetView showGridLines="0" rightToLeft="1" zoomScale="85"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2" customWidth="1" style="76" min="1" max="1"/>
    <col width="13" customWidth="1" style="76" min="2" max="2"/>
    <col width="66" customWidth="1" style="76" min="3" max="4"/>
    <col width="71" customWidth="1" style="76" min="5" max="5"/>
  </cols>
  <sheetData>
    <row r="1" ht="38" customHeight="1" s="76">
      <c r="A1" s="75" t="inlineStr">
        <is>
          <t>ثبت تغییرات v39 نسبت به فایل v38</t>
        </is>
      </c>
    </row>
    <row r="2" ht="44" customHeight="1" s="76">
      <c r="A2" s="77" t="inlineStr">
        <is>
          <t>هر مقدار قبلی نگهداری شده است؛ برگه های جدید در شمارش تغییر سلول های موجود محاسبه نمی شوند.</t>
        </is>
      </c>
    </row>
    <row r="3" ht="36" customHeight="1" s="76">
      <c r="A3" s="55" t="inlineStr">
        <is>
          <t>برگه</t>
        </is>
      </c>
      <c r="B3" s="55" t="inlineStr">
        <is>
          <t>سلول</t>
        </is>
      </c>
      <c r="C3" s="55" t="inlineStr">
        <is>
          <t>مقدار قبلی</t>
        </is>
      </c>
      <c r="D3" s="55" t="inlineStr">
        <is>
          <t>مقدار جدید</t>
        </is>
      </c>
      <c r="E3" s="55" t="inlineStr">
        <is>
          <t>علت</t>
        </is>
      </c>
    </row>
    <row r="4" ht="94" customHeight="1" s="76">
      <c r="A4" s="56" t="inlineStr">
        <is>
          <t>راهنمای محاسبات و منابع</t>
        </is>
      </c>
      <c r="B4" s="56" t="inlineStr">
        <is>
          <t>D9</t>
        </is>
      </c>
      <c r="C4" s="56" t="inlineStr">
        <is>
          <t>Iran_BSI_v30_Phase4_2H_PreAdvisorReview.xlsx | تغییر رئیس هیئت مدیره و جهت نظری</t>
        </is>
      </c>
      <c r="D4" s="56" t="inlineStr">
        <is>
          <t>CR1A v39؛ Turnover Seat Reconstruction v38؛ تاریخچه v30 محفوظ است</t>
        </is>
      </c>
      <c r="E4" s="56" t="inlineStr">
        <is>
          <t>افزودن منبع فعلی بدون تغییر تعریف نظری</t>
        </is>
      </c>
    </row>
    <row r="5" ht="94" customHeight="1" s="76">
      <c r="A5" s="57" t="inlineStr">
        <is>
          <t>راهنمای محاسبات و منابع</t>
        </is>
      </c>
      <c r="B5" s="57" t="inlineStr">
        <is>
          <t>G9</t>
        </is>
      </c>
      <c r="C5" s="57" t="inlineStr">
        <is>
          <t>Missing و قابل اعمال نیست صفر نمی شوند</t>
        </is>
      </c>
      <c r="D5" s="57" t="inlineStr">
        <is>
          <t>نامشخص و متعارض صفر نمی شوند؛ پوشش عددی از پوشش محافظه کارانه جدا است. تاریخ موثر مبنای اصلی است و حساسیت انتشار جم حفظ می شود.</t>
        </is>
      </c>
      <c r="E5" s="57" t="inlineStr">
        <is>
          <t>تعریف کنترل محاسبات v39</t>
        </is>
      </c>
    </row>
    <row r="6" ht="94" customHeight="1" s="76">
      <c r="A6" s="56" t="inlineStr">
        <is>
          <t>گپ های باز</t>
        </is>
      </c>
      <c r="B6" s="56" t="inlineStr">
        <is>
          <t>A1</t>
        </is>
      </c>
      <c r="C6" s="56" t="inlineStr">
        <is>
          <t>گپ های باز پس از ممیزی v36</t>
        </is>
      </c>
      <c r="D6" s="56" t="inlineStr">
        <is>
          <t>گپ های باز و تاریخچه حل تا v39</t>
        </is>
      </c>
      <c r="E6" s="56" t="inlineStr">
        <is>
          <t>نمایش نسخه جاری</t>
        </is>
      </c>
    </row>
    <row r="7" ht="94" customHeight="1" s="76">
      <c r="A7" s="57" t="inlineStr">
        <is>
          <t>گپ های باز</t>
        </is>
      </c>
      <c r="B7" s="57" t="inlineStr">
        <is>
          <t>D7</t>
        </is>
      </c>
      <c r="C7" s="57" t="inlineStr">
        <is>
          <t>H برابر ۵ و ساختار حقوقی با v22 ناسازگار</t>
        </is>
      </c>
      <c r="D7" s="57" t="inlineStr">
        <is>
          <t>ساختار حل شده؛ تاریخ خروج شریفیان و ناسازگاری اسناد نیازمند بررسی است.</t>
        </is>
      </c>
      <c r="E7" s="57" t="inlineStr">
        <is>
          <t>تفکیک ساختار کرسی از رویداد خروج</t>
        </is>
      </c>
    </row>
    <row r="8" ht="94" customHeight="1" s="76">
      <c r="A8" s="56" t="inlineStr">
        <is>
          <t>گپ های باز</t>
        </is>
      </c>
      <c r="B8" s="56" t="inlineStr">
        <is>
          <t>F7</t>
        </is>
      </c>
      <c r="C8" s="56" t="inlineStr">
        <is>
          <t>تکمیل جزئی (v38)</t>
        </is>
      </c>
      <c r="D8" s="56" t="inlineStr">
        <is>
          <t>باز با شواهد تکمیلی v39</t>
        </is>
      </c>
      <c r="E8" s="56" t="inlineStr">
        <is>
          <t>وب سایت رسمی شاهد تاریخ دار خروج نیست</t>
        </is>
      </c>
    </row>
    <row r="9" ht="94" customHeight="1" s="76">
      <c r="A9" s="57" t="inlineStr">
        <is>
          <t>گپ های باز</t>
        </is>
      </c>
      <c r="B9" s="57" t="inlineStr">
        <is>
          <t>G7</t>
        </is>
      </c>
      <c r="C9" s="57" t="inlineStr">
        <is>
          <t>بازبینی دو Snapshot</t>
        </is>
      </c>
      <c r="D9" s="57" t="inlineStr">
        <is>
          <t>دریافت سند خروج و تطبیق نسخه اولیه با اصلاحیه</t>
        </is>
      </c>
      <c r="E9" s="57" t="inlineStr">
        <is>
          <t>دقت در معنای تاریخ موثر</t>
        </is>
      </c>
    </row>
    <row r="10" ht="94" customHeight="1" s="76">
      <c r="A10" s="56" t="inlineStr">
        <is>
          <t>گپ های باز</t>
        </is>
      </c>
      <c r="B10" s="56" t="inlineStr">
        <is>
          <t>A14</t>
        </is>
      </c>
      <c r="C10" s="56" t="n"/>
      <c r="D10" s="56" t="inlineStr">
        <is>
          <t>G11</t>
        </is>
      </c>
      <c r="E10" s="56" t="inlineStr">
        <is>
          <t>ثبت گپ واقعی باقی مانده؛ نه اعلام بسته شدن بدون شاهد</t>
        </is>
      </c>
    </row>
    <row r="11" ht="94" customHeight="1" s="76">
      <c r="A11" s="57" t="inlineStr">
        <is>
          <t>گپ های باز</t>
        </is>
      </c>
      <c r="B11" s="57" t="inlineStr">
        <is>
          <t>B14</t>
        </is>
      </c>
      <c r="C11" s="57" t="n"/>
      <c r="D11" s="57" t="inlineStr">
        <is>
          <t>ترکیب تاریخی هیئت مدیره</t>
        </is>
      </c>
      <c r="E11" s="57" t="inlineStr">
        <is>
          <t>ثبت گپ واقعی باقی مانده؛ نه اعلام بسته شدن بدون شاهد</t>
        </is>
      </c>
    </row>
    <row r="12" ht="94" customHeight="1" s="76">
      <c r="A12" s="56" t="inlineStr">
        <is>
          <t>گپ های باز</t>
        </is>
      </c>
      <c r="B12" s="56" t="inlineStr">
        <is>
          <t>C14</t>
        </is>
      </c>
      <c r="C12" s="56" t="n"/>
      <c r="D12" s="56" t="inlineStr">
        <is>
          <t>وپاسار</t>
        </is>
      </c>
      <c r="E12" s="56" t="inlineStr">
        <is>
          <t>ثبت گپ واقعی باقی مانده؛ نه اعلام بسته شدن بدون شاهد</t>
        </is>
      </c>
    </row>
    <row r="13" ht="94" customHeight="1" s="76">
      <c r="A13" s="57" t="inlineStr">
        <is>
          <t>گپ های باز</t>
        </is>
      </c>
      <c r="B13" s="57" t="inlineStr">
        <is>
          <t>D14</t>
        </is>
      </c>
      <c r="C13" s="57" t="n"/>
      <c r="D13" s="57" t="inlineStr">
        <is>
          <t>پایان ۱۴۰۴ مستند نیست و پایه پنج یا هفت نفره حل نشده است.</t>
        </is>
      </c>
      <c r="E13" s="57" t="inlineStr">
        <is>
          <t>ثبت گپ واقعی باقی مانده؛ نه اعلام بسته شدن بدون شاهد</t>
        </is>
      </c>
    </row>
    <row r="14" ht="94" customHeight="1" s="76">
      <c r="A14" s="56" t="inlineStr">
        <is>
          <t>گپ های باز</t>
        </is>
      </c>
      <c r="B14" s="56" t="inlineStr">
        <is>
          <t>E14</t>
        </is>
      </c>
      <c r="C14" s="56" t="n"/>
      <c r="D14" s="56" t="inlineStr">
        <is>
          <t>V39S04؛ V39S08</t>
        </is>
      </c>
      <c r="E14" s="56" t="inlineStr">
        <is>
          <t>ثبت گپ واقعی باقی مانده؛ نه اعلام بسته شدن بدون شاهد</t>
        </is>
      </c>
    </row>
    <row r="15" ht="94" customHeight="1" s="76">
      <c r="A15" s="57" t="inlineStr">
        <is>
          <t>گپ های باز</t>
        </is>
      </c>
      <c r="B15" s="57" t="inlineStr">
        <is>
          <t>F14</t>
        </is>
      </c>
      <c r="C15" s="57" t="n"/>
      <c r="D15" s="57" t="inlineStr">
        <is>
          <t>باز در v39</t>
        </is>
      </c>
      <c r="E15" s="57" t="inlineStr">
        <is>
          <t>ثبت گپ واقعی باقی مانده؛ نه اعلام بسته شدن بدون شاهد</t>
        </is>
      </c>
    </row>
    <row r="16" ht="94" customHeight="1" s="76">
      <c r="A16" s="56" t="inlineStr">
        <is>
          <t>گپ های باز</t>
        </is>
      </c>
      <c r="B16" s="56" t="inlineStr">
        <is>
          <t>G14</t>
        </is>
      </c>
      <c r="C16" s="56" t="n"/>
      <c r="D16" s="56" t="inlineStr">
        <is>
          <t>دریافت گزارش 1526305 و تطبیق صورتجلسه و امضاها</t>
        </is>
      </c>
      <c r="E16" s="56" t="inlineStr">
        <is>
          <t>ثبت گپ واقعی باقی مانده؛ نه اعلام بسته شدن بدون شاهد</t>
        </is>
      </c>
    </row>
    <row r="17" ht="94" customHeight="1" s="76">
      <c r="A17" s="57" t="inlineStr">
        <is>
          <t>گپ های باز</t>
        </is>
      </c>
      <c r="B17" s="57" t="inlineStr">
        <is>
          <t>H14</t>
        </is>
      </c>
      <c r="C17" s="57" t="n"/>
      <c r="D17" s="57" t="inlineStr">
        <is>
          <t>فراداده سند با متن و فهرست اعضا یکسان نیست</t>
        </is>
      </c>
      <c r="E17" s="57" t="inlineStr">
        <is>
          <t>ثبت گپ واقعی باقی مانده؛ نه اعلام بسته شدن بدون شاهد</t>
        </is>
      </c>
    </row>
    <row r="18" ht="94" customHeight="1" s="76">
      <c r="A18" s="56" t="inlineStr">
        <is>
          <t>گپ های باز</t>
        </is>
      </c>
      <c r="B18" s="56" t="inlineStr">
        <is>
          <t>A15</t>
        </is>
      </c>
      <c r="C18" s="56" t="n"/>
      <c r="D18" s="56" t="inlineStr">
        <is>
          <t>G12</t>
        </is>
      </c>
      <c r="E18" s="56" t="inlineStr">
        <is>
          <t>ثبت گپ واقعی باقی مانده؛ نه اعلام بسته شدن بدون شاهد</t>
        </is>
      </c>
    </row>
    <row r="19" ht="94" customHeight="1" s="76">
      <c r="A19" s="57" t="inlineStr">
        <is>
          <t>گپ های باز</t>
        </is>
      </c>
      <c r="B19" s="57" t="inlineStr">
        <is>
          <t>B15</t>
        </is>
      </c>
      <c r="C19" s="57" t="n"/>
      <c r="D19" s="57" t="inlineStr">
        <is>
          <t>نمایندگان حقیقی</t>
        </is>
      </c>
      <c r="E19" s="57" t="inlineStr">
        <is>
          <t>ثبت گپ واقعی باقی مانده؛ نه اعلام بسته شدن بدون شاهد</t>
        </is>
      </c>
    </row>
    <row r="20" ht="94" customHeight="1" s="76">
      <c r="A20" s="56" t="inlineStr">
        <is>
          <t>گپ های باز</t>
        </is>
      </c>
      <c r="B20" s="56" t="inlineStr">
        <is>
          <t>C15</t>
        </is>
      </c>
      <c r="C20" s="56" t="n"/>
      <c r="D20" s="56" t="inlineStr">
        <is>
          <t>حکشتی</t>
        </is>
      </c>
      <c r="E20" s="56" t="inlineStr">
        <is>
          <t>ثبت گپ واقعی باقی مانده؛ نه اعلام بسته شدن بدون شاهد</t>
        </is>
      </c>
    </row>
    <row r="21" ht="94" customHeight="1" s="76">
      <c r="A21" s="57" t="inlineStr">
        <is>
          <t>گپ های باز</t>
        </is>
      </c>
      <c r="B21" s="57" t="inlineStr">
        <is>
          <t>D15</t>
        </is>
      </c>
      <c r="C21" s="57" t="n"/>
      <c r="D21" s="57" t="inlineStr">
        <is>
          <t>دو نام تاریخی یافت شد اما پنج نماینده در دو نقطه شناخته نیستند.</t>
        </is>
      </c>
      <c r="E21" s="57" t="inlineStr">
        <is>
          <t>ثبت گپ واقعی باقی مانده؛ نه اعلام بسته شدن بدون شاهد</t>
        </is>
      </c>
    </row>
    <row r="22" ht="94" customHeight="1" s="76">
      <c r="A22" s="56" t="inlineStr">
        <is>
          <t>گپ های باز</t>
        </is>
      </c>
      <c r="B22" s="56" t="inlineStr">
        <is>
          <t>E15</t>
        </is>
      </c>
      <c r="C22" s="56" t="n"/>
      <c r="D22" s="56" t="inlineStr">
        <is>
          <t>V39S05؛ V39S07</t>
        </is>
      </c>
      <c r="E22" s="56" t="inlineStr">
        <is>
          <t>ثبت گپ واقعی باقی مانده؛ نه اعلام بسته شدن بدون شاهد</t>
        </is>
      </c>
    </row>
    <row r="23" ht="94" customHeight="1" s="76">
      <c r="A23" s="57" t="inlineStr">
        <is>
          <t>گپ های باز</t>
        </is>
      </c>
      <c r="B23" s="57" t="inlineStr">
        <is>
          <t>F15</t>
        </is>
      </c>
      <c r="C23" s="57" t="n"/>
      <c r="D23" s="57" t="inlineStr">
        <is>
          <t>باز در v39</t>
        </is>
      </c>
      <c r="E23" s="57" t="inlineStr">
        <is>
          <t>ثبت گپ واقعی باقی مانده؛ نه اعلام بسته شدن بدون شاهد</t>
        </is>
      </c>
    </row>
    <row r="24" ht="94" customHeight="1" s="76">
      <c r="A24" s="56" t="inlineStr">
        <is>
          <t>گپ های باز</t>
        </is>
      </c>
      <c r="B24" s="56" t="inlineStr">
        <is>
          <t>G15</t>
        </is>
      </c>
      <c r="C24" s="56" t="n"/>
      <c r="D24" s="56" t="inlineStr">
        <is>
          <t>صورتجلسه تعیین سمت و نگاشت نماینده به کرسی</t>
        </is>
      </c>
      <c r="E24" s="56" t="inlineStr">
        <is>
          <t>ثبت گپ واقعی باقی مانده؛ نه اعلام بسته شدن بدون شاهد</t>
        </is>
      </c>
    </row>
    <row r="25" ht="94" customHeight="1" s="76">
      <c r="A25" s="57" t="inlineStr">
        <is>
          <t>گپ های باز</t>
        </is>
      </c>
      <c r="B25" s="57" t="inlineStr">
        <is>
          <t>H15</t>
        </is>
      </c>
      <c r="C25" s="57" t="n"/>
      <c r="D25" s="57" t="inlineStr">
        <is>
          <t>نام مدیرعامل به تنهایی عضویت یا نمایندگی حقوقی را اثبات نمی کند</t>
        </is>
      </c>
      <c r="E25" s="57" t="inlineStr">
        <is>
          <t>ثبت گپ واقعی باقی مانده؛ نه اعلام بسته شدن بدون شاهد</t>
        </is>
      </c>
    </row>
    <row r="26" ht="94" customHeight="1" s="76">
      <c r="A26" s="56" t="inlineStr">
        <is>
          <t>گپ های باز</t>
        </is>
      </c>
      <c r="B26" s="56" t="inlineStr">
        <is>
          <t>A16</t>
        </is>
      </c>
      <c r="C26" s="56" t="n"/>
      <c r="D26" s="56" t="inlineStr">
        <is>
          <t>G13</t>
        </is>
      </c>
      <c r="E26" s="56" t="inlineStr">
        <is>
          <t>ثبت گپ واقعی باقی مانده؛ نه اعلام بسته شدن بدون شاهد</t>
        </is>
      </c>
    </row>
    <row r="27" ht="94" customHeight="1" s="76">
      <c r="A27" s="57" t="inlineStr">
        <is>
          <t>گپ های باز</t>
        </is>
      </c>
      <c r="B27" s="57" t="inlineStr">
        <is>
          <t>B16</t>
        </is>
      </c>
      <c r="C27" s="57" t="n"/>
      <c r="D27" s="57" t="inlineStr">
        <is>
          <t>تعارض تغییر رئیس</t>
        </is>
      </c>
      <c r="E27" s="57" t="inlineStr">
        <is>
          <t>ثبت گپ واقعی باقی مانده؛ نه اعلام بسته شدن بدون شاهد</t>
        </is>
      </c>
    </row>
    <row r="28" ht="94" customHeight="1" s="76">
      <c r="A28" s="56" t="inlineStr">
        <is>
          <t>گپ های باز</t>
        </is>
      </c>
      <c r="B28" s="56" t="inlineStr">
        <is>
          <t>C16</t>
        </is>
      </c>
      <c r="C28" s="56" t="n"/>
      <c r="D28" s="56" t="inlineStr">
        <is>
          <t>فملی</t>
        </is>
      </c>
      <c r="E28" s="56" t="inlineStr">
        <is>
          <t>ثبت گپ واقعی باقی مانده؛ نه اعلام بسته شدن بدون شاهد</t>
        </is>
      </c>
    </row>
    <row r="29" ht="94" customHeight="1" s="76">
      <c r="A29" s="57" t="inlineStr">
        <is>
          <t>گپ های باز</t>
        </is>
      </c>
      <c r="B29" s="57" t="inlineStr">
        <is>
          <t>D16</t>
        </is>
      </c>
      <c r="C29" s="57" t="n"/>
      <c r="D29" s="57" t="inlineStr">
        <is>
          <t>خیر در v38 با پرچم تعارض قبلی همراه است؛ سند حل کننده در این مرحله دریافت نشد.</t>
        </is>
      </c>
      <c r="E29" s="57" t="inlineStr">
        <is>
          <t>ثبت گپ واقعی باقی مانده؛ نه اعلام بسته شدن بدون شاهد</t>
        </is>
      </c>
    </row>
    <row r="30" ht="94" customHeight="1" s="76">
      <c r="A30" s="56" t="inlineStr">
        <is>
          <t>گپ های باز</t>
        </is>
      </c>
      <c r="B30" s="56" t="inlineStr">
        <is>
          <t>E16</t>
        </is>
      </c>
      <c r="C30" s="56" t="n"/>
      <c r="D30" s="56" t="inlineStr">
        <is>
          <t>CR1A v39؛ Conflict Log C04</t>
        </is>
      </c>
      <c r="E30" s="56" t="inlineStr">
        <is>
          <t>ثبت گپ واقعی باقی مانده؛ نه اعلام بسته شدن بدون شاهد</t>
        </is>
      </c>
    </row>
    <row r="31" ht="94" customHeight="1" s="76">
      <c r="A31" s="57" t="inlineStr">
        <is>
          <t>گپ های باز</t>
        </is>
      </c>
      <c r="B31" s="57" t="inlineStr">
        <is>
          <t>F16</t>
        </is>
      </c>
      <c r="C31" s="57" t="n"/>
      <c r="D31" s="57" t="inlineStr">
        <is>
          <t>باز در v39</t>
        </is>
      </c>
      <c r="E31" s="57" t="inlineStr">
        <is>
          <t>ثبت گپ واقعی باقی مانده؛ نه اعلام بسته شدن بدون شاهد</t>
        </is>
      </c>
    </row>
    <row r="32" ht="94" customHeight="1" s="76">
      <c r="A32" s="56" t="inlineStr">
        <is>
          <t>گپ های باز</t>
        </is>
      </c>
      <c r="B32" s="56" t="inlineStr">
        <is>
          <t>G16</t>
        </is>
      </c>
      <c r="C32" s="56" t="n"/>
      <c r="D32" s="56" t="inlineStr">
        <is>
          <t>تطبیق نام رئیس در دو نقطه و افشاهای میانی</t>
        </is>
      </c>
      <c r="E32" s="56" t="inlineStr">
        <is>
          <t>ثبت گپ واقعی باقی مانده؛ نه اعلام بسته شدن بدون شاهد</t>
        </is>
      </c>
    </row>
    <row r="33" ht="94" customHeight="1" s="76">
      <c r="A33" s="57" t="inlineStr">
        <is>
          <t>گپ های باز</t>
        </is>
      </c>
      <c r="B33" s="57" t="inlineStr">
        <is>
          <t>H16</t>
        </is>
      </c>
      <c r="C33" s="57" t="n"/>
      <c r="D33" s="57" t="inlineStr">
        <is>
          <t>از شمارش محافظه کارانه کنار گذاشته شد؛ مقدار خام حذف نشد</t>
        </is>
      </c>
      <c r="E33" s="57" t="inlineStr">
        <is>
          <t>ثبت گپ واقعی باقی مانده؛ نه اعلام بسته شدن بدون شاهد</t>
        </is>
      </c>
    </row>
    <row r="34" ht="94" customHeight="1" s="76">
      <c r="A34" s="56" t="inlineStr">
        <is>
          <t>خلاصه نهایی</t>
        </is>
      </c>
      <c r="B34" s="56" t="inlineStr">
        <is>
          <t>A2</t>
        </is>
      </c>
      <c r="C34" s="56" t="inlineStr">
        <is>
          <t>نسخه v37 مبتنی بر v36 اصلاح شده، ممیزی مستقل و بررسی Measureهای جدید</t>
        </is>
      </c>
      <c r="D34" s="56" t="inlineStr">
        <is>
          <t>نسخه v39 مبتنی بر فایل v38؛ محاسبات CR1A همگام و سه پرونده سندی با وضعیت واقعی ثبت شدند.</t>
        </is>
      </c>
      <c r="E34" s="56" t="inlineStr">
        <is>
          <t>به روزرسانی جمع بندی جاری بر مبنای اجرای واقعی v39</t>
        </is>
      </c>
    </row>
    <row r="35" ht="94" customHeight="1" s="76">
      <c r="A35" s="57" t="inlineStr">
        <is>
          <t>خلاصه نهایی</t>
        </is>
      </c>
      <c r="B35" s="57" t="inlineStr">
        <is>
          <t>C6</t>
        </is>
      </c>
      <c r="C35" s="57" t="inlineStr">
        <is>
          <t>v37 Master Audited</t>
        </is>
      </c>
      <c r="D35" s="57" t="inlineStr">
        <is>
          <t>v39 CR1A Audit and Open Gaps</t>
        </is>
      </c>
      <c r="E35" s="57" t="inlineStr">
        <is>
          <t>به روزرسانی جمع بندی جاری بر مبنای اجرای واقعی v39</t>
        </is>
      </c>
    </row>
    <row r="36" ht="94" customHeight="1" s="76">
      <c r="A36" s="56" t="inlineStr">
        <is>
          <t>خلاصه نهایی</t>
        </is>
      </c>
      <c r="B36" s="56" t="inlineStr">
        <is>
          <t>D6</t>
        </is>
      </c>
      <c r="C36" s="56" t="inlineStr">
        <is>
          <t>نسخه v36 اصلاح شده با خروجی ممیزی و Candidate Discovery یکپارچه شد</t>
        </is>
      </c>
      <c r="D36" s="56" t="inlineStr">
        <is>
          <t>همگام سازی تغییر رئیس و اصلاح فرمول های ناسازگار انجام شد؛ داده خام سه شرکت بدون سند تازه تغییر نکرد.</t>
        </is>
      </c>
      <c r="E36" s="56" t="inlineStr">
        <is>
          <t>به روزرسانی جمع بندی جاری بر مبنای اجرای واقعی v39</t>
        </is>
      </c>
    </row>
    <row r="37" ht="94" customHeight="1" s="76">
      <c r="A37" s="57" t="inlineStr">
        <is>
          <t>خلاصه نهایی</t>
        </is>
      </c>
      <c r="B37" s="57" t="inlineStr">
        <is>
          <t>E6</t>
        </is>
      </c>
      <c r="C37" s="57" t="inlineStr">
        <is>
          <t>Required Corrections + v36 Final</t>
        </is>
      </c>
      <c r="D37" s="57" t="inlineStr">
        <is>
          <t>CR1A v39؛ Gap Review v39؛ Changes v39</t>
        </is>
      </c>
      <c r="E37" s="57" t="inlineStr">
        <is>
          <t>به روزرسانی جمع بندی جاری بر مبنای اجرای واقعی v39</t>
        </is>
      </c>
    </row>
    <row r="38" ht="94" customHeight="1" s="76">
      <c r="A38" s="56" t="inlineStr">
        <is>
          <t>خلاصه نهایی</t>
        </is>
      </c>
      <c r="B38" s="56" t="inlineStr">
        <is>
          <t>G6</t>
        </is>
      </c>
      <c r="C38" s="56" t="inlineStr">
        <is>
          <t>قابل استفاده با گپ باز</t>
        </is>
      </c>
      <c r="D38" s="56" t="inlineStr">
        <is>
          <t>قابل استفاده با محدودیت و گپ باز</t>
        </is>
      </c>
      <c r="E38" s="56" t="inlineStr">
        <is>
          <t>به روزرسانی جمع بندی جاری بر مبنای اجرای واقعی v39</t>
        </is>
      </c>
    </row>
    <row r="39" ht="94" customHeight="1" s="76">
      <c r="A39" s="57" t="inlineStr">
        <is>
          <t>خلاصه نهایی</t>
        </is>
      </c>
      <c r="B39" s="57" t="inlineStr">
        <is>
          <t>D11</t>
        </is>
      </c>
      <c r="C39" s="57" t="inlineStr">
        <is>
          <t>خودرو Missing و چند شرکت نیازمند Source Review هستند</t>
        </is>
      </c>
      <c r="D39" s="57" t="inlineStr">
        <is>
          <t>پوشش عددی REF08 طبق v38 برابر ۲۵ از ۲۵ واجد شرایط است؛ این عدد به معنی بسته شدن پرونده های فردی سه شرکت نیست.</t>
        </is>
      </c>
      <c r="E39" s="57" t="inlineStr">
        <is>
          <t>به روزرسانی جمع بندی جاری بر مبنای اجرای واقعی v39</t>
        </is>
      </c>
    </row>
    <row r="40" ht="94" customHeight="1" s="76">
      <c r="A40" s="56" t="inlineStr">
        <is>
          <t>خلاصه نهایی</t>
        </is>
      </c>
      <c r="B40" s="56" t="inlineStr">
        <is>
          <t>C16</t>
        </is>
      </c>
      <c r="C40" s="56" t="inlineStr">
        <is>
          <t>تاپیکو، کچاد، پارسان، وتجارت، جم، خساپا + شش Keyword Hit کمیته حسابرسی</t>
        </is>
      </c>
      <c r="D40" s="56" t="inlineStr">
        <is>
          <t>وتجارت، وپاسار، حکشتی؛ تعارض CR1A فملی؛ موارد کمیته حسابرسی و منابع از مراحل قبل</t>
        </is>
      </c>
      <c r="E40" s="56" t="inlineStr">
        <is>
          <t>به روزرسانی جمع بندی جاری بر مبنای اجرای واقعی v39</t>
        </is>
      </c>
    </row>
    <row r="41" ht="94" customHeight="1" s="76">
      <c r="A41" s="57" t="inlineStr">
        <is>
          <t>خلاصه نهایی</t>
        </is>
      </c>
      <c r="B41" s="57" t="inlineStr">
        <is>
          <t>D16</t>
        </is>
      </c>
      <c r="C41" s="57" t="inlineStr">
        <is>
          <t>هیچ عددی برای این موارد بدون سند جدید اصلاح نشده است</t>
        </is>
      </c>
      <c r="D41" s="57" t="inlineStr">
        <is>
          <t>برای سه شرکت سندی که امکان بسته شدن کامل پرونده را بدهد دریافت نشد؛ سرنخ های تازه ثبت شد و هیچ داده حدسی وارد نشد.</t>
        </is>
      </c>
      <c r="E41" s="57" t="inlineStr">
        <is>
          <t>به روزرسانی جمع بندی جاری بر مبنای اجرای واقعی v39</t>
        </is>
      </c>
    </row>
    <row r="42" ht="94" customHeight="1" s="76">
      <c r="A42" s="56" t="inlineStr">
        <is>
          <t>خلاصه نهایی</t>
        </is>
      </c>
      <c r="B42" s="56" t="inlineStr">
        <is>
          <t>E16</t>
        </is>
      </c>
      <c r="C42" s="56" t="inlineStr">
        <is>
          <t>Conflict Log</t>
        </is>
      </c>
      <c r="D42" s="56" t="inlineStr">
        <is>
          <t>Gap Review v39؛ CR1A v39؛ گپ های باز</t>
        </is>
      </c>
      <c r="E42" s="56" t="inlineStr">
        <is>
          <t>به روزرسانی جمع بندی جاری بر مبنای اجرای واقعی v39</t>
        </is>
      </c>
    </row>
    <row r="43" ht="94" customHeight="1" s="76">
      <c r="A43" s="57" t="inlineStr">
        <is>
          <t>خلاصه نهایی</t>
        </is>
      </c>
      <c r="B43" s="57" t="inlineStr">
        <is>
          <t>H16</t>
        </is>
      </c>
      <c r="C43" s="57" t="inlineStr">
        <is>
          <t>بازبینی صفحه و Source قبل از Freeze نهایی</t>
        </is>
      </c>
      <c r="D43" s="57" t="inlineStr">
        <is>
          <t>تکمیل اسناد تاریخی و حل تعارض ها پیش از نهایی کردن پایگاه</t>
        </is>
      </c>
      <c r="E43" s="57" t="inlineStr">
        <is>
          <t>به روزرسانی جمع بندی جاری بر مبنای اجرای واقعی v39</t>
        </is>
      </c>
    </row>
    <row r="44" ht="94" customHeight="1" s="76">
      <c r="A44" s="56" t="inlineStr">
        <is>
          <t>جدول استاد</t>
        </is>
      </c>
      <c r="B44" s="56" t="inlineStr">
        <is>
          <t>D8</t>
        </is>
      </c>
      <c r="C44" s="56" t="inlineStr">
        <is>
          <t>23</t>
        </is>
      </c>
      <c r="D44" s="56" t="inlineStr">
        <is>
          <t>='CR1A v39'!B39</t>
        </is>
      </c>
      <c r="E44" s="56" t="inlineStr">
        <is>
          <t>همگام سازی CR1A با پوشش محافظه کارانه؛ فرمول مرجع واحد</t>
        </is>
      </c>
    </row>
    <row r="45" ht="94" customHeight="1" s="76">
      <c r="A45" s="57" t="inlineStr">
        <is>
          <t>جدول استاد</t>
        </is>
      </c>
      <c r="B45" s="57" t="inlineStr">
        <is>
          <t>E8</t>
        </is>
      </c>
      <c r="C45" s="57" t="inlineStr">
        <is>
          <t>30</t>
        </is>
      </c>
      <c r="D45" s="57" t="inlineStr">
        <is>
          <t>='CR1A v39'!B44</t>
        </is>
      </c>
      <c r="E45" s="57" t="inlineStr">
        <is>
          <t>همگام سازی CR1A با پوشش محافظه کارانه؛ فرمول مرجع واحد</t>
        </is>
      </c>
    </row>
    <row r="46" ht="94" customHeight="1" s="76">
      <c r="A46" s="56" t="inlineStr">
        <is>
          <t>جدول استاد</t>
        </is>
      </c>
      <c r="B46" s="56" t="inlineStr">
        <is>
          <t>M8</t>
        </is>
      </c>
      <c r="C46" s="56" t="inlineStr">
        <is>
          <t>جهت کیفی روشن ندارد و سه تعارض</t>
        </is>
      </c>
      <c r="D46" s="56" t="inlineStr">
        <is>
          <t>۲۷ کد موجود؛ ۲۶ بدون تعارض باز ثبت شده؛ فملی نیازمند بررسی و سه شرکت نامشخص</t>
        </is>
      </c>
      <c r="E46" s="56" t="inlineStr">
        <is>
          <t>رفع عدم همگامی CR1A؛ حفظ محدودیت شواهد و کنترل جهت کیفیت</t>
        </is>
      </c>
    </row>
    <row r="47" ht="94" customHeight="1" s="76">
      <c r="A47" s="57" t="inlineStr">
        <is>
          <t>جدول استاد</t>
        </is>
      </c>
      <c r="B47" s="57" t="inlineStr">
        <is>
          <t>O8</t>
        </is>
      </c>
      <c r="C47" s="57" t="inlineStr">
        <is>
          <t>v22/v35 + Audit Cutoff</t>
        </is>
      </c>
      <c r="D47" s="57" t="inlineStr">
        <is>
          <t>CR1A v39؛ بازسازی سطح کرسی v38 و ممیزی های قبلی</t>
        </is>
      </c>
      <c r="E47" s="57" t="inlineStr">
        <is>
          <t>رفع عدم همگامی CR1A؛ حفظ محدودیت شواهد و کنترل جهت کیفیت</t>
        </is>
      </c>
    </row>
    <row r="48" ht="94" customHeight="1" s="76">
      <c r="A48" s="56" t="inlineStr">
        <is>
          <t>جدول استاد</t>
        </is>
      </c>
      <c r="B48" s="56" t="inlineStr">
        <is>
          <t>P8</t>
        </is>
      </c>
      <c r="C48" s="56" t="inlineStr">
        <is>
          <t>NEEDS_CORRECTION</t>
        </is>
      </c>
      <c r="D48" s="56" t="inlineStr">
        <is>
          <t>NEEDS_SOURCE_REVIEW</t>
        </is>
      </c>
      <c r="E48" s="56" t="inlineStr">
        <is>
          <t>رفع عدم همگامی CR1A؛ حفظ محدودیت شواهد و کنترل جهت کیفیت</t>
        </is>
      </c>
    </row>
    <row r="49" ht="94" customHeight="1" s="76">
      <c r="A49" s="57" t="inlineStr">
        <is>
          <t>معماری به روز شده</t>
        </is>
      </c>
      <c r="B49" s="57" t="inlineStr">
        <is>
          <t>D11</t>
        </is>
      </c>
      <c r="C49" s="57" t="inlineStr">
        <is>
          <t>23</t>
        </is>
      </c>
      <c r="D49" s="57" t="inlineStr">
        <is>
          <t>='CR1A v39'!B39</t>
        </is>
      </c>
      <c r="E49" s="57" t="inlineStr">
        <is>
          <t>همگام سازی CR1A با پوشش محافظه کارانه؛ فرمول مرجع واحد</t>
        </is>
      </c>
    </row>
    <row r="50" ht="94" customHeight="1" s="76">
      <c r="A50" s="56" t="inlineStr">
        <is>
          <t>معماری به روز شده</t>
        </is>
      </c>
      <c r="B50" s="56" t="inlineStr">
        <is>
          <t>E11</t>
        </is>
      </c>
      <c r="C50" s="56" t="inlineStr">
        <is>
          <t>30</t>
        </is>
      </c>
      <c r="D50" s="56" t="inlineStr">
        <is>
          <t>='CR1A v39'!B44</t>
        </is>
      </c>
      <c r="E50" s="56" t="inlineStr">
        <is>
          <t>همگام سازی CR1A با پوشش محافظه کارانه؛ فرمول مرجع واحد</t>
        </is>
      </c>
    </row>
    <row r="51" ht="94" customHeight="1" s="76">
      <c r="A51" s="57" t="inlineStr">
        <is>
          <t>معماری به روز شده</t>
        </is>
      </c>
      <c r="B51" s="57" t="inlineStr">
        <is>
          <t>M11</t>
        </is>
      </c>
      <c r="C51" s="57" t="inlineStr">
        <is>
          <t>chronology رئیس</t>
        </is>
      </c>
      <c r="D51" s="57" t="inlineStr">
        <is>
          <t>مقایسه هویت رئیس در پنجره مشترک؛ پذیرش محافظه کارانه با محدودیت</t>
        </is>
      </c>
      <c r="E51" s="57" t="inlineStr">
        <is>
          <t>رفع عدم همگامی CR1A؛ حفظ محدودیت شواهد و کنترل جهت کیفیت</t>
        </is>
      </c>
    </row>
    <row r="52" ht="94" customHeight="1" s="76">
      <c r="A52" s="56" t="inlineStr">
        <is>
          <t>معماری به روز شده</t>
        </is>
      </c>
      <c r="B52" s="56" t="inlineStr">
        <is>
          <t>N11</t>
        </is>
      </c>
      <c r="C52" s="56" t="inlineStr">
        <is>
          <t>v22/v35</t>
        </is>
      </c>
      <c r="D52" s="56" t="inlineStr">
        <is>
          <t>CR1A v39؛ شواهد v38؛ بدون امتیازدهی کیفیت</t>
        </is>
      </c>
      <c r="E52" s="56" t="inlineStr">
        <is>
          <t>رفع عدم همگامی CR1A؛ حفظ محدودیت شواهد و کنترل جهت کیفیت</t>
        </is>
      </c>
    </row>
    <row r="53" ht="94" customHeight="1" s="76">
      <c r="A53" s="57" t="inlineStr">
        <is>
          <t>پوشش نهایی</t>
        </is>
      </c>
      <c r="B53" s="57" t="inlineStr">
        <is>
          <t>A9</t>
        </is>
      </c>
      <c r="C53" s="57" t="inlineStr">
        <is>
          <t>تغییر رئیس در مقایسه دو Snapshot</t>
        </is>
      </c>
      <c r="D53" s="57" t="inlineStr">
        <is>
          <t>تغییر رئیس؛ کل نمونه و پوشش محافظه کارانه</t>
        </is>
      </c>
      <c r="E53" s="57" t="inlineStr">
        <is>
          <t>تفکیک CR1A از مخرج مختص گردش نمایندگان</t>
        </is>
      </c>
    </row>
    <row r="54" ht="94" customHeight="1" s="76">
      <c r="A54" s="56" t="inlineStr">
        <is>
          <t>پوشش نهایی</t>
        </is>
      </c>
      <c r="B54" s="56" t="inlineStr">
        <is>
          <t>B9</t>
        </is>
      </c>
      <c r="C54" s="56" t="inlineStr">
        <is>
          <t>=COUNTIF('Turnover نهایی'!E4:E33,"بله")</t>
        </is>
      </c>
      <c r="D54" s="56" t="inlineStr">
        <is>
          <t>='CR1A v39'!B44</t>
        </is>
      </c>
      <c r="E54" s="56" t="inlineStr">
        <is>
          <t>پوشش CR1A روی تمام ۳۰ شرکت؛ داده نامشخص یا متعارض صفر نیست</t>
        </is>
      </c>
    </row>
    <row r="55" ht="94" customHeight="1" s="76">
      <c r="A55" s="57" t="inlineStr">
        <is>
          <t>پوشش نهایی</t>
        </is>
      </c>
      <c r="B55" s="57" t="inlineStr">
        <is>
          <t>C9</t>
        </is>
      </c>
      <c r="C55" s="57" t="inlineStr">
        <is>
          <t>=COUNTIFS('Turnover نهایی'!E4:E33,"بله",'Turnover نهایی'!V4:V33,"&lt;&gt;نامشخص")</t>
        </is>
      </c>
      <c r="D55" s="57" t="inlineStr">
        <is>
          <t>='CR1A v39'!B39</t>
        </is>
      </c>
      <c r="E55" s="57" t="inlineStr">
        <is>
          <t>پوشش CR1A روی تمام ۳۰ شرکت؛ داده نامشخص یا متعارض صفر نیست</t>
        </is>
      </c>
    </row>
    <row r="56" ht="94" customHeight="1" s="76">
      <c r="A56" s="56" t="inlineStr">
        <is>
          <t>پوشش نهایی</t>
        </is>
      </c>
      <c r="B56" s="56" t="inlineStr">
        <is>
          <t>E9</t>
        </is>
      </c>
      <c r="C56" s="56" t="inlineStr">
        <is>
          <t>=COUNTIF('Turnover نهایی'!X4:X33,"خارج از مخرج پایلوت")</t>
        </is>
      </c>
      <c r="D56" s="56" t="inlineStr">
        <is>
          <t>0</t>
        </is>
      </c>
      <c r="E56" s="56" t="inlineStr">
        <is>
          <t>پوشش CR1A روی تمام ۳۰ شرکت؛ داده نامشخص یا متعارض صفر نیست</t>
        </is>
      </c>
    </row>
    <row r="57" ht="94" customHeight="1" s="76">
      <c r="A57" s="57" t="inlineStr">
        <is>
          <t>پوشش نهایی</t>
        </is>
      </c>
      <c r="B57" s="57" t="inlineStr">
        <is>
          <t>F9</t>
        </is>
      </c>
      <c r="C57" s="57" t="inlineStr">
        <is>
          <t>=COUNTIFS('Turnover نهایی'!E4:E33,"بله",'Turnover نهایی'!V4:V33,"نامشخص")</t>
        </is>
      </c>
      <c r="D57" s="57" t="inlineStr">
        <is>
          <t>='CR1A v39'!B50</t>
        </is>
      </c>
      <c r="E57" s="57" t="inlineStr">
        <is>
          <t>پوشش CR1A روی تمام ۳۰ شرکت؛ داده نامشخص یا متعارض صفر نیست</t>
        </is>
      </c>
    </row>
    <row r="58" ht="94" customHeight="1" s="76">
      <c r="A58" s="56" t="inlineStr">
        <is>
          <t>پوشش نهایی</t>
        </is>
      </c>
      <c r="B58" s="56" t="inlineStr">
        <is>
          <t>K9</t>
        </is>
      </c>
      <c r="C58" s="56" t="inlineStr">
        <is>
          <t>CR1A اصلی قبلا با chronology کامل ۳۰ از ۳۰ پوشش دارد</t>
        </is>
      </c>
      <c r="D58" s="56" t="inlineStr">
        <is>
          <t>۲۷ کد عددی موجود؛ ۲۶ بدون تعارض باز ثبت شده و چهار مورد خارج از مجموعه محافظه کارانه</t>
        </is>
      </c>
      <c r="E58" s="56" t="inlineStr">
        <is>
          <t>حذف ادعای قدیمی و ناسازگار پوشش ۳۰ از ۳۰ برای CR1A</t>
        </is>
      </c>
    </row>
    <row r="59" ht="94" customHeight="1" s="76">
      <c r="A59" s="57" t="inlineStr">
        <is>
          <t>پوشش نهایی</t>
        </is>
      </c>
      <c r="B59" s="57" t="inlineStr">
        <is>
          <t>L9</t>
        </is>
      </c>
      <c r="C59" s="57" t="inlineStr">
        <is>
          <t>تغییر رئیس در دو Snapshot فقط برای شرکت های واجد شرایط Turnover در این جدول شمرده می شود؛ CR1A اصلی از chronology کامل فاز قبلی آمده است.</t>
        </is>
      </c>
      <c r="D59" s="57" t="inlineStr">
        <is>
          <t>سه نامشخص: رمپنا، وپاسار، حکشتی؛ یک تعارض: فملی. شرکت فاقد کرسی حقوقی نیز می تواند تغییر رئیس داشته باشد.</t>
        </is>
      </c>
      <c r="E59" s="57" t="inlineStr">
        <is>
          <t>مخرج تغییر رئیس مستقل از قابلیت اعمال REF08 است</t>
        </is>
      </c>
    </row>
    <row r="60" ht="94" customHeight="1" s="76">
      <c r="A60" s="56" t="inlineStr">
        <is>
          <t>پوشش نهایی</t>
        </is>
      </c>
      <c r="B60" s="56" t="inlineStr">
        <is>
          <t>M9</t>
        </is>
      </c>
      <c r="C60" s="56" t="inlineStr">
        <is>
          <t>Turnover نهایی و وضعیت ۳۰ شرکت</t>
        </is>
      </c>
      <c r="D60" s="56" t="inlineStr">
        <is>
          <t>CR1A v39؛ ستون های C و F و جدول جمع بندی</t>
        </is>
      </c>
      <c r="E60" s="56" t="inlineStr">
        <is>
          <t>ردیابی منبع محاسبه</t>
        </is>
      </c>
    </row>
    <row r="61" ht="94" customHeight="1" s="76">
      <c r="A61" s="57" t="inlineStr">
        <is>
          <t>۱۲ شاخص اصلی BSI</t>
        </is>
      </c>
      <c r="B61" s="57" t="inlineStr">
        <is>
          <t>G12</t>
        </is>
      </c>
      <c r="C61" s="57" t="inlineStr">
        <is>
          <t>۳۰/۳۰ (مقطعی)</t>
        </is>
      </c>
      <c r="D61" s="57" t="inlineStr">
        <is>
          <t>CR1A: ۲۶ از ۳۰ محافظه کارانه؛ ۲۷ کد موجود. CR1B در v39 بازبینی نشد.</t>
        </is>
      </c>
      <c r="E61" s="57" t="inlineStr">
        <is>
          <t>پوشش مقطعی قدیمی نباید پوشش تغییر رئیس تفسیر شود</t>
        </is>
      </c>
    </row>
    <row r="62" ht="94" customHeight="1" s="76">
      <c r="A62" s="56" t="inlineStr">
        <is>
          <t>چک لیست نهایی</t>
        </is>
      </c>
      <c r="B62" s="56" t="inlineStr">
        <is>
          <t>A4</t>
        </is>
      </c>
      <c r="C62" s="56" t="inlineStr">
        <is>
          <t>Verified turnover</t>
        </is>
      </c>
      <c r="D62" s="56" t="inlineStr">
        <is>
          <t>پوشش عددی گردش اعضا</t>
        </is>
      </c>
      <c r="E62" s="56" t="inlineStr">
        <is>
          <t>واژه تاییدشده نباید صرفا از وجود عدد نتیجه گرفته شود</t>
        </is>
      </c>
    </row>
    <row r="63" ht="94" customHeight="1" s="76">
      <c r="A63" s="57" t="inlineStr">
        <is>
          <t>چک لیست نهایی</t>
        </is>
      </c>
      <c r="B63" s="57" t="inlineStr">
        <is>
          <t>B4</t>
        </is>
      </c>
      <c r="C63" s="57" t="inlineStr">
        <is>
          <t>تایید</t>
        </is>
      </c>
      <c r="D63" s="57" t="inlineStr">
        <is>
          <t>با محدودیت</t>
        </is>
      </c>
      <c r="E63" s="57" t="inlineStr">
        <is>
          <t>وتجارت همچنان نیازمند بررسی سند خروج است</t>
        </is>
      </c>
    </row>
    <row r="64" ht="94" customHeight="1" s="76">
      <c r="A64" s="56" t="inlineStr">
        <is>
          <t>چک لیست نهایی</t>
        </is>
      </c>
      <c r="B64" s="56" t="inlineStr">
        <is>
          <t>A12</t>
        </is>
      </c>
      <c r="C64" s="56" t="n"/>
      <c r="D64" s="56" t="inlineStr">
        <is>
          <t>محاسبه CR1A v39</t>
        </is>
      </c>
      <c r="E64" s="56" t="inlineStr">
        <is>
          <t>ثبت دامنه واقعی اجرای v39</t>
        </is>
      </c>
    </row>
    <row r="65" ht="94" customHeight="1" s="76">
      <c r="A65" s="57" t="inlineStr">
        <is>
          <t>چک لیست نهایی</t>
        </is>
      </c>
      <c r="B65" s="57" t="inlineStr">
        <is>
          <t>B12</t>
        </is>
      </c>
      <c r="C65" s="57" t="n"/>
      <c r="D65" s="57" t="inlineStr">
        <is>
          <t>انجام شد</t>
        </is>
      </c>
      <c r="E65" s="57" t="inlineStr">
        <is>
          <t>ثبت دامنه واقعی اجرای v39</t>
        </is>
      </c>
    </row>
    <row r="66" ht="94" customHeight="1" s="76">
      <c r="A66" s="56" t="inlineStr">
        <is>
          <t>چک لیست نهایی</t>
        </is>
      </c>
      <c r="B66" s="56" t="inlineStr">
        <is>
          <t>C12</t>
        </is>
      </c>
      <c r="C66" s="56" t="n"/>
      <c r="D66" s="56" t="inlineStr">
        <is>
          <t>۲۷ موجود؛ ۲۶ محافظه کارانه؛ سه نامشخص و یک تعارض</t>
        </is>
      </c>
      <c r="E66" s="56" t="inlineStr">
        <is>
          <t>ثبت دامنه واقعی اجرای v39</t>
        </is>
      </c>
    </row>
    <row r="67" ht="94" customHeight="1" s="76">
      <c r="A67" s="57" t="inlineStr">
        <is>
          <t>چک لیست نهایی</t>
        </is>
      </c>
      <c r="B67" s="57" t="inlineStr">
        <is>
          <t>D12</t>
        </is>
      </c>
      <c r="C67" s="57" t="n"/>
      <c r="D67" s="57" t="inlineStr">
        <is>
          <t>CR1A v39</t>
        </is>
      </c>
      <c r="E67" s="57" t="inlineStr">
        <is>
          <t>ثبت دامنه واقعی اجرای v39</t>
        </is>
      </c>
    </row>
    <row r="68" ht="94" customHeight="1" s="76">
      <c r="A68" s="56" t="inlineStr">
        <is>
          <t>چک لیست نهایی</t>
        </is>
      </c>
      <c r="B68" s="56" t="inlineStr">
        <is>
          <t>A13</t>
        </is>
      </c>
      <c r="C68" s="56" t="n"/>
      <c r="D68" s="56" t="inlineStr">
        <is>
          <t>حل سندی سه شرکت</t>
        </is>
      </c>
      <c r="E68" s="56" t="inlineStr">
        <is>
          <t>ثبت دامنه واقعی اجرای v39</t>
        </is>
      </c>
    </row>
    <row r="69" ht="94" customHeight="1" s="76">
      <c r="A69" s="57" t="inlineStr">
        <is>
          <t>چک لیست نهایی</t>
        </is>
      </c>
      <c r="B69" s="57" t="inlineStr">
        <is>
          <t>B13</t>
        </is>
      </c>
      <c r="C69" s="57" t="n"/>
      <c r="D69" s="57" t="inlineStr">
        <is>
          <t>کامل نشد</t>
        </is>
      </c>
      <c r="E69" s="57" t="inlineStr">
        <is>
          <t>ثبت دامنه واقعی اجرای v39</t>
        </is>
      </c>
    </row>
    <row r="70" ht="94" customHeight="1" s="76">
      <c r="A70" s="56" t="inlineStr">
        <is>
          <t>چک لیست نهایی</t>
        </is>
      </c>
      <c r="B70" s="56" t="inlineStr">
        <is>
          <t>C13</t>
        </is>
      </c>
      <c r="C70" s="56" t="n"/>
      <c r="D70" s="56" t="inlineStr">
        <is>
          <t>وتجارت، وپاسار و حکشتی با محدودیت صریح باقی مانده اند.</t>
        </is>
      </c>
      <c r="E70" s="56" t="inlineStr">
        <is>
          <t>ثبت دامنه واقعی اجرای v39</t>
        </is>
      </c>
    </row>
    <row r="71" ht="94" customHeight="1" s="76">
      <c r="A71" s="57" t="inlineStr">
        <is>
          <t>چک لیست نهایی</t>
        </is>
      </c>
      <c r="B71" s="57" t="inlineStr">
        <is>
          <t>D13</t>
        </is>
      </c>
      <c r="C71" s="57" t="n"/>
      <c r="D71" s="57" t="inlineStr">
        <is>
          <t>Gap Review v39</t>
        </is>
      </c>
      <c r="E71" s="57" t="inlineStr">
        <is>
          <t>ثبت دامنه واقعی اجرای v39</t>
        </is>
      </c>
    </row>
    <row r="72" ht="94" customHeight="1" s="76">
      <c r="A72" s="56" t="inlineStr">
        <is>
          <t>چک لیست نهایی</t>
        </is>
      </c>
      <c r="B72" s="56" t="inlineStr">
        <is>
          <t>A14</t>
        </is>
      </c>
      <c r="C72" s="56" t="n"/>
      <c r="D72" s="56" t="inlineStr">
        <is>
          <t>کنترل فرمول و ذخیره نتیجه</t>
        </is>
      </c>
      <c r="E72" s="56" t="inlineStr">
        <is>
          <t>ثبت دامنه واقعی اجرای v39</t>
        </is>
      </c>
    </row>
    <row r="73" ht="94" customHeight="1" s="76">
      <c r="A73" s="57" t="inlineStr">
        <is>
          <t>چک لیست نهایی</t>
        </is>
      </c>
      <c r="B73" s="57" t="inlineStr">
        <is>
          <t>B14</t>
        </is>
      </c>
      <c r="C73" s="57" t="n"/>
      <c r="D73" s="57" t="inlineStr">
        <is>
          <t>انجام شد</t>
        </is>
      </c>
      <c r="E73" s="57" t="inlineStr">
        <is>
          <t>ثبت دامنه واقعی اجرای v39</t>
        </is>
      </c>
    </row>
    <row r="74" ht="94" customHeight="1" s="76">
      <c r="A74" s="56" t="inlineStr">
        <is>
          <t>چک لیست نهایی</t>
        </is>
      </c>
      <c r="B74" s="56" t="inlineStr">
        <is>
          <t>C14</t>
        </is>
      </c>
      <c r="C74" s="56" t="n"/>
      <c r="D74" s="56" t="inlineStr">
        <is>
          <t>فرمول ها بازمحاسبه و نتیجه ذخیره شد؛ خطای محاسباتی صفر. موارد دارای ورودی متنی تاریخی همچنان با پرچم باز هستند.</t>
        </is>
      </c>
      <c r="E74" s="56" t="inlineStr">
        <is>
          <t>ثبت دامنه واقعی اجرای v39</t>
        </is>
      </c>
    </row>
    <row r="75" ht="94" customHeight="1" s="76">
      <c r="A75" s="57" t="inlineStr">
        <is>
          <t>چک لیست نهایی</t>
        </is>
      </c>
      <c r="B75" s="57" t="inlineStr">
        <is>
          <t>D14</t>
        </is>
      </c>
      <c r="C75" s="57" t="n"/>
      <c r="D75" s="57" t="inlineStr">
        <is>
          <t>QA v39</t>
        </is>
      </c>
      <c r="E75" s="57" t="inlineStr">
        <is>
          <t>ثبت دامنه واقعی اجرای v39</t>
        </is>
      </c>
    </row>
    <row r="76" ht="94" customHeight="1" s="76">
      <c r="A76" s="56" t="inlineStr">
        <is>
          <t>خلاصه ممیزی</t>
        </is>
      </c>
      <c r="B76" s="56" t="inlineStr">
        <is>
          <t>B5</t>
        </is>
      </c>
      <c r="C76" s="56" t="inlineStr">
        <is>
          <t>=SUMPRODUCT(1/COUNTIF('Audit شرکت ها'!B4:B33,'Audit شرکت ها'!B4:B33))</t>
        </is>
      </c>
      <c r="D76" s="56" t="inlineStr">
        <is>
          <t>='CR1A v39'!B49</t>
        </is>
      </c>
      <c r="E76" s="56" t="inlineStr">
        <is>
          <t>بازنویسی کنترل یکتایی با COUNTIF تجمعی و SUM؛ بدون فرمول آرایه ای و با همان نتیجه ۳۰ شرکت</t>
        </is>
      </c>
    </row>
    <row r="77" ht="94" customHeight="1" s="76">
      <c r="A77" s="57" t="inlineStr">
        <is>
          <t>Audit Measureها</t>
        </is>
      </c>
      <c r="B77" s="57" t="inlineStr">
        <is>
          <t>D8</t>
        </is>
      </c>
      <c r="C77" s="57" t="inlineStr">
        <is>
          <t>NEEDS_CORRECTION</t>
        </is>
      </c>
      <c r="D77" s="57" t="inlineStr">
        <is>
          <t>NEEDS_SOURCE_REVIEW</t>
        </is>
      </c>
      <c r="E77" s="57" t="inlineStr">
        <is>
          <t>رفع عدم همگامی CR1A؛ حفظ محدودیت شواهد و کنترل جهت کیفیت</t>
        </is>
      </c>
    </row>
    <row r="78" ht="94" customHeight="1" s="76">
      <c r="A78" s="56" t="inlineStr">
        <is>
          <t>Audit Measureها</t>
        </is>
      </c>
      <c r="B78" s="56" t="inlineStr">
        <is>
          <t>G8</t>
        </is>
      </c>
      <c r="C78" s="56" t="inlineStr">
        <is>
          <t>پوشش قطعی ۲۳/۳۰؛ تعارض سه شرکت</t>
        </is>
      </c>
      <c r="D78" s="56" t="inlineStr">
        <is>
          <t>۲۶ از ۳۰ بدون تعارض باز ثبت شده؛ ۲۷ کد خام؛ یک تعارض فملی و سه نامشخص</t>
        </is>
      </c>
      <c r="E78" s="56" t="inlineStr">
        <is>
          <t>رفع عدم همگامی CR1A؛ حفظ محدودیت شواهد و کنترل جهت کیفیت</t>
        </is>
      </c>
    </row>
    <row r="79" ht="94" customHeight="1" s="76">
      <c r="A79" s="57" t="inlineStr">
        <is>
          <t>Audit Measureها</t>
        </is>
      </c>
      <c r="B79" s="57" t="inlineStr">
        <is>
          <t>H8</t>
        </is>
      </c>
      <c r="C79" s="57" t="inlineStr">
        <is>
          <t>v22/v35 ستون تغییر رئیس</t>
        </is>
      </c>
      <c r="D79" s="57" t="inlineStr">
        <is>
          <t>CR1A v39؛ ستون V فایل v38 و بازسازی سطح کرسی</t>
        </is>
      </c>
      <c r="E79" s="57" t="inlineStr">
        <is>
          <t>رفع عدم همگامی CR1A؛ حفظ محدودیت شواهد و کنترل جهت کیفیت</t>
        </is>
      </c>
    </row>
    <row r="80" ht="94" customHeight="1" s="76">
      <c r="A80" s="56" t="inlineStr">
        <is>
          <t>Audit Measureها</t>
        </is>
      </c>
      <c r="B80" s="56" t="inlineStr">
        <is>
          <t>I8</t>
        </is>
      </c>
      <c r="C80" s="56" t="inlineStr">
        <is>
          <t>Source_ID در Audit منابع؛ مقدار per-firm غیرتوروور در v35 hardcode است</t>
        </is>
      </c>
      <c r="D80" s="56" t="inlineStr">
        <is>
          <t>بازمحاسبه v39 انجام شد؛ اعتبار شواهد قبلی با محدودیت حفظ شده و بازخوانی مستقل همه منابع ادعا نمی شود.</t>
        </is>
      </c>
      <c r="E80" s="56" t="inlineStr">
        <is>
          <t>رفع عدم همگامی CR1A؛ حفظ محدودیت شواهد و کنترل جهت کیفیت</t>
        </is>
      </c>
    </row>
    <row r="81" ht="94" customHeight="1" s="76">
      <c r="A81" s="57" t="inlineStr">
        <is>
          <t>Audit فرمول ها</t>
        </is>
      </c>
      <c r="B81" s="57" t="inlineStr">
        <is>
          <t>H10</t>
        </is>
      </c>
      <c r="C81" s="57" t="inlineStr">
        <is>
          <t>تعارض فملی/تاپیکو/کچاد</t>
        </is>
      </c>
      <c r="D81" s="57" t="inlineStr">
        <is>
          <t>تعارض تاپیکو و کچاد با بازسازی v38 رفع شد؛ تعارض فملی باز است؛ حساسیت جم به تاریخ انتشار حفظ شد.</t>
        </is>
      </c>
      <c r="E81" s="57" t="inlineStr">
        <is>
          <t>رفع عدم همگامی CR1A؛ حفظ محدودیت شواهد و کنترل جهت کیفیت</t>
        </is>
      </c>
    </row>
    <row r="82" ht="94" customHeight="1" s="76">
      <c r="A82" s="56" t="inlineStr">
        <is>
          <t>Audit فرمول ها</t>
        </is>
      </c>
      <c r="B82" s="56" t="inlineStr">
        <is>
          <t>I10</t>
        </is>
      </c>
      <c r="C82" s="56" t="inlineStr">
        <is>
          <t>NEEDS_CORRECTION</t>
        </is>
      </c>
      <c r="D82" s="56" t="inlineStr">
        <is>
          <t>CALCULATION_UPDATED_SOURCE_REVIEW_OPEN</t>
        </is>
      </c>
      <c r="E82" s="56" t="inlineStr">
        <is>
          <t>رفع عدم همگامی CR1A؛ حفظ محدودیت شواهد و کنترل جهت کیفیت</t>
        </is>
      </c>
    </row>
    <row r="83" ht="94" customHeight="1" s="76">
      <c r="A83" s="57" t="inlineStr">
        <is>
          <t>Audit فرمول ها</t>
        </is>
      </c>
      <c r="B83" s="57" t="inlineStr">
        <is>
          <t>J10</t>
        </is>
      </c>
      <c r="C83" s="57" t="inlineStr">
        <is>
          <t>Iran_BSI_v35 | راهنمای محاسبات و منابع</t>
        </is>
      </c>
      <c r="D83" s="57" t="inlineStr">
        <is>
          <t>CR1A v39؛ مقایسه نام رئیس و لینک مستقیم به ورودی v38</t>
        </is>
      </c>
      <c r="E83" s="57" t="inlineStr">
        <is>
          <t>رفع عدم همگامی CR1A؛ حفظ محدودیت شواهد و کنترل جهت کیفیت</t>
        </is>
      </c>
    </row>
    <row r="84" ht="94" customHeight="1" s="76">
      <c r="A84" s="56" t="inlineStr">
        <is>
          <t>Audit Missingness</t>
        </is>
      </c>
      <c r="B84" s="56" t="inlineStr">
        <is>
          <t>B10</t>
        </is>
      </c>
      <c r="C84" s="56" t="inlineStr">
        <is>
          <t>0</t>
        </is>
      </c>
      <c r="D84" s="56" t="inlineStr">
        <is>
          <t>=COUNTIFS('CR1A v39'!E4:E33,"بله",'CR1A v39'!F4:F33,0)</t>
        </is>
      </c>
      <c r="E84" s="56" t="inlineStr">
        <is>
          <t>دلایل نبود داده CR1A از ممیزی ردیفی v39؛ صفر واقعی جدا</t>
        </is>
      </c>
    </row>
    <row r="85" ht="94" customHeight="1" s="76">
      <c r="A85" s="57" t="inlineStr">
        <is>
          <t>Audit Missingness</t>
        </is>
      </c>
      <c r="B85" s="57" t="inlineStr">
        <is>
          <t>D10</t>
        </is>
      </c>
      <c r="C85" s="57" t="inlineStr">
        <is>
          <t>0</t>
        </is>
      </c>
      <c r="D85" s="57" t="inlineStr">
        <is>
          <t>=COUNTIF('CR1A v39'!M4:M33,"COULD_NOT_VERIFY")</t>
        </is>
      </c>
      <c r="E85" s="57" t="inlineStr">
        <is>
          <t>دلایل نبود داده CR1A از ممیزی ردیفی v39؛ صفر واقعی جدا</t>
        </is>
      </c>
    </row>
    <row r="86" ht="94" customHeight="1" s="76">
      <c r="A86" s="56" t="inlineStr">
        <is>
          <t>Audit Missingness</t>
        </is>
      </c>
      <c r="B86" s="56" t="inlineStr">
        <is>
          <t>F10</t>
        </is>
      </c>
      <c r="C86" s="56" t="inlineStr">
        <is>
          <t>7</t>
        </is>
      </c>
      <c r="D86" s="56" t="inlineStr">
        <is>
          <t>=COUNTIF('CR1A v39'!M4:M33,"INSUFFICIENT_EVIDENCE")</t>
        </is>
      </c>
      <c r="E86" s="56" t="inlineStr">
        <is>
          <t>دلایل نبود داده CR1A از ممیزی ردیفی v39؛ صفر واقعی جدا</t>
        </is>
      </c>
    </row>
    <row r="87" ht="94" customHeight="1" s="76">
      <c r="A87" s="57" t="inlineStr">
        <is>
          <t>Audit Missingness</t>
        </is>
      </c>
      <c r="B87" s="57" t="inlineStr">
        <is>
          <t>G10</t>
        </is>
      </c>
      <c r="C87" s="57" t="inlineStr">
        <is>
          <t>0</t>
        </is>
      </c>
      <c r="D87" s="57" t="inlineStr">
        <is>
          <t>=COUNTIF('CR1A v39'!M4:M33,"DOCUMENT_MISSING")</t>
        </is>
      </c>
      <c r="E87" s="57" t="inlineStr">
        <is>
          <t>دلایل نبود داده CR1A از ممیزی ردیفی v39؛ صفر واقعی جدا</t>
        </is>
      </c>
    </row>
    <row r="88" ht="94" customHeight="1" s="76">
      <c r="A88" s="56" t="inlineStr">
        <is>
          <t>Audit Missingness</t>
        </is>
      </c>
      <c r="B88" s="56" t="inlineStr">
        <is>
          <t>I10</t>
        </is>
      </c>
      <c r="C88" s="56" t="inlineStr">
        <is>
          <t>0</t>
        </is>
      </c>
      <c r="D88" s="56" t="inlineStr">
        <is>
          <t>=COUNTIF('CR1A v39'!M4:M33,"PERSON_LEVEL_UNAVAILABLE")</t>
        </is>
      </c>
      <c r="E88" s="56" t="inlineStr">
        <is>
          <t>دلایل نبود داده CR1A از ممیزی ردیفی v39؛ صفر واقعی جدا</t>
        </is>
      </c>
    </row>
    <row r="89" ht="94" customHeight="1" s="76">
      <c r="A89" s="57" t="inlineStr">
        <is>
          <t>Audit Missingness</t>
        </is>
      </c>
      <c r="B89" s="57" t="inlineStr">
        <is>
          <t>K10</t>
        </is>
      </c>
      <c r="C89" s="57" t="inlineStr">
        <is>
          <t>Missing هرگز به صفر تبدیل نشد؛ TRUE_ZERO فقط با شواهد صریح</t>
        </is>
      </c>
      <c r="D89" s="57" t="inlineStr">
        <is>
          <t>۱۲ صفر واقعی در مجموعه محافظه کارانه؛ یک تعارض فملی و سه نامشخص. جمع ستون J شامل صفرهای واقعی و علل نبود داده است، نه فقط تعداد داده گمشده.</t>
        </is>
      </c>
      <c r="E89" s="57" t="inlineStr">
        <is>
          <t>شفاف سازی طبقات بدون تبدیل فقدان به صفر</t>
        </is>
      </c>
    </row>
    <row r="90" ht="94" customHeight="1" s="76">
      <c r="A90" s="56" t="inlineStr">
        <is>
          <t>Audit Coverage</t>
        </is>
      </c>
      <c r="B90" s="56" t="inlineStr">
        <is>
          <t>A2</t>
        </is>
      </c>
      <c r="C90" s="56" t="inlineStr">
        <is>
          <t>پوشش v35 در برابر پوشش بازتولیدشده؛ هر دو مبنا گزارش می‌شود. Missing به صفر تبدیل نشده است.</t>
        </is>
      </c>
      <c r="D90" s="56" t="inlineStr">
        <is>
          <t>ردیف CR1A در v39 همگام شد. سایر ردیف های ممیزی با تاریخچه قبلی حفظ شده اند. ستون B در فایل مبنا متن دارد و محاسبات تاریخی آن تا بازیابی عدد معتبر خالی می مانند.</t>
        </is>
      </c>
      <c r="E90" s="56" t="inlineStr">
        <is>
          <t>تفکیک ممیزی تاریخی از اصلاح فعلی و نمایش علت فقدان محاسبه</t>
        </is>
      </c>
    </row>
    <row r="91" ht="94" customHeight="1" s="76">
      <c r="A91" s="57" t="inlineStr">
        <is>
          <t>Audit Coverage</t>
        </is>
      </c>
      <c r="B91" s="57" t="inlineStr">
        <is>
          <t>M3</t>
        </is>
      </c>
      <c r="C91" s="57" t="n"/>
      <c r="D91" s="57" t="inlineStr">
        <is>
          <t>کنترل ورودی تاریخی</t>
        </is>
      </c>
      <c r="E91" s="57" t="inlineStr">
        <is>
          <t>افزودن پرچم صریح برای اعداد تاریخی بازیابی نشده</t>
        </is>
      </c>
    </row>
    <row r="92" ht="94" customHeight="1" s="76">
      <c r="A92" s="56" t="inlineStr">
        <is>
          <t>Audit Coverage</t>
        </is>
      </c>
      <c r="B92" s="56" t="inlineStr">
        <is>
          <t>D4</t>
        </is>
      </c>
      <c r="C92" s="56" t="inlineStr">
        <is>
          <t>=B4/C4</t>
        </is>
      </c>
      <c r="D92" s="56" t="inlineStr">
        <is>
          <t>=IF(AND(ISNUMBER(B4),ISNUMBER(C4),C4&gt;0),B4/C4,"")</t>
        </is>
      </c>
      <c r="E92" s="56" t="inlineStr">
        <is>
          <t>در v38 ستون B برخلاف سرستون دارای عنوان متنی است؛ تا بازیابی عدد تاریخی، محاسبه نامعتبر خالی و علامت گذاری می شود. عدد حدسی جایگزین نشد.</t>
        </is>
      </c>
    </row>
    <row r="93" ht="94" customHeight="1" s="76">
      <c r="A93" s="57" t="inlineStr">
        <is>
          <t>Audit Coverage</t>
        </is>
      </c>
      <c r="B93" s="57" t="inlineStr">
        <is>
          <t>E4</t>
        </is>
      </c>
      <c r="C93" s="57" t="inlineStr">
        <is>
          <t>=B4/30</t>
        </is>
      </c>
      <c r="D93" s="57" t="inlineStr">
        <is>
          <t>=IF(ISNUMBER(B4),B4/30,"")</t>
        </is>
      </c>
      <c r="E93" s="57" t="inlineStr">
        <is>
          <t>در v38 ستون B برخلاف سرستون دارای عنوان متنی است؛ تا بازیابی عدد تاریخی، محاسبه نامعتبر خالی و علامت گذاری می شود. عدد حدسی جایگزین نشد.</t>
        </is>
      </c>
    </row>
    <row r="94" ht="94" customHeight="1" s="76">
      <c r="A94" s="56" t="inlineStr">
        <is>
          <t>Audit Coverage</t>
        </is>
      </c>
      <c r="B94" s="56" t="inlineStr">
        <is>
          <t>J4</t>
        </is>
      </c>
      <c r="C94" s="56" t="inlineStr">
        <is>
          <t>=F4-B4</t>
        </is>
      </c>
      <c r="D94" s="56" t="inlineStr">
        <is>
          <t>=IF(AND(ISNUMBER(F4),ISNUMBER(B4)),F4-B4,"")</t>
        </is>
      </c>
      <c r="E94" s="56" t="inlineStr">
        <is>
          <t>در v38 ستون B برخلاف سرستون دارای عنوان متنی است؛ تا بازیابی عدد تاریخی، محاسبه نامعتبر خالی و علامت گذاری می شود. عدد حدسی جایگزین نشد.</t>
        </is>
      </c>
    </row>
    <row r="95" ht="94" customHeight="1" s="76">
      <c r="A95" s="57" t="inlineStr">
        <is>
          <t>Audit Coverage</t>
        </is>
      </c>
      <c r="B95" s="57" t="inlineStr">
        <is>
          <t>M4</t>
        </is>
      </c>
      <c r="C95" s="57" t="n"/>
      <c r="D95" s="57" t="inlineStr">
        <is>
          <t>BASELINE_COUNT_NOT_NUMERIC</t>
        </is>
      </c>
      <c r="E95" s="57" t="inlineStr">
        <is>
          <t>خطای طرح داده ورودی گزارش شد؛ فرمول های محافظت شده جایگزین خطای VALUE شدند.</t>
        </is>
      </c>
    </row>
    <row r="96" ht="94" customHeight="1" s="76">
      <c r="A96" s="56" t="inlineStr">
        <is>
          <t>Audit Coverage</t>
        </is>
      </c>
      <c r="B96" s="56" t="inlineStr">
        <is>
          <t>D5</t>
        </is>
      </c>
      <c r="C96" s="56" t="inlineStr">
        <is>
          <t>=B5/C5</t>
        </is>
      </c>
      <c r="D96" s="56" t="inlineStr">
        <is>
          <t>=IF(AND(ISNUMBER(B5),ISNUMBER(C5),C5&gt;0),B5/C5,"")</t>
        </is>
      </c>
      <c r="E96" s="56" t="inlineStr">
        <is>
          <t>در v38 ستون B برخلاف سرستون دارای عنوان متنی است؛ تا بازیابی عدد تاریخی، محاسبه نامعتبر خالی و علامت گذاری می شود. عدد حدسی جایگزین نشد.</t>
        </is>
      </c>
    </row>
    <row r="97" ht="94" customHeight="1" s="76">
      <c r="A97" s="57" t="inlineStr">
        <is>
          <t>Audit Coverage</t>
        </is>
      </c>
      <c r="B97" s="57" t="inlineStr">
        <is>
          <t>E5</t>
        </is>
      </c>
      <c r="C97" s="57" t="inlineStr">
        <is>
          <t>=B5/30</t>
        </is>
      </c>
      <c r="D97" s="57" t="inlineStr">
        <is>
          <t>=IF(ISNUMBER(B5),B5/30,"")</t>
        </is>
      </c>
      <c r="E97" s="57" t="inlineStr">
        <is>
          <t>در v38 ستون B برخلاف سرستون دارای عنوان متنی است؛ تا بازیابی عدد تاریخی، محاسبه نامعتبر خالی و علامت گذاری می شود. عدد حدسی جایگزین نشد.</t>
        </is>
      </c>
    </row>
    <row r="98" ht="94" customHeight="1" s="76">
      <c r="A98" s="56" t="inlineStr">
        <is>
          <t>Audit Coverage</t>
        </is>
      </c>
      <c r="B98" s="56" t="inlineStr">
        <is>
          <t>J5</t>
        </is>
      </c>
      <c r="C98" s="56" t="inlineStr">
        <is>
          <t>=F5-B5</t>
        </is>
      </c>
      <c r="D98" s="56" t="inlineStr">
        <is>
          <t>=IF(AND(ISNUMBER(F5),ISNUMBER(B5)),F5-B5,"")</t>
        </is>
      </c>
      <c r="E98" s="56" t="inlineStr">
        <is>
          <t>در v38 ستون B برخلاف سرستون دارای عنوان متنی است؛ تا بازیابی عدد تاریخی، محاسبه نامعتبر خالی و علامت گذاری می شود. عدد حدسی جایگزین نشد.</t>
        </is>
      </c>
    </row>
    <row r="99" ht="94" customHeight="1" s="76">
      <c r="A99" s="57" t="inlineStr">
        <is>
          <t>Audit Coverage</t>
        </is>
      </c>
      <c r="B99" s="57" t="inlineStr">
        <is>
          <t>M5</t>
        </is>
      </c>
      <c r="C99" s="57" t="n"/>
      <c r="D99" s="57" t="inlineStr">
        <is>
          <t>BASELINE_COUNT_NOT_NUMERIC</t>
        </is>
      </c>
      <c r="E99" s="57" t="inlineStr">
        <is>
          <t>خطای طرح داده ورودی گزارش شد؛ فرمول های محافظت شده جایگزین خطای VALUE شدند.</t>
        </is>
      </c>
    </row>
    <row r="100" ht="94" customHeight="1" s="76">
      <c r="A100" s="56" t="inlineStr">
        <is>
          <t>Audit Coverage</t>
        </is>
      </c>
      <c r="B100" s="56" t="inlineStr">
        <is>
          <t>D6</t>
        </is>
      </c>
      <c r="C100" s="56" t="inlineStr">
        <is>
          <t>=B6/C6</t>
        </is>
      </c>
      <c r="D100" s="56" t="inlineStr">
        <is>
          <t>=IF(AND(ISNUMBER(B6),ISNUMBER(C6),C6&gt;0),B6/C6,"")</t>
        </is>
      </c>
      <c r="E100" s="56" t="inlineStr">
        <is>
          <t>در v38 ستون B برخلاف سرستون دارای عنوان متنی است؛ تا بازیابی عدد تاریخی، محاسبه نامعتبر خالی و علامت گذاری می شود. عدد حدسی جایگزین نشد.</t>
        </is>
      </c>
    </row>
    <row r="101" ht="94" customHeight="1" s="76">
      <c r="A101" s="57" t="inlineStr">
        <is>
          <t>Audit Coverage</t>
        </is>
      </c>
      <c r="B101" s="57" t="inlineStr">
        <is>
          <t>E6</t>
        </is>
      </c>
      <c r="C101" s="57" t="inlineStr">
        <is>
          <t>=B6/30</t>
        </is>
      </c>
      <c r="D101" s="57" t="inlineStr">
        <is>
          <t>=IF(ISNUMBER(B6),B6/30,"")</t>
        </is>
      </c>
      <c r="E101" s="57" t="inlineStr">
        <is>
          <t>در v38 ستون B برخلاف سرستون دارای عنوان متنی است؛ تا بازیابی عدد تاریخی، محاسبه نامعتبر خالی و علامت گذاری می شود. عدد حدسی جایگزین نشد.</t>
        </is>
      </c>
    </row>
    <row r="102" ht="94" customHeight="1" s="76">
      <c r="A102" s="56" t="inlineStr">
        <is>
          <t>Audit Coverage</t>
        </is>
      </c>
      <c r="B102" s="56" t="inlineStr">
        <is>
          <t>J6</t>
        </is>
      </c>
      <c r="C102" s="56" t="inlineStr">
        <is>
          <t>=F6-B6</t>
        </is>
      </c>
      <c r="D102" s="56" t="inlineStr">
        <is>
          <t>=IF(AND(ISNUMBER(F6),ISNUMBER(B6)),F6-B6,"")</t>
        </is>
      </c>
      <c r="E102" s="56" t="inlineStr">
        <is>
          <t>در v38 ستون B برخلاف سرستون دارای عنوان متنی است؛ تا بازیابی عدد تاریخی، محاسبه نامعتبر خالی و علامت گذاری می شود. عدد حدسی جایگزین نشد.</t>
        </is>
      </c>
    </row>
    <row r="103" ht="94" customHeight="1" s="76">
      <c r="A103" s="57" t="inlineStr">
        <is>
          <t>Audit Coverage</t>
        </is>
      </c>
      <c r="B103" s="57" t="inlineStr">
        <is>
          <t>M6</t>
        </is>
      </c>
      <c r="C103" s="57" t="n"/>
      <c r="D103" s="57" t="inlineStr">
        <is>
          <t>BASELINE_COUNT_NOT_NUMERIC</t>
        </is>
      </c>
      <c r="E103" s="57" t="inlineStr">
        <is>
          <t>خطای طرح داده ورودی گزارش شد؛ فرمول های محافظت شده جایگزین خطای VALUE شدند.</t>
        </is>
      </c>
    </row>
    <row r="104" ht="94" customHeight="1" s="76">
      <c r="A104" s="56" t="inlineStr">
        <is>
          <t>Audit Coverage</t>
        </is>
      </c>
      <c r="B104" s="56" t="inlineStr">
        <is>
          <t>D7</t>
        </is>
      </c>
      <c r="C104" s="56" t="inlineStr">
        <is>
          <t>=B7/C7</t>
        </is>
      </c>
      <c r="D104" s="56" t="inlineStr">
        <is>
          <t>=IF(AND(ISNUMBER(B7),ISNUMBER(C7),C7&gt;0),B7/C7,"")</t>
        </is>
      </c>
      <c r="E104" s="56" t="inlineStr">
        <is>
          <t>در v38 ستون B برخلاف سرستون دارای عنوان متنی است؛ تا بازیابی عدد تاریخی، محاسبه نامعتبر خالی و علامت گذاری می شود. عدد حدسی جایگزین نشد.</t>
        </is>
      </c>
    </row>
    <row r="105" ht="94" customHeight="1" s="76">
      <c r="A105" s="57" t="inlineStr">
        <is>
          <t>Audit Coverage</t>
        </is>
      </c>
      <c r="B105" s="57" t="inlineStr">
        <is>
          <t>E7</t>
        </is>
      </c>
      <c r="C105" s="57" t="inlineStr">
        <is>
          <t>=B7/30</t>
        </is>
      </c>
      <c r="D105" s="57" t="inlineStr">
        <is>
          <t>=IF(ISNUMBER(B7),B7/30,"")</t>
        </is>
      </c>
      <c r="E105" s="57" t="inlineStr">
        <is>
          <t>در v38 ستون B برخلاف سرستون دارای عنوان متنی است؛ تا بازیابی عدد تاریخی، محاسبه نامعتبر خالی و علامت گذاری می شود. عدد حدسی جایگزین نشد.</t>
        </is>
      </c>
    </row>
    <row r="106" ht="94" customHeight="1" s="76">
      <c r="A106" s="56" t="inlineStr">
        <is>
          <t>Audit Coverage</t>
        </is>
      </c>
      <c r="B106" s="56" t="inlineStr">
        <is>
          <t>J7</t>
        </is>
      </c>
      <c r="C106" s="56" t="inlineStr">
        <is>
          <t>=F7-B7</t>
        </is>
      </c>
      <c r="D106" s="56" t="inlineStr">
        <is>
          <t>=IF(AND(ISNUMBER(F7),ISNUMBER(B7)),F7-B7,"")</t>
        </is>
      </c>
      <c r="E106" s="56" t="inlineStr">
        <is>
          <t>در v38 ستون B برخلاف سرستون دارای عنوان متنی است؛ تا بازیابی عدد تاریخی، محاسبه نامعتبر خالی و علامت گذاری می شود. عدد حدسی جایگزین نشد.</t>
        </is>
      </c>
    </row>
    <row r="107" ht="94" customHeight="1" s="76">
      <c r="A107" s="57" t="inlineStr">
        <is>
          <t>Audit Coverage</t>
        </is>
      </c>
      <c r="B107" s="57" t="inlineStr">
        <is>
          <t>M7</t>
        </is>
      </c>
      <c r="C107" s="57" t="n"/>
      <c r="D107" s="57" t="inlineStr">
        <is>
          <t>BASELINE_COUNT_NOT_NUMERIC</t>
        </is>
      </c>
      <c r="E107" s="57" t="inlineStr">
        <is>
          <t>خطای طرح داده ورودی گزارش شد؛ فرمول های محافظت شده جایگزین خطای VALUE شدند.</t>
        </is>
      </c>
    </row>
    <row r="108" ht="94" customHeight="1" s="76">
      <c r="A108" s="56" t="inlineStr">
        <is>
          <t>Audit Coverage</t>
        </is>
      </c>
      <c r="B108" s="56" t="inlineStr">
        <is>
          <t>D8</t>
        </is>
      </c>
      <c r="C108" s="56" t="inlineStr">
        <is>
          <t>=B8/C8</t>
        </is>
      </c>
      <c r="D108" s="56" t="inlineStr">
        <is>
          <t>=IF(AND(ISNUMBER(B8),ISNUMBER(C8),C8&gt;0),B8/C8,"")</t>
        </is>
      </c>
      <c r="E108" s="56" t="inlineStr">
        <is>
          <t>در v38 ستون B برخلاف سرستون دارای عنوان متنی است؛ تا بازیابی عدد تاریخی، محاسبه نامعتبر خالی و علامت گذاری می شود. عدد حدسی جایگزین نشد.</t>
        </is>
      </c>
    </row>
    <row r="109" ht="94" customHeight="1" s="76">
      <c r="A109" s="57" t="inlineStr">
        <is>
          <t>Audit Coverage</t>
        </is>
      </c>
      <c r="B109" s="57" t="inlineStr">
        <is>
          <t>E8</t>
        </is>
      </c>
      <c r="C109" s="57" t="inlineStr">
        <is>
          <t>=B8/30</t>
        </is>
      </c>
      <c r="D109" s="57" t="inlineStr">
        <is>
          <t>=IF(ISNUMBER(B8),B8/30,"")</t>
        </is>
      </c>
      <c r="E109" s="57" t="inlineStr">
        <is>
          <t>در v38 ستون B برخلاف سرستون دارای عنوان متنی است؛ تا بازیابی عدد تاریخی، محاسبه نامعتبر خالی و علامت گذاری می شود. عدد حدسی جایگزین نشد.</t>
        </is>
      </c>
    </row>
    <row r="110" ht="94" customHeight="1" s="76">
      <c r="A110" s="56" t="inlineStr">
        <is>
          <t>Audit Coverage</t>
        </is>
      </c>
      <c r="B110" s="56" t="inlineStr">
        <is>
          <t>F8</t>
        </is>
      </c>
      <c r="C110" s="56" t="inlineStr">
        <is>
          <t>23</t>
        </is>
      </c>
      <c r="D110" s="56" t="inlineStr">
        <is>
          <t>='CR1A v39'!B39</t>
        </is>
      </c>
      <c r="E110" s="56" t="inlineStr">
        <is>
          <t>همگام سازی CR1A با پوشش محافظه کارانه؛ فرمول مرجع واحد</t>
        </is>
      </c>
    </row>
    <row r="111" ht="94" customHeight="1" s="76">
      <c r="A111" s="57" t="inlineStr">
        <is>
          <t>Audit Coverage</t>
        </is>
      </c>
      <c r="B111" s="57" t="inlineStr">
        <is>
          <t>G8</t>
        </is>
      </c>
      <c r="C111" s="57" t="inlineStr">
        <is>
          <t>30</t>
        </is>
      </c>
      <c r="D111" s="57" t="inlineStr">
        <is>
          <t>='CR1A v39'!B44</t>
        </is>
      </c>
      <c r="E111" s="57" t="inlineStr">
        <is>
          <t>همگام سازی CR1A با پوشش محافظه کارانه؛ فرمول مرجع واحد</t>
        </is>
      </c>
    </row>
    <row r="112" ht="94" customHeight="1" s="76">
      <c r="A112" s="56" t="inlineStr">
        <is>
          <t>Audit Coverage</t>
        </is>
      </c>
      <c r="B112" s="56" t="inlineStr">
        <is>
          <t>J8</t>
        </is>
      </c>
      <c r="C112" s="56" t="inlineStr">
        <is>
          <t>=F8-B8</t>
        </is>
      </c>
      <c r="D112" s="56" t="inlineStr">
        <is>
          <t>=IF(AND(ISNUMBER(F8),ISNUMBER(B8)),F8-B8,"")</t>
        </is>
      </c>
      <c r="E112" s="56" t="inlineStr">
        <is>
          <t>در v38 ستون B برخلاف سرستون دارای عنوان متنی است؛ تا بازیابی عدد تاریخی، محاسبه نامعتبر خالی و علامت گذاری می شود. عدد حدسی جایگزین نشد.</t>
        </is>
      </c>
    </row>
    <row r="113" ht="94" customHeight="1" s="76">
      <c r="A113" s="57" t="inlineStr">
        <is>
          <t>Audit Coverage</t>
        </is>
      </c>
      <c r="B113" s="57" t="inlineStr">
        <is>
          <t>L8</t>
        </is>
      </c>
      <c r="C113" s="57" t="inlineStr">
        <is>
          <t>زنجیره زمانی رئیس در ۲۳ شرکت قطعی؛ تعارض فملی/تاپیکو/کچاد</t>
        </is>
      </c>
      <c r="D113" s="57" t="inlineStr">
        <is>
          <t>۲۶ از ۳۰ پوشش محافظه کارانه؛ ۲۷ کد موجود. یک تعارض فملی و سه نامشخص. این شمارش تایید مستقل جدید همه اسناد نیست.</t>
        </is>
      </c>
      <c r="E113" s="57" t="inlineStr">
        <is>
          <t>رفع عدم همگامی CR1A؛ حفظ محدودیت شواهد و کنترل جهت کیفیت</t>
        </is>
      </c>
    </row>
    <row r="114" ht="94" customHeight="1" s="76">
      <c r="A114" s="56" t="inlineStr">
        <is>
          <t>Audit Coverage</t>
        </is>
      </c>
      <c r="B114" s="56" t="inlineStr">
        <is>
          <t>M8</t>
        </is>
      </c>
      <c r="C114" s="56" t="n"/>
      <c r="D114" s="56" t="inlineStr">
        <is>
          <t>BASELINE_COUNT_NOT_NUMERIC</t>
        </is>
      </c>
      <c r="E114" s="56" t="inlineStr">
        <is>
          <t>خطای طرح داده ورودی گزارش شد؛ فرمول های محافظت شده جایگزین خطای VALUE شدند.</t>
        </is>
      </c>
    </row>
    <row r="115" ht="94" customHeight="1" s="76">
      <c r="A115" s="57" t="inlineStr">
        <is>
          <t>Audit Coverage</t>
        </is>
      </c>
      <c r="B115" s="57" t="inlineStr">
        <is>
          <t>D9</t>
        </is>
      </c>
      <c r="C115" s="57" t="inlineStr">
        <is>
          <t>=B9/C9</t>
        </is>
      </c>
      <c r="D115" s="57" t="inlineStr">
        <is>
          <t>=IF(AND(ISNUMBER(B9),ISNUMBER(C9),C9&gt;0),B9/C9,"")</t>
        </is>
      </c>
      <c r="E115" s="57" t="inlineStr">
        <is>
          <t>در v38 ستون B برخلاف سرستون دارای عنوان متنی است؛ تا بازیابی عدد تاریخی، محاسبه نامعتبر خالی و علامت گذاری می شود. عدد حدسی جایگزین نشد.</t>
        </is>
      </c>
    </row>
    <row r="116" ht="94" customHeight="1" s="76">
      <c r="A116" s="56" t="inlineStr">
        <is>
          <t>Audit Coverage</t>
        </is>
      </c>
      <c r="B116" s="56" t="inlineStr">
        <is>
          <t>E9</t>
        </is>
      </c>
      <c r="C116" s="56" t="inlineStr">
        <is>
          <t>=B9/30</t>
        </is>
      </c>
      <c r="D116" s="56" t="inlineStr">
        <is>
          <t>=IF(ISNUMBER(B9),B9/30,"")</t>
        </is>
      </c>
      <c r="E116" s="56" t="inlineStr">
        <is>
          <t>در v38 ستون B برخلاف سرستون دارای عنوان متنی است؛ تا بازیابی عدد تاریخی، محاسبه نامعتبر خالی و علامت گذاری می شود. عدد حدسی جایگزین نشد.</t>
        </is>
      </c>
    </row>
    <row r="117" ht="94" customHeight="1" s="76">
      <c r="A117" s="57" t="inlineStr">
        <is>
          <t>Audit Coverage</t>
        </is>
      </c>
      <c r="B117" s="57" t="inlineStr">
        <is>
          <t>J9</t>
        </is>
      </c>
      <c r="C117" s="57" t="inlineStr">
        <is>
          <t>=F9-B9</t>
        </is>
      </c>
      <c r="D117" s="57" t="inlineStr">
        <is>
          <t>=IF(AND(ISNUMBER(F9),ISNUMBER(B9)),F9-B9,"")</t>
        </is>
      </c>
      <c r="E117" s="57" t="inlineStr">
        <is>
          <t>در v38 ستون B برخلاف سرستون دارای عنوان متنی است؛ تا بازیابی عدد تاریخی، محاسبه نامعتبر خالی و علامت گذاری می شود. عدد حدسی جایگزین نشد.</t>
        </is>
      </c>
    </row>
    <row r="118" ht="94" customHeight="1" s="76">
      <c r="A118" s="56" t="inlineStr">
        <is>
          <t>Audit Coverage</t>
        </is>
      </c>
      <c r="B118" s="56" t="inlineStr">
        <is>
          <t>M9</t>
        </is>
      </c>
      <c r="C118" s="56" t="n"/>
      <c r="D118" s="56" t="inlineStr">
        <is>
          <t>BASELINE_COUNT_NOT_NUMERIC</t>
        </is>
      </c>
      <c r="E118" s="56" t="inlineStr">
        <is>
          <t>خطای طرح داده ورودی گزارش شد؛ فرمول های محافظت شده جایگزین خطای VALUE شدند.</t>
        </is>
      </c>
    </row>
    <row r="119" ht="94" customHeight="1" s="76">
      <c r="A119" s="57" t="inlineStr">
        <is>
          <t>Audit Coverage</t>
        </is>
      </c>
      <c r="B119" s="57" t="inlineStr">
        <is>
          <t>D10</t>
        </is>
      </c>
      <c r="C119" s="57" t="inlineStr">
        <is>
          <t>=B10/C10</t>
        </is>
      </c>
      <c r="D119" s="57" t="inlineStr">
        <is>
          <t>=IF(AND(ISNUMBER(B10),ISNUMBER(C10),C10&gt;0),B10/C10,"")</t>
        </is>
      </c>
      <c r="E119" s="57" t="inlineStr">
        <is>
          <t>در v38 ستون B برخلاف سرستون دارای عنوان متنی است؛ تا بازیابی عدد تاریخی، محاسبه نامعتبر خالی و علامت گذاری می شود. عدد حدسی جایگزین نشد.</t>
        </is>
      </c>
    </row>
    <row r="120" ht="94" customHeight="1" s="76">
      <c r="A120" s="56" t="inlineStr">
        <is>
          <t>Audit Coverage</t>
        </is>
      </c>
      <c r="B120" s="56" t="inlineStr">
        <is>
          <t>E10</t>
        </is>
      </c>
      <c r="C120" s="56" t="inlineStr">
        <is>
          <t>=B10/30</t>
        </is>
      </c>
      <c r="D120" s="56" t="inlineStr">
        <is>
          <t>=IF(ISNUMBER(B10),B10/30,"")</t>
        </is>
      </c>
      <c r="E120" s="56" t="inlineStr">
        <is>
          <t>در v38 ستون B برخلاف سرستون دارای عنوان متنی است؛ تا بازیابی عدد تاریخی، محاسبه نامعتبر خالی و علامت گذاری می شود. عدد حدسی جایگزین نشد.</t>
        </is>
      </c>
    </row>
    <row r="121" ht="94" customHeight="1" s="76">
      <c r="A121" s="57" t="inlineStr">
        <is>
          <t>Audit Coverage</t>
        </is>
      </c>
      <c r="B121" s="57" t="inlineStr">
        <is>
          <t>J10</t>
        </is>
      </c>
      <c r="C121" s="57" t="inlineStr">
        <is>
          <t>=F10-B10</t>
        </is>
      </c>
      <c r="D121" s="57" t="inlineStr">
        <is>
          <t>=IF(AND(ISNUMBER(F10),ISNUMBER(B10)),F10-B10,"")</t>
        </is>
      </c>
      <c r="E121" s="57" t="inlineStr">
        <is>
          <t>در v38 ستون B برخلاف سرستون دارای عنوان متنی است؛ تا بازیابی عدد تاریخی، محاسبه نامعتبر خالی و علامت گذاری می شود. عدد حدسی جایگزین نشد.</t>
        </is>
      </c>
    </row>
    <row r="122" ht="94" customHeight="1" s="76">
      <c r="A122" s="56" t="inlineStr">
        <is>
          <t>Audit Coverage</t>
        </is>
      </c>
      <c r="B122" s="56" t="inlineStr">
        <is>
          <t>M10</t>
        </is>
      </c>
      <c r="C122" s="56" t="n"/>
      <c r="D122" s="56" t="inlineStr">
        <is>
          <t>BASELINE_COUNT_NOT_NUMERIC</t>
        </is>
      </c>
      <c r="E122" s="56" t="inlineStr">
        <is>
          <t>خطای طرح داده ورودی گزارش شد؛ فرمول های محافظت شده جایگزین خطای VALUE شدند.</t>
        </is>
      </c>
    </row>
    <row r="123" ht="94" customHeight="1" s="76">
      <c r="A123" s="57" t="inlineStr">
        <is>
          <t>Audit Coverage</t>
        </is>
      </c>
      <c r="B123" s="57" t="inlineStr">
        <is>
          <t>D11</t>
        </is>
      </c>
      <c r="C123" s="57" t="inlineStr">
        <is>
          <t>=B11/C11</t>
        </is>
      </c>
      <c r="D123" s="57" t="inlineStr">
        <is>
          <t>=IF(AND(ISNUMBER(B11),ISNUMBER(C11),C11&gt;0),B11/C11,"")</t>
        </is>
      </c>
      <c r="E123" s="57" t="inlineStr">
        <is>
          <t>در v38 ستون B برخلاف سرستون دارای عنوان متنی است؛ تا بازیابی عدد تاریخی، محاسبه نامعتبر خالی و علامت گذاری می شود. عدد حدسی جایگزین نشد.</t>
        </is>
      </c>
    </row>
    <row r="124" ht="94" customHeight="1" s="76">
      <c r="A124" s="56" t="inlineStr">
        <is>
          <t>Audit Coverage</t>
        </is>
      </c>
      <c r="B124" s="56" t="inlineStr">
        <is>
          <t>E11</t>
        </is>
      </c>
      <c r="C124" s="56" t="inlineStr">
        <is>
          <t>=B11/30</t>
        </is>
      </c>
      <c r="D124" s="56" t="inlineStr">
        <is>
          <t>=IF(ISNUMBER(B11),B11/30,"")</t>
        </is>
      </c>
      <c r="E124" s="56" t="inlineStr">
        <is>
          <t>در v38 ستون B برخلاف سرستون دارای عنوان متنی است؛ تا بازیابی عدد تاریخی، محاسبه نامعتبر خالی و علامت گذاری می شود. عدد حدسی جایگزین نشد.</t>
        </is>
      </c>
    </row>
    <row r="125" ht="94" customHeight="1" s="76">
      <c r="A125" s="57" t="inlineStr">
        <is>
          <t>Audit Coverage</t>
        </is>
      </c>
      <c r="B125" s="57" t="inlineStr">
        <is>
          <t>J11</t>
        </is>
      </c>
      <c r="C125" s="57" t="inlineStr">
        <is>
          <t>=F11-B11</t>
        </is>
      </c>
      <c r="D125" s="57" t="inlineStr">
        <is>
          <t>=IF(AND(ISNUMBER(F11),ISNUMBER(B11)),F11-B11,"")</t>
        </is>
      </c>
      <c r="E125" s="57" t="inlineStr">
        <is>
          <t>در v38 ستون B برخلاف سرستون دارای عنوان متنی است؛ تا بازیابی عدد تاریخی، محاسبه نامعتبر خالی و علامت گذاری می شود. عدد حدسی جایگزین نشد.</t>
        </is>
      </c>
    </row>
    <row r="126" ht="94" customHeight="1" s="76">
      <c r="A126" s="56" t="inlineStr">
        <is>
          <t>Audit Coverage</t>
        </is>
      </c>
      <c r="B126" s="56" t="inlineStr">
        <is>
          <t>M11</t>
        </is>
      </c>
      <c r="C126" s="56" t="n"/>
      <c r="D126" s="56" t="inlineStr">
        <is>
          <t>BASELINE_COUNT_NOT_NUMERIC</t>
        </is>
      </c>
      <c r="E126" s="56" t="inlineStr">
        <is>
          <t>خطای طرح داده ورودی گزارش شد؛ فرمول های محافظت شده جایگزین خطای VALUE شدند.</t>
        </is>
      </c>
    </row>
    <row r="127" ht="94" customHeight="1" s="76">
      <c r="A127" s="57" t="inlineStr">
        <is>
          <t>Audit Coverage</t>
        </is>
      </c>
      <c r="B127" s="57" t="inlineStr">
        <is>
          <t>D12</t>
        </is>
      </c>
      <c r="C127" s="57" t="inlineStr">
        <is>
          <t>=B12/C12</t>
        </is>
      </c>
      <c r="D127" s="57" t="inlineStr">
        <is>
          <t>=IF(AND(ISNUMBER(B12),ISNUMBER(C12),C12&gt;0),B12/C12,"")</t>
        </is>
      </c>
      <c r="E127" s="57" t="inlineStr">
        <is>
          <t>در v38 ستون B برخلاف سرستون دارای عنوان متنی است؛ تا بازیابی عدد تاریخی، محاسبه نامعتبر خالی و علامت گذاری می شود. عدد حدسی جایگزین نشد.</t>
        </is>
      </c>
    </row>
    <row r="128" ht="94" customHeight="1" s="76">
      <c r="A128" s="56" t="inlineStr">
        <is>
          <t>Audit Coverage</t>
        </is>
      </c>
      <c r="B128" s="56" t="inlineStr">
        <is>
          <t>E12</t>
        </is>
      </c>
      <c r="C128" s="56" t="inlineStr">
        <is>
          <t>=B12/30</t>
        </is>
      </c>
      <c r="D128" s="56" t="inlineStr">
        <is>
          <t>=IF(ISNUMBER(B12),B12/30,"")</t>
        </is>
      </c>
      <c r="E128" s="56" t="inlineStr">
        <is>
          <t>در v38 ستون B برخلاف سرستون دارای عنوان متنی است؛ تا بازیابی عدد تاریخی، محاسبه نامعتبر خالی و علامت گذاری می شود. عدد حدسی جایگزین نشد.</t>
        </is>
      </c>
    </row>
    <row r="129" ht="94" customHeight="1" s="76">
      <c r="A129" s="57" t="inlineStr">
        <is>
          <t>Audit Coverage</t>
        </is>
      </c>
      <c r="B129" s="57" t="inlineStr">
        <is>
          <t>J12</t>
        </is>
      </c>
      <c r="C129" s="57" t="inlineStr">
        <is>
          <t>=F12-B12</t>
        </is>
      </c>
      <c r="D129" s="57" t="inlineStr">
        <is>
          <t>=IF(AND(ISNUMBER(F12),ISNUMBER(B12)),F12-B12,"")</t>
        </is>
      </c>
      <c r="E129" s="57" t="inlineStr">
        <is>
          <t>در v38 ستون B برخلاف سرستون دارای عنوان متنی است؛ تا بازیابی عدد تاریخی، محاسبه نامعتبر خالی و علامت گذاری می شود. عدد حدسی جایگزین نشد.</t>
        </is>
      </c>
    </row>
    <row r="130" ht="94" customHeight="1" s="76">
      <c r="A130" s="56" t="inlineStr">
        <is>
          <t>Audit Coverage</t>
        </is>
      </c>
      <c r="B130" s="56" t="inlineStr">
        <is>
          <t>M12</t>
        </is>
      </c>
      <c r="C130" s="56" t="n"/>
      <c r="D130" s="56" t="inlineStr">
        <is>
          <t>BASELINE_COUNT_NOT_NUMERIC</t>
        </is>
      </c>
      <c r="E130" s="56" t="inlineStr">
        <is>
          <t>خطای طرح داده ورودی گزارش شد؛ فرمول های محافظت شده جایگزین خطای VALUE شدند.</t>
        </is>
      </c>
    </row>
    <row r="131" ht="94" customHeight="1" s="76">
      <c r="A131" s="57" t="inlineStr">
        <is>
          <t>Audit Coverage</t>
        </is>
      </c>
      <c r="B131" s="57" t="inlineStr">
        <is>
          <t>D13</t>
        </is>
      </c>
      <c r="C131" s="57" t="inlineStr">
        <is>
          <t>=B13/C13</t>
        </is>
      </c>
      <c r="D131" s="57" t="inlineStr">
        <is>
          <t>=IF(AND(ISNUMBER(B13),ISNUMBER(C13),C13&gt;0),B13/C13,"")</t>
        </is>
      </c>
      <c r="E131" s="57" t="inlineStr">
        <is>
          <t>در v38 ستون B برخلاف سرستون دارای عنوان متنی است؛ تا بازیابی عدد تاریخی، محاسبه نامعتبر خالی و علامت گذاری می شود. عدد حدسی جایگزین نشد.</t>
        </is>
      </c>
    </row>
    <row r="132" ht="94" customHeight="1" s="76">
      <c r="A132" s="56" t="inlineStr">
        <is>
          <t>Audit Coverage</t>
        </is>
      </c>
      <c r="B132" s="56" t="inlineStr">
        <is>
          <t>E13</t>
        </is>
      </c>
      <c r="C132" s="56" t="inlineStr">
        <is>
          <t>=B13/30</t>
        </is>
      </c>
      <c r="D132" s="56" t="inlineStr">
        <is>
          <t>=IF(ISNUMBER(B13),B13/30,"")</t>
        </is>
      </c>
      <c r="E132" s="56" t="inlineStr">
        <is>
          <t>در v38 ستون B برخلاف سرستون دارای عنوان متنی است؛ تا بازیابی عدد تاریخی، محاسبه نامعتبر خالی و علامت گذاری می شود. عدد حدسی جایگزین نشد.</t>
        </is>
      </c>
    </row>
    <row r="133" ht="94" customHeight="1" s="76">
      <c r="A133" s="57" t="inlineStr">
        <is>
          <t>Audit Coverage</t>
        </is>
      </c>
      <c r="B133" s="57" t="inlineStr">
        <is>
          <t>J13</t>
        </is>
      </c>
      <c r="C133" s="57" t="inlineStr">
        <is>
          <t>=F13-B13</t>
        </is>
      </c>
      <c r="D133" s="57" t="inlineStr">
        <is>
          <t>=IF(AND(ISNUMBER(F13),ISNUMBER(B13)),F13-B13,"")</t>
        </is>
      </c>
      <c r="E133" s="57" t="inlineStr">
        <is>
          <t>در v38 ستون B برخلاف سرستون دارای عنوان متنی است؛ تا بازیابی عدد تاریخی، محاسبه نامعتبر خالی و علامت گذاری می شود. عدد حدسی جایگزین نشد.</t>
        </is>
      </c>
    </row>
    <row r="134" ht="94" customHeight="1" s="76">
      <c r="A134" s="56" t="inlineStr">
        <is>
          <t>Audit Coverage</t>
        </is>
      </c>
      <c r="B134" s="56" t="inlineStr">
        <is>
          <t>M13</t>
        </is>
      </c>
      <c r="C134" s="56" t="n"/>
      <c r="D134" s="56" t="inlineStr">
        <is>
          <t>BASELINE_COUNT_NOT_NUMERIC</t>
        </is>
      </c>
      <c r="E134" s="56" t="inlineStr">
        <is>
          <t>خطای طرح داده ورودی گزارش شد؛ فرمول های محافظت شده جایگزین خطای VALUE شدند.</t>
        </is>
      </c>
    </row>
    <row r="135" ht="94" customHeight="1" s="76">
      <c r="A135" s="57" t="inlineStr">
        <is>
          <t>Audit Coverage</t>
        </is>
      </c>
      <c r="B135" s="57" t="inlineStr">
        <is>
          <t>D14</t>
        </is>
      </c>
      <c r="C135" s="57" t="inlineStr">
        <is>
          <t>=B14/C14</t>
        </is>
      </c>
      <c r="D135" s="57" t="inlineStr">
        <is>
          <t>=IF(AND(ISNUMBER(B14),ISNUMBER(C14),C14&gt;0),B14/C14,"")</t>
        </is>
      </c>
      <c r="E135" s="57" t="inlineStr">
        <is>
          <t>در v38 ستون B برخلاف سرستون دارای عنوان متنی است؛ تا بازیابی عدد تاریخی، محاسبه نامعتبر خالی و علامت گذاری می شود. عدد حدسی جایگزین نشد.</t>
        </is>
      </c>
    </row>
    <row r="136" ht="94" customHeight="1" s="76">
      <c r="A136" s="56" t="inlineStr">
        <is>
          <t>Audit Coverage</t>
        </is>
      </c>
      <c r="B136" s="56" t="inlineStr">
        <is>
          <t>E14</t>
        </is>
      </c>
      <c r="C136" s="56" t="inlineStr">
        <is>
          <t>=B14/30</t>
        </is>
      </c>
      <c r="D136" s="56" t="inlineStr">
        <is>
          <t>=IF(ISNUMBER(B14),B14/30,"")</t>
        </is>
      </c>
      <c r="E136" s="56" t="inlineStr">
        <is>
          <t>در v38 ستون B برخلاف سرستون دارای عنوان متنی است؛ تا بازیابی عدد تاریخی، محاسبه نامعتبر خالی و علامت گذاری می شود. عدد حدسی جایگزین نشد.</t>
        </is>
      </c>
    </row>
    <row r="137" ht="94" customHeight="1" s="76">
      <c r="A137" s="57" t="inlineStr">
        <is>
          <t>Audit Coverage</t>
        </is>
      </c>
      <c r="B137" s="57" t="inlineStr">
        <is>
          <t>J14</t>
        </is>
      </c>
      <c r="C137" s="57" t="inlineStr">
        <is>
          <t>=F14-B14</t>
        </is>
      </c>
      <c r="D137" s="57" t="inlineStr">
        <is>
          <t>=IF(AND(ISNUMBER(F14),ISNUMBER(B14)),F14-B14,"")</t>
        </is>
      </c>
      <c r="E137" s="57" t="inlineStr">
        <is>
          <t>در v38 ستون B برخلاف سرستون دارای عنوان متنی است؛ تا بازیابی عدد تاریخی، محاسبه نامعتبر خالی و علامت گذاری می شود. عدد حدسی جایگزین نشد.</t>
        </is>
      </c>
    </row>
    <row r="138" ht="94" customHeight="1" s="76">
      <c r="A138" s="56" t="inlineStr">
        <is>
          <t>Audit Coverage</t>
        </is>
      </c>
      <c r="B138" s="56" t="inlineStr">
        <is>
          <t>M14</t>
        </is>
      </c>
      <c r="C138" s="56" t="n"/>
      <c r="D138" s="56" t="inlineStr">
        <is>
          <t>BASELINE_COUNT_NOT_NUMERIC</t>
        </is>
      </c>
      <c r="E138" s="56" t="inlineStr">
        <is>
          <t>خطای طرح داده ورودی گزارش شد؛ فرمول های محافظت شده جایگزین خطای VALUE شدند.</t>
        </is>
      </c>
    </row>
    <row r="139" ht="94" customHeight="1" s="76">
      <c r="A139" s="57" t="inlineStr">
        <is>
          <t>Audit Coverage</t>
        </is>
      </c>
      <c r="B139" s="57" t="inlineStr">
        <is>
          <t>D15</t>
        </is>
      </c>
      <c r="C139" s="57" t="inlineStr">
        <is>
          <t>=B15/C15</t>
        </is>
      </c>
      <c r="D139" s="57" t="inlineStr">
        <is>
          <t>=IF(AND(ISNUMBER(B15),ISNUMBER(C15),C15&gt;0),B15/C15,"")</t>
        </is>
      </c>
      <c r="E139" s="57" t="inlineStr">
        <is>
          <t>در v38 ستون B برخلاف سرستون دارای عنوان متنی است؛ تا بازیابی عدد تاریخی، محاسبه نامعتبر خالی و علامت گذاری می شود. عدد حدسی جایگزین نشد.</t>
        </is>
      </c>
    </row>
    <row r="140" ht="94" customHeight="1" s="76">
      <c r="A140" s="56" t="inlineStr">
        <is>
          <t>Audit Coverage</t>
        </is>
      </c>
      <c r="B140" s="56" t="inlineStr">
        <is>
          <t>E15</t>
        </is>
      </c>
      <c r="C140" s="56" t="inlineStr">
        <is>
          <t>=B15/30</t>
        </is>
      </c>
      <c r="D140" s="56" t="inlineStr">
        <is>
          <t>=IF(ISNUMBER(B15),B15/30,"")</t>
        </is>
      </c>
      <c r="E140" s="56" t="inlineStr">
        <is>
          <t>در v38 ستون B برخلاف سرستون دارای عنوان متنی است؛ تا بازیابی عدد تاریخی، محاسبه نامعتبر خالی و علامت گذاری می شود. عدد حدسی جایگزین نشد.</t>
        </is>
      </c>
    </row>
    <row r="141" ht="94" customHeight="1" s="76">
      <c r="A141" s="57" t="inlineStr">
        <is>
          <t>Audit Coverage</t>
        </is>
      </c>
      <c r="B141" s="57" t="inlineStr">
        <is>
          <t>J15</t>
        </is>
      </c>
      <c r="C141" s="57" t="inlineStr">
        <is>
          <t>=F15-B15</t>
        </is>
      </c>
      <c r="D141" s="57" t="inlineStr">
        <is>
          <t>=IF(AND(ISNUMBER(F15),ISNUMBER(B15)),F15-B15,"")</t>
        </is>
      </c>
      <c r="E141" s="57" t="inlineStr">
        <is>
          <t>در v38 ستون B برخلاف سرستون دارای عنوان متنی است؛ تا بازیابی عدد تاریخی، محاسبه نامعتبر خالی و علامت گذاری می شود. عدد حدسی جایگزین نشد.</t>
        </is>
      </c>
    </row>
    <row r="142" ht="94" customHeight="1" s="76">
      <c r="A142" s="56" t="inlineStr">
        <is>
          <t>Audit Coverage</t>
        </is>
      </c>
      <c r="B142" s="56" t="inlineStr">
        <is>
          <t>M15</t>
        </is>
      </c>
      <c r="C142" s="56" t="n"/>
      <c r="D142" s="56" t="inlineStr">
        <is>
          <t>BASELINE_COUNT_NOT_NUMERIC</t>
        </is>
      </c>
      <c r="E142" s="56" t="inlineStr">
        <is>
          <t>خطای طرح داده ورودی گزارش شد؛ فرمول های محافظت شده جایگزین خطای VALUE شدند.</t>
        </is>
      </c>
    </row>
    <row r="143" ht="94" customHeight="1" s="76">
      <c r="A143" s="57" t="inlineStr">
        <is>
          <t>Conflict Log</t>
        </is>
      </c>
      <c r="B143" s="57" t="inlineStr">
        <is>
          <t>D7</t>
        </is>
      </c>
      <c r="C143" s="57" t="inlineStr">
        <is>
          <t>۲۳ قطعی</t>
        </is>
      </c>
      <c r="D143" s="57" t="inlineStr">
        <is>
          <t>۲۶ از ۳۰ محافظه کارانه؛ ۲۷ کد موجود</t>
        </is>
      </c>
      <c r="E143" s="57" t="inlineStr">
        <is>
          <t>همگام سازی وضعیت جاری C04؛ مقادیر تاریخی در Changes v39 محفوظ اند</t>
        </is>
      </c>
    </row>
    <row r="144" ht="94" customHeight="1" s="76">
      <c r="A144" s="56" t="inlineStr">
        <is>
          <t>Conflict Log</t>
        </is>
      </c>
      <c r="B144" s="56" t="inlineStr">
        <is>
          <t>E7</t>
        </is>
      </c>
      <c r="C144" s="56" t="inlineStr">
        <is>
          <t>تعارض فملی/تاپیکو/کچاد با ستون تغییر رئیس</t>
        </is>
      </c>
      <c r="D144" s="56" t="inlineStr">
        <is>
          <t>تعارض تاپیکو و کچاد در v38 حل شد؛ تعارض فملی باز است؛ رمپنا، وپاسار و حکشتی فاقد کد قابل استفاده اند.</t>
        </is>
      </c>
      <c r="E144" s="56" t="inlineStr">
        <is>
          <t>ثبت حل جزئی تعارض CR1A</t>
        </is>
      </c>
    </row>
    <row r="145" ht="94" customHeight="1" s="76">
      <c r="A145" s="57" t="inlineStr">
        <is>
          <t>Conflict Log</t>
        </is>
      </c>
      <c r="B145" s="57" t="inlineStr">
        <is>
          <t>G7</t>
        </is>
      </c>
      <c r="C145" s="57" t="inlineStr">
        <is>
          <t>اصلاح</t>
        </is>
      </c>
      <c r="D145" s="57" t="inlineStr">
        <is>
          <t>حل جزئی در v39؛ منبع فملی لازم است</t>
        </is>
      </c>
      <c r="E145" s="57" t="inlineStr">
        <is>
          <t>بازمحاسبه انجام شد اما تعارض باقی مانده بسته نشد</t>
        </is>
      </c>
    </row>
    <row r="146" ht="94" customHeight="1" s="76">
      <c r="A146" s="56" t="inlineStr">
        <is>
          <t>Required Corrections</t>
        </is>
      </c>
      <c r="B146" s="56" t="inlineStr">
        <is>
          <t>A18</t>
        </is>
      </c>
      <c r="C146" s="56" t="n"/>
      <c r="D146" s="56" t="inlineStr">
        <is>
          <t>CR1A و برگه های وابسته</t>
        </is>
      </c>
      <c r="E146" s="56" t="inlineStr">
        <is>
          <t>اجرای اصلاح محاسباتی با گپ سندی مستقل</t>
        </is>
      </c>
    </row>
    <row r="147" ht="94" customHeight="1" s="76">
      <c r="A147" s="57" t="inlineStr">
        <is>
          <t>Required Corrections</t>
        </is>
      </c>
      <c r="B147" s="57" t="inlineStr">
        <is>
          <t>B18</t>
        </is>
      </c>
      <c r="C147" s="57" t="n"/>
      <c r="D147" s="57" t="inlineStr">
        <is>
          <t>بازمحاسبه v39</t>
        </is>
      </c>
      <c r="E147" s="57" t="inlineStr">
        <is>
          <t>اجرای اصلاح محاسباتی با گپ سندی مستقل</t>
        </is>
      </c>
    </row>
    <row r="148" ht="94" customHeight="1" s="76">
      <c r="A148" s="56" t="inlineStr">
        <is>
          <t>Required Corrections</t>
        </is>
      </c>
      <c r="B148" s="56" t="inlineStr">
        <is>
          <t>C18</t>
        </is>
      </c>
      <c r="C148" s="56" t="n"/>
      <c r="D148" s="56" t="inlineStr">
        <is>
          <t>۲۷ کد موجود؛ ۲۶ محافظه کارانه</t>
        </is>
      </c>
      <c r="E148" s="56" t="inlineStr">
        <is>
          <t>اجرای اصلاح محاسباتی با گپ سندی مستقل</t>
        </is>
      </c>
    </row>
    <row r="149" ht="94" customHeight="1" s="76">
      <c r="A149" s="57" t="inlineStr">
        <is>
          <t>Required Corrections</t>
        </is>
      </c>
      <c r="B149" s="57" t="inlineStr">
        <is>
          <t>D18</t>
        </is>
      </c>
      <c r="C149" s="57" t="n"/>
      <c r="D149" s="57" t="inlineStr">
        <is>
          <t>CR1A v39</t>
        </is>
      </c>
      <c r="E149" s="57" t="inlineStr">
        <is>
          <t>اجرای اصلاح محاسباتی با گپ سندی مستقل</t>
        </is>
      </c>
    </row>
    <row r="150" ht="94" customHeight="1" s="76">
      <c r="A150" s="56" t="inlineStr">
        <is>
          <t>Required Corrections</t>
        </is>
      </c>
      <c r="B150" s="56" t="inlineStr">
        <is>
          <t>E18</t>
        </is>
      </c>
      <c r="C150" s="56" t="n"/>
      <c r="D150" s="56" t="inlineStr">
        <is>
          <t>APPLIED_WITH_OPEN_SOURCE_GAPS</t>
        </is>
      </c>
      <c r="E150" s="56" t="inlineStr">
        <is>
          <t>اجرای اصلاح محاسباتی با گپ سندی مستقل</t>
        </is>
      </c>
    </row>
    <row r="151" ht="94" customHeight="1" s="76">
      <c r="A151" s="57" t="inlineStr">
        <is>
          <t>Required Corrections</t>
        </is>
      </c>
      <c r="B151" s="57" t="inlineStr">
        <is>
          <t>A19</t>
        </is>
      </c>
      <c r="C151" s="57" t="n"/>
      <c r="D151" s="57" t="inlineStr">
        <is>
          <t>Audit Coverage</t>
        </is>
      </c>
      <c r="E151" s="57" t="inlineStr">
        <is>
          <t>رفع خطای فرمول بدون حدس عدد تاریخی</t>
        </is>
      </c>
    </row>
    <row r="152" ht="94" customHeight="1" s="76">
      <c r="A152" s="56" t="inlineStr">
        <is>
          <t>Required Corrections</t>
        </is>
      </c>
      <c r="B152" s="56" t="inlineStr">
        <is>
          <t>B19</t>
        </is>
      </c>
      <c r="C152" s="56" t="n"/>
      <c r="D152" s="56" t="inlineStr">
        <is>
          <t>۳۶ فرمول بر ورودی متنی</t>
        </is>
      </c>
      <c r="E152" s="56" t="inlineStr">
        <is>
          <t>رفع خطای فرمول بدون حدس عدد تاریخی</t>
        </is>
      </c>
    </row>
    <row r="153" ht="94" customHeight="1" s="76">
      <c r="A153" s="57" t="inlineStr">
        <is>
          <t>Required Corrections</t>
        </is>
      </c>
      <c r="B153" s="57" t="inlineStr">
        <is>
          <t>C19</t>
        </is>
      </c>
      <c r="C153" s="57" t="n"/>
      <c r="D153" s="57" t="inlineStr">
        <is>
          <t>محافظ نوع عددی و پرچم ورودی نامعتبر</t>
        </is>
      </c>
      <c r="E153" s="57" t="inlineStr">
        <is>
          <t>رفع خطای فرمول بدون حدس عدد تاریخی</t>
        </is>
      </c>
    </row>
    <row r="154" ht="94" customHeight="1" s="76">
      <c r="A154" s="56" t="inlineStr">
        <is>
          <t>Required Corrections</t>
        </is>
      </c>
      <c r="B154" s="56" t="inlineStr">
        <is>
          <t>D19</t>
        </is>
      </c>
      <c r="C154" s="56" t="n"/>
      <c r="D154" s="56" t="inlineStr">
        <is>
          <t>Changes v39</t>
        </is>
      </c>
      <c r="E154" s="56" t="inlineStr">
        <is>
          <t>رفع خطای فرمول بدون حدس عدد تاریخی</t>
        </is>
      </c>
    </row>
    <row r="155" ht="94" customHeight="1" s="76">
      <c r="A155" s="57" t="inlineStr">
        <is>
          <t>Required Corrections</t>
        </is>
      </c>
      <c r="B155" s="57" t="inlineStr">
        <is>
          <t>E19</t>
        </is>
      </c>
      <c r="C155" s="57" t="n"/>
      <c r="D155" s="57" t="inlineStr">
        <is>
          <t>APPLIED_NO_IMPUTATION</t>
        </is>
      </c>
      <c r="E155" s="57" t="inlineStr">
        <is>
          <t>رفع خطای فرمول بدون حدس عدد تاریخی</t>
        </is>
      </c>
    </row>
    <row r="156" ht="94" customHeight="1" s="76">
      <c r="A156" s="56" t="inlineStr">
        <is>
          <t>Measureهای فعلی</t>
        </is>
      </c>
      <c r="B156" s="56" t="inlineStr">
        <is>
          <t>D8</t>
        </is>
      </c>
      <c r="C156" s="56" t="inlineStr">
        <is>
          <t>23/30</t>
        </is>
      </c>
      <c r="D156" s="56" t="inlineStr">
        <is>
          <t>='CR1A v39'!B39&amp;"/"&amp;'CR1A v39'!B44</t>
        </is>
      </c>
      <c r="E156" s="56" t="inlineStr">
        <is>
          <t>همگام سازی پوشش CR1A با منبع محاسباتی واحد</t>
        </is>
      </c>
    </row>
    <row r="157" ht="94" customHeight="1" s="76">
      <c r="A157" s="57" t="inlineStr">
        <is>
          <t>Measureهای فعلی</t>
        </is>
      </c>
      <c r="B157" s="57" t="inlineStr">
        <is>
          <t>E8</t>
        </is>
      </c>
      <c r="C157" s="57" t="inlineStr">
        <is>
          <t>23/30</t>
        </is>
      </c>
      <c r="D157" s="57" t="inlineStr">
        <is>
          <t>='CR1A v39'!B39&amp;"/"&amp;'CR1A v39'!B44</t>
        </is>
      </c>
      <c r="E157" s="57" t="inlineStr">
        <is>
          <t>همگام سازی پوشش CR1A با منبع محاسباتی واحد</t>
        </is>
      </c>
    </row>
    <row r="158" ht="94" customHeight="1" s="76">
      <c r="A158" s="56" t="inlineStr">
        <is>
          <t>Final Recommended Architecture</t>
        </is>
      </c>
      <c r="B158" s="56" t="inlineStr">
        <is>
          <t>D8</t>
        </is>
      </c>
      <c r="C158" s="56" t="inlineStr">
        <is>
          <t>23/30</t>
        </is>
      </c>
      <c r="D158" s="56" t="inlineStr">
        <is>
          <t>='CR1A v39'!B39&amp;"/"&amp;'CR1A v39'!B44</t>
        </is>
      </c>
      <c r="E158" s="56" t="inlineStr">
        <is>
          <t>همگام سازی پوشش CR1A با منبع محاسباتی واحد</t>
        </is>
      </c>
    </row>
    <row r="159" ht="94" customHeight="1" s="76">
      <c r="A159" s="57" t="inlineStr">
        <is>
          <t>Final Recommended Architecture</t>
        </is>
      </c>
      <c r="B159" s="57" t="inlineStr">
        <is>
          <t>E8</t>
        </is>
      </c>
      <c r="C159" s="57" t="inlineStr">
        <is>
          <t>23/30</t>
        </is>
      </c>
      <c r="D159" s="57" t="inlineStr">
        <is>
          <t>='CR1A v39'!B39&amp;"/"&amp;'CR1A v39'!B44</t>
        </is>
      </c>
      <c r="E159" s="57" t="inlineStr">
        <is>
          <t>همگام سازی پوشش CR1A با منبع محاسباتی واحد</t>
        </is>
      </c>
    </row>
  </sheetData>
  <autoFilter ref="A3:E159"/>
  <mergeCells count="2">
    <mergeCell ref="A2:E2"/>
    <mergeCell ref="A1:E1"/>
  </mergeCells>
  <printOptions horizontalCentered="1"/>
  <pageMargins left="0.75" right="0.75" top="1" bottom="1" header="0.5" footer="0.5"/>
  <pageSetup orientation="landscape" paperSize="8" fitToHeight="0"/>
</worksheet>
</file>

<file path=xl/worksheets/sheet70.xml><?xml version="1.0" encoding="utf-8"?>
<worksheet xmlns="http://schemas.openxmlformats.org/spreadsheetml/2006/main">
  <sheetPr>
    <tabColor rgb="FF548235"/>
    <outlinePr summaryBelow="1" summaryRight="1"/>
    <pageSetUpPr/>
  </sheetPr>
  <dimension ref="A1:Y148"/>
  <sheetViews>
    <sheetView showGridLines="0" rightToLeft="1" workbookViewId="0">
      <pane xSplit="5" ySplit="3" topLeftCell="F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4" customWidth="1" style="76" min="1" max="1"/>
    <col width="10" customWidth="1" style="76" min="2" max="2"/>
    <col width="26" customWidth="1" style="76" min="3" max="3"/>
    <col width="13" customWidth="1" style="76" min="4" max="4"/>
    <col width="22" customWidth="1" style="76" min="5" max="5"/>
    <col width="24" customWidth="1" style="76" min="6" max="6"/>
    <col width="8" customWidth="1" style="76" min="7" max="7"/>
    <col width="20" customWidth="1" style="76" min="8" max="8"/>
    <col width="30" customWidth="1" style="76" min="9" max="9"/>
    <col width="8" customWidth="1" style="76" min="10" max="10"/>
    <col width="22" customWidth="1" style="76" min="11" max="11"/>
    <col width="9" customWidth="1" style="76" min="12" max="12"/>
    <col width="36" customWidth="1" style="76" min="13" max="13"/>
    <col width="9" customWidth="1" style="76" min="14" max="14"/>
    <col width="18" customWidth="1" style="76" min="15" max="15"/>
    <col width="16" customWidth="1" style="76" min="16" max="16"/>
    <col width="8" customWidth="1" style="76" min="17" max="18"/>
    <col width="24" customWidth="1" style="76" min="19" max="19"/>
    <col width="9" customWidth="1" style="76" min="20" max="21"/>
    <col width="24" customWidth="1" style="76" min="22" max="22"/>
    <col width="8" customWidth="1" style="76" min="23" max="23"/>
    <col width="16" customWidth="1" style="76" min="24" max="24"/>
    <col width="40" customWidth="1" style="76" min="25" max="25"/>
  </cols>
  <sheetData>
    <row r="1" ht="30" customHeight="1" s="76">
      <c r="A1" s="87" t="inlineStr">
        <is>
          <t>اطلاعات فردی اعضای کمیته حسابرسی v40</t>
        </is>
      </c>
    </row>
    <row r="2" ht="22" customHeight="1" s="76">
      <c r="A2" s="85" t="inlineStr">
        <is>
          <t>یک ردیف برای هر شخص، شرکت و بازه عضویت. دبیر و مدیر حسابرسی داخلی فقط وقتی عضو شمرده شده که سند عضویت را صریح گفته باشد. کدها: MEMBER عضو، SECRETARY دبیر، FORMER عضو پیشین، POST_ASOF شروع پس از مقطع.</t>
        </is>
      </c>
    </row>
    <row r="3" ht="42" customHeight="1" s="76">
      <c r="A3" s="24" t="inlineStr">
        <is>
          <t>شناسه ردیف</t>
        </is>
      </c>
      <c r="B3" s="24" t="inlineStr">
        <is>
          <t>شرکت</t>
        </is>
      </c>
      <c r="C3" s="24" t="inlineStr">
        <is>
          <t>سمت در کمیته (عبارت منبع)</t>
        </is>
      </c>
      <c r="D3" s="24" t="inlineStr">
        <is>
          <t>طبقه نقش</t>
        </is>
      </c>
      <c r="E3" s="24" t="inlineStr">
        <is>
          <t>نام</t>
        </is>
      </c>
      <c r="F3" s="24" t="inlineStr">
        <is>
          <t>سمت در شرکت</t>
        </is>
      </c>
      <c r="G3" s="24" t="inlineStr">
        <is>
          <t>عضو هیئت مدیره (کد)</t>
        </is>
      </c>
      <c r="H3" s="24" t="inlineStr">
        <is>
          <t>موظف یا غیرموظف (عبارت منبع)</t>
        </is>
      </c>
      <c r="I3" s="24" t="inlineStr">
        <is>
          <t>استقلال (عبارت خام منبع)</t>
        </is>
      </c>
      <c r="J3" s="24" t="inlineStr">
        <is>
          <t>کد استقلال</t>
        </is>
      </c>
      <c r="K3" s="24" t="inlineStr">
        <is>
          <t>تحصیلات (عبارت منبع)</t>
        </is>
      </c>
      <c r="L3" s="24" t="inlineStr">
        <is>
          <t>کد تخصص مالی</t>
        </is>
      </c>
      <c r="M3" s="24" t="inlineStr">
        <is>
          <t>شاهد اختصاصی تخصص مالی (عبارت منبع)</t>
        </is>
      </c>
      <c r="N3" s="24" t="inlineStr">
        <is>
          <t>تخصص مالی مستند</t>
        </is>
      </c>
      <c r="O3" s="24" t="inlineStr">
        <is>
          <t>تاریخ شروع عضویت (منبع)</t>
        </is>
      </c>
      <c r="P3" s="24" t="inlineStr">
        <is>
          <t>تاریخ پایان عضویت (منبع)</t>
        </is>
      </c>
      <c r="Q3" s="24" t="inlineStr">
        <is>
          <t>تعداد حضور</t>
        </is>
      </c>
      <c r="R3" s="24" t="inlineStr">
        <is>
          <t>فرصت حضور</t>
        </is>
      </c>
      <c r="S3" s="24" t="inlineStr">
        <is>
          <t>مبنای فرصت حضور</t>
        </is>
      </c>
      <c r="T3" s="24" t="inlineStr">
        <is>
          <t>نرخ حضور فردی</t>
        </is>
      </c>
      <c r="U3" s="24" t="inlineStr">
        <is>
          <t>مشمول نرخ حضور</t>
        </is>
      </c>
      <c r="V3" s="24" t="inlineStr">
        <is>
          <t>شناسه شاهد</t>
        </is>
      </c>
      <c r="W3" s="24" t="inlineStr">
        <is>
          <t>صفحه فایل</t>
        </is>
      </c>
      <c r="X3" s="24" t="inlineStr">
        <is>
          <t>وضعیت شاهد</t>
        </is>
      </c>
      <c r="Y3" s="24" t="inlineStr">
        <is>
          <t>توضیح</t>
        </is>
      </c>
    </row>
    <row r="4" ht="29" customHeight="1" s="76">
      <c r="A4" s="23" t="inlineStr">
        <is>
          <t>AC40-فملی-01</t>
        </is>
      </c>
      <c r="B4" s="23" t="inlineStr">
        <is>
          <t>فملی</t>
        </is>
      </c>
      <c r="C4" s="23" t="inlineStr">
        <is>
          <t>رئیس کمیته (غیرموظف)</t>
        </is>
      </c>
      <c r="D4" s="23" t="inlineStr">
        <is>
          <t>MEMBER</t>
        </is>
      </c>
      <c r="E4" s="23" t="inlineStr">
        <is>
          <t>مهرداد محقق‌زاده</t>
        </is>
      </c>
      <c r="F4" s="23" t="inlineStr">
        <is>
          <t>عضو غیرموظف هیئت‌مدیره</t>
        </is>
      </c>
      <c r="G4" s="23" t="inlineStr">
        <is>
          <t>Y</t>
        </is>
      </c>
      <c r="H4" s="23" t="inlineStr">
        <is>
          <t>غیرموظف</t>
        </is>
      </c>
      <c r="I4" s="23" t="n"/>
      <c r="J4" s="23" t="inlineStr">
        <is>
          <t>U</t>
        </is>
      </c>
      <c r="K4" s="23" t="inlineStr">
        <is>
          <t>دکتری تخصصی علوم اقتصادی</t>
        </is>
      </c>
      <c r="L4" s="23" t="inlineStr">
        <is>
          <t>ECON</t>
        </is>
      </c>
      <c r="M4" s="23" t="inlineStr">
        <is>
          <t>اقتصاد؛ فقط رشته اقتصاد</t>
        </is>
      </c>
      <c r="N4" s="23" t="n">
        <v>0</v>
      </c>
      <c r="O4" s="23" t="inlineStr">
        <is>
          <t>1404/07/20</t>
        </is>
      </c>
      <c r="P4" s="23" t="n"/>
      <c r="Q4" s="23" t="n"/>
      <c r="R4" s="23" t="n"/>
      <c r="S4" s="23" t="n"/>
      <c r="T4" s="23">
        <f>IF(AND(ISNUMBER(Q4),ISNUMBER(R4),R4&gt;0),Q4/R4,"")</f>
      </c>
      <c r="U4" s="23">
        <f>IF(AND(D4="MEMBER",ISNUMBER(Q4),ISNUMBER(R4),R4&gt;0),1,0)</f>
        <v>0</v>
      </c>
      <c r="V4" s="23" t="inlineStr">
        <is>
          <t>EV_SRC_FMLI_1404_001_p36</t>
        </is>
      </c>
      <c r="W4" s="23" t="inlineStr">
        <is>
          <t>36</t>
        </is>
      </c>
      <c r="X4" s="23" t="inlineStr">
        <is>
          <t>تاییدشده</t>
        </is>
      </c>
      <c r="Y4" s="23" t="n"/>
    </row>
    <row r="5" ht="20" customHeight="1" s="76">
      <c r="A5" s="25" t="inlineStr">
        <is>
          <t>AC40-فملی-02</t>
        </is>
      </c>
      <c r="B5" s="25" t="inlineStr">
        <is>
          <t>فملی</t>
        </is>
      </c>
      <c r="C5" s="25" t="inlineStr">
        <is>
          <t>عضو کمیته (غیرموظف)</t>
        </is>
      </c>
      <c r="D5" s="25" t="inlineStr">
        <is>
          <t>MEMBER</t>
        </is>
      </c>
      <c r="E5" s="25" t="inlineStr">
        <is>
          <t>ولی‌اله حاجی‌پور</t>
        </is>
      </c>
      <c r="F5" s="25" t="n"/>
      <c r="G5" s="25" t="inlineStr">
        <is>
          <t>N</t>
        </is>
      </c>
      <c r="H5" s="25" t="inlineStr">
        <is>
          <t>غیرموظف</t>
        </is>
      </c>
      <c r="I5" s="25" t="n"/>
      <c r="J5" s="25" t="inlineStr">
        <is>
          <t>U</t>
        </is>
      </c>
      <c r="K5" s="25" t="inlineStr">
        <is>
          <t>دکترا حسابداری</t>
        </is>
      </c>
      <c r="L5" s="25" t="inlineStr">
        <is>
          <t>ACCT</t>
        </is>
      </c>
      <c r="M5" s="25" t="inlineStr">
        <is>
          <t>دکترا حسابداری</t>
        </is>
      </c>
      <c r="N5" s="25" t="n">
        <v>1</v>
      </c>
      <c r="O5" s="25" t="inlineStr">
        <is>
          <t>1404/02/22</t>
        </is>
      </c>
      <c r="P5" s="25" t="n"/>
      <c r="Q5" s="25" t="n"/>
      <c r="R5" s="25" t="n"/>
      <c r="S5" s="25" t="n"/>
      <c r="T5" s="25">
        <f>IF(AND(ISNUMBER(Q5),ISNUMBER(R5),R5&gt;0),Q5/R5,"")</f>
      </c>
      <c r="U5" s="25">
        <f>IF(AND(D5="MEMBER",ISNUMBER(Q5),ISNUMBER(R5),R5&gt;0),1,0)</f>
        <v>0</v>
      </c>
      <c r="V5" s="25" t="inlineStr">
        <is>
          <t>EV_SRC_FMLI_1404_001_p36</t>
        </is>
      </c>
      <c r="W5" s="25" t="inlineStr">
        <is>
          <t>36</t>
        </is>
      </c>
      <c r="X5" s="25" t="inlineStr">
        <is>
          <t>تاییدشده</t>
        </is>
      </c>
      <c r="Y5" s="25" t="n"/>
    </row>
    <row r="6" ht="20" customHeight="1" s="76">
      <c r="A6" s="23" t="inlineStr">
        <is>
          <t>AC40-فملی-03</t>
        </is>
      </c>
      <c r="B6" s="23" t="inlineStr">
        <is>
          <t>فملی</t>
        </is>
      </c>
      <c r="C6" s="23" t="inlineStr">
        <is>
          <t>عضو کمیته (غیرموظف)</t>
        </is>
      </c>
      <c r="D6" s="23" t="inlineStr">
        <is>
          <t>MEMBER</t>
        </is>
      </c>
      <c r="E6" s="23" t="inlineStr">
        <is>
          <t>طاهر علیزاده</t>
        </is>
      </c>
      <c r="F6" s="23" t="n"/>
      <c r="G6" s="23" t="inlineStr">
        <is>
          <t>N</t>
        </is>
      </c>
      <c r="H6" s="23" t="inlineStr">
        <is>
          <t>غیرموظف</t>
        </is>
      </c>
      <c r="I6" s="23" t="n"/>
      <c r="J6" s="23" t="inlineStr">
        <is>
          <t>U</t>
        </is>
      </c>
      <c r="K6" s="23" t="inlineStr">
        <is>
          <t>دکترا مهندسی مالی</t>
        </is>
      </c>
      <c r="L6" s="23" t="inlineStr">
        <is>
          <t>FIN</t>
        </is>
      </c>
      <c r="M6" s="23" t="inlineStr">
        <is>
          <t>دکترا مهندسی مالی</t>
        </is>
      </c>
      <c r="N6" s="23" t="n">
        <v>1</v>
      </c>
      <c r="O6" s="23" t="inlineStr">
        <is>
          <t>1404/02/22</t>
        </is>
      </c>
      <c r="P6" s="23" t="n"/>
      <c r="Q6" s="23" t="n"/>
      <c r="R6" s="23" t="n"/>
      <c r="S6" s="23" t="n"/>
      <c r="T6" s="23">
        <f>IF(AND(ISNUMBER(Q6),ISNUMBER(R6),R6&gt;0),Q6/R6,"")</f>
      </c>
      <c r="U6" s="23">
        <f>IF(AND(D6="MEMBER",ISNUMBER(Q6),ISNUMBER(R6),R6&gt;0),1,0)</f>
        <v>0</v>
      </c>
      <c r="V6" s="23" t="inlineStr">
        <is>
          <t>EV_SRC_FMLI_1404_001_p36</t>
        </is>
      </c>
      <c r="W6" s="23" t="inlineStr">
        <is>
          <t>36</t>
        </is>
      </c>
      <c r="X6" s="23" t="inlineStr">
        <is>
          <t>تاییدشده</t>
        </is>
      </c>
      <c r="Y6" s="23" t="n"/>
    </row>
    <row r="7" ht="20" customHeight="1" s="76">
      <c r="A7" s="25" t="inlineStr">
        <is>
          <t>AC40-فملی-04</t>
        </is>
      </c>
      <c r="B7" s="25" t="inlineStr">
        <is>
          <t>فملی</t>
        </is>
      </c>
      <c r="C7" s="25" t="inlineStr">
        <is>
          <t>عضو کمیته (غیرموظف)</t>
        </is>
      </c>
      <c r="D7" s="25" t="inlineStr">
        <is>
          <t>MEMBER</t>
        </is>
      </c>
      <c r="E7" s="25" t="inlineStr">
        <is>
          <t>مجتبی علی‌میرزایی</t>
        </is>
      </c>
      <c r="F7" s="25" t="n"/>
      <c r="G7" s="25" t="inlineStr">
        <is>
          <t>N</t>
        </is>
      </c>
      <c r="H7" s="25" t="inlineStr">
        <is>
          <t>غیرموظف</t>
        </is>
      </c>
      <c r="I7" s="25" t="n"/>
      <c r="J7" s="25" t="inlineStr">
        <is>
          <t>U</t>
        </is>
      </c>
      <c r="K7" s="25" t="inlineStr">
        <is>
          <t>کارشناسی ارشد حسابداری</t>
        </is>
      </c>
      <c r="L7" s="25" t="inlineStr">
        <is>
          <t>ACCT</t>
        </is>
      </c>
      <c r="M7" s="25" t="inlineStr">
        <is>
          <t>کارشناسی ارشد حسابداری</t>
        </is>
      </c>
      <c r="N7" s="25" t="n">
        <v>1</v>
      </c>
      <c r="O7" s="25" t="inlineStr">
        <is>
          <t>1404/02/22</t>
        </is>
      </c>
      <c r="P7" s="25" t="n"/>
      <c r="Q7" s="25" t="n"/>
      <c r="R7" s="25" t="n"/>
      <c r="S7" s="25" t="n"/>
      <c r="T7" s="25">
        <f>IF(AND(ISNUMBER(Q7),ISNUMBER(R7),R7&gt;0),Q7/R7,"")</f>
      </c>
      <c r="U7" s="25">
        <f>IF(AND(D7="MEMBER",ISNUMBER(Q7),ISNUMBER(R7),R7&gt;0),1,0)</f>
        <v>0</v>
      </c>
      <c r="V7" s="25" t="inlineStr">
        <is>
          <t>EV_SRC_FMLI_1404_001_p36</t>
        </is>
      </c>
      <c r="W7" s="25" t="inlineStr">
        <is>
          <t>36</t>
        </is>
      </c>
      <c r="X7" s="25" t="inlineStr">
        <is>
          <t>تاییدشده</t>
        </is>
      </c>
      <c r="Y7" s="25" t="n"/>
    </row>
    <row r="8" ht="20" customHeight="1" s="76">
      <c r="A8" s="23" t="inlineStr">
        <is>
          <t>AC40-فملی-05</t>
        </is>
      </c>
      <c r="B8" s="23" t="inlineStr">
        <is>
          <t>فملی</t>
        </is>
      </c>
      <c r="C8" s="23" t="inlineStr">
        <is>
          <t>عضو کمیته (غیرموظف)</t>
        </is>
      </c>
      <c r="D8" s="23" t="inlineStr">
        <is>
          <t>MEMBER</t>
        </is>
      </c>
      <c r="E8" s="23" t="inlineStr">
        <is>
          <t>احمد شهنوازی</t>
        </is>
      </c>
      <c r="F8" s="23" t="n"/>
      <c r="G8" s="23" t="inlineStr">
        <is>
          <t>N</t>
        </is>
      </c>
      <c r="H8" s="23" t="inlineStr">
        <is>
          <t>غیرموظف</t>
        </is>
      </c>
      <c r="I8" s="23" t="n"/>
      <c r="J8" s="23" t="inlineStr">
        <is>
          <t>U</t>
        </is>
      </c>
      <c r="K8" s="23" t="inlineStr">
        <is>
          <t>کارشناسی ارشد حسابداری</t>
        </is>
      </c>
      <c r="L8" s="23" t="inlineStr">
        <is>
          <t>ACCT</t>
        </is>
      </c>
      <c r="M8" s="23" t="inlineStr">
        <is>
          <t>کارشناسی ارشد حسابداری</t>
        </is>
      </c>
      <c r="N8" s="23" t="n">
        <v>1</v>
      </c>
      <c r="O8" s="23" t="inlineStr">
        <is>
          <t>1404/02/22</t>
        </is>
      </c>
      <c r="P8" s="23" t="n"/>
      <c r="Q8" s="23" t="n"/>
      <c r="R8" s="23" t="n"/>
      <c r="S8" s="23" t="n"/>
      <c r="T8" s="23">
        <f>IF(AND(ISNUMBER(Q8),ISNUMBER(R8),R8&gt;0),Q8/R8,"")</f>
      </c>
      <c r="U8" s="23">
        <f>IF(AND(D8="MEMBER",ISNUMBER(Q8),ISNUMBER(R8),R8&gt;0),1,0)</f>
        <v>0</v>
      </c>
      <c r="V8" s="23" t="inlineStr">
        <is>
          <t>EV_SRC_FMLI_1404_001_p36</t>
        </is>
      </c>
      <c r="W8" s="23" t="inlineStr">
        <is>
          <t>36</t>
        </is>
      </c>
      <c r="X8" s="23" t="inlineStr">
        <is>
          <t>تاییدشده</t>
        </is>
      </c>
      <c r="Y8" s="23" t="n"/>
    </row>
    <row r="9" ht="29" customHeight="1" s="76">
      <c r="A9" s="25" t="inlineStr">
        <is>
          <t>AC40-فملی-06</t>
        </is>
      </c>
      <c r="B9" s="25" t="inlineStr">
        <is>
          <t>فملی</t>
        </is>
      </c>
      <c r="C9" s="25" t="inlineStr">
        <is>
          <t>دبیر کمیته (موظف)</t>
        </is>
      </c>
      <c r="D9" s="25" t="inlineStr">
        <is>
          <t>SECRETARY</t>
        </is>
      </c>
      <c r="E9" s="25" t="inlineStr">
        <is>
          <t>حسن حبیبی</t>
        </is>
      </c>
      <c r="F9" s="25" t="n"/>
      <c r="G9" s="25" t="inlineStr">
        <is>
          <t>N</t>
        </is>
      </c>
      <c r="H9" s="25" t="inlineStr">
        <is>
          <t>موظف</t>
        </is>
      </c>
      <c r="I9" s="25" t="n"/>
      <c r="J9" s="25" t="inlineStr">
        <is>
          <t>U</t>
        </is>
      </c>
      <c r="K9" s="25" t="inlineStr">
        <is>
          <t>کارشناسی ارشد مدیریت مالی</t>
        </is>
      </c>
      <c r="L9" s="25" t="inlineStr">
        <is>
          <t>FIN</t>
        </is>
      </c>
      <c r="M9" s="25" t="inlineStr">
        <is>
          <t>ارشد مدیریت مالی</t>
        </is>
      </c>
      <c r="N9" s="25" t="n">
        <v>1</v>
      </c>
      <c r="O9" s="25" t="inlineStr">
        <is>
          <t>1404/07/13</t>
        </is>
      </c>
      <c r="P9" s="25" t="n"/>
      <c r="Q9" s="25" t="n"/>
      <c r="R9" s="25" t="n"/>
      <c r="S9" s="25" t="n"/>
      <c r="T9" s="25">
        <f>IF(AND(ISNUMBER(Q9),ISNUMBER(R9),R9&gt;0),Q9/R9,"")</f>
      </c>
      <c r="U9" s="25">
        <f>IF(AND(D9="MEMBER",ISNUMBER(Q9),ISNUMBER(R9),R9&gt;0),1,0)</f>
        <v>0</v>
      </c>
      <c r="V9" s="25" t="inlineStr">
        <is>
          <t>EV_SRC_FMLI_1404_001_p36</t>
        </is>
      </c>
      <c r="W9" s="25" t="inlineStr">
        <is>
          <t>36</t>
        </is>
      </c>
      <c r="X9" s="25" t="inlineStr">
        <is>
          <t>تاییدشده</t>
        </is>
      </c>
      <c r="Y9" s="25" t="inlineStr">
        <is>
          <t>دبیر؛ عضو شمرده نشد (متن: پنج عضو)</t>
        </is>
      </c>
    </row>
    <row r="10" ht="29" customHeight="1" s="76">
      <c r="A10" s="23" t="inlineStr">
        <is>
          <t>AC40-تاپیکو-01</t>
        </is>
      </c>
      <c r="B10" s="23" t="inlineStr">
        <is>
          <t>تاپیکو</t>
        </is>
      </c>
      <c r="C10" s="23" t="inlineStr">
        <is>
          <t>رئیس کمیته</t>
        </is>
      </c>
      <c r="D10" s="23" t="inlineStr">
        <is>
          <t>MEMBER</t>
        </is>
      </c>
      <c r="E10" s="23" t="inlineStr">
        <is>
          <t>محمدمهدی رحمتی</t>
        </is>
      </c>
      <c r="F10" s="23" t="inlineStr">
        <is>
          <t>عضو هیئت‌مدیره</t>
        </is>
      </c>
      <c r="G10" s="23" t="inlineStr">
        <is>
          <t>Y</t>
        </is>
      </c>
      <c r="H10" s="23" t="n"/>
      <c r="I10" s="23" t="n"/>
      <c r="J10" s="23" t="inlineStr">
        <is>
          <t>U</t>
        </is>
      </c>
      <c r="K10" s="23" t="inlineStr">
        <is>
          <t>کارشناسی ارشد (مهندسی سیستم‌های اقتصادی؛ ص۱۱)</t>
        </is>
      </c>
      <c r="L10" s="23" t="inlineStr">
        <is>
          <t>UNK</t>
        </is>
      </c>
      <c r="M10" s="23" t="n"/>
      <c r="N10" s="23" t="n">
        <v>0</v>
      </c>
      <c r="O10" s="23" t="inlineStr">
        <is>
          <t>1403/12/15</t>
        </is>
      </c>
      <c r="P10" s="23" t="n"/>
      <c r="Q10" s="23" t="n">
        <v>3</v>
      </c>
      <c r="R10" s="23" t="n"/>
      <c r="S10" s="23" t="n"/>
      <c r="T10" s="23">
        <f>IF(AND(ISNUMBER(Q10),ISNUMBER(R10),R10&gt;0),Q10/R10,"")</f>
      </c>
      <c r="U10" s="23">
        <f>IF(AND(D10="MEMBER",ISNUMBER(Q10),ISNUMBER(R10),R10&gt;0),1,0)</f>
        <v>0</v>
      </c>
      <c r="V10" s="23" t="inlineStr">
        <is>
          <t>EV_SRC_TPIK_1404_002_p82</t>
        </is>
      </c>
      <c r="W10" s="23" t="inlineStr">
        <is>
          <t>82</t>
        </is>
      </c>
      <c r="X10" s="23" t="inlineStr">
        <is>
          <t>تاییدشده</t>
        </is>
      </c>
      <c r="Y10" s="23" t="n"/>
    </row>
    <row r="11" ht="29" customHeight="1" s="76">
      <c r="A11" s="25" t="inlineStr">
        <is>
          <t>AC40-تاپیکو-02</t>
        </is>
      </c>
      <c r="B11" s="25" t="inlineStr">
        <is>
          <t>تاپیکو</t>
        </is>
      </c>
      <c r="C11" s="25" t="inlineStr">
        <is>
          <t>عضو کمیته</t>
        </is>
      </c>
      <c r="D11" s="25" t="inlineStr">
        <is>
          <t>MEMBER</t>
        </is>
      </c>
      <c r="E11" s="25" t="inlineStr">
        <is>
          <t>اکبر محققی</t>
        </is>
      </c>
      <c r="F11" s="25" t="inlineStr">
        <is>
          <t>عضو هیئت‌مدیره</t>
        </is>
      </c>
      <c r="G11" s="25" t="inlineStr">
        <is>
          <t>Y</t>
        </is>
      </c>
      <c r="H11" s="25" t="n"/>
      <c r="I11" s="25" t="n"/>
      <c r="J11" s="25" t="inlineStr">
        <is>
          <t>U</t>
        </is>
      </c>
      <c r="K11" s="25" t="inlineStr">
        <is>
          <t>کارشناسی ارشد (علوم سیاسی)</t>
        </is>
      </c>
      <c r="L11" s="25" t="inlineStr">
        <is>
          <t>NONE_EVID</t>
        </is>
      </c>
      <c r="M11" s="25" t="inlineStr">
        <is>
          <t>سوابق مدیرعامل صندوق‌ها/هلدینگ؛ رشته غیرمالی</t>
        </is>
      </c>
      <c r="N11" s="25" t="n">
        <v>0</v>
      </c>
      <c r="O11" s="25" t="inlineStr">
        <is>
          <t>1403/12/15</t>
        </is>
      </c>
      <c r="P11" s="25" t="n"/>
      <c r="Q11" s="25" t="n">
        <v>3</v>
      </c>
      <c r="R11" s="25" t="n"/>
      <c r="S11" s="25" t="n"/>
      <c r="T11" s="25">
        <f>IF(AND(ISNUMBER(Q11),ISNUMBER(R11),R11&gt;0),Q11/R11,"")</f>
      </c>
      <c r="U11" s="25">
        <f>IF(AND(D11="MEMBER",ISNUMBER(Q11),ISNUMBER(R11),R11&gt;0),1,0)</f>
        <v>0</v>
      </c>
      <c r="V11" s="25" t="inlineStr">
        <is>
          <t>EV_SRC_TPIK_1404_002_p82</t>
        </is>
      </c>
      <c r="W11" s="25" t="inlineStr">
        <is>
          <t>82</t>
        </is>
      </c>
      <c r="X11" s="25" t="inlineStr">
        <is>
          <t>تاییدشده</t>
        </is>
      </c>
      <c r="Y11" s="25" t="n"/>
    </row>
    <row r="12" ht="20" customHeight="1" s="76">
      <c r="A12" s="23" t="inlineStr">
        <is>
          <t>AC40-تاپیکو-03</t>
        </is>
      </c>
      <c r="B12" s="23" t="inlineStr">
        <is>
          <t>تاپیکو</t>
        </is>
      </c>
      <c r="C12" s="23" t="inlineStr">
        <is>
          <t>عضو کمیته</t>
        </is>
      </c>
      <c r="D12" s="23" t="inlineStr">
        <is>
          <t>MEMBER</t>
        </is>
      </c>
      <c r="E12" s="23" t="inlineStr">
        <is>
          <t>کریم بروفرد</t>
        </is>
      </c>
      <c r="F12" s="23" t="n"/>
      <c r="G12" s="23" t="inlineStr">
        <is>
          <t>N</t>
        </is>
      </c>
      <c r="H12" s="23" t="n"/>
      <c r="I12" s="23" t="n"/>
      <c r="J12" s="23" t="inlineStr">
        <is>
          <t>U</t>
        </is>
      </c>
      <c r="K12" s="23" t="inlineStr">
        <is>
          <t>دانشجوی دکترا</t>
        </is>
      </c>
      <c r="L12" s="23" t="inlineStr">
        <is>
          <t>UNK</t>
        </is>
      </c>
      <c r="M12" s="23" t="n"/>
      <c r="N12" s="23" t="n">
        <v>0</v>
      </c>
      <c r="O12" s="23" t="inlineStr">
        <is>
          <t>1403/12/15</t>
        </is>
      </c>
      <c r="P12" s="23" t="n"/>
      <c r="Q12" s="23" t="n">
        <v>3</v>
      </c>
      <c r="R12" s="23" t="n"/>
      <c r="S12" s="23" t="n"/>
      <c r="T12" s="23">
        <f>IF(AND(ISNUMBER(Q12),ISNUMBER(R12),R12&gt;0),Q12/R12,"")</f>
      </c>
      <c r="U12" s="23">
        <f>IF(AND(D12="MEMBER",ISNUMBER(Q12),ISNUMBER(R12),R12&gt;0),1,0)</f>
        <v>0</v>
      </c>
      <c r="V12" s="23" t="inlineStr">
        <is>
          <t>EV_SRC_TPIK_1404_002_p82</t>
        </is>
      </c>
      <c r="W12" s="23" t="inlineStr">
        <is>
          <t>82</t>
        </is>
      </c>
      <c r="X12" s="23" t="inlineStr">
        <is>
          <t>تاییدشده</t>
        </is>
      </c>
      <c r="Y12" s="23" t="n"/>
    </row>
    <row r="13" ht="43.5" customHeight="1" s="76">
      <c r="A13" s="25" t="inlineStr">
        <is>
          <t>AC40-تاپیکو-04</t>
        </is>
      </c>
      <c r="B13" s="25" t="inlineStr">
        <is>
          <t>تاپیکو</t>
        </is>
      </c>
      <c r="C13" s="25" t="inlineStr">
        <is>
          <t>عضو کمیته</t>
        </is>
      </c>
      <c r="D13" s="25" t="inlineStr">
        <is>
          <t>MEMBER</t>
        </is>
      </c>
      <c r="E13" s="25" t="inlineStr">
        <is>
          <t>افشار سرکانیان</t>
        </is>
      </c>
      <c r="F13" s="25" t="n"/>
      <c r="G13" s="25" t="inlineStr">
        <is>
          <t>N</t>
        </is>
      </c>
      <c r="H13" s="25" t="n"/>
      <c r="I13" s="25" t="n"/>
      <c r="J13" s="25" t="inlineStr">
        <is>
          <t>U</t>
        </is>
      </c>
      <c r="K13" s="25" t="inlineStr">
        <is>
          <t>دکترا</t>
        </is>
      </c>
      <c r="L13" s="25" t="inlineStr">
        <is>
          <t>FIN_EXP</t>
        </is>
      </c>
      <c r="M13" s="25" t="inlineStr">
        <is>
          <t>مدیرعامل شرکت تأمین سرمایه بانک ملت؛ رئیس کمیته حسابرسی فرابورس ایران (ستون خلاصه سوابق)</t>
        </is>
      </c>
      <c r="N13" s="25" t="n">
        <v>1</v>
      </c>
      <c r="O13" s="25" t="inlineStr">
        <is>
          <t>1403/12/15</t>
        </is>
      </c>
      <c r="P13" s="25" t="n"/>
      <c r="Q13" s="25" t="n">
        <v>3</v>
      </c>
      <c r="R13" s="25" t="n"/>
      <c r="S13" s="25" t="n"/>
      <c r="T13" s="25">
        <f>IF(AND(ISNUMBER(Q13),ISNUMBER(R13),R13&gt;0),Q13/R13,"")</f>
      </c>
      <c r="U13" s="25">
        <f>IF(AND(D13="MEMBER",ISNUMBER(Q13),ISNUMBER(R13),R13&gt;0),1,0)</f>
        <v>0</v>
      </c>
      <c r="V13" s="25" t="inlineStr">
        <is>
          <t>EV_SRC_TPIK_1404_002_p82</t>
        </is>
      </c>
      <c r="W13" s="25" t="inlineStr">
        <is>
          <t>82</t>
        </is>
      </c>
      <c r="X13" s="25" t="inlineStr">
        <is>
          <t>تاییدشده</t>
        </is>
      </c>
      <c r="Y13" s="25" t="n"/>
    </row>
    <row r="14" ht="20" customHeight="1" s="76">
      <c r="A14" s="23" t="inlineStr">
        <is>
          <t>AC40-تاپیکو-05</t>
        </is>
      </c>
      <c r="B14" s="23" t="inlineStr">
        <is>
          <t>تاپیکو</t>
        </is>
      </c>
      <c r="C14" s="23" t="inlineStr">
        <is>
          <t>عضو کمیته</t>
        </is>
      </c>
      <c r="D14" s="23" t="inlineStr">
        <is>
          <t>MEMBER</t>
        </is>
      </c>
      <c r="E14" s="23" t="inlineStr">
        <is>
          <t>سعیدرضا فتوحی اردکانی</t>
        </is>
      </c>
      <c r="F14" s="23" t="n"/>
      <c r="G14" s="23" t="inlineStr">
        <is>
          <t>N</t>
        </is>
      </c>
      <c r="H14" s="23" t="n"/>
      <c r="I14" s="23" t="n"/>
      <c r="J14" s="23" t="inlineStr">
        <is>
          <t>U</t>
        </is>
      </c>
      <c r="K14" s="23" t="inlineStr">
        <is>
          <t>کارشناسی ارشد</t>
        </is>
      </c>
      <c r="L14" s="23" t="inlineStr">
        <is>
          <t>UNK</t>
        </is>
      </c>
      <c r="M14" s="23" t="n"/>
      <c r="N14" s="23" t="n">
        <v>0</v>
      </c>
      <c r="O14" s="23" t="inlineStr">
        <is>
          <t>1403/12/15</t>
        </is>
      </c>
      <c r="P14" s="23" t="n"/>
      <c r="Q14" s="23" t="n">
        <v>3</v>
      </c>
      <c r="R14" s="23" t="n"/>
      <c r="S14" s="23" t="n"/>
      <c r="T14" s="23">
        <f>IF(AND(ISNUMBER(Q14),ISNUMBER(R14),R14&gt;0),Q14/R14,"")</f>
      </c>
      <c r="U14" s="23">
        <f>IF(AND(D14="MEMBER",ISNUMBER(Q14),ISNUMBER(R14),R14&gt;0),1,0)</f>
        <v>0</v>
      </c>
      <c r="V14" s="23" t="inlineStr">
        <is>
          <t>EV_SRC_TPIK_1404_002_p82</t>
        </is>
      </c>
      <c r="W14" s="23" t="inlineStr">
        <is>
          <t>82</t>
        </is>
      </c>
      <c r="X14" s="23" t="inlineStr">
        <is>
          <t>تاییدشده</t>
        </is>
      </c>
      <c r="Y14" s="23" t="n"/>
    </row>
    <row r="15" ht="20" customHeight="1" s="76">
      <c r="A15" s="25" t="inlineStr">
        <is>
          <t>AC40-تاپیکو-06</t>
        </is>
      </c>
      <c r="B15" s="25" t="inlineStr">
        <is>
          <t>تاپیکو</t>
        </is>
      </c>
      <c r="C15" s="25" t="inlineStr">
        <is>
          <t>دبیر کمیته</t>
        </is>
      </c>
      <c r="D15" s="25" t="inlineStr">
        <is>
          <t>SECRETARY</t>
        </is>
      </c>
      <c r="E15" s="25" t="inlineStr">
        <is>
          <t>مجتبی اسکندری‌زاده</t>
        </is>
      </c>
      <c r="F15" s="25" t="n"/>
      <c r="G15" s="25" t="inlineStr">
        <is>
          <t>N</t>
        </is>
      </c>
      <c r="H15" s="25" t="n"/>
      <c r="I15" s="25" t="n"/>
      <c r="J15" s="25" t="inlineStr">
        <is>
          <t>U</t>
        </is>
      </c>
      <c r="K15" s="25" t="inlineStr">
        <is>
          <t>کارشناسی ارشد</t>
        </is>
      </c>
      <c r="L15" s="25" t="inlineStr">
        <is>
          <t>FIN_EXP</t>
        </is>
      </c>
      <c r="M15" s="25" t="inlineStr">
        <is>
          <t>حسابرس داخلی شستا/تاپیکو</t>
        </is>
      </c>
      <c r="N15" s="25" t="n">
        <v>1</v>
      </c>
      <c r="O15" s="25" t="inlineStr">
        <is>
          <t>1401/07/23</t>
        </is>
      </c>
      <c r="P15" s="25" t="n"/>
      <c r="Q15" s="25" t="n">
        <v>19</v>
      </c>
      <c r="R15" s="25" t="n"/>
      <c r="S15" s="25" t="n"/>
      <c r="T15" s="25">
        <f>IF(AND(ISNUMBER(Q15),ISNUMBER(R15),R15&gt;0),Q15/R15,"")</f>
      </c>
      <c r="U15" s="25">
        <f>IF(AND(D15="MEMBER",ISNUMBER(Q15),ISNUMBER(R15),R15&gt;0),1,0)</f>
        <v>0</v>
      </c>
      <c r="V15" s="25" t="inlineStr">
        <is>
          <t>EV_SRC_TPIK_1404_002_p82</t>
        </is>
      </c>
      <c r="W15" s="25" t="inlineStr">
        <is>
          <t>82</t>
        </is>
      </c>
      <c r="X15" s="25" t="inlineStr">
        <is>
          <t>تاییدشده</t>
        </is>
      </c>
      <c r="Y15" s="25" t="inlineStr">
        <is>
          <t>دبیر؛ عضو شمرده نشد</t>
        </is>
      </c>
    </row>
    <row r="16" ht="29" customHeight="1" s="76">
      <c r="A16" s="23" t="inlineStr">
        <is>
          <t>AC40-تاپیکو-07</t>
        </is>
      </c>
      <c r="B16" s="23" t="inlineStr">
        <is>
          <t>تاپیکو</t>
        </is>
      </c>
      <c r="C16" s="23" t="inlineStr">
        <is>
          <t>رئیس کمیته (دوره قبل)</t>
        </is>
      </c>
      <c r="D16" s="23" t="inlineStr">
        <is>
          <t>FORMER</t>
        </is>
      </c>
      <c r="E16" s="23" t="inlineStr">
        <is>
          <t>محمد ابوالقاسمی</t>
        </is>
      </c>
      <c r="F16" s="23" t="n"/>
      <c r="G16" s="23" t="inlineStr">
        <is>
          <t>U</t>
        </is>
      </c>
      <c r="H16" s="23" t="n"/>
      <c r="I16" s="23" t="n"/>
      <c r="J16" s="23" t="inlineStr">
        <is>
          <t>U</t>
        </is>
      </c>
      <c r="K16" s="23" t="inlineStr">
        <is>
          <t>کارشناسی ارشد</t>
        </is>
      </c>
      <c r="L16" s="23" t="inlineStr">
        <is>
          <t>FIN_EXP</t>
        </is>
      </c>
      <c r="M16" s="23" t="inlineStr">
        <is>
          <t>عضو هیئت‌مدیره شرکت‌های مختلف؛ معاون مالی و اداری</t>
        </is>
      </c>
      <c r="N16" s="23" t="n">
        <v>1</v>
      </c>
      <c r="O16" s="23" t="n"/>
      <c r="P16" s="23" t="inlineStr">
        <is>
          <t>1403/10 (پایان دی ۱۴۰۳)</t>
        </is>
      </c>
      <c r="Q16" s="23" t="n">
        <v>15</v>
      </c>
      <c r="R16" s="23" t="n"/>
      <c r="S16" s="23" t="n"/>
      <c r="T16" s="23">
        <f>IF(AND(ISNUMBER(Q16),ISNUMBER(R16),R16&gt;0),Q16/R16,"")</f>
      </c>
      <c r="U16" s="23">
        <f>IF(AND(D16="MEMBER",ISNUMBER(Q16),ISNUMBER(R16),R16&gt;0),1,0)</f>
        <v>0</v>
      </c>
      <c r="V16" s="23" t="inlineStr">
        <is>
          <t>EV_SRC_TPIK_1404_002_p82</t>
        </is>
      </c>
      <c r="W16" s="23" t="inlineStr">
        <is>
          <t>82</t>
        </is>
      </c>
      <c r="X16" s="23" t="inlineStr">
        <is>
          <t>تاییدشده</t>
        </is>
      </c>
      <c r="Y16" s="23" t="inlineStr">
        <is>
          <t>عضو قبلی؛ خارج از مقطع پایان دوره</t>
        </is>
      </c>
    </row>
    <row r="17" ht="29" customHeight="1" s="76">
      <c r="A17" s="25" t="inlineStr">
        <is>
          <t>AC40-تاپیکو-08</t>
        </is>
      </c>
      <c r="B17" s="25" t="inlineStr">
        <is>
          <t>تاپیکو</t>
        </is>
      </c>
      <c r="C17" s="25" t="inlineStr">
        <is>
          <t>عضو (دوره قبل)</t>
        </is>
      </c>
      <c r="D17" s="25" t="inlineStr">
        <is>
          <t>FORMER</t>
        </is>
      </c>
      <c r="E17" s="25" t="inlineStr">
        <is>
          <t>مهدی صیدی</t>
        </is>
      </c>
      <c r="F17" s="25" t="n"/>
      <c r="G17" s="25" t="inlineStr">
        <is>
          <t>U</t>
        </is>
      </c>
      <c r="H17" s="25" t="n"/>
      <c r="I17" s="25" t="n"/>
      <c r="J17" s="25" t="inlineStr">
        <is>
          <t>U</t>
        </is>
      </c>
      <c r="K17" s="25" t="inlineStr">
        <is>
          <t>دکترا</t>
        </is>
      </c>
      <c r="L17" s="25" t="inlineStr">
        <is>
          <t>UNK</t>
        </is>
      </c>
      <c r="M17" s="25" t="n"/>
      <c r="N17" s="25" t="n">
        <v>0</v>
      </c>
      <c r="O17" s="25" t="n"/>
      <c r="P17" s="25" t="inlineStr">
        <is>
          <t>1403/11 (پایان بهمن)</t>
        </is>
      </c>
      <c r="Q17" s="25" t="n">
        <v>16</v>
      </c>
      <c r="R17" s="25" t="n"/>
      <c r="S17" s="25" t="n"/>
      <c r="T17" s="25">
        <f>IF(AND(ISNUMBER(Q17),ISNUMBER(R17),R17&gt;0),Q17/R17,"")</f>
      </c>
      <c r="U17" s="25">
        <f>IF(AND(D17="MEMBER",ISNUMBER(Q17),ISNUMBER(R17),R17&gt;0),1,0)</f>
        <v>0</v>
      </c>
      <c r="V17" s="25" t="inlineStr">
        <is>
          <t>EV_SRC_TPIK_1404_002_p82</t>
        </is>
      </c>
      <c r="W17" s="25" t="inlineStr">
        <is>
          <t>82</t>
        </is>
      </c>
      <c r="X17" s="25" t="inlineStr">
        <is>
          <t>تاییدشده</t>
        </is>
      </c>
      <c r="Y17" s="25" t="inlineStr">
        <is>
          <t>عضو قبلی</t>
        </is>
      </c>
    </row>
    <row r="18" ht="20" customHeight="1" s="76">
      <c r="A18" s="23" t="inlineStr">
        <is>
          <t>AC40-تاپیکو-09</t>
        </is>
      </c>
      <c r="B18" s="23" t="inlineStr">
        <is>
          <t>تاپیکو</t>
        </is>
      </c>
      <c r="C18" s="23" t="inlineStr">
        <is>
          <t>عضو (دوره قبل)</t>
        </is>
      </c>
      <c r="D18" s="23" t="inlineStr">
        <is>
          <t>FORMER</t>
        </is>
      </c>
      <c r="E18" s="23" t="inlineStr">
        <is>
          <t>کامیز جامع</t>
        </is>
      </c>
      <c r="F18" s="23" t="n"/>
      <c r="G18" s="23" t="inlineStr">
        <is>
          <t>U</t>
        </is>
      </c>
      <c r="H18" s="23" t="n"/>
      <c r="I18" s="23" t="n"/>
      <c r="J18" s="23" t="inlineStr">
        <is>
          <t>U</t>
        </is>
      </c>
      <c r="K18" s="23" t="inlineStr">
        <is>
          <t>کارشناسی ارشد</t>
        </is>
      </c>
      <c r="L18" s="23" t="inlineStr">
        <is>
          <t>ACCT</t>
        </is>
      </c>
      <c r="M18" s="23" t="inlineStr">
        <is>
          <t>عضو جامعه حسابداران رسمی ایران</t>
        </is>
      </c>
      <c r="N18" s="23" t="n">
        <v>1</v>
      </c>
      <c r="O18" s="23" t="n"/>
      <c r="P18" s="23" t="inlineStr">
        <is>
          <t>1403/11</t>
        </is>
      </c>
      <c r="Q18" s="23" t="n">
        <v>16</v>
      </c>
      <c r="R18" s="23" t="n"/>
      <c r="S18" s="23" t="n"/>
      <c r="T18" s="23">
        <f>IF(AND(ISNUMBER(Q18),ISNUMBER(R18),R18&gt;0),Q18/R18,"")</f>
      </c>
      <c r="U18" s="23">
        <f>IF(AND(D18="MEMBER",ISNUMBER(Q18),ISNUMBER(R18),R18&gt;0),1,0)</f>
        <v>0</v>
      </c>
      <c r="V18" s="23" t="inlineStr">
        <is>
          <t>EV_SRC_TPIK_1404_002_p82</t>
        </is>
      </c>
      <c r="W18" s="23" t="inlineStr">
        <is>
          <t>82</t>
        </is>
      </c>
      <c r="X18" s="23" t="inlineStr">
        <is>
          <t>تاییدشده</t>
        </is>
      </c>
      <c r="Y18" s="23" t="inlineStr">
        <is>
          <t>عضو قبلی</t>
        </is>
      </c>
    </row>
    <row r="19" ht="29" customHeight="1" s="76">
      <c r="A19" s="25" t="inlineStr">
        <is>
          <t>AC40-تاپیکو-10</t>
        </is>
      </c>
      <c r="B19" s="25" t="inlineStr">
        <is>
          <t>تاپیکو</t>
        </is>
      </c>
      <c r="C19" s="25" t="inlineStr">
        <is>
          <t>عضو (دوره قبل)</t>
        </is>
      </c>
      <c r="D19" s="25" t="inlineStr">
        <is>
          <t>FORMER</t>
        </is>
      </c>
      <c r="E19" s="25" t="inlineStr">
        <is>
          <t>حسین ابراهیمی</t>
        </is>
      </c>
      <c r="F19" s="25" t="n"/>
      <c r="G19" s="25" t="inlineStr">
        <is>
          <t>U</t>
        </is>
      </c>
      <c r="H19" s="25" t="n"/>
      <c r="I19" s="25" t="n"/>
      <c r="J19" s="25" t="inlineStr">
        <is>
          <t>U</t>
        </is>
      </c>
      <c r="K19" s="25" t="inlineStr">
        <is>
          <t>کارشناسی ارشد</t>
        </is>
      </c>
      <c r="L19" s="25" t="inlineStr">
        <is>
          <t>ACCT</t>
        </is>
      </c>
      <c r="M19" s="25" t="inlineStr">
        <is>
          <t>حسابرس در موسسات عضو جامعه حسابداران رسمی</t>
        </is>
      </c>
      <c r="N19" s="25" t="n">
        <v>1</v>
      </c>
      <c r="O19" s="25" t="n"/>
      <c r="P19" s="25" t="inlineStr">
        <is>
          <t>1403/11</t>
        </is>
      </c>
      <c r="Q19" s="25" t="n">
        <v>16</v>
      </c>
      <c r="R19" s="25" t="n"/>
      <c r="S19" s="25" t="n"/>
      <c r="T19" s="25">
        <f>IF(AND(ISNUMBER(Q19),ISNUMBER(R19),R19&gt;0),Q19/R19,"")</f>
      </c>
      <c r="U19" s="25">
        <f>IF(AND(D19="MEMBER",ISNUMBER(Q19),ISNUMBER(R19),R19&gt;0),1,0)</f>
        <v>0</v>
      </c>
      <c r="V19" s="25" t="inlineStr">
        <is>
          <t>EV_SRC_TPIK_1404_002_p82</t>
        </is>
      </c>
      <c r="W19" s="25" t="inlineStr">
        <is>
          <t>82</t>
        </is>
      </c>
      <c r="X19" s="25" t="inlineStr">
        <is>
          <t>تاییدشده</t>
        </is>
      </c>
      <c r="Y19" s="25" t="inlineStr">
        <is>
          <t>عضو قبلی</t>
        </is>
      </c>
    </row>
    <row r="20" ht="29" customHeight="1" s="76">
      <c r="A20" s="23" t="inlineStr">
        <is>
          <t>AC40-تاپیکو-11</t>
        </is>
      </c>
      <c r="B20" s="23" t="inlineStr">
        <is>
          <t>تاپیکو</t>
        </is>
      </c>
      <c r="C20" s="23" t="inlineStr">
        <is>
          <t>عضو (دوره قبل)</t>
        </is>
      </c>
      <c r="D20" s="23" t="inlineStr">
        <is>
          <t>FORMER</t>
        </is>
      </c>
      <c r="E20" s="23" t="inlineStr">
        <is>
          <t>حمیدرضا بنی‌اسدی</t>
        </is>
      </c>
      <c r="F20" s="23" t="n"/>
      <c r="G20" s="23" t="inlineStr">
        <is>
          <t>U</t>
        </is>
      </c>
      <c r="H20" s="23" t="n"/>
      <c r="I20" s="23" t="n"/>
      <c r="J20" s="23" t="inlineStr">
        <is>
          <t>U</t>
        </is>
      </c>
      <c r="K20" s="23" t="inlineStr">
        <is>
          <t>کارشناسی ارشد</t>
        </is>
      </c>
      <c r="L20" s="23" t="inlineStr">
        <is>
          <t>ACCT</t>
        </is>
      </c>
      <c r="M20" s="23" t="inlineStr">
        <is>
          <t>مدیر حسابرسی؛ عضو جامعه حسابداران رسمی</t>
        </is>
      </c>
      <c r="N20" s="23" t="n">
        <v>1</v>
      </c>
      <c r="O20" s="23" t="n"/>
      <c r="P20" s="23" t="inlineStr">
        <is>
          <t>1403/11</t>
        </is>
      </c>
      <c r="Q20" s="23" t="n">
        <v>6</v>
      </c>
      <c r="R20" s="23" t="n"/>
      <c r="S20" s="23" t="n"/>
      <c r="T20" s="23">
        <f>IF(AND(ISNUMBER(Q20),ISNUMBER(R20),R20&gt;0),Q20/R20,"")</f>
      </c>
      <c r="U20" s="23">
        <f>IF(AND(D20="MEMBER",ISNUMBER(Q20),ISNUMBER(R20),R20&gt;0),1,0)</f>
        <v>0</v>
      </c>
      <c r="V20" s="23" t="inlineStr">
        <is>
          <t>EV_SRC_TPIK_1404_002_p82</t>
        </is>
      </c>
      <c r="W20" s="23" t="inlineStr">
        <is>
          <t>82</t>
        </is>
      </c>
      <c r="X20" s="23" t="inlineStr">
        <is>
          <t>تاییدشده</t>
        </is>
      </c>
      <c r="Y20" s="23" t="inlineStr">
        <is>
          <t>عضو قبلی</t>
        </is>
      </c>
    </row>
    <row r="21" ht="43.5" customHeight="1" s="76">
      <c r="A21" s="25" t="inlineStr">
        <is>
          <t>AC40-فارس-01</t>
        </is>
      </c>
      <c r="B21" s="25" t="inlineStr">
        <is>
          <t>فارس</t>
        </is>
      </c>
      <c r="C21" s="25" t="inlineStr">
        <is>
          <t>رئیس کمیته</t>
        </is>
      </c>
      <c r="D21" s="25" t="inlineStr">
        <is>
          <t>MEMBER</t>
        </is>
      </c>
      <c r="E21" s="25" t="inlineStr">
        <is>
          <t>حسین حسین‌زاده</t>
        </is>
      </c>
      <c r="F21" s="25" t="inlineStr">
        <is>
          <t>عضو هیئت‌مدیره</t>
        </is>
      </c>
      <c r="G21" s="25" t="inlineStr">
        <is>
          <t>Y</t>
        </is>
      </c>
      <c r="H21" s="25" t="n"/>
      <c r="I21" s="25" t="inlineStr">
        <is>
          <t>مستقل (فقط از پانوشت: «یک عضو مستقل هیئت‌مدیره»؛ برچسب ردیف ندارد)</t>
        </is>
      </c>
      <c r="J21" s="25" t="inlineStr">
        <is>
          <t>Y</t>
        </is>
      </c>
      <c r="K21" s="25" t="inlineStr">
        <is>
          <t>دکترای مهندسی زمین‌شناسی</t>
        </is>
      </c>
      <c r="L21" s="25" t="inlineStr">
        <is>
          <t>NONE_EVID</t>
        </is>
      </c>
      <c r="M21" s="25" t="inlineStr">
        <is>
          <t>سوابق: رئیس هیئت‌مدیره صندوق‌های بازنشستگی نفت؛ مدیرعامل؛ رئیس هیئت‌مدیره بهینه‌سازی مصرف سوخت</t>
        </is>
      </c>
      <c r="N21" s="25" t="n">
        <v>0</v>
      </c>
      <c r="O21" s="25" t="inlineStr">
        <is>
          <t>1404/02/29</t>
        </is>
      </c>
      <c r="P21" s="25" t="n"/>
      <c r="Q21" s="25" t="n">
        <v>1</v>
      </c>
      <c r="R21" s="25" t="n"/>
      <c r="S21" s="25" t="n"/>
      <c r="T21" s="25">
        <f>IF(AND(ISNUMBER(Q21),ISNUMBER(R21),R21&gt;0),Q21/R21,"")</f>
      </c>
      <c r="U21" s="25">
        <f>IF(AND(D21="MEMBER",ISNUMBER(Q21),ISNUMBER(R21),R21&gt;0),1,0)</f>
        <v>0</v>
      </c>
      <c r="V21" s="25" t="inlineStr">
        <is>
          <t>EV_SRC_FARS_1404_001_p42</t>
        </is>
      </c>
      <c r="W21" s="25" t="inlineStr">
        <is>
          <t>42</t>
        </is>
      </c>
      <c r="X21" s="25" t="inlineStr">
        <is>
          <t>تاییدشده</t>
        </is>
      </c>
      <c r="Y21" s="25" t="inlineStr">
        <is>
          <t>فرصت حضور نامشخص (عضو از ۱۴۰۴/۰۲/۲۹)</t>
        </is>
      </c>
    </row>
    <row r="22" ht="43.5" customHeight="1" s="76">
      <c r="A22" s="23" t="inlineStr">
        <is>
          <t>AC40-فارس-02</t>
        </is>
      </c>
      <c r="B22" s="23" t="inlineStr">
        <is>
          <t>فارس</t>
        </is>
      </c>
      <c r="C22" s="23" t="inlineStr">
        <is>
          <t>عضو مستقل کمیته</t>
        </is>
      </c>
      <c r="D22" s="23" t="inlineStr">
        <is>
          <t>MEMBER</t>
        </is>
      </c>
      <c r="E22" s="23" t="inlineStr">
        <is>
          <t>معصومه کوشا</t>
        </is>
      </c>
      <c r="F22" s="23" t="n"/>
      <c r="G22" s="23" t="inlineStr">
        <is>
          <t>N</t>
        </is>
      </c>
      <c r="H22" s="23" t="n"/>
      <c r="I22" s="23" t="inlineStr">
        <is>
          <t>عضو مستقل کمیته</t>
        </is>
      </c>
      <c r="J22" s="23" t="inlineStr">
        <is>
          <t>Y</t>
        </is>
      </c>
      <c r="K22" s="23" t="inlineStr">
        <is>
          <t>کارشناسی حسابداری (ارشد؟ متن: کارشناسی حسابداری)</t>
        </is>
      </c>
      <c r="L22" s="23" t="inlineStr">
        <is>
          <t>ACCT</t>
        </is>
      </c>
      <c r="M22" s="23" t="inlineStr">
        <is>
          <t>عضو جامعه حسابداران رسمی؛ مدیر ارشد سازمان حسابرسی ۳۳ سال</t>
        </is>
      </c>
      <c r="N22" s="23" t="n">
        <v>1</v>
      </c>
      <c r="O22" s="23" t="inlineStr">
        <is>
          <t>1401/09/26</t>
        </is>
      </c>
      <c r="P22" s="23" t="n"/>
      <c r="Q22" s="23" t="n">
        <v>14</v>
      </c>
      <c r="R22" s="23" t="n">
        <v>14</v>
      </c>
      <c r="S22" s="23" t="inlineStr">
        <is>
          <t>صریح در سند</t>
        </is>
      </c>
      <c r="T22" s="23">
        <f>IF(AND(ISNUMBER(Q22),ISNUMBER(R22),R22&gt;0),Q22/R22,"")</f>
        <v>1</v>
      </c>
      <c r="U22" s="23">
        <f>IF(AND(D22="MEMBER",ISNUMBER(Q22),ISNUMBER(R22),R22&gt;0),1,0)</f>
        <v>1</v>
      </c>
      <c r="V22" s="23" t="inlineStr">
        <is>
          <t>EV_SRC_FARS_1404_001_p42</t>
        </is>
      </c>
      <c r="W22" s="23" t="inlineStr">
        <is>
          <t>42</t>
        </is>
      </c>
      <c r="X22" s="23" t="inlineStr">
        <is>
          <t>تاییدشده</t>
        </is>
      </c>
      <c r="Y22" s="23" t="n"/>
    </row>
    <row r="23" ht="43.5" customHeight="1" s="76">
      <c r="A23" s="25" t="inlineStr">
        <is>
          <t>AC40-فارس-03</t>
        </is>
      </c>
      <c r="B23" s="25" t="inlineStr">
        <is>
          <t>فارس</t>
        </is>
      </c>
      <c r="C23" s="25" t="inlineStr">
        <is>
          <t>عضو مستقل کمیته</t>
        </is>
      </c>
      <c r="D23" s="25" t="inlineStr">
        <is>
          <t>MEMBER</t>
        </is>
      </c>
      <c r="E23" s="25" t="inlineStr">
        <is>
          <t>بهرام نامدار</t>
        </is>
      </c>
      <c r="F23" s="25" t="n"/>
      <c r="G23" s="25" t="inlineStr">
        <is>
          <t>N</t>
        </is>
      </c>
      <c r="H23" s="25" t="n"/>
      <c r="I23" s="25" t="inlineStr">
        <is>
          <t>عضو مستقل کمیته</t>
        </is>
      </c>
      <c r="J23" s="25" t="inlineStr">
        <is>
          <t>Y</t>
        </is>
      </c>
      <c r="K23" s="25" t="inlineStr">
        <is>
          <t>کارشناسی ارشد حسابداری</t>
        </is>
      </c>
      <c r="L23" s="25" t="inlineStr">
        <is>
          <t>ACCT</t>
        </is>
      </c>
      <c r="M23" s="25" t="inlineStr">
        <is>
          <t>مدیر فنی سازمان حسابرسی ۱۰ سال؛ عضو انجمن حسابرسان داخلی؛ کارشناس رسمی قوه قضاییه</t>
        </is>
      </c>
      <c r="N23" s="25" t="n">
        <v>1</v>
      </c>
      <c r="O23" s="25" t="inlineStr">
        <is>
          <t>1401/09/26</t>
        </is>
      </c>
      <c r="P23" s="25" t="n"/>
      <c r="Q23" s="25" t="n">
        <v>14</v>
      </c>
      <c r="R23" s="25" t="n">
        <v>14</v>
      </c>
      <c r="S23" s="25" t="inlineStr">
        <is>
          <t>صریح در سند</t>
        </is>
      </c>
      <c r="T23" s="25">
        <f>IF(AND(ISNUMBER(Q23),ISNUMBER(R23),R23&gt;0),Q23/R23,"")</f>
        <v>1</v>
      </c>
      <c r="U23" s="25">
        <f>IF(AND(D23="MEMBER",ISNUMBER(Q23),ISNUMBER(R23),R23&gt;0),1,0)</f>
        <v>1</v>
      </c>
      <c r="V23" s="25" t="inlineStr">
        <is>
          <t>EV_SRC_FARS_1404_001_p42</t>
        </is>
      </c>
      <c r="W23" s="25" t="inlineStr">
        <is>
          <t>42</t>
        </is>
      </c>
      <c r="X23" s="25" t="inlineStr">
        <is>
          <t>تاییدشده</t>
        </is>
      </c>
      <c r="Y23" s="25" t="n"/>
    </row>
    <row r="24" ht="29" customHeight="1" s="76">
      <c r="A24" s="23" t="inlineStr">
        <is>
          <t>AC40-خودرو-01</t>
        </is>
      </c>
      <c r="B24" s="23" t="inlineStr">
        <is>
          <t>خودرو</t>
        </is>
      </c>
      <c r="C24" s="23" t="inlineStr">
        <is>
          <t>رئیس کمیته</t>
        </is>
      </c>
      <c r="D24" s="23" t="inlineStr">
        <is>
          <t>MEMBER</t>
        </is>
      </c>
      <c r="E24" s="23" t="inlineStr">
        <is>
          <t>جمشید ایمانی کتک‌لاهیجانی</t>
        </is>
      </c>
      <c r="F24" s="23" t="inlineStr">
        <is>
          <t>عضو هیئت‌مدیره (نایب رئیس؛ ص۵۳)</t>
        </is>
      </c>
      <c r="G24" s="23" t="inlineStr">
        <is>
          <t>Y</t>
        </is>
      </c>
      <c r="H24" s="23" t="inlineStr">
        <is>
          <t>نایب رئیس موظف (ص۵۳)</t>
        </is>
      </c>
      <c r="I24" s="23" t="n"/>
      <c r="J24" s="23" t="inlineStr">
        <is>
          <t>U</t>
        </is>
      </c>
      <c r="K24" s="23" t="inlineStr">
        <is>
          <t>کارشناسی ارشد مدیریت مالی</t>
        </is>
      </c>
      <c r="L24" s="23" t="inlineStr">
        <is>
          <t>FIN</t>
        </is>
      </c>
      <c r="M24" s="23" t="inlineStr">
        <is>
          <t>مدیریت مالی؛ رئیس هیئت‌مدیره گروه بهمن</t>
        </is>
      </c>
      <c r="N24" s="23" t="n">
        <v>1</v>
      </c>
      <c r="O24" s="23" t="inlineStr">
        <is>
          <t>1401/12/22</t>
        </is>
      </c>
      <c r="P24" s="23" t="n"/>
      <c r="Q24" s="23" t="n">
        <v>14</v>
      </c>
      <c r="R24" s="23" t="n"/>
      <c r="S24" s="23" t="n"/>
      <c r="T24" s="23">
        <f>IF(AND(ISNUMBER(Q24),ISNUMBER(R24),R24&gt;0),Q24/R24,"")</f>
      </c>
      <c r="U24" s="23">
        <f>IF(AND(D24="MEMBER",ISNUMBER(Q24),ISNUMBER(R24),R24&gt;0),1,0)</f>
        <v>0</v>
      </c>
      <c r="V24" s="23" t="inlineStr">
        <is>
          <t>EV_SRC_IKCO_1404_001_p54</t>
        </is>
      </c>
      <c r="W24" s="23" t="inlineStr">
        <is>
          <t>54</t>
        </is>
      </c>
      <c r="X24" s="23" t="inlineStr">
        <is>
          <t>تاییدشده</t>
        </is>
      </c>
      <c r="Y24" s="23" t="n"/>
    </row>
    <row r="25" ht="29" customHeight="1" s="76">
      <c r="A25" s="25" t="inlineStr">
        <is>
          <t>AC40-خودرو-02</t>
        </is>
      </c>
      <c r="B25" s="25" t="inlineStr">
        <is>
          <t>خودرو</t>
        </is>
      </c>
      <c r="C25" s="25" t="inlineStr">
        <is>
          <t>عضو کمیته</t>
        </is>
      </c>
      <c r="D25" s="25" t="inlineStr">
        <is>
          <t>MEMBER</t>
        </is>
      </c>
      <c r="E25" s="25" t="inlineStr">
        <is>
          <t>برزو مختاری</t>
        </is>
      </c>
      <c r="F25" s="25" t="n"/>
      <c r="G25" s="25" t="inlineStr">
        <is>
          <t>N</t>
        </is>
      </c>
      <c r="H25" s="25" t="n"/>
      <c r="I25" s="25" t="n"/>
      <c r="J25" s="25" t="inlineStr">
        <is>
          <t>U</t>
        </is>
      </c>
      <c r="K25" s="25" t="inlineStr">
        <is>
          <t>کارشناسی مدیریت مالی</t>
        </is>
      </c>
      <c r="L25" s="25" t="inlineStr">
        <is>
          <t>FIN</t>
        </is>
      </c>
      <c r="M25" s="25" t="inlineStr">
        <is>
          <t>مدیریت مالی؛ عضو هیئت‌مدیره ایران‌خودرو ۱۳۸۶ ۱۳۸۸</t>
        </is>
      </c>
      <c r="N25" s="25" t="n">
        <v>1</v>
      </c>
      <c r="O25" s="25" t="inlineStr">
        <is>
          <t>1392/03/05</t>
        </is>
      </c>
      <c r="P25" s="25" t="n"/>
      <c r="Q25" s="25" t="n">
        <v>14</v>
      </c>
      <c r="R25" s="25" t="n"/>
      <c r="S25" s="25" t="n"/>
      <c r="T25" s="25">
        <f>IF(AND(ISNUMBER(Q25),ISNUMBER(R25),R25&gt;0),Q25/R25,"")</f>
      </c>
      <c r="U25" s="25">
        <f>IF(AND(D25="MEMBER",ISNUMBER(Q25),ISNUMBER(R25),R25&gt;0),1,0)</f>
        <v>0</v>
      </c>
      <c r="V25" s="25" t="inlineStr">
        <is>
          <t>EV_SRC_IKCO_1404_001_p54</t>
        </is>
      </c>
      <c r="W25" s="25" t="inlineStr">
        <is>
          <t>54</t>
        </is>
      </c>
      <c r="X25" s="25" t="inlineStr">
        <is>
          <t>تاییدشده</t>
        </is>
      </c>
      <c r="Y25" s="25" t="n"/>
    </row>
    <row r="26" ht="29" customHeight="1" s="76">
      <c r="A26" s="23" t="inlineStr">
        <is>
          <t>AC40-خودرو-03</t>
        </is>
      </c>
      <c r="B26" s="23" t="inlineStr">
        <is>
          <t>خودرو</t>
        </is>
      </c>
      <c r="C26" s="23" t="inlineStr">
        <is>
          <t>عضو کمیته</t>
        </is>
      </c>
      <c r="D26" s="23" t="inlineStr">
        <is>
          <t>MEMBER</t>
        </is>
      </c>
      <c r="E26" s="23" t="inlineStr">
        <is>
          <t>غلامرضا شوندی</t>
        </is>
      </c>
      <c r="F26" s="23" t="n"/>
      <c r="G26" s="23" t="inlineStr">
        <is>
          <t>N</t>
        </is>
      </c>
      <c r="H26" s="23" t="n"/>
      <c r="I26" s="23" t="n"/>
      <c r="J26" s="23" t="inlineStr">
        <is>
          <t>U</t>
        </is>
      </c>
      <c r="K26" s="23" t="inlineStr">
        <is>
          <t>کارشناسی حسابداری</t>
        </is>
      </c>
      <c r="L26" s="23" t="inlineStr">
        <is>
          <t>ACCT</t>
        </is>
      </c>
      <c r="M26" s="23" t="inlineStr">
        <is>
          <t>حسابداری؛ اشتغال در سطوح مدیریت ایران‌خودرو</t>
        </is>
      </c>
      <c r="N26" s="23" t="n">
        <v>1</v>
      </c>
      <c r="O26" s="23" t="inlineStr">
        <is>
          <t>1391/12/09</t>
        </is>
      </c>
      <c r="P26" s="23" t="n"/>
      <c r="Q26" s="23" t="n">
        <v>14</v>
      </c>
      <c r="R26" s="23" t="n"/>
      <c r="S26" s="23" t="n"/>
      <c r="T26" s="23">
        <f>IF(AND(ISNUMBER(Q26),ISNUMBER(R26),R26&gt;0),Q26/R26,"")</f>
      </c>
      <c r="U26" s="23">
        <f>IF(AND(D26="MEMBER",ISNUMBER(Q26),ISNUMBER(R26),R26&gt;0),1,0)</f>
        <v>0</v>
      </c>
      <c r="V26" s="23" t="inlineStr">
        <is>
          <t>EV_SRC_IKCO_1404_001_p54</t>
        </is>
      </c>
      <c r="W26" s="23" t="inlineStr">
        <is>
          <t>54</t>
        </is>
      </c>
      <c r="X26" s="23" t="inlineStr">
        <is>
          <t>تاییدشده</t>
        </is>
      </c>
      <c r="Y26" s="23" t="n"/>
    </row>
    <row r="27" ht="43.5" customHeight="1" s="76">
      <c r="A27" s="25" t="inlineStr">
        <is>
          <t>AC40-زاگرس-01</t>
        </is>
      </c>
      <c r="B27" s="25" t="inlineStr">
        <is>
          <t>زاگرس</t>
        </is>
      </c>
      <c r="C27" s="25" t="inlineStr">
        <is>
          <t>رئیس کمیته</t>
        </is>
      </c>
      <c r="D27" s="25" t="inlineStr">
        <is>
          <t>MEMBER</t>
        </is>
      </c>
      <c r="E27" s="25" t="inlineStr">
        <is>
          <t>محمود مجیب</t>
        </is>
      </c>
      <c r="F27" s="25" t="n"/>
      <c r="G27" s="25" t="inlineStr">
        <is>
          <t>C</t>
        </is>
      </c>
      <c r="H27" s="25" t="n"/>
      <c r="I27" s="25" t="n"/>
      <c r="J27" s="25" t="inlineStr">
        <is>
          <t>U</t>
        </is>
      </c>
      <c r="K27" s="25" t="inlineStr">
        <is>
          <t>کارشناسی علوم اقتصادی</t>
        </is>
      </c>
      <c r="L27" s="25" t="inlineStr">
        <is>
          <t>ECON</t>
        </is>
      </c>
      <c r="M27" s="25" t="inlineStr">
        <is>
          <t>فقط رشته اقتصاد</t>
        </is>
      </c>
      <c r="N27" s="25" t="n">
        <v>0</v>
      </c>
      <c r="O27" s="25" t="inlineStr">
        <is>
          <t>1401/05/08</t>
        </is>
      </c>
      <c r="P27" s="25" t="n"/>
      <c r="Q27" s="25" t="n"/>
      <c r="R27" s="25" t="n"/>
      <c r="S27" s="25" t="n"/>
      <c r="T27" s="25">
        <f>IF(AND(ISNUMBER(Q27),ISNUMBER(R27),R27&gt;0),Q27/R27,"")</f>
      </c>
      <c r="U27" s="25">
        <f>IF(AND(D27="MEMBER",ISNUMBER(Q27),ISNUMBER(R27),R27&gt;0),1,0)</f>
        <v>0</v>
      </c>
      <c r="V27" s="25" t="inlineStr">
        <is>
          <t>EV_SRC_ZGRS_1404_001_p27</t>
        </is>
      </c>
      <c r="W27" s="25" t="inlineStr">
        <is>
          <t>27</t>
        </is>
      </c>
      <c r="X27" s="25" t="inlineStr">
        <is>
          <t>متعارض</t>
        </is>
      </c>
      <c r="Y27" s="25" t="inlineStr">
        <is>
          <t>متن ص۲۹: رئیس عضو غیرموظف هیئت‌مدیره است ولی نامش در فهرست هیئت‌مدیره v22 نیست؛ متعارض</t>
        </is>
      </c>
    </row>
    <row r="28" ht="29" customHeight="1" s="76">
      <c r="A28" s="23" t="inlineStr">
        <is>
          <t>AC40-زاگرس-02</t>
        </is>
      </c>
      <c r="B28" s="23" t="inlineStr">
        <is>
          <t>زاگرس</t>
        </is>
      </c>
      <c r="C28" s="23" t="inlineStr">
        <is>
          <t>عضو کمیته</t>
        </is>
      </c>
      <c r="D28" s="23" t="inlineStr">
        <is>
          <t>MEMBER</t>
        </is>
      </c>
      <c r="E28" s="23" t="inlineStr">
        <is>
          <t>سیدجعفر هاشمی</t>
        </is>
      </c>
      <c r="F28" s="23" t="inlineStr">
        <is>
          <t>عضو هیئت‌مدیره (v22)</t>
        </is>
      </c>
      <c r="G28" s="23" t="inlineStr">
        <is>
          <t>Y</t>
        </is>
      </c>
      <c r="H28" s="23" t="n"/>
      <c r="I28" s="23" t="n"/>
      <c r="J28" s="23" t="inlineStr">
        <is>
          <t>U</t>
        </is>
      </c>
      <c r="K28" s="23" t="inlineStr">
        <is>
          <t>کارشناسی ارشد مدیریت بازرگانی</t>
        </is>
      </c>
      <c r="L28" s="23" t="inlineStr">
        <is>
          <t>NONE_EVID</t>
        </is>
      </c>
      <c r="M28" s="23" t="inlineStr">
        <is>
          <t>سوابق مدیرعامل پتروشیمی‌ها</t>
        </is>
      </c>
      <c r="N28" s="23" t="n">
        <v>0</v>
      </c>
      <c r="O28" s="23" t="inlineStr">
        <is>
          <t>1400/06/31</t>
        </is>
      </c>
      <c r="P28" s="23" t="n"/>
      <c r="Q28" s="23" t="n"/>
      <c r="R28" s="23" t="n"/>
      <c r="S28" s="23" t="n"/>
      <c r="T28" s="23">
        <f>IF(AND(ISNUMBER(Q28),ISNUMBER(R28),R28&gt;0),Q28/R28,"")</f>
      </c>
      <c r="U28" s="23">
        <f>IF(AND(D28="MEMBER",ISNUMBER(Q28),ISNUMBER(R28),R28&gt;0),1,0)</f>
        <v>0</v>
      </c>
      <c r="V28" s="23" t="inlineStr">
        <is>
          <t>EV_SRC_ZGRS_1404_001_p27</t>
        </is>
      </c>
      <c r="W28" s="23" t="inlineStr">
        <is>
          <t>27</t>
        </is>
      </c>
      <c r="X28" s="23" t="inlineStr">
        <is>
          <t>تاییدشده</t>
        </is>
      </c>
      <c r="Y28" s="23" t="inlineStr">
        <is>
          <t>«یکی دیگر از اعضا» نام ندارد؛ تطبیق با فهرست هیئت‌مدیره</t>
        </is>
      </c>
    </row>
    <row r="29" ht="20" customHeight="1" s="76">
      <c r="A29" s="25" t="inlineStr">
        <is>
          <t>AC40-زاگرس-03</t>
        </is>
      </c>
      <c r="B29" s="25" t="inlineStr">
        <is>
          <t>زاگرس</t>
        </is>
      </c>
      <c r="C29" s="25" t="inlineStr">
        <is>
          <t>عضو کمیته</t>
        </is>
      </c>
      <c r="D29" s="25" t="inlineStr">
        <is>
          <t>MEMBER</t>
        </is>
      </c>
      <c r="E29" s="25" t="inlineStr">
        <is>
          <t>باقر امینی</t>
        </is>
      </c>
      <c r="F29" s="25" t="n"/>
      <c r="G29" s="25" t="inlineStr">
        <is>
          <t>N</t>
        </is>
      </c>
      <c r="H29" s="25" t="n"/>
      <c r="I29" s="25" t="n"/>
      <c r="J29" s="25" t="inlineStr">
        <is>
          <t>U</t>
        </is>
      </c>
      <c r="K29" s="25" t="inlineStr">
        <is>
          <t>کارشناسی حسابداری</t>
        </is>
      </c>
      <c r="L29" s="25" t="inlineStr">
        <is>
          <t>ACCT</t>
        </is>
      </c>
      <c r="M29" s="25" t="inlineStr">
        <is>
          <t>حسابداری و مدیرمالی</t>
        </is>
      </c>
      <c r="N29" s="25" t="n">
        <v>1</v>
      </c>
      <c r="O29" s="25" t="inlineStr">
        <is>
          <t>1399/10/13</t>
        </is>
      </c>
      <c r="P29" s="25" t="n"/>
      <c r="Q29" s="25" t="n"/>
      <c r="R29" s="25" t="n"/>
      <c r="S29" s="25" t="n"/>
      <c r="T29" s="25">
        <f>IF(AND(ISNUMBER(Q29),ISNUMBER(R29),R29&gt;0),Q29/R29,"")</f>
      </c>
      <c r="U29" s="25">
        <f>IF(AND(D29="MEMBER",ISNUMBER(Q29),ISNUMBER(R29),R29&gt;0),1,0)</f>
        <v>0</v>
      </c>
      <c r="V29" s="25" t="inlineStr">
        <is>
          <t>EV_SRC_ZGRS_1404_001_p27</t>
        </is>
      </c>
      <c r="W29" s="25" t="inlineStr">
        <is>
          <t>27</t>
        </is>
      </c>
      <c r="X29" s="25" t="inlineStr">
        <is>
          <t>تاییدشده</t>
        </is>
      </c>
      <c r="Y29" s="25" t="n"/>
    </row>
    <row r="30" ht="20" customHeight="1" s="76">
      <c r="A30" s="23" t="inlineStr">
        <is>
          <t>AC40-زاگرس-04</t>
        </is>
      </c>
      <c r="B30" s="23" t="inlineStr">
        <is>
          <t>زاگرس</t>
        </is>
      </c>
      <c r="C30" s="23" t="inlineStr">
        <is>
          <t>عضو کمیته</t>
        </is>
      </c>
      <c r="D30" s="23" t="inlineStr">
        <is>
          <t>MEMBER</t>
        </is>
      </c>
      <c r="E30" s="23" t="inlineStr">
        <is>
          <t>ابراهیم صادقی</t>
        </is>
      </c>
      <c r="F30" s="23" t="n"/>
      <c r="G30" s="23" t="inlineStr">
        <is>
          <t>N</t>
        </is>
      </c>
      <c r="H30" s="23" t="n"/>
      <c r="I30" s="23" t="n"/>
      <c r="J30" s="23" t="inlineStr">
        <is>
          <t>U</t>
        </is>
      </c>
      <c r="K30" s="23" t="inlineStr">
        <is>
          <t>کارشناسی ارشد حسابداری</t>
        </is>
      </c>
      <c r="L30" s="23" t="inlineStr">
        <is>
          <t>ACCT</t>
        </is>
      </c>
      <c r="M30" s="23" t="inlineStr">
        <is>
          <t>حسابدار رسمی؛ مدیر فنی سازمان حسابرسی</t>
        </is>
      </c>
      <c r="N30" s="23" t="n">
        <v>1</v>
      </c>
      <c r="O30" s="23" t="inlineStr">
        <is>
          <t>1402/06/08</t>
        </is>
      </c>
      <c r="P30" s="23" t="n"/>
      <c r="Q30" s="23" t="n"/>
      <c r="R30" s="23" t="n"/>
      <c r="S30" s="23" t="n"/>
      <c r="T30" s="23">
        <f>IF(AND(ISNUMBER(Q30),ISNUMBER(R30),R30&gt;0),Q30/R30,"")</f>
      </c>
      <c r="U30" s="23">
        <f>IF(AND(D30="MEMBER",ISNUMBER(Q30),ISNUMBER(R30),R30&gt;0),1,0)</f>
        <v>0</v>
      </c>
      <c r="V30" s="23" t="inlineStr">
        <is>
          <t>EV_SRC_ZGRS_1404_001_p27</t>
        </is>
      </c>
      <c r="W30" s="23" t="inlineStr">
        <is>
          <t>27</t>
        </is>
      </c>
      <c r="X30" s="23" t="inlineStr">
        <is>
          <t>تاییدشده</t>
        </is>
      </c>
      <c r="Y30" s="23" t="n"/>
    </row>
    <row r="31" ht="29" customHeight="1" s="76">
      <c r="A31" s="25" t="inlineStr">
        <is>
          <t>AC40-زاگرس-05</t>
        </is>
      </c>
      <c r="B31" s="25" t="inlineStr">
        <is>
          <t>زاگرس</t>
        </is>
      </c>
      <c r="C31" s="25" t="inlineStr">
        <is>
          <t>عضو کمیته</t>
        </is>
      </c>
      <c r="D31" s="25" t="inlineStr">
        <is>
          <t>MEMBER</t>
        </is>
      </c>
      <c r="E31" s="25" t="inlineStr">
        <is>
          <t>مصطفی سعیدی</t>
        </is>
      </c>
      <c r="F31" s="25" t="n"/>
      <c r="G31" s="25" t="inlineStr">
        <is>
          <t>N</t>
        </is>
      </c>
      <c r="H31" s="25" t="n"/>
      <c r="I31" s="25" t="n"/>
      <c r="J31" s="25" t="inlineStr">
        <is>
          <t>U</t>
        </is>
      </c>
      <c r="K31" s="25" t="inlineStr">
        <is>
          <t>کارشناسی ارشد حسابداری</t>
        </is>
      </c>
      <c r="L31" s="25" t="inlineStr">
        <is>
          <t>ACCT</t>
        </is>
      </c>
      <c r="M31" s="25" t="inlineStr">
        <is>
          <t>حسابدار رسمی؛ مدیر حسابرسی مستقل موسسه تدوین و همکاران</t>
        </is>
      </c>
      <c r="N31" s="25" t="n">
        <v>1</v>
      </c>
      <c r="O31" s="25" t="inlineStr">
        <is>
          <t>1401/08/15</t>
        </is>
      </c>
      <c r="P31" s="25" t="n"/>
      <c r="Q31" s="25" t="n"/>
      <c r="R31" s="25" t="n"/>
      <c r="S31" s="25" t="n"/>
      <c r="T31" s="25">
        <f>IF(AND(ISNUMBER(Q31),ISNUMBER(R31),R31&gt;0),Q31/R31,"")</f>
      </c>
      <c r="U31" s="25">
        <f>IF(AND(D31="MEMBER",ISNUMBER(Q31),ISNUMBER(R31),R31&gt;0),1,0)</f>
        <v>0</v>
      </c>
      <c r="V31" s="25" t="inlineStr">
        <is>
          <t>EV_SRC_ZGRS_1404_001_p27</t>
        </is>
      </c>
      <c r="W31" s="25" t="inlineStr">
        <is>
          <t>27</t>
        </is>
      </c>
      <c r="X31" s="25" t="inlineStr">
        <is>
          <t>تاییدشده</t>
        </is>
      </c>
      <c r="Y31" s="25" t="n"/>
    </row>
    <row r="32" ht="20" customHeight="1" s="76">
      <c r="A32" s="23" t="inlineStr">
        <is>
          <t>AC40-شبندر-01</t>
        </is>
      </c>
      <c r="B32" s="23" t="inlineStr">
        <is>
          <t>شبندر</t>
        </is>
      </c>
      <c r="C32" s="23" t="inlineStr">
        <is>
          <t>رئیس کمیته</t>
        </is>
      </c>
      <c r="D32" s="23" t="inlineStr">
        <is>
          <t>MEMBER</t>
        </is>
      </c>
      <c r="E32" s="23" t="inlineStr">
        <is>
          <t>حامد اکبری</t>
        </is>
      </c>
      <c r="F32" s="23" t="inlineStr">
        <is>
          <t>عضو هیئت‌مدیره (v22)</t>
        </is>
      </c>
      <c r="G32" s="23" t="inlineStr">
        <is>
          <t>Y</t>
        </is>
      </c>
      <c r="H32" s="23" t="n"/>
      <c r="I32" s="23" t="n"/>
      <c r="J32" s="23" t="inlineStr">
        <is>
          <t>U</t>
        </is>
      </c>
      <c r="K32" s="23" t="inlineStr">
        <is>
          <t>دکترای حقوق عمومی</t>
        </is>
      </c>
      <c r="L32" s="23" t="inlineStr">
        <is>
          <t>NONE_EVID</t>
        </is>
      </c>
      <c r="M32" s="23" t="inlineStr">
        <is>
          <t>سوابق حقوقی/لیزینگ</t>
        </is>
      </c>
      <c r="N32" s="23" t="n">
        <v>0</v>
      </c>
      <c r="O32" s="23" t="inlineStr">
        <is>
          <t>1403/12/27</t>
        </is>
      </c>
      <c r="P32" s="23" t="n"/>
      <c r="Q32" s="23" t="n"/>
      <c r="R32" s="23" t="n"/>
      <c r="S32" s="23" t="n"/>
      <c r="T32" s="23">
        <f>IF(AND(ISNUMBER(Q32),ISNUMBER(R32),R32&gt;0),Q32/R32,"")</f>
      </c>
      <c r="U32" s="23">
        <f>IF(AND(D32="MEMBER",ISNUMBER(Q32),ISNUMBER(R32),R32&gt;0),1,0)</f>
        <v>0</v>
      </c>
      <c r="V32" s="23" t="inlineStr">
        <is>
          <t>EV_SRC_SHBN_1404_001_p56</t>
        </is>
      </c>
      <c r="W32" s="23" t="inlineStr">
        <is>
          <t>56</t>
        </is>
      </c>
      <c r="X32" s="23" t="inlineStr">
        <is>
          <t>تاییدشده</t>
        </is>
      </c>
      <c r="Y32" s="23" t="n"/>
    </row>
    <row r="33" ht="29" customHeight="1" s="76">
      <c r="A33" s="25" t="inlineStr">
        <is>
          <t>AC40-شبندر-02</t>
        </is>
      </c>
      <c r="B33" s="25" t="inlineStr">
        <is>
          <t>شبندر</t>
        </is>
      </c>
      <c r="C33" s="25" t="inlineStr">
        <is>
          <t>عضو کمیته</t>
        </is>
      </c>
      <c r="D33" s="25" t="inlineStr">
        <is>
          <t>MEMBER</t>
        </is>
      </c>
      <c r="E33" s="25" t="inlineStr">
        <is>
          <t>محمد صادقی</t>
        </is>
      </c>
      <c r="F33" s="25" t="inlineStr">
        <is>
          <t>عضو هیئت‌مدیره (v22)</t>
        </is>
      </c>
      <c r="G33" s="25" t="inlineStr">
        <is>
          <t>Y</t>
        </is>
      </c>
      <c r="H33" s="25" t="n"/>
      <c r="I33" s="25" t="n"/>
      <c r="J33" s="25" t="inlineStr">
        <is>
          <t>U</t>
        </is>
      </c>
      <c r="K33" s="25" t="inlineStr">
        <is>
          <t>دکترای حقوق اقتصادی و تطبیقی</t>
        </is>
      </c>
      <c r="L33" s="25" t="inlineStr">
        <is>
          <t>NONE_EVID</t>
        </is>
      </c>
      <c r="M33" s="25" t="inlineStr">
        <is>
          <t>حقوقی</t>
        </is>
      </c>
      <c r="N33" s="25" t="n">
        <v>0</v>
      </c>
      <c r="O33" s="25" t="inlineStr">
        <is>
          <t>1404/05/27</t>
        </is>
      </c>
      <c r="P33" s="25" t="n"/>
      <c r="Q33" s="25" t="n"/>
      <c r="R33" s="25" t="n"/>
      <c r="S33" s="25" t="n"/>
      <c r="T33" s="25">
        <f>IF(AND(ISNUMBER(Q33),ISNUMBER(R33),R33&gt;0),Q33/R33,"")</f>
      </c>
      <c r="U33" s="25">
        <f>IF(AND(D33="MEMBER",ISNUMBER(Q33),ISNUMBER(R33),R33&gt;0),1,0)</f>
        <v>0</v>
      </c>
      <c r="V33" s="25" t="inlineStr">
        <is>
          <t>EV_SRC_SHBN_1404_001_p56</t>
        </is>
      </c>
      <c r="W33" s="25" t="inlineStr">
        <is>
          <t>56</t>
        </is>
      </c>
      <c r="X33" s="25" t="inlineStr">
        <is>
          <t>تاییدشده</t>
        </is>
      </c>
      <c r="Y33" s="25" t="inlineStr">
        <is>
          <t>عضویت از میانه سال؛ اعضای قبلی در گزارش نیستند</t>
        </is>
      </c>
    </row>
    <row r="34" ht="29" customHeight="1" s="76">
      <c r="A34" s="23" t="inlineStr">
        <is>
          <t>AC40-شبندر-03</t>
        </is>
      </c>
      <c r="B34" s="23" t="inlineStr">
        <is>
          <t>شبندر</t>
        </is>
      </c>
      <c r="C34" s="23" t="inlineStr">
        <is>
          <t>عضو کمیته</t>
        </is>
      </c>
      <c r="D34" s="23" t="inlineStr">
        <is>
          <t>MEMBER</t>
        </is>
      </c>
      <c r="E34" s="23" t="inlineStr">
        <is>
          <t>حمیدرضا دهقانی</t>
        </is>
      </c>
      <c r="F34" s="23" t="n"/>
      <c r="G34" s="23" t="inlineStr">
        <is>
          <t>N</t>
        </is>
      </c>
      <c r="H34" s="23" t="n"/>
      <c r="I34" s="23" t="n"/>
      <c r="J34" s="23" t="inlineStr">
        <is>
          <t>U</t>
        </is>
      </c>
      <c r="K34" s="23" t="inlineStr">
        <is>
          <t>دکترای تخصصی مدیریت</t>
        </is>
      </c>
      <c r="L34" s="23" t="inlineStr">
        <is>
          <t>FIN_EXP</t>
        </is>
      </c>
      <c r="M34" s="23" t="inlineStr">
        <is>
          <t>معاون مالی، منابع انسانی و پشتیبانی؛ معاون مالی سازمان بنادر</t>
        </is>
      </c>
      <c r="N34" s="23" t="n">
        <v>1</v>
      </c>
      <c r="O34" s="23" t="inlineStr">
        <is>
          <t>1403/04/06</t>
        </is>
      </c>
      <c r="P34" s="23" t="n"/>
      <c r="Q34" s="23" t="n"/>
      <c r="R34" s="23" t="n"/>
      <c r="S34" s="23" t="n"/>
      <c r="T34" s="23">
        <f>IF(AND(ISNUMBER(Q34),ISNUMBER(R34),R34&gt;0),Q34/R34,"")</f>
      </c>
      <c r="U34" s="23">
        <f>IF(AND(D34="MEMBER",ISNUMBER(Q34),ISNUMBER(R34),R34&gt;0),1,0)</f>
        <v>0</v>
      </c>
      <c r="V34" s="23" t="inlineStr">
        <is>
          <t>EV_SRC_SHBN_1404_001_p56</t>
        </is>
      </c>
      <c r="W34" s="23" t="inlineStr">
        <is>
          <t>56</t>
        </is>
      </c>
      <c r="X34" s="23" t="inlineStr">
        <is>
          <t>تاییدشده</t>
        </is>
      </c>
      <c r="Y34" s="23" t="n"/>
    </row>
    <row r="35" ht="29" customHeight="1" s="76">
      <c r="A35" s="25" t="inlineStr">
        <is>
          <t>AC40-شبندر-04</t>
        </is>
      </c>
      <c r="B35" s="25" t="inlineStr">
        <is>
          <t>شبندر</t>
        </is>
      </c>
      <c r="C35" s="25" t="inlineStr">
        <is>
          <t>عضو کمیته</t>
        </is>
      </c>
      <c r="D35" s="25" t="inlineStr">
        <is>
          <t>MEMBER</t>
        </is>
      </c>
      <c r="E35" s="25" t="inlineStr">
        <is>
          <t>سیدداود حیدری</t>
        </is>
      </c>
      <c r="F35" s="25" t="n"/>
      <c r="G35" s="25" t="inlineStr">
        <is>
          <t>N</t>
        </is>
      </c>
      <c r="H35" s="25" t="n"/>
      <c r="I35" s="25" t="n"/>
      <c r="J35" s="25" t="inlineStr">
        <is>
          <t>U</t>
        </is>
      </c>
      <c r="K35" s="25" t="inlineStr">
        <is>
          <t>کارشناسی ارشد حقوق عمومی</t>
        </is>
      </c>
      <c r="L35" s="25" t="inlineStr">
        <is>
          <t>FIN_EXP</t>
        </is>
      </c>
      <c r="M35" s="25" t="inlineStr">
        <is>
          <t>مدیر مالی و تامین منابع پتروشیمی بوشهر؛ مدیر امور مالی و پشتیبانی</t>
        </is>
      </c>
      <c r="N35" s="25" t="n">
        <v>1</v>
      </c>
      <c r="O35" s="25" t="inlineStr">
        <is>
          <t>1403/04/06</t>
        </is>
      </c>
      <c r="P35" s="25" t="n"/>
      <c r="Q35" s="25" t="n"/>
      <c r="R35" s="25" t="n"/>
      <c r="S35" s="25" t="n"/>
      <c r="T35" s="25">
        <f>IF(AND(ISNUMBER(Q35),ISNUMBER(R35),R35&gt;0),Q35/R35,"")</f>
      </c>
      <c r="U35" s="25">
        <f>IF(AND(D35="MEMBER",ISNUMBER(Q35),ISNUMBER(R35),R35&gt;0),1,0)</f>
        <v>0</v>
      </c>
      <c r="V35" s="25" t="inlineStr">
        <is>
          <t>EV_SRC_SHBN_1404_001_p57</t>
        </is>
      </c>
      <c r="W35" s="25" t="inlineStr">
        <is>
          <t>57</t>
        </is>
      </c>
      <c r="X35" s="25" t="inlineStr">
        <is>
          <t>تاییدشده</t>
        </is>
      </c>
      <c r="Y35" s="25" t="n"/>
    </row>
    <row r="36" ht="29" customHeight="1" s="76">
      <c r="A36" s="23" t="inlineStr">
        <is>
          <t>AC40-شبندر-05</t>
        </is>
      </c>
      <c r="B36" s="23" t="inlineStr">
        <is>
          <t>شبندر</t>
        </is>
      </c>
      <c r="C36" s="23" t="inlineStr">
        <is>
          <t>عضو کمیته</t>
        </is>
      </c>
      <c r="D36" s="23" t="inlineStr">
        <is>
          <t>MEMBER</t>
        </is>
      </c>
      <c r="E36" s="23" t="inlineStr">
        <is>
          <t>بهزاد کلوانی نیتلی</t>
        </is>
      </c>
      <c r="F36" s="23" t="n"/>
      <c r="G36" s="23" t="inlineStr">
        <is>
          <t>N</t>
        </is>
      </c>
      <c r="H36" s="23" t="n"/>
      <c r="I36" s="23" t="n"/>
      <c r="J36" s="23" t="inlineStr">
        <is>
          <t>U</t>
        </is>
      </c>
      <c r="K36" s="23" t="inlineStr">
        <is>
          <t>کارشناسی ارشد جغرافیا و برنامه‌ریزی توریسم</t>
        </is>
      </c>
      <c r="L36" s="23" t="inlineStr">
        <is>
          <t>UNK</t>
        </is>
      </c>
      <c r="M36" s="23" t="inlineStr">
        <is>
          <t>مدیر امور اداری و مالی تعاونی (ترکیبی)؛ شواهد مالی ناکافی</t>
        </is>
      </c>
      <c r="N36" s="23" t="n">
        <v>0</v>
      </c>
      <c r="O36" s="23" t="inlineStr">
        <is>
          <t>1403/04/06</t>
        </is>
      </c>
      <c r="P36" s="23" t="n"/>
      <c r="Q36" s="23" t="n"/>
      <c r="R36" s="23" t="n"/>
      <c r="S36" s="23" t="n"/>
      <c r="T36" s="23">
        <f>IF(AND(ISNUMBER(Q36),ISNUMBER(R36),R36&gt;0),Q36/R36,"")</f>
      </c>
      <c r="U36" s="23">
        <f>IF(AND(D36="MEMBER",ISNUMBER(Q36),ISNUMBER(R36),R36&gt;0),1,0)</f>
        <v>0</v>
      </c>
      <c r="V36" s="23" t="inlineStr">
        <is>
          <t>EV_SRC_SHBN_1404_001_p57</t>
        </is>
      </c>
      <c r="W36" s="23" t="inlineStr">
        <is>
          <t>57</t>
        </is>
      </c>
      <c r="X36" s="23" t="inlineStr">
        <is>
          <t>تاییدشده</t>
        </is>
      </c>
      <c r="Y36" s="23" t="n"/>
    </row>
    <row r="37" ht="29" customHeight="1" s="76">
      <c r="A37" s="25" t="inlineStr">
        <is>
          <t>AC40-پارس-01</t>
        </is>
      </c>
      <c r="B37" s="25" t="inlineStr">
        <is>
          <t>پارس</t>
        </is>
      </c>
      <c r="C37" s="25" t="inlineStr">
        <is>
          <t>رئیس کمیته</t>
        </is>
      </c>
      <c r="D37" s="25" t="inlineStr">
        <is>
          <t>MEMBER</t>
        </is>
      </c>
      <c r="E37" s="25" t="inlineStr">
        <is>
          <t>ابراهیم صادقی</t>
        </is>
      </c>
      <c r="F37" s="25" t="inlineStr">
        <is>
          <t>عضو هیئت‌مدیره (v22)</t>
        </is>
      </c>
      <c r="G37" s="25" t="inlineStr">
        <is>
          <t>Y</t>
        </is>
      </c>
      <c r="H37" s="25" t="n"/>
      <c r="I37" s="25" t="n"/>
      <c r="J37" s="25" t="inlineStr">
        <is>
          <t>U</t>
        </is>
      </c>
      <c r="K37" s="25" t="inlineStr">
        <is>
          <t>کارشناسی ارشد حسابداری</t>
        </is>
      </c>
      <c r="L37" s="25" t="inlineStr">
        <is>
          <t>ACCT</t>
        </is>
      </c>
      <c r="M37" s="25" t="inlineStr">
        <is>
          <t>عضو جامعه حسابداران رسمی؛ مدیر فنی سازمان حسابرسی</t>
        </is>
      </c>
      <c r="N37" s="25" t="n">
        <v>1</v>
      </c>
      <c r="O37" s="25" t="inlineStr">
        <is>
          <t>1404/09/16</t>
        </is>
      </c>
      <c r="P37" s="25" t="n"/>
      <c r="Q37" s="25" t="n">
        <v>5</v>
      </c>
      <c r="R37" s="25" t="n"/>
      <c r="S37" s="25" t="n"/>
      <c r="T37" s="25">
        <f>IF(AND(ISNUMBER(Q37),ISNUMBER(R37),R37&gt;0),Q37/R37,"")</f>
      </c>
      <c r="U37" s="25">
        <f>IF(AND(D37="MEMBER",ISNUMBER(Q37),ISNUMBER(R37),R37&gt;0),1,0)</f>
        <v>0</v>
      </c>
      <c r="V37" s="25" t="inlineStr">
        <is>
          <t>EV_SRC_PARS_1404_001_p36</t>
        </is>
      </c>
      <c r="W37" s="25" t="inlineStr">
        <is>
          <t>36</t>
        </is>
      </c>
      <c r="X37" s="25" t="inlineStr">
        <is>
          <t>تاییدشده</t>
        </is>
      </c>
      <c r="Y37" s="25" t="n"/>
    </row>
    <row r="38" ht="29" customHeight="1" s="76">
      <c r="A38" s="23" t="inlineStr">
        <is>
          <t>AC40-پارس-02</t>
        </is>
      </c>
      <c r="B38" s="23" t="inlineStr">
        <is>
          <t>پارس</t>
        </is>
      </c>
      <c r="C38" s="23" t="inlineStr">
        <is>
          <t>عضو کمیته</t>
        </is>
      </c>
      <c r="D38" s="23" t="inlineStr">
        <is>
          <t>MEMBER</t>
        </is>
      </c>
      <c r="E38" s="23" t="inlineStr">
        <is>
          <t>بهرام شیرزاد</t>
        </is>
      </c>
      <c r="F38" s="23" t="n"/>
      <c r="G38" s="23" t="inlineStr">
        <is>
          <t>N</t>
        </is>
      </c>
      <c r="H38" s="23" t="n"/>
      <c r="I38" s="23" t="n"/>
      <c r="J38" s="23" t="inlineStr">
        <is>
          <t>U</t>
        </is>
      </c>
      <c r="K38" s="23" t="inlineStr">
        <is>
          <t>دکترای حسابداری</t>
        </is>
      </c>
      <c r="L38" s="23" t="inlineStr">
        <is>
          <t>ACCT</t>
        </is>
      </c>
      <c r="M38" s="23" t="inlineStr">
        <is>
          <t>حسابدار رسمی؛ مدیر حسابرسی داخلی هلدینگ خلیج فارس</t>
        </is>
      </c>
      <c r="N38" s="23" t="n">
        <v>1</v>
      </c>
      <c r="O38" s="23" t="inlineStr">
        <is>
          <t>1404/09/16</t>
        </is>
      </c>
      <c r="P38" s="23" t="n"/>
      <c r="Q38" s="23" t="n">
        <v>5</v>
      </c>
      <c r="R38" s="23" t="n"/>
      <c r="S38" s="23" t="n"/>
      <c r="T38" s="23">
        <f>IF(AND(ISNUMBER(Q38),ISNUMBER(R38),R38&gt;0),Q38/R38,"")</f>
      </c>
      <c r="U38" s="23">
        <f>IF(AND(D38="MEMBER",ISNUMBER(Q38),ISNUMBER(R38),R38&gt;0),1,0)</f>
        <v>0</v>
      </c>
      <c r="V38" s="23" t="inlineStr">
        <is>
          <t>EV_SRC_PARS_1404_001_p36</t>
        </is>
      </c>
      <c r="W38" s="23" t="inlineStr">
        <is>
          <t>36</t>
        </is>
      </c>
      <c r="X38" s="23" t="inlineStr">
        <is>
          <t>تاییدشده</t>
        </is>
      </c>
      <c r="Y38" s="23" t="n"/>
    </row>
    <row r="39" ht="29" customHeight="1" s="76">
      <c r="A39" s="25" t="inlineStr">
        <is>
          <t>AC40-پارس-03</t>
        </is>
      </c>
      <c r="B39" s="25" t="inlineStr">
        <is>
          <t>پارس</t>
        </is>
      </c>
      <c r="C39" s="25" t="inlineStr">
        <is>
          <t>عضو کمیته</t>
        </is>
      </c>
      <c r="D39" s="25" t="inlineStr">
        <is>
          <t>MEMBER</t>
        </is>
      </c>
      <c r="E39" s="25" t="inlineStr">
        <is>
          <t>مهدی رضایی</t>
        </is>
      </c>
      <c r="F39" s="25" t="n"/>
      <c r="G39" s="25" t="inlineStr">
        <is>
          <t>N</t>
        </is>
      </c>
      <c r="H39" s="25" t="n"/>
      <c r="I39" s="25" t="n"/>
      <c r="J39" s="25" t="inlineStr">
        <is>
          <t>U</t>
        </is>
      </c>
      <c r="K39" s="25" t="inlineStr">
        <is>
          <t>دکترای حسابداری</t>
        </is>
      </c>
      <c r="L39" s="25" t="inlineStr">
        <is>
          <t>ACCT</t>
        </is>
      </c>
      <c r="M39" s="25" t="inlineStr">
        <is>
          <t>مدیر مالی و مشاور مالی؛ عضو کمیته حسابرسی نوری و جم</t>
        </is>
      </c>
      <c r="N39" s="25" t="n">
        <v>1</v>
      </c>
      <c r="O39" s="25" t="inlineStr">
        <is>
          <t>1404/06/15</t>
        </is>
      </c>
      <c r="P39" s="25" t="n"/>
      <c r="Q39" s="25" t="n">
        <v>17</v>
      </c>
      <c r="R39" s="25" t="n">
        <v>17</v>
      </c>
      <c r="S39" s="25" t="inlineStr">
        <is>
          <t>مشتق: حضور برابر کل جلسات</t>
        </is>
      </c>
      <c r="T39" s="25">
        <f>IF(AND(ISNUMBER(Q39),ISNUMBER(R39),R39&gt;0),Q39/R39,"")</f>
        <v>1</v>
      </c>
      <c r="U39" s="25">
        <f>IF(AND(D39="MEMBER",ISNUMBER(Q39),ISNUMBER(R39),R39&gt;0),1,0)</f>
        <v>1</v>
      </c>
      <c r="V39" s="25" t="inlineStr">
        <is>
          <t>EV_SRC_PARS_1404_001_p36</t>
        </is>
      </c>
      <c r="W39" s="25" t="inlineStr">
        <is>
          <t>36</t>
        </is>
      </c>
      <c r="X39" s="25" t="inlineStr">
        <is>
          <t>تاییدشده</t>
        </is>
      </c>
      <c r="Y39" s="25" t="inlineStr">
        <is>
          <t>حضور ۱۷ با تاریخ عضویت ۱۴۰۴/۰۶/۱۵ ناسازگار؛ تاریخ احتمالا آغاز دوره فعلی</t>
        </is>
      </c>
    </row>
    <row r="40" ht="29" customHeight="1" s="76">
      <c r="A40" s="23" t="inlineStr">
        <is>
          <t>AC40-پارس-04</t>
        </is>
      </c>
      <c r="B40" s="23" t="inlineStr">
        <is>
          <t>پارس</t>
        </is>
      </c>
      <c r="C40" s="23" t="inlineStr">
        <is>
          <t>عضو کمیته</t>
        </is>
      </c>
      <c r="D40" s="23" t="inlineStr">
        <is>
          <t>MEMBER</t>
        </is>
      </c>
      <c r="E40" s="23" t="inlineStr">
        <is>
          <t>سیدمهدی حسینی</t>
        </is>
      </c>
      <c r="F40" s="23" t="n"/>
      <c r="G40" s="23" t="inlineStr">
        <is>
          <t>N</t>
        </is>
      </c>
      <c r="H40" s="23" t="n"/>
      <c r="I40" s="23" t="n"/>
      <c r="J40" s="23" t="inlineStr">
        <is>
          <t>U</t>
        </is>
      </c>
      <c r="K40" s="23" t="inlineStr">
        <is>
          <t>دکترای حسابداری</t>
        </is>
      </c>
      <c r="L40" s="23" t="inlineStr">
        <is>
          <t>ACCT</t>
        </is>
      </c>
      <c r="M40" s="23" t="inlineStr">
        <is>
          <t>عضو جامعه حسابداران رسمی؛ معاون مالی گروه گسترش نفت و گاز پارسیان</t>
        </is>
      </c>
      <c r="N40" s="23" t="n">
        <v>1</v>
      </c>
      <c r="O40" s="23" t="inlineStr">
        <is>
          <t>1404/09/16</t>
        </is>
      </c>
      <c r="P40" s="23" t="n"/>
      <c r="Q40" s="23" t="n">
        <v>5</v>
      </c>
      <c r="R40" s="23" t="n"/>
      <c r="S40" s="23" t="n"/>
      <c r="T40" s="23">
        <f>IF(AND(ISNUMBER(Q40),ISNUMBER(R40),R40&gt;0),Q40/R40,"")</f>
      </c>
      <c r="U40" s="23">
        <f>IF(AND(D40="MEMBER",ISNUMBER(Q40),ISNUMBER(R40),R40&gt;0),1,0)</f>
        <v>0</v>
      </c>
      <c r="V40" s="23" t="inlineStr">
        <is>
          <t>EV_SRC_PARS_1404_001_p36</t>
        </is>
      </c>
      <c r="W40" s="23" t="inlineStr">
        <is>
          <t>36</t>
        </is>
      </c>
      <c r="X40" s="23" t="inlineStr">
        <is>
          <t>تاییدشده</t>
        </is>
      </c>
      <c r="Y40" s="23" t="n"/>
    </row>
    <row r="41" ht="20" customHeight="1" s="76">
      <c r="A41" s="25" t="inlineStr">
        <is>
          <t>AC40-پارس-05</t>
        </is>
      </c>
      <c r="B41" s="25" t="inlineStr">
        <is>
          <t>پارس</t>
        </is>
      </c>
      <c r="C41" s="25" t="inlineStr">
        <is>
          <t>عضو کمیته</t>
        </is>
      </c>
      <c r="D41" s="25" t="inlineStr">
        <is>
          <t>MEMBER</t>
        </is>
      </c>
      <c r="E41" s="25" t="inlineStr">
        <is>
          <t>فلورا کریمی</t>
        </is>
      </c>
      <c r="F41" s="25" t="n"/>
      <c r="G41" s="25" t="inlineStr">
        <is>
          <t>N</t>
        </is>
      </c>
      <c r="H41" s="25" t="n"/>
      <c r="I41" s="25" t="n"/>
      <c r="J41" s="25" t="inlineStr">
        <is>
          <t>U</t>
        </is>
      </c>
      <c r="K41" s="25" t="inlineStr">
        <is>
          <t>کارشناسی ارشد اقتصاد</t>
        </is>
      </c>
      <c r="L41" s="25" t="inlineStr">
        <is>
          <t>ECON</t>
        </is>
      </c>
      <c r="M41" s="25" t="inlineStr">
        <is>
          <t>عضو کمیته کنترل کیفیت سازمان حسابرسی</t>
        </is>
      </c>
      <c r="N41" s="25" t="n">
        <v>0</v>
      </c>
      <c r="O41" s="25" t="inlineStr">
        <is>
          <t>1402/06/21</t>
        </is>
      </c>
      <c r="P41" s="25" t="n"/>
      <c r="Q41" s="25" t="n">
        <v>17</v>
      </c>
      <c r="R41" s="25" t="n">
        <v>17</v>
      </c>
      <c r="S41" s="25" t="inlineStr">
        <is>
          <t>مشتق: حضور برابر کل جلسات</t>
        </is>
      </c>
      <c r="T41" s="25">
        <f>IF(AND(ISNUMBER(Q41),ISNUMBER(R41),R41&gt;0),Q41/R41,"")</f>
        <v>1</v>
      </c>
      <c r="U41" s="25">
        <f>IF(AND(D41="MEMBER",ISNUMBER(Q41),ISNUMBER(R41),R41&gt;0),1,0)</f>
        <v>1</v>
      </c>
      <c r="V41" s="25" t="inlineStr">
        <is>
          <t>EV_SRC_PARS_1404_001_p36</t>
        </is>
      </c>
      <c r="W41" s="25" t="inlineStr">
        <is>
          <t>36</t>
        </is>
      </c>
      <c r="X41" s="25" t="inlineStr">
        <is>
          <t>تاییدشده</t>
        </is>
      </c>
      <c r="Y41" s="25" t="n"/>
    </row>
    <row r="42" ht="29" customHeight="1" s="76">
      <c r="A42" s="23" t="inlineStr">
        <is>
          <t>AC40-شتران-01</t>
        </is>
      </c>
      <c r="B42" s="23" t="inlineStr">
        <is>
          <t>شتران</t>
        </is>
      </c>
      <c r="C42" s="23" t="inlineStr">
        <is>
          <t>رئیس کمیته حسابرسی</t>
        </is>
      </c>
      <c r="D42" s="23" t="inlineStr">
        <is>
          <t>MEMBER</t>
        </is>
      </c>
      <c r="E42" s="23" t="inlineStr">
        <is>
          <t>میثم قاسمی</t>
        </is>
      </c>
      <c r="F42" s="23" t="inlineStr">
        <is>
          <t>عضو هیئت‌مدیره (نماینده سرمایه‌گذاری استان فارس)</t>
        </is>
      </c>
      <c r="G42" s="23" t="inlineStr">
        <is>
          <t>Y</t>
        </is>
      </c>
      <c r="H42" s="23" t="inlineStr">
        <is>
          <t>عضو هیئت‌مدیره (غیرموظف)</t>
        </is>
      </c>
      <c r="I42" s="23" t="n"/>
      <c r="J42" s="23" t="inlineStr">
        <is>
          <t>U</t>
        </is>
      </c>
      <c r="K42" s="23" t="inlineStr">
        <is>
          <t>دکترای حسابداری</t>
        </is>
      </c>
      <c r="L42" s="23" t="inlineStr">
        <is>
          <t>ACCT</t>
        </is>
      </c>
      <c r="M42" s="23" t="inlineStr">
        <is>
          <t>دکترای حسابداری؛ رئیس هیئت‌مدیره تأمین سرمایه تمدن؛ معاون بانک توسعه صادرات</t>
        </is>
      </c>
      <c r="N42" s="23" t="n">
        <v>1</v>
      </c>
      <c r="O42" s="23" t="n"/>
      <c r="P42" s="23" t="n"/>
      <c r="Q42" s="23" t="n">
        <v>20</v>
      </c>
      <c r="R42" s="23" t="n">
        <v>20</v>
      </c>
      <c r="S42" s="23" t="inlineStr">
        <is>
          <t>عبارت جمعی «با حضور کلیه اعضا»</t>
        </is>
      </c>
      <c r="T42" s="23">
        <f>IF(AND(ISNUMBER(Q42),ISNUMBER(R42),R42&gt;0),Q42/R42,"")</f>
        <v>1</v>
      </c>
      <c r="U42" s="23">
        <f>IF(AND(D42="MEMBER",ISNUMBER(Q42),ISNUMBER(R42),R42&gt;0),1,0)</f>
        <v>1</v>
      </c>
      <c r="V42" s="23" t="inlineStr">
        <is>
          <t>EV_SRC_SHTR_1404_002_p17</t>
        </is>
      </c>
      <c r="W42" s="23" t="inlineStr">
        <is>
          <t>17</t>
        </is>
      </c>
      <c r="X42" s="23" t="inlineStr">
        <is>
          <t>تاییدشده</t>
        </is>
      </c>
      <c r="Y42" s="23" t="inlineStr">
        <is>
          <t>حضور از عبارت جمعی «با حضور کلیه اعضا»؛ تاریخ عضویت ندارد</t>
        </is>
      </c>
    </row>
    <row r="43" ht="29" customHeight="1" s="76">
      <c r="A43" s="25" t="inlineStr">
        <is>
          <t>AC40-شتران-02</t>
        </is>
      </c>
      <c r="B43" s="25" t="inlineStr">
        <is>
          <t>شتران</t>
        </is>
      </c>
      <c r="C43" s="25" t="inlineStr">
        <is>
          <t>عضو مالی و مستقل کمیته</t>
        </is>
      </c>
      <c r="D43" s="25" t="inlineStr">
        <is>
          <t>MEMBER</t>
        </is>
      </c>
      <c r="E43" s="25" t="inlineStr">
        <is>
          <t>مصطفی باتقوا</t>
        </is>
      </c>
      <c r="F43" s="25" t="n"/>
      <c r="G43" s="25" t="inlineStr">
        <is>
          <t>N</t>
        </is>
      </c>
      <c r="H43" s="25" t="n"/>
      <c r="I43" s="25" t="inlineStr">
        <is>
          <t>عضو مالی و مستقل کمیته</t>
        </is>
      </c>
      <c r="J43" s="25" t="inlineStr">
        <is>
          <t>Y</t>
        </is>
      </c>
      <c r="K43" s="25" t="inlineStr">
        <is>
          <t>کارشناسی حسابداری</t>
        </is>
      </c>
      <c r="L43" s="25" t="inlineStr">
        <is>
          <t>ACCT</t>
        </is>
      </c>
      <c r="M43" s="25" t="inlineStr">
        <is>
          <t>حسابدار رسمی؛ حسابدار مستقل؛ شریک موسسه معتمد بورس</t>
        </is>
      </c>
      <c r="N43" s="25" t="n">
        <v>1</v>
      </c>
      <c r="O43" s="25" t="n"/>
      <c r="P43" s="25" t="n"/>
      <c r="Q43" s="25" t="n">
        <v>20</v>
      </c>
      <c r="R43" s="25" t="n">
        <v>20</v>
      </c>
      <c r="S43" s="25" t="inlineStr">
        <is>
          <t>عبارت جمعی «با حضور کلیه اعضا»</t>
        </is>
      </c>
      <c r="T43" s="25">
        <f>IF(AND(ISNUMBER(Q43),ISNUMBER(R43),R43&gt;0),Q43/R43,"")</f>
        <v>1</v>
      </c>
      <c r="U43" s="25">
        <f>IF(AND(D43="MEMBER",ISNUMBER(Q43),ISNUMBER(R43),R43&gt;0),1,0)</f>
        <v>1</v>
      </c>
      <c r="V43" s="25" t="inlineStr">
        <is>
          <t>EV_SRC_SHTR_1404_002_p17</t>
        </is>
      </c>
      <c r="W43" s="25" t="inlineStr">
        <is>
          <t>17</t>
        </is>
      </c>
      <c r="X43" s="25" t="inlineStr">
        <is>
          <t>تاییدشده</t>
        </is>
      </c>
      <c r="Y43" s="25" t="inlineStr">
        <is>
          <t>استقلال و تخصص مالی با برچسب سمت</t>
        </is>
      </c>
    </row>
    <row r="44" ht="29" customHeight="1" s="76">
      <c r="A44" s="23" t="inlineStr">
        <is>
          <t>AC40-شتران-03</t>
        </is>
      </c>
      <c r="B44" s="23" t="inlineStr">
        <is>
          <t>شتران</t>
        </is>
      </c>
      <c r="C44" s="23" t="inlineStr">
        <is>
          <t>عضو مالی و مستقل کمیته</t>
        </is>
      </c>
      <c r="D44" s="23" t="inlineStr">
        <is>
          <t>MEMBER</t>
        </is>
      </c>
      <c r="E44" s="23" t="inlineStr">
        <is>
          <t>جواد عیش‌آبادی</t>
        </is>
      </c>
      <c r="F44" s="23" t="n"/>
      <c r="G44" s="23" t="inlineStr">
        <is>
          <t>N</t>
        </is>
      </c>
      <c r="H44" s="23" t="n"/>
      <c r="I44" s="23" t="inlineStr">
        <is>
          <t>عضو مالی و مستقل کمیته</t>
        </is>
      </c>
      <c r="J44" s="23" t="inlineStr">
        <is>
          <t>Y</t>
        </is>
      </c>
      <c r="K44" s="23" t="inlineStr">
        <is>
          <t>کارشناسی حسابداری</t>
        </is>
      </c>
      <c r="L44" s="23" t="inlineStr">
        <is>
          <t>ACCT</t>
        </is>
      </c>
      <c r="M44" s="23" t="inlineStr">
        <is>
          <t>حسابرس معتمد بورس؛ عضو کمیته حسابرسی چند شرکت</t>
        </is>
      </c>
      <c r="N44" s="23" t="n">
        <v>1</v>
      </c>
      <c r="O44" s="23" t="n"/>
      <c r="P44" s="23" t="n"/>
      <c r="Q44" s="23" t="n">
        <v>20</v>
      </c>
      <c r="R44" s="23" t="n">
        <v>20</v>
      </c>
      <c r="S44" s="23" t="inlineStr">
        <is>
          <t>عبارت جمعی «با حضور کلیه اعضا»</t>
        </is>
      </c>
      <c r="T44" s="23">
        <f>IF(AND(ISNUMBER(Q44),ISNUMBER(R44),R44&gt;0),Q44/R44,"")</f>
        <v>1</v>
      </c>
      <c r="U44" s="23">
        <f>IF(AND(D44="MEMBER",ISNUMBER(Q44),ISNUMBER(R44),R44&gt;0),1,0)</f>
        <v>1</v>
      </c>
      <c r="V44" s="23" t="inlineStr">
        <is>
          <t>EV_SRC_SHTR_1404_002_p17</t>
        </is>
      </c>
      <c r="W44" s="23" t="inlineStr">
        <is>
          <t>17</t>
        </is>
      </c>
      <c r="X44" s="23" t="inlineStr">
        <is>
          <t>تاییدشده</t>
        </is>
      </c>
      <c r="Y44" s="23" t="inlineStr">
        <is>
          <t>استقلال و تخصص مالی با برچسب سمت</t>
        </is>
      </c>
    </row>
    <row r="45" ht="29" customHeight="1" s="76">
      <c r="A45" s="25" t="inlineStr">
        <is>
          <t>AC40-شتران-04</t>
        </is>
      </c>
      <c r="B45" s="25" t="inlineStr">
        <is>
          <t>شتران</t>
        </is>
      </c>
      <c r="C45" s="25" t="inlineStr">
        <is>
          <t>دبیر کمیته</t>
        </is>
      </c>
      <c r="D45" s="25" t="inlineStr">
        <is>
          <t>SECRETARY</t>
        </is>
      </c>
      <c r="E45" s="25" t="inlineStr">
        <is>
          <t>محسن ترابی</t>
        </is>
      </c>
      <c r="F45" s="25" t="n"/>
      <c r="G45" s="25" t="inlineStr">
        <is>
          <t>N</t>
        </is>
      </c>
      <c r="H45" s="25" t="n"/>
      <c r="I45" s="25" t="n"/>
      <c r="J45" s="25" t="inlineStr">
        <is>
          <t>U</t>
        </is>
      </c>
      <c r="K45" s="25" t="inlineStr">
        <is>
          <t>کارشناسی ارشد اقتصاد</t>
        </is>
      </c>
      <c r="L45" s="25" t="inlineStr">
        <is>
          <t>FIN_EXP</t>
        </is>
      </c>
      <c r="M45" s="25" t="inlineStr">
        <is>
          <t>رئیس حسابرسی داخلی و امور بازرسی شرکت پالایش نفت تهران</t>
        </is>
      </c>
      <c r="N45" s="25" t="n">
        <v>1</v>
      </c>
      <c r="O45" s="25" t="n"/>
      <c r="P45" s="25" t="n"/>
      <c r="Q45" s="25" t="n"/>
      <c r="R45" s="25" t="n"/>
      <c r="S45" s="25" t="n"/>
      <c r="T45" s="25">
        <f>IF(AND(ISNUMBER(Q45),ISNUMBER(R45),R45&gt;0),Q45/R45,"")</f>
      </c>
      <c r="U45" s="25">
        <f>IF(AND(D45="MEMBER",ISNUMBER(Q45),ISNUMBER(R45),R45&gt;0),1,0)</f>
        <v>0</v>
      </c>
      <c r="V45" s="25" t="inlineStr">
        <is>
          <t>EV_SRC_SHTR_1404_002_p17</t>
        </is>
      </c>
      <c r="W45" s="25" t="inlineStr">
        <is>
          <t>17</t>
        </is>
      </c>
      <c r="X45" s="25" t="inlineStr">
        <is>
          <t>تاییدشده</t>
        </is>
      </c>
      <c r="Y45" s="25" t="inlineStr">
        <is>
          <t>دبیر؛ عضو شمرده نشد</t>
        </is>
      </c>
    </row>
    <row r="46" ht="29" customHeight="1" s="76">
      <c r="A46" s="23" t="inlineStr">
        <is>
          <t>AC40-وتجارت-01</t>
        </is>
      </c>
      <c r="B46" s="23" t="inlineStr">
        <is>
          <t>وتجارت</t>
        </is>
      </c>
      <c r="C46" s="23" t="inlineStr">
        <is>
          <t>عضو کمیته (سمت در بانک: رئیس هیئت‌مدیره)</t>
        </is>
      </c>
      <c r="D46" s="23" t="inlineStr">
        <is>
          <t>MEMBER</t>
        </is>
      </c>
      <c r="E46" s="23" t="inlineStr">
        <is>
          <t>مرتضی ترک‌تبریزی</t>
        </is>
      </c>
      <c r="F46" s="23" t="inlineStr">
        <is>
          <t>رئیس هیئت‌مدیره</t>
        </is>
      </c>
      <c r="G46" s="23" t="inlineStr">
        <is>
          <t>Y</t>
        </is>
      </c>
      <c r="H46" s="23" t="n"/>
      <c r="I46" s="23" t="n"/>
      <c r="J46" s="23" t="inlineStr">
        <is>
          <t>U</t>
        </is>
      </c>
      <c r="K46" s="23" t="inlineStr">
        <is>
          <t>دکترای مدیریت کسب و کار</t>
        </is>
      </c>
      <c r="L46" s="23" t="inlineStr">
        <is>
          <t>NONE_EVID</t>
        </is>
      </c>
      <c r="M46" s="23" t="inlineStr">
        <is>
          <t>عضو هیئت‌مدیره بانک تجارت؛ مدیر فناوری اطلاعات</t>
        </is>
      </c>
      <c r="N46" s="23" t="n">
        <v>0</v>
      </c>
      <c r="O46" s="23" t="inlineStr">
        <is>
          <t>1404/12/29 (تاریخ جدول)</t>
        </is>
      </c>
      <c r="P46" s="23" t="n"/>
      <c r="Q46" s="23" t="n">
        <v>4</v>
      </c>
      <c r="R46" s="23" t="n"/>
      <c r="S46" s="23" t="n"/>
      <c r="T46" s="23">
        <f>IF(AND(ISNUMBER(Q46),ISNUMBER(R46),R46&gt;0),Q46/R46,"")</f>
      </c>
      <c r="U46" s="23">
        <f>IF(AND(D46="MEMBER",ISNUMBER(Q46),ISNUMBER(R46),R46&gt;0),1,0)</f>
        <v>0</v>
      </c>
      <c r="V46" s="23" t="inlineStr">
        <is>
          <t>EV_SRC_VTEJ_1404_001_p52</t>
        </is>
      </c>
      <c r="W46" s="23" t="inlineStr">
        <is>
          <t>52</t>
        </is>
      </c>
      <c r="X46" s="23" t="inlineStr">
        <is>
          <t>تاییدشده</t>
        </is>
      </c>
      <c r="Y46" s="23" t="inlineStr">
        <is>
          <t>سمت در کمیته ذکر نشده؛ حضور ۴ (فرصت نامشخص)</t>
        </is>
      </c>
    </row>
    <row r="47" ht="29" customHeight="1" s="76">
      <c r="A47" s="25" t="inlineStr">
        <is>
          <t>AC40-وتجارت-02</t>
        </is>
      </c>
      <c r="B47" s="25" t="inlineStr">
        <is>
          <t>وتجارت</t>
        </is>
      </c>
      <c r="C47" s="25" t="inlineStr">
        <is>
          <t>عضو مستقل (خارج از بانک)</t>
        </is>
      </c>
      <c r="D47" s="25" t="inlineStr">
        <is>
          <t>MEMBER</t>
        </is>
      </c>
      <c r="E47" s="25" t="inlineStr">
        <is>
          <t>فرشاد اسکندریانی</t>
        </is>
      </c>
      <c r="F47" s="25" t="n"/>
      <c r="G47" s="25" t="inlineStr">
        <is>
          <t>N</t>
        </is>
      </c>
      <c r="H47" s="25" t="n"/>
      <c r="I47" s="25" t="inlineStr">
        <is>
          <t>عضو مستقل (خارج از بانک)</t>
        </is>
      </c>
      <c r="J47" s="25" t="inlineStr">
        <is>
          <t>Y</t>
        </is>
      </c>
      <c r="K47" s="25" t="inlineStr">
        <is>
          <t>فوق‌لیسانس حسابداری</t>
        </is>
      </c>
      <c r="L47" s="25" t="inlineStr">
        <is>
          <t>ACCT</t>
        </is>
      </c>
      <c r="M47" s="25" t="inlineStr">
        <is>
          <t>عضو هیئت‌عامل سازمان حسابرسی؛ عضو کمیته‌های سازمان بورس</t>
        </is>
      </c>
      <c r="N47" s="25" t="n">
        <v>1</v>
      </c>
      <c r="O47" s="25" t="n"/>
      <c r="P47" s="25" t="n"/>
      <c r="Q47" s="25" t="n">
        <v>4</v>
      </c>
      <c r="R47" s="25" t="n"/>
      <c r="S47" s="25" t="n"/>
      <c r="T47" s="25">
        <f>IF(AND(ISNUMBER(Q47),ISNUMBER(R47),R47&gt;0),Q47/R47,"")</f>
      </c>
      <c r="U47" s="25">
        <f>IF(AND(D47="MEMBER",ISNUMBER(Q47),ISNUMBER(R47),R47&gt;0),1,0)</f>
        <v>0</v>
      </c>
      <c r="V47" s="25" t="inlineStr">
        <is>
          <t>EV_SRC_VTEJ_1404_001_p52</t>
        </is>
      </c>
      <c r="W47" s="25" t="inlineStr">
        <is>
          <t>52</t>
        </is>
      </c>
      <c r="X47" s="25" t="inlineStr">
        <is>
          <t>تاییدشده</t>
        </is>
      </c>
      <c r="Y47" s="25" t="inlineStr">
        <is>
          <t>حضور ۴؛ عضو از میانه سال یا بعد</t>
        </is>
      </c>
    </row>
    <row r="48" ht="20" customHeight="1" s="76">
      <c r="A48" s="23" t="inlineStr">
        <is>
          <t>AC40-وتجارت-03</t>
        </is>
      </c>
      <c r="B48" s="23" t="inlineStr">
        <is>
          <t>وتجارت</t>
        </is>
      </c>
      <c r="C48" s="23" t="inlineStr">
        <is>
          <t>عضو مستقل (خارج از بانک)</t>
        </is>
      </c>
      <c r="D48" s="23" t="inlineStr">
        <is>
          <t>MEMBER</t>
        </is>
      </c>
      <c r="E48" s="23" t="inlineStr">
        <is>
          <t>محسن غلامرضایی</t>
        </is>
      </c>
      <c r="F48" s="23" t="n"/>
      <c r="G48" s="23" t="inlineStr">
        <is>
          <t>N</t>
        </is>
      </c>
      <c r="H48" s="23" t="n"/>
      <c r="I48" s="23" t="inlineStr">
        <is>
          <t>عضو مستقل (خارج از بانک)</t>
        </is>
      </c>
      <c r="J48" s="23" t="inlineStr">
        <is>
          <t>Y</t>
        </is>
      </c>
      <c r="K48" s="23" t="inlineStr">
        <is>
          <t>دکترای حسابداری</t>
        </is>
      </c>
      <c r="L48" s="23" t="inlineStr">
        <is>
          <t>ACCT</t>
        </is>
      </c>
      <c r="M48" s="23" t="inlineStr">
        <is>
          <t>حسابدار رسمی؛ کارشناس رسمی دادگستری</t>
        </is>
      </c>
      <c r="N48" s="23" t="n">
        <v>1</v>
      </c>
      <c r="O48" s="23" t="n"/>
      <c r="P48" s="23" t="n"/>
      <c r="Q48" s="23" t="n">
        <v>17</v>
      </c>
      <c r="R48" s="23" t="n"/>
      <c r="S48" s="23" t="n"/>
      <c r="T48" s="23">
        <f>IF(AND(ISNUMBER(Q48),ISNUMBER(R48),R48&gt;0),Q48/R48,"")</f>
      </c>
      <c r="U48" s="23">
        <f>IF(AND(D48="MEMBER",ISNUMBER(Q48),ISNUMBER(R48),R48&gt;0),1,0)</f>
        <v>0</v>
      </c>
      <c r="V48" s="23" t="inlineStr">
        <is>
          <t>EV_SRC_VTEJ_1404_001_p52</t>
        </is>
      </c>
      <c r="W48" s="23" t="inlineStr">
        <is>
          <t>52</t>
        </is>
      </c>
      <c r="X48" s="23" t="inlineStr">
        <is>
          <t>تاییدشده</t>
        </is>
      </c>
      <c r="Y48" s="23" t="n"/>
    </row>
    <row r="49" ht="29" customHeight="1" s="76">
      <c r="A49" s="25" t="inlineStr">
        <is>
          <t>AC40-وتجارت-04</t>
        </is>
      </c>
      <c r="B49" s="25" t="inlineStr">
        <is>
          <t>وتجارت</t>
        </is>
      </c>
      <c r="C49" s="25" t="inlineStr">
        <is>
          <t>عضو مستقل (خارج از بانک)</t>
        </is>
      </c>
      <c r="D49" s="25" t="inlineStr">
        <is>
          <t>MEMBER</t>
        </is>
      </c>
      <c r="E49" s="25" t="inlineStr">
        <is>
          <t>منوچهر کاظمی</t>
        </is>
      </c>
      <c r="F49" s="25" t="n"/>
      <c r="G49" s="25" t="inlineStr">
        <is>
          <t>N</t>
        </is>
      </c>
      <c r="H49" s="25" t="n"/>
      <c r="I49" s="25" t="inlineStr">
        <is>
          <t>عضو مستقل (خارج از بانک)</t>
        </is>
      </c>
      <c r="J49" s="25" t="inlineStr">
        <is>
          <t>Y</t>
        </is>
      </c>
      <c r="K49" s="25" t="inlineStr">
        <is>
          <t>لیسانس اقتصاد</t>
        </is>
      </c>
      <c r="L49" s="25" t="inlineStr">
        <is>
          <t>FIN_EXP</t>
        </is>
      </c>
      <c r="M49" s="25" t="inlineStr">
        <is>
          <t>حسابرس؛ مدیر ارشد حسابرسی سازمان حسابرسی</t>
        </is>
      </c>
      <c r="N49" s="25" t="n">
        <v>1</v>
      </c>
      <c r="O49" s="25" t="n"/>
      <c r="P49" s="25" t="n"/>
      <c r="Q49" s="25" t="n">
        <v>19</v>
      </c>
      <c r="R49" s="25" t="n"/>
      <c r="S49" s="25" t="n"/>
      <c r="T49" s="25">
        <f>IF(AND(ISNUMBER(Q49),ISNUMBER(R49),R49&gt;0),Q49/R49,"")</f>
      </c>
      <c r="U49" s="25">
        <f>IF(AND(D49="MEMBER",ISNUMBER(Q49),ISNUMBER(R49),R49&gt;0),1,0)</f>
        <v>0</v>
      </c>
      <c r="V49" s="25" t="inlineStr">
        <is>
          <t>EV_SRC_VTEJ_1404_001_p52</t>
        </is>
      </c>
      <c r="W49" s="25" t="inlineStr">
        <is>
          <t>52</t>
        </is>
      </c>
      <c r="X49" s="25" t="inlineStr">
        <is>
          <t>تاییدشده</t>
        </is>
      </c>
      <c r="Y49" s="25" t="n"/>
    </row>
    <row r="50" ht="29" customHeight="1" s="76">
      <c r="A50" s="23" t="inlineStr">
        <is>
          <t>AC40-وتجارت-05</t>
        </is>
      </c>
      <c r="B50" s="23" t="inlineStr">
        <is>
          <t>وتجارت</t>
        </is>
      </c>
      <c r="C50" s="23" t="inlineStr">
        <is>
          <t>عضو مستقل (خارج از بانک)</t>
        </is>
      </c>
      <c r="D50" s="23" t="inlineStr">
        <is>
          <t>MEMBER</t>
        </is>
      </c>
      <c r="E50" s="23" t="inlineStr">
        <is>
          <t>فرهاد نورافکن طالشمیکائیل</t>
        </is>
      </c>
      <c r="F50" s="23" t="n"/>
      <c r="G50" s="23" t="inlineStr">
        <is>
          <t>N</t>
        </is>
      </c>
      <c r="H50" s="23" t="n"/>
      <c r="I50" s="23" t="inlineStr">
        <is>
          <t>عضو مستقل (خارج از بانک)</t>
        </is>
      </c>
      <c r="J50" s="23" t="inlineStr">
        <is>
          <t>Y</t>
        </is>
      </c>
      <c r="K50" s="23" t="inlineStr">
        <is>
          <t>فوق‌لیسانس حسابداری</t>
        </is>
      </c>
      <c r="L50" s="23" t="inlineStr">
        <is>
          <t>ACCT</t>
        </is>
      </c>
      <c r="M50" s="23" t="inlineStr">
        <is>
          <t>رئیس حسابرسی داخلی شرکت سرمایه‌گذاری خارجی ایران</t>
        </is>
      </c>
      <c r="N50" s="23" t="n">
        <v>1</v>
      </c>
      <c r="O50" s="23" t="n"/>
      <c r="P50" s="23" t="n"/>
      <c r="Q50" s="23" t="n">
        <v>19</v>
      </c>
      <c r="R50" s="23" t="n"/>
      <c r="S50" s="23" t="n"/>
      <c r="T50" s="23">
        <f>IF(AND(ISNUMBER(Q50),ISNUMBER(R50),R50&gt;0),Q50/R50,"")</f>
      </c>
      <c r="U50" s="23">
        <f>IF(AND(D50="MEMBER",ISNUMBER(Q50),ISNUMBER(R50),R50&gt;0),1,0)</f>
        <v>0</v>
      </c>
      <c r="V50" s="23" t="inlineStr">
        <is>
          <t>EV_SRC_VTEJ_1404_001_p52</t>
        </is>
      </c>
      <c r="W50" s="23" t="inlineStr">
        <is>
          <t>52</t>
        </is>
      </c>
      <c r="X50" s="23" t="inlineStr">
        <is>
          <t>تاییدشده</t>
        </is>
      </c>
      <c r="Y50" s="23" t="n"/>
    </row>
    <row r="51" ht="29" customHeight="1" s="76">
      <c r="A51" s="25" t="inlineStr">
        <is>
          <t>AC40-رمپنا-01</t>
        </is>
      </c>
      <c r="B51" s="25" t="inlineStr">
        <is>
          <t>رمپنا</t>
        </is>
      </c>
      <c r="C51" s="25" t="inlineStr">
        <is>
          <t>عضو هیئت‌مدیره و رئیس فعلی کمیته</t>
        </is>
      </c>
      <c r="D51" s="25" t="inlineStr">
        <is>
          <t>MEMBER</t>
        </is>
      </c>
      <c r="E51" s="25" t="inlineStr">
        <is>
          <t>محمدرضا اولی</t>
        </is>
      </c>
      <c r="F51" s="25" t="inlineStr">
        <is>
          <t>عضو هیئت‌مدیره</t>
        </is>
      </c>
      <c r="G51" s="25" t="inlineStr">
        <is>
          <t>Y</t>
        </is>
      </c>
      <c r="H51" s="25" t="n"/>
      <c r="I51" s="25" t="n"/>
      <c r="J51" s="25" t="inlineStr">
        <is>
          <t>U</t>
        </is>
      </c>
      <c r="K51" s="25" t="inlineStr">
        <is>
          <t>دکتری حسابداری</t>
        </is>
      </c>
      <c r="L51" s="25" t="inlineStr">
        <is>
          <t>ACCT</t>
        </is>
      </c>
      <c r="M51" s="25" t="inlineStr">
        <is>
          <t>رئیس و عضو هیئت‌مدیره و مدیرعامل شرکت‌های بورسی؛ عضو علمی دانشگاه آزاد</t>
        </is>
      </c>
      <c r="N51" s="25" t="n">
        <v>1</v>
      </c>
      <c r="O51" s="25" t="inlineStr">
        <is>
          <t>1404/07/13</t>
        </is>
      </c>
      <c r="P51" s="25" t="n"/>
      <c r="Q51" s="25" t="n">
        <v>9</v>
      </c>
      <c r="R51" s="25" t="n">
        <v>9</v>
      </c>
      <c r="S51" s="25" t="inlineStr">
        <is>
          <t>صریح در سند</t>
        </is>
      </c>
      <c r="T51" s="25">
        <f>IF(AND(ISNUMBER(Q51),ISNUMBER(R51),R51&gt;0),Q51/R51,"")</f>
        <v>1</v>
      </c>
      <c r="U51" s="25">
        <f>IF(AND(D51="MEMBER",ISNUMBER(Q51),ISNUMBER(R51),R51&gt;0),1,0)</f>
        <v>1</v>
      </c>
      <c r="V51" s="25" t="inlineStr">
        <is>
          <t>EV_SRC_RMPN_1404_001_p38</t>
        </is>
      </c>
      <c r="W51" s="25" t="inlineStr">
        <is>
          <t>38</t>
        </is>
      </c>
      <c r="X51" s="25" t="inlineStr">
        <is>
          <t>تاییدشده</t>
        </is>
      </c>
      <c r="Y51" s="25" t="inlineStr">
        <is>
          <t>حضور فقط ۹ جلسه شش‌ماهه دوم</t>
        </is>
      </c>
    </row>
    <row r="52" ht="29" customHeight="1" s="76">
      <c r="A52" s="23" t="inlineStr">
        <is>
          <t>AC40-رمپنا-02</t>
        </is>
      </c>
      <c r="B52" s="23" t="inlineStr">
        <is>
          <t>رمپنا</t>
        </is>
      </c>
      <c r="C52" s="23" t="inlineStr">
        <is>
          <t>عضو کمیته</t>
        </is>
      </c>
      <c r="D52" s="23" t="inlineStr">
        <is>
          <t>MEMBER</t>
        </is>
      </c>
      <c r="E52" s="23" t="inlineStr">
        <is>
          <t>حسن حاجیان</t>
        </is>
      </c>
      <c r="F52" s="23" t="n"/>
      <c r="G52" s="23" t="inlineStr">
        <is>
          <t>N</t>
        </is>
      </c>
      <c r="H52" s="23" t="n"/>
      <c r="I52" s="23" t="n"/>
      <c r="J52" s="23" t="inlineStr">
        <is>
          <t>U</t>
        </is>
      </c>
      <c r="K52" s="23" t="inlineStr">
        <is>
          <t>دانشجوی دکتری حسابداری</t>
        </is>
      </c>
      <c r="L52" s="23" t="inlineStr">
        <is>
          <t>ACCT</t>
        </is>
      </c>
      <c r="M52" s="23" t="inlineStr">
        <is>
          <t>دارای ۴۲ سال سابقه حسابرسی؛ حسابدار رسمی</t>
        </is>
      </c>
      <c r="N52" s="23" t="n">
        <v>1</v>
      </c>
      <c r="O52" s="23" t="inlineStr">
        <is>
          <t>1404/07/13</t>
        </is>
      </c>
      <c r="P52" s="23" t="n"/>
      <c r="Q52" s="23" t="n">
        <v>9</v>
      </c>
      <c r="R52" s="23" t="n">
        <v>9</v>
      </c>
      <c r="S52" s="23" t="inlineStr">
        <is>
          <t>صریح در سند</t>
        </is>
      </c>
      <c r="T52" s="23">
        <f>IF(AND(ISNUMBER(Q52),ISNUMBER(R52),R52&gt;0),Q52/R52,"")</f>
        <v>1</v>
      </c>
      <c r="U52" s="23">
        <f>IF(AND(D52="MEMBER",ISNUMBER(Q52),ISNUMBER(R52),R52&gt;0),1,0)</f>
        <v>1</v>
      </c>
      <c r="V52" s="23" t="inlineStr">
        <is>
          <t>EV_SRC_RMPN_1404_001_p38</t>
        </is>
      </c>
      <c r="W52" s="23" t="inlineStr">
        <is>
          <t>38</t>
        </is>
      </c>
      <c r="X52" s="23" t="inlineStr">
        <is>
          <t>تاییدشده</t>
        </is>
      </c>
      <c r="Y52" s="23" t="n"/>
    </row>
    <row r="53" ht="20" customHeight="1" s="76">
      <c r="A53" s="25" t="inlineStr">
        <is>
          <t>AC40-رمپنا-03</t>
        </is>
      </c>
      <c r="B53" s="25" t="inlineStr">
        <is>
          <t>رمپنا</t>
        </is>
      </c>
      <c r="C53" s="25" t="inlineStr">
        <is>
          <t>عضو کمیته</t>
        </is>
      </c>
      <c r="D53" s="25" t="inlineStr">
        <is>
          <t>MEMBER</t>
        </is>
      </c>
      <c r="E53" s="25" t="inlineStr">
        <is>
          <t>وحید منتی</t>
        </is>
      </c>
      <c r="F53" s="25" t="n"/>
      <c r="G53" s="25" t="inlineStr">
        <is>
          <t>N</t>
        </is>
      </c>
      <c r="H53" s="25" t="n"/>
      <c r="I53" s="25" t="n"/>
      <c r="J53" s="25" t="inlineStr">
        <is>
          <t>U</t>
        </is>
      </c>
      <c r="K53" s="25" t="inlineStr">
        <is>
          <t>دکتری حسابداری</t>
        </is>
      </c>
      <c r="L53" s="25" t="inlineStr">
        <is>
          <t>ACCT</t>
        </is>
      </c>
      <c r="M53" s="25" t="inlineStr">
        <is>
          <t>حسابدار رسمی ۲۰ سال؛ حسابرسی داخلی</t>
        </is>
      </c>
      <c r="N53" s="25" t="n">
        <v>1</v>
      </c>
      <c r="O53" s="25" t="inlineStr">
        <is>
          <t>1404/07/13</t>
        </is>
      </c>
      <c r="P53" s="25" t="n"/>
      <c r="Q53" s="25" t="n">
        <v>9</v>
      </c>
      <c r="R53" s="25" t="n">
        <v>9</v>
      </c>
      <c r="S53" s="25" t="inlineStr">
        <is>
          <t>صریح در سند</t>
        </is>
      </c>
      <c r="T53" s="25">
        <f>IF(AND(ISNUMBER(Q53),ISNUMBER(R53),R53&gt;0),Q53/R53,"")</f>
        <v>1</v>
      </c>
      <c r="U53" s="25">
        <f>IF(AND(D53="MEMBER",ISNUMBER(Q53),ISNUMBER(R53),R53&gt;0),1,0)</f>
        <v>1</v>
      </c>
      <c r="V53" s="25" t="inlineStr">
        <is>
          <t>EV_SRC_RMPN_1404_001_p38</t>
        </is>
      </c>
      <c r="W53" s="25" t="inlineStr">
        <is>
          <t>38</t>
        </is>
      </c>
      <c r="X53" s="25" t="inlineStr">
        <is>
          <t>تاییدشده</t>
        </is>
      </c>
      <c r="Y53" s="25" t="n"/>
    </row>
    <row r="54" ht="29" customHeight="1" s="76">
      <c r="A54" s="23" t="inlineStr">
        <is>
          <t>AC40-رمپنا-04</t>
        </is>
      </c>
      <c r="B54" s="23" t="inlineStr">
        <is>
          <t>رمپنا</t>
        </is>
      </c>
      <c r="C54" s="23" t="inlineStr">
        <is>
          <t>عضو کمیته (سابقا رئیس)</t>
        </is>
      </c>
      <c r="D54" s="23" t="inlineStr">
        <is>
          <t>MEMBER</t>
        </is>
      </c>
      <c r="E54" s="23" t="inlineStr">
        <is>
          <t>امیر هامونی</t>
        </is>
      </c>
      <c r="F54" s="23" t="inlineStr">
        <is>
          <t>عضو سابق هیئت‌مدیره</t>
        </is>
      </c>
      <c r="G54" s="23" t="inlineStr">
        <is>
          <t>U</t>
        </is>
      </c>
      <c r="H54" s="23" t="n"/>
      <c r="I54" s="23" t="n"/>
      <c r="J54" s="23" t="inlineStr">
        <is>
          <t>U</t>
        </is>
      </c>
      <c r="K54" s="23" t="inlineStr">
        <is>
          <t>دکتری علوم اقتصادی</t>
        </is>
      </c>
      <c r="L54" s="23" t="inlineStr">
        <is>
          <t>ECON</t>
        </is>
      </c>
      <c r="M54" s="23" t="inlineStr">
        <is>
          <t>مدیر عامل شرکت فرابورس؛ عضو هیئت‌مدیره</t>
        </is>
      </c>
      <c r="N54" s="23" t="n">
        <v>0</v>
      </c>
      <c r="O54" s="23" t="inlineStr">
        <is>
          <t>1402/04/18</t>
        </is>
      </c>
      <c r="P54" s="23" t="n"/>
      <c r="Q54" s="23" t="n">
        <v>9</v>
      </c>
      <c r="R54" s="23" t="n">
        <v>9</v>
      </c>
      <c r="S54" s="23" t="inlineStr">
        <is>
          <t>صریح در سند</t>
        </is>
      </c>
      <c r="T54" s="23">
        <f>IF(AND(ISNUMBER(Q54),ISNUMBER(R54),R54&gt;0),Q54/R54,"")</f>
        <v>1</v>
      </c>
      <c r="U54" s="23">
        <f>IF(AND(D54="MEMBER",ISNUMBER(Q54),ISNUMBER(R54),R54&gt;0),1,0)</f>
        <v>1</v>
      </c>
      <c r="V54" s="23" t="inlineStr">
        <is>
          <t>EV_SRC_RMPN_1404_001_p38</t>
        </is>
      </c>
      <c r="W54" s="23" t="inlineStr">
        <is>
          <t>38</t>
        </is>
      </c>
      <c r="X54" s="23" t="inlineStr">
        <is>
          <t>تاییدشده</t>
        </is>
      </c>
      <c r="Y54" s="23" t="n"/>
    </row>
    <row r="55" ht="20" customHeight="1" s="76">
      <c r="A55" s="25" t="inlineStr">
        <is>
          <t>AC40-رمپنا-05</t>
        </is>
      </c>
      <c r="B55" s="25" t="inlineStr">
        <is>
          <t>رمپنا</t>
        </is>
      </c>
      <c r="C55" s="25" t="inlineStr">
        <is>
          <t>عضو کمیته</t>
        </is>
      </c>
      <c r="D55" s="25" t="inlineStr">
        <is>
          <t>MEMBER</t>
        </is>
      </c>
      <c r="E55" s="25" t="inlineStr">
        <is>
          <t>مسعود گشته</t>
        </is>
      </c>
      <c r="F55" s="25" t="n"/>
      <c r="G55" s="25" t="inlineStr">
        <is>
          <t>N</t>
        </is>
      </c>
      <c r="H55" s="25" t="n"/>
      <c r="I55" s="25" t="n"/>
      <c r="J55" s="25" t="inlineStr">
        <is>
          <t>U</t>
        </is>
      </c>
      <c r="K55" s="25" t="inlineStr">
        <is>
          <t>لیسانس مدیریت دولتی</t>
        </is>
      </c>
      <c r="L55" s="25" t="inlineStr">
        <is>
          <t>NONE_EVID</t>
        </is>
      </c>
      <c r="M55" s="25" t="inlineStr">
        <is>
          <t>عضو سابق هیئت‌مدیره مپنا</t>
        </is>
      </c>
      <c r="N55" s="25" t="n">
        <v>0</v>
      </c>
      <c r="O55" s="25" t="inlineStr">
        <is>
          <t>1401/10/18</t>
        </is>
      </c>
      <c r="P55" s="25" t="n"/>
      <c r="Q55" s="25" t="n">
        <v>9</v>
      </c>
      <c r="R55" s="25" t="n">
        <v>9</v>
      </c>
      <c r="S55" s="25" t="inlineStr">
        <is>
          <t>صریح در سند</t>
        </is>
      </c>
      <c r="T55" s="25">
        <f>IF(AND(ISNUMBER(Q55),ISNUMBER(R55),R55&gt;0),Q55/R55,"")</f>
        <v>1</v>
      </c>
      <c r="U55" s="25">
        <f>IF(AND(D55="MEMBER",ISNUMBER(Q55),ISNUMBER(R55),R55&gt;0),1,0)</f>
        <v>1</v>
      </c>
      <c r="V55" s="25" t="inlineStr">
        <is>
          <t>EV_SRC_RMPN_1404_001_p38</t>
        </is>
      </c>
      <c r="W55" s="25" t="inlineStr">
        <is>
          <t>38</t>
        </is>
      </c>
      <c r="X55" s="25" t="inlineStr">
        <is>
          <t>تاییدشده</t>
        </is>
      </c>
      <c r="Y55" s="25" t="n"/>
    </row>
    <row r="56" ht="20" customHeight="1" s="76">
      <c r="A56" s="23" t="inlineStr">
        <is>
          <t>AC40-رمپنا-06</t>
        </is>
      </c>
      <c r="B56" s="23" t="inlineStr">
        <is>
          <t>رمپنا</t>
        </is>
      </c>
      <c r="C56" s="23" t="inlineStr">
        <is>
          <t>عضو کمیته</t>
        </is>
      </c>
      <c r="D56" s="23" t="inlineStr">
        <is>
          <t>MEMBER</t>
        </is>
      </c>
      <c r="E56" s="23" t="inlineStr">
        <is>
          <t>روح‌الله رجبی</t>
        </is>
      </c>
      <c r="F56" s="23" t="n"/>
      <c r="G56" s="23" t="inlineStr">
        <is>
          <t>N</t>
        </is>
      </c>
      <c r="H56" s="23" t="n"/>
      <c r="I56" s="23" t="n"/>
      <c r="J56" s="23" t="inlineStr">
        <is>
          <t>U</t>
        </is>
      </c>
      <c r="K56" s="23" t="inlineStr">
        <is>
          <t>دکتری حسابداری</t>
        </is>
      </c>
      <c r="L56" s="23" t="inlineStr">
        <is>
          <t>ACCT</t>
        </is>
      </c>
      <c r="M56" s="23" t="inlineStr">
        <is>
          <t>حسابدار رسمی؛ حسابرس مستقل ۱۷ سال</t>
        </is>
      </c>
      <c r="N56" s="23" t="n">
        <v>1</v>
      </c>
      <c r="O56" s="23" t="inlineStr">
        <is>
          <t>1402/04/18</t>
        </is>
      </c>
      <c r="P56" s="23" t="n"/>
      <c r="Q56" s="23" t="n">
        <v>9</v>
      </c>
      <c r="R56" s="23" t="n">
        <v>9</v>
      </c>
      <c r="S56" s="23" t="inlineStr">
        <is>
          <t>صریح در سند</t>
        </is>
      </c>
      <c r="T56" s="23">
        <f>IF(AND(ISNUMBER(Q56),ISNUMBER(R56),R56&gt;0),Q56/R56,"")</f>
        <v>1</v>
      </c>
      <c r="U56" s="23">
        <f>IF(AND(D56="MEMBER",ISNUMBER(Q56),ISNUMBER(R56),R56&gt;0),1,0)</f>
        <v>1</v>
      </c>
      <c r="V56" s="23" t="inlineStr">
        <is>
          <t>EV_SRC_RMPN_1404_001_p38</t>
        </is>
      </c>
      <c r="W56" s="23" t="inlineStr">
        <is>
          <t>38</t>
        </is>
      </c>
      <c r="X56" s="23" t="inlineStr">
        <is>
          <t>تاییدشده</t>
        </is>
      </c>
      <c r="Y56" s="23" t="n"/>
    </row>
    <row r="57" ht="29" customHeight="1" s="76">
      <c r="A57" s="25" t="inlineStr">
        <is>
          <t>AC40-رمپنا-07</t>
        </is>
      </c>
      <c r="B57" s="25" t="inlineStr">
        <is>
          <t>رمپنا</t>
        </is>
      </c>
      <c r="C57" s="25" t="inlineStr">
        <is>
          <t>عضو کمیته</t>
        </is>
      </c>
      <c r="D57" s="25" t="inlineStr">
        <is>
          <t>MEMBER</t>
        </is>
      </c>
      <c r="E57" s="25" t="inlineStr">
        <is>
          <t>روح‌الله بلکوتی</t>
        </is>
      </c>
      <c r="F57" s="25" t="n"/>
      <c r="G57" s="25" t="inlineStr">
        <is>
          <t>N</t>
        </is>
      </c>
      <c r="H57" s="25" t="n"/>
      <c r="I57" s="25" t="n"/>
      <c r="J57" s="25" t="inlineStr">
        <is>
          <t>U</t>
        </is>
      </c>
      <c r="K57" s="25" t="inlineStr">
        <is>
          <t>لیسانس حسابداری</t>
        </is>
      </c>
      <c r="L57" s="25" t="inlineStr">
        <is>
          <t>ACCT</t>
        </is>
      </c>
      <c r="M57" s="25" t="inlineStr">
        <is>
          <t>حسابرس در موسسه خصوصی؛ مدیر اداری شرکت</t>
        </is>
      </c>
      <c r="N57" s="25" t="n">
        <v>1</v>
      </c>
      <c r="O57" s="25" t="inlineStr">
        <is>
          <t>1402/04/18</t>
        </is>
      </c>
      <c r="P57" s="25" t="n"/>
      <c r="Q57" s="25" t="n">
        <v>9</v>
      </c>
      <c r="R57" s="25" t="n">
        <v>9</v>
      </c>
      <c r="S57" s="25" t="inlineStr">
        <is>
          <t>صریح در سند</t>
        </is>
      </c>
      <c r="T57" s="25">
        <f>IF(AND(ISNUMBER(Q57),ISNUMBER(R57),R57&gt;0),Q57/R57,"")</f>
        <v>1</v>
      </c>
      <c r="U57" s="25">
        <f>IF(AND(D57="MEMBER",ISNUMBER(Q57),ISNUMBER(R57),R57&gt;0),1,0)</f>
        <v>1</v>
      </c>
      <c r="V57" s="25" t="inlineStr">
        <is>
          <t>EV_SRC_RMPN_1404_001_p38</t>
        </is>
      </c>
      <c r="W57" s="25" t="inlineStr">
        <is>
          <t>38</t>
        </is>
      </c>
      <c r="X57" s="25" t="inlineStr">
        <is>
          <t>تاییدشده</t>
        </is>
      </c>
      <c r="Y57" s="25" t="n"/>
    </row>
    <row r="58" ht="29" customHeight="1" s="76">
      <c r="A58" s="23" t="inlineStr">
        <is>
          <t>AC40-رمپنا-08</t>
        </is>
      </c>
      <c r="B58" s="23" t="inlineStr">
        <is>
          <t>رمپنا</t>
        </is>
      </c>
      <c r="C58" s="23" t="inlineStr">
        <is>
          <t>دبیر کمیته و مدیر حسابرسی داخلی</t>
        </is>
      </c>
      <c r="D58" s="23" t="inlineStr">
        <is>
          <t>SECRETARY</t>
        </is>
      </c>
      <c r="E58" s="23" t="inlineStr">
        <is>
          <t>ایمان پوریا</t>
        </is>
      </c>
      <c r="F58" s="23" t="n"/>
      <c r="G58" s="23" t="inlineStr">
        <is>
          <t>N</t>
        </is>
      </c>
      <c r="H58" s="23" t="n"/>
      <c r="I58" s="23" t="n"/>
      <c r="J58" s="23" t="inlineStr">
        <is>
          <t>U</t>
        </is>
      </c>
      <c r="K58" s="23" t="inlineStr">
        <is>
          <t>دکتری حسابداری</t>
        </is>
      </c>
      <c r="L58" s="23" t="inlineStr">
        <is>
          <t>ACCT</t>
        </is>
      </c>
      <c r="M58" s="23" t="inlineStr">
        <is>
          <t>عضو جامعه حسابداران رسمی؛ سابقه حسابرسی</t>
        </is>
      </c>
      <c r="N58" s="23" t="n">
        <v>1</v>
      </c>
      <c r="O58" s="23" t="inlineStr">
        <is>
          <t>1404/06/31</t>
        </is>
      </c>
      <c r="P58" s="23" t="n"/>
      <c r="Q58" s="23" t="n">
        <v>7</v>
      </c>
      <c r="R58" s="23" t="n">
        <v>9</v>
      </c>
      <c r="S58" s="23" t="inlineStr">
        <is>
          <t>صریح در سند</t>
        </is>
      </c>
      <c r="T58" s="23">
        <f>IF(AND(ISNUMBER(Q58),ISNUMBER(R58),R58&gt;0),Q58/R58,"")</f>
        <v>0.7777777777777778</v>
      </c>
      <c r="U58" s="23">
        <f>IF(AND(D58="MEMBER",ISNUMBER(Q58),ISNUMBER(R58),R58&gt;0),1,0)</f>
        <v>0</v>
      </c>
      <c r="V58" s="23" t="inlineStr">
        <is>
          <t>EV_SRC_RMPN_1404_001_p38</t>
        </is>
      </c>
      <c r="W58" s="23" t="inlineStr">
        <is>
          <t>38</t>
        </is>
      </c>
      <c r="X58" s="23" t="inlineStr">
        <is>
          <t>تاییدشده</t>
        </is>
      </c>
      <c r="Y58" s="23" t="inlineStr">
        <is>
          <t>دبیر؛ عضویت در کمیته به‌عنوان عضو صریح نیست؛ در جدول حضور آمده</t>
        </is>
      </c>
    </row>
    <row r="59" ht="29" customHeight="1" s="76">
      <c r="A59" s="25" t="inlineStr">
        <is>
          <t>AC40-فخوز-01</t>
        </is>
      </c>
      <c r="B59" s="25" t="inlineStr">
        <is>
          <t>فخوز</t>
        </is>
      </c>
      <c r="C59" s="25" t="inlineStr">
        <is>
          <t>رئیس کمیته</t>
        </is>
      </c>
      <c r="D59" s="25" t="inlineStr">
        <is>
          <t>POST_ASOF</t>
        </is>
      </c>
      <c r="E59" s="25" t="inlineStr">
        <is>
          <t>سیدمحمد حسینی (نماینده سرمایه‌گذاری سامان مجد)</t>
        </is>
      </c>
      <c r="F59" s="25" t="inlineStr">
        <is>
          <t>عضو غیرموظف هیئت‌مدیره</t>
        </is>
      </c>
      <c r="G59" s="25" t="inlineStr">
        <is>
          <t>Y</t>
        </is>
      </c>
      <c r="H59" s="25" t="inlineStr">
        <is>
          <t>بلی (عضو غیرموظف هیئت‌مدیره)</t>
        </is>
      </c>
      <c r="I59" s="25" t="inlineStr">
        <is>
          <t>عضو مستقل: خیر</t>
        </is>
      </c>
      <c r="J59" s="25" t="inlineStr">
        <is>
          <t>N</t>
        </is>
      </c>
      <c r="K59" s="25" t="inlineStr">
        <is>
          <t>کارشناسی ارشد روابط بین‌الملل</t>
        </is>
      </c>
      <c r="L59" s="25" t="inlineStr">
        <is>
          <t>NONE_EVID</t>
        </is>
      </c>
      <c r="M59" s="25" t="inlineStr">
        <is>
          <t>ستون عضو مالی: بلی (برچسب منبع)؛ رشته غیرمالی</t>
        </is>
      </c>
      <c r="N59" s="25" t="n">
        <v>0</v>
      </c>
      <c r="O59" s="25" t="inlineStr">
        <is>
          <t>1405/01/30</t>
        </is>
      </c>
      <c r="P59" s="25" t="n"/>
      <c r="Q59" s="25" t="n"/>
      <c r="R59" s="25" t="n"/>
      <c r="S59" s="25" t="n"/>
      <c r="T59" s="25">
        <f>IF(AND(ISNUMBER(Q59),ISNUMBER(R59),R59&gt;0),Q59/R59,"")</f>
      </c>
      <c r="U59" s="25">
        <f>IF(AND(D59="MEMBER",ISNUMBER(Q59),ISNUMBER(R59),R59&gt;0),1,0)</f>
        <v>0</v>
      </c>
      <c r="V59" s="25" t="inlineStr">
        <is>
          <t>EV_SRC_FKHZ_1404_001_p34</t>
        </is>
      </c>
      <c r="W59" s="25" t="inlineStr">
        <is>
          <t>34</t>
        </is>
      </c>
      <c r="X59" s="25" t="inlineStr">
        <is>
          <t>تاییدشده (پس از مقطع)</t>
        </is>
      </c>
      <c r="Y59" s="25" t="inlineStr">
        <is>
          <t>شروع پس از مقطع ۱۴۰۴/۱۲/۲۹؛ رئیس کمیته در مقطع هدف نامشخص</t>
        </is>
      </c>
    </row>
    <row r="60" ht="29" customHeight="1" s="76">
      <c r="A60" s="23" t="inlineStr">
        <is>
          <t>AC40-فخوز-02</t>
        </is>
      </c>
      <c r="B60" s="23" t="inlineStr">
        <is>
          <t>فخوز</t>
        </is>
      </c>
      <c r="C60" s="23" t="inlineStr">
        <is>
          <t>عضو کمیته</t>
        </is>
      </c>
      <c r="D60" s="23" t="inlineStr">
        <is>
          <t>MEMBER</t>
        </is>
      </c>
      <c r="E60" s="23" t="inlineStr">
        <is>
          <t>ابوالفضل اکبری</t>
        </is>
      </c>
      <c r="F60" s="23" t="inlineStr">
        <is>
          <t>عضو غیرموظف هیئت‌مدیره</t>
        </is>
      </c>
      <c r="G60" s="23" t="inlineStr">
        <is>
          <t>Y</t>
        </is>
      </c>
      <c r="H60" s="23" t="inlineStr">
        <is>
          <t>بلی</t>
        </is>
      </c>
      <c r="I60" s="23" t="inlineStr">
        <is>
          <t>عضو مستقل: خیر</t>
        </is>
      </c>
      <c r="J60" s="23" t="inlineStr">
        <is>
          <t>N</t>
        </is>
      </c>
      <c r="K60" s="23" t="inlineStr">
        <is>
          <t>کارشناسی ارشد حسابداری</t>
        </is>
      </c>
      <c r="L60" s="23" t="inlineStr">
        <is>
          <t>ACCT</t>
        </is>
      </c>
      <c r="M60" s="23" t="inlineStr">
        <is>
          <t>ستون عضو مالی: بلی؛ عضو شورای عالی جامعه حسابداران رسمی</t>
        </is>
      </c>
      <c r="N60" s="23" t="n">
        <v>1</v>
      </c>
      <c r="O60" s="23" t="inlineStr">
        <is>
          <t>1404/06/26</t>
        </is>
      </c>
      <c r="P60" s="23" t="n"/>
      <c r="Q60" s="23" t="n"/>
      <c r="R60" s="23" t="n"/>
      <c r="S60" s="23" t="n"/>
      <c r="T60" s="23">
        <f>IF(AND(ISNUMBER(Q60),ISNUMBER(R60),R60&gt;0),Q60/R60,"")</f>
      </c>
      <c r="U60" s="23">
        <f>IF(AND(D60="MEMBER",ISNUMBER(Q60),ISNUMBER(R60),R60&gt;0),1,0)</f>
        <v>0</v>
      </c>
      <c r="V60" s="23" t="inlineStr">
        <is>
          <t>EV_SRC_FKHZ_1404_001_p34</t>
        </is>
      </c>
      <c r="W60" s="23" t="inlineStr">
        <is>
          <t>34</t>
        </is>
      </c>
      <c r="X60" s="23" t="inlineStr">
        <is>
          <t>ناقص</t>
        </is>
      </c>
      <c r="Y60" s="23" t="n"/>
    </row>
    <row r="61" ht="29" customHeight="1" s="76">
      <c r="A61" s="25" t="inlineStr">
        <is>
          <t>AC40-فخوز-03</t>
        </is>
      </c>
      <c r="B61" s="25" t="inlineStr">
        <is>
          <t>فخوز</t>
        </is>
      </c>
      <c r="C61" s="25" t="inlineStr">
        <is>
          <t>عضو کمیته</t>
        </is>
      </c>
      <c r="D61" s="25" t="inlineStr">
        <is>
          <t>MEMBER</t>
        </is>
      </c>
      <c r="E61" s="25" t="inlineStr">
        <is>
          <t>ولی‌اله حاجی‌پور</t>
        </is>
      </c>
      <c r="F61" s="25" t="inlineStr">
        <is>
          <t>عضو غیرموظف هیئت‌مدیره</t>
        </is>
      </c>
      <c r="G61" s="25" t="inlineStr">
        <is>
          <t>Y</t>
        </is>
      </c>
      <c r="H61" s="25" t="inlineStr">
        <is>
          <t>بلی</t>
        </is>
      </c>
      <c r="I61" s="25" t="inlineStr">
        <is>
          <t>عضو مستقل: خیر</t>
        </is>
      </c>
      <c r="J61" s="25" t="inlineStr">
        <is>
          <t>N</t>
        </is>
      </c>
      <c r="K61" s="25" t="inlineStr">
        <is>
          <t>دکترای مدیریت</t>
        </is>
      </c>
      <c r="L61" s="25" t="inlineStr">
        <is>
          <t>ACCT</t>
        </is>
      </c>
      <c r="M61" s="25" t="inlineStr">
        <is>
          <t>ستون عضو مالی: بلی؛ حسابدار رسمی؛ ۱۴ سال سازمان حسابرسی</t>
        </is>
      </c>
      <c r="N61" s="25" t="n">
        <v>1</v>
      </c>
      <c r="O61" s="25" t="inlineStr">
        <is>
          <t>1400/06/22</t>
        </is>
      </c>
      <c r="P61" s="25" t="n"/>
      <c r="Q61" s="25" t="n"/>
      <c r="R61" s="25" t="n"/>
      <c r="S61" s="25" t="n"/>
      <c r="T61" s="25">
        <f>IF(AND(ISNUMBER(Q61),ISNUMBER(R61),R61&gt;0),Q61/R61,"")</f>
      </c>
      <c r="U61" s="25">
        <f>IF(AND(D61="MEMBER",ISNUMBER(Q61),ISNUMBER(R61),R61&gt;0),1,0)</f>
        <v>0</v>
      </c>
      <c r="V61" s="25" t="inlineStr">
        <is>
          <t>EV_SRC_FKHZ_1404_001_p34</t>
        </is>
      </c>
      <c r="W61" s="25" t="inlineStr">
        <is>
          <t>34</t>
        </is>
      </c>
      <c r="X61" s="25" t="inlineStr">
        <is>
          <t>ناقص</t>
        </is>
      </c>
      <c r="Y61" s="25" t="n"/>
    </row>
    <row r="62" ht="29" customHeight="1" s="76">
      <c r="A62" s="23" t="inlineStr">
        <is>
          <t>AC40-شستا-01</t>
        </is>
      </c>
      <c r="B62" s="23" t="inlineStr">
        <is>
          <t>شستا</t>
        </is>
      </c>
      <c r="C62" s="23" t="inlineStr">
        <is>
          <t>عضو کمیته</t>
        </is>
      </c>
      <c r="D62" s="23" t="inlineStr">
        <is>
          <t>MEMBER</t>
        </is>
      </c>
      <c r="E62" s="23" t="inlineStr">
        <is>
          <t>مهرداد فصیحی</t>
        </is>
      </c>
      <c r="F62" s="23" t="n"/>
      <c r="G62" s="23" t="inlineStr">
        <is>
          <t>N</t>
        </is>
      </c>
      <c r="H62" s="23" t="n"/>
      <c r="I62" s="23" t="n"/>
      <c r="J62" s="23" t="inlineStr">
        <is>
          <t>U</t>
        </is>
      </c>
      <c r="K62" s="23" t="inlineStr">
        <is>
          <t>کارشناسی ارشد حسابداری</t>
        </is>
      </c>
      <c r="L62" s="23" t="inlineStr">
        <is>
          <t>ACCT</t>
        </is>
      </c>
      <c r="M62" s="23" t="inlineStr">
        <is>
          <t>حسابدار رسمی؛ شریک و مدیر فنی حسابرسی؛ مدیر حسابرسی داخلی</t>
        </is>
      </c>
      <c r="N62" s="23" t="n">
        <v>1</v>
      </c>
      <c r="O62" s="23" t="inlineStr">
        <is>
          <t>1401/03/03</t>
        </is>
      </c>
      <c r="P62" s="23" t="n"/>
      <c r="Q62" s="23" t="n">
        <v>11</v>
      </c>
      <c r="R62" s="23" t="n">
        <v>11</v>
      </c>
      <c r="S62" s="23" t="inlineStr">
        <is>
          <t>صریح در سند</t>
        </is>
      </c>
      <c r="T62" s="23">
        <f>IF(AND(ISNUMBER(Q62),ISNUMBER(R62),R62&gt;0),Q62/R62,"")</f>
        <v>1</v>
      </c>
      <c r="U62" s="23">
        <f>IF(AND(D62="MEMBER",ISNUMBER(Q62),ISNUMBER(R62),R62&gt;0),1,0)</f>
        <v>1</v>
      </c>
      <c r="V62" s="23" t="inlineStr">
        <is>
          <t>EV_SRC_SHST_1404_001_p30</t>
        </is>
      </c>
      <c r="W62" s="23" t="inlineStr">
        <is>
          <t>30</t>
        </is>
      </c>
      <c r="X62" s="23" t="inlineStr">
        <is>
          <t>تاییدشده</t>
        </is>
      </c>
      <c r="Y62" s="23" t="n"/>
    </row>
    <row r="63" ht="29" customHeight="1" s="76">
      <c r="A63" s="25" t="inlineStr">
        <is>
          <t>AC40-شستا-02</t>
        </is>
      </c>
      <c r="B63" s="25" t="inlineStr">
        <is>
          <t>شستا</t>
        </is>
      </c>
      <c r="C63" s="25" t="inlineStr">
        <is>
          <t>عضو کمیته</t>
        </is>
      </c>
      <c r="D63" s="25" t="inlineStr">
        <is>
          <t>MEMBER</t>
        </is>
      </c>
      <c r="E63" s="25" t="inlineStr">
        <is>
          <t>حسن پورعبدالهیان</t>
        </is>
      </c>
      <c r="F63" s="25" t="n"/>
      <c r="G63" s="25" t="inlineStr">
        <is>
          <t>N</t>
        </is>
      </c>
      <c r="H63" s="25" t="n"/>
      <c r="I63" s="25" t="n"/>
      <c r="J63" s="25" t="inlineStr">
        <is>
          <t>U</t>
        </is>
      </c>
      <c r="K63" s="25" t="inlineStr">
        <is>
          <t>فوق‌لیسانس حسابداری</t>
        </is>
      </c>
      <c r="L63" s="25" t="inlineStr">
        <is>
          <t>ACCT</t>
        </is>
      </c>
      <c r="M63" s="25" t="inlineStr">
        <is>
          <t>حسابرس رسمی؛ عضو عامل سازمان حسابرسی ۲۶ سال</t>
        </is>
      </c>
      <c r="N63" s="25" t="n">
        <v>1</v>
      </c>
      <c r="O63" s="25" t="inlineStr">
        <is>
          <t>1401/03/03</t>
        </is>
      </c>
      <c r="P63" s="25" t="n"/>
      <c r="Q63" s="25" t="n">
        <v>11</v>
      </c>
      <c r="R63" s="25" t="n">
        <v>11</v>
      </c>
      <c r="S63" s="25" t="inlineStr">
        <is>
          <t>صریح در سند</t>
        </is>
      </c>
      <c r="T63" s="25">
        <f>IF(AND(ISNUMBER(Q63),ISNUMBER(R63),R63&gt;0),Q63/R63,"")</f>
        <v>1</v>
      </c>
      <c r="U63" s="25">
        <f>IF(AND(D63="MEMBER",ISNUMBER(Q63),ISNUMBER(R63),R63&gt;0),1,0)</f>
        <v>1</v>
      </c>
      <c r="V63" s="25" t="inlineStr">
        <is>
          <t>EV_SRC_SHST_1404_001_p30</t>
        </is>
      </c>
      <c r="W63" s="25" t="inlineStr">
        <is>
          <t>30</t>
        </is>
      </c>
      <c r="X63" s="25" t="inlineStr">
        <is>
          <t>تاییدشده</t>
        </is>
      </c>
      <c r="Y63" s="25" t="n"/>
    </row>
    <row r="64" ht="29" customHeight="1" s="76">
      <c r="A64" s="23" t="inlineStr">
        <is>
          <t>AC40-شستا-03</t>
        </is>
      </c>
      <c r="B64" s="23" t="inlineStr">
        <is>
          <t>شستا</t>
        </is>
      </c>
      <c r="C64" s="23" t="inlineStr">
        <is>
          <t>عضو کمیته</t>
        </is>
      </c>
      <c r="D64" s="23" t="inlineStr">
        <is>
          <t>MEMBER</t>
        </is>
      </c>
      <c r="E64" s="23" t="inlineStr">
        <is>
          <t>حمیدرضا اصغری</t>
        </is>
      </c>
      <c r="F64" s="23" t="n"/>
      <c r="G64" s="23" t="inlineStr">
        <is>
          <t>N</t>
        </is>
      </c>
      <c r="H64" s="23" t="n"/>
      <c r="I64" s="23" t="n"/>
      <c r="J64" s="23" t="inlineStr">
        <is>
          <t>U</t>
        </is>
      </c>
      <c r="K64" s="23" t="inlineStr">
        <is>
          <t>کارشناسی حسابداری</t>
        </is>
      </c>
      <c r="L64" s="23" t="inlineStr">
        <is>
          <t>ACCT</t>
        </is>
      </c>
      <c r="M64" s="23" t="inlineStr">
        <is>
          <t>عضو جامعه حسابداران رسمی؛ عضو کانون کارشناسان رسمی دادگستری</t>
        </is>
      </c>
      <c r="N64" s="23" t="n">
        <v>1</v>
      </c>
      <c r="O64" s="23" t="inlineStr">
        <is>
          <t>1401/03/03</t>
        </is>
      </c>
      <c r="P64" s="23" t="n"/>
      <c r="Q64" s="23" t="n">
        <v>11</v>
      </c>
      <c r="R64" s="23" t="n">
        <v>11</v>
      </c>
      <c r="S64" s="23" t="inlineStr">
        <is>
          <t>صریح در سند</t>
        </is>
      </c>
      <c r="T64" s="23">
        <f>IF(AND(ISNUMBER(Q64),ISNUMBER(R64),R64&gt;0),Q64/R64,"")</f>
        <v>1</v>
      </c>
      <c r="U64" s="23">
        <f>IF(AND(D64="MEMBER",ISNUMBER(Q64),ISNUMBER(R64),R64&gt;0),1,0)</f>
        <v>1</v>
      </c>
      <c r="V64" s="23" t="inlineStr">
        <is>
          <t>EV_SRC_SHST_1404_001_p30</t>
        </is>
      </c>
      <c r="W64" s="23" t="inlineStr">
        <is>
          <t>30</t>
        </is>
      </c>
      <c r="X64" s="23" t="inlineStr">
        <is>
          <t>تاییدشده</t>
        </is>
      </c>
      <c r="Y64" s="23" t="n"/>
    </row>
    <row r="65" ht="29" customHeight="1" s="76">
      <c r="A65" s="25" t="inlineStr">
        <is>
          <t>AC40-شستا-04</t>
        </is>
      </c>
      <c r="B65" s="25" t="inlineStr">
        <is>
          <t>شستا</t>
        </is>
      </c>
      <c r="C65" s="25" t="inlineStr">
        <is>
          <t>عضو کمیته</t>
        </is>
      </c>
      <c r="D65" s="25" t="inlineStr">
        <is>
          <t>MEMBER</t>
        </is>
      </c>
      <c r="E65" s="25" t="inlineStr">
        <is>
          <t>آرش بهادری</t>
        </is>
      </c>
      <c r="F65" s="25" t="n"/>
      <c r="G65" s="25" t="inlineStr">
        <is>
          <t>N</t>
        </is>
      </c>
      <c r="H65" s="25" t="n"/>
      <c r="I65" s="25" t="n"/>
      <c r="J65" s="25" t="inlineStr">
        <is>
          <t>U</t>
        </is>
      </c>
      <c r="K65" s="25" t="inlineStr">
        <is>
          <t>دکترای برنامه‌ریزی</t>
        </is>
      </c>
      <c r="L65" s="25" t="inlineStr">
        <is>
          <t>UNK</t>
        </is>
      </c>
      <c r="M65" s="25" t="inlineStr">
        <is>
          <t>مدیرکل امور اداری و مالی استانداری (ترکیبی)؛ شواهد مالی ناکافی</t>
        </is>
      </c>
      <c r="N65" s="25" t="n">
        <v>0</v>
      </c>
      <c r="O65" s="25" t="inlineStr">
        <is>
          <t>1402/09/27</t>
        </is>
      </c>
      <c r="P65" s="25" t="n"/>
      <c r="Q65" s="25" t="n">
        <v>11</v>
      </c>
      <c r="R65" s="25" t="n">
        <v>11</v>
      </c>
      <c r="S65" s="25" t="inlineStr">
        <is>
          <t>صریح در سند</t>
        </is>
      </c>
      <c r="T65" s="25">
        <f>IF(AND(ISNUMBER(Q65),ISNUMBER(R65),R65&gt;0),Q65/R65,"")</f>
        <v>1</v>
      </c>
      <c r="U65" s="25">
        <f>IF(AND(D65="MEMBER",ISNUMBER(Q65),ISNUMBER(R65),R65&gt;0),1,0)</f>
        <v>1</v>
      </c>
      <c r="V65" s="25" t="inlineStr">
        <is>
          <t>EV_SRC_SHST_1404_001_p30</t>
        </is>
      </c>
      <c r="W65" s="25" t="inlineStr">
        <is>
          <t>30</t>
        </is>
      </c>
      <c r="X65" s="25" t="inlineStr">
        <is>
          <t>تاییدشده</t>
        </is>
      </c>
      <c r="Y65" s="25" t="n"/>
    </row>
    <row r="66" ht="43.5" customHeight="1" s="76">
      <c r="A66" s="23" t="inlineStr">
        <is>
          <t>AC40-شپنا-01</t>
        </is>
      </c>
      <c r="B66" s="23" t="inlineStr">
        <is>
          <t>شپنا</t>
        </is>
      </c>
      <c r="C66" s="23" t="inlineStr">
        <is>
          <t>رئیس کمیته</t>
        </is>
      </c>
      <c r="D66" s="23" t="inlineStr">
        <is>
          <t>MEMBER</t>
        </is>
      </c>
      <c r="E66" s="23" t="inlineStr">
        <is>
          <t>سیدمحمود سیدی</t>
        </is>
      </c>
      <c r="F66" s="23" t="inlineStr">
        <is>
          <t>عضو هیئت‌مدیره (v22)</t>
        </is>
      </c>
      <c r="G66" s="23" t="inlineStr">
        <is>
          <t>Y</t>
        </is>
      </c>
      <c r="H66" s="23" t="n"/>
      <c r="I66" s="23" t="n"/>
      <c r="J66" s="23" t="inlineStr">
        <is>
          <t>U</t>
        </is>
      </c>
      <c r="K66" s="23" t="inlineStr">
        <is>
          <t>کارشناسی حسابداری</t>
        </is>
      </c>
      <c r="L66" s="23" t="inlineStr">
        <is>
          <t>ACCT</t>
        </is>
      </c>
      <c r="M66" s="23" t="inlineStr">
        <is>
          <t>رئیس حسابرسی شرکت‌های معدنی؛ مدیر امور مالی و اقتصادی؛ عضو هیئت‌مدیره شرکت‌های معدنی</t>
        </is>
      </c>
      <c r="N66" s="23" t="n">
        <v>1</v>
      </c>
      <c r="O66" s="23" t="inlineStr">
        <is>
          <t>1399/12/13 تا 1403/07/25 و از 1403/11/17</t>
        </is>
      </c>
      <c r="P66" s="23" t="n"/>
      <c r="Q66" s="23" t="n">
        <v>11</v>
      </c>
      <c r="R66" s="23" t="n">
        <v>12</v>
      </c>
      <c r="S66" s="23" t="inlineStr">
        <is>
          <t>صریح در سند</t>
        </is>
      </c>
      <c r="T66" s="23">
        <f>IF(AND(ISNUMBER(Q66),ISNUMBER(R66),R66&gt;0),Q66/R66,"")</f>
        <v>0.9166666666666666</v>
      </c>
      <c r="U66" s="23">
        <f>IF(AND(D66="MEMBER",ISNUMBER(Q66),ISNUMBER(R66),R66&gt;0),1,0)</f>
        <v>1</v>
      </c>
      <c r="V66" s="23" t="inlineStr">
        <is>
          <t>EV_SRC_SHPN_1404_001_p79</t>
        </is>
      </c>
      <c r="W66" s="23" t="inlineStr">
        <is>
          <t>79/80</t>
        </is>
      </c>
      <c r="X66" s="23" t="inlineStr">
        <is>
          <t>تاییدشده</t>
        </is>
      </c>
      <c r="Y66" s="23" t="inlineStr">
        <is>
          <t>عضویت منقطع؛ خارج از سال ۱۴۰۴؛ حضور از ستون «دفعات حضور در سال مالی گذشته»</t>
        </is>
      </c>
    </row>
    <row r="67" ht="43.5" customHeight="1" s="76">
      <c r="A67" s="25" t="inlineStr">
        <is>
          <t>AC40-شپنا-02</t>
        </is>
      </c>
      <c r="B67" s="25" t="inlineStr">
        <is>
          <t>شپنا</t>
        </is>
      </c>
      <c r="C67" s="25" t="inlineStr">
        <is>
          <t>عضو کمیته</t>
        </is>
      </c>
      <c r="D67" s="25" t="inlineStr">
        <is>
          <t>MEMBER</t>
        </is>
      </c>
      <c r="E67" s="25" t="inlineStr">
        <is>
          <t>احمدرضا اسدی خشویی</t>
        </is>
      </c>
      <c r="F67" s="25" t="n"/>
      <c r="G67" s="25" t="inlineStr">
        <is>
          <t>N</t>
        </is>
      </c>
      <c r="H67" s="25" t="n"/>
      <c r="I67" s="25" t="n"/>
      <c r="J67" s="25" t="inlineStr">
        <is>
          <t>U</t>
        </is>
      </c>
      <c r="K67" s="25" t="inlineStr">
        <is>
          <t>کارشناسی ارشد حسابداری</t>
        </is>
      </c>
      <c r="L67" s="25" t="inlineStr">
        <is>
          <t>ACCT</t>
        </is>
      </c>
      <c r="M67" s="25" t="inlineStr">
        <is>
          <t>عضو هیئت‌مدیره پالایش و پخش؛ رئیس حسابرسی داخلی شرکت ملی پالایش؛ مدیر امور مالی</t>
        </is>
      </c>
      <c r="N67" s="25" t="n">
        <v>1</v>
      </c>
      <c r="O67" s="25" t="inlineStr">
        <is>
          <t>1391/10/16</t>
        </is>
      </c>
      <c r="P67" s="25" t="n"/>
      <c r="Q67" s="25" t="n">
        <v>10</v>
      </c>
      <c r="R67" s="25" t="n">
        <v>12</v>
      </c>
      <c r="S67" s="25" t="inlineStr">
        <is>
          <t>صریح در سند</t>
        </is>
      </c>
      <c r="T67" s="25">
        <f>IF(AND(ISNUMBER(Q67),ISNUMBER(R67),R67&gt;0),Q67/R67,"")</f>
        <v>0.8333333333333334</v>
      </c>
      <c r="U67" s="25">
        <f>IF(AND(D67="MEMBER",ISNUMBER(Q67),ISNUMBER(R67),R67&gt;0),1,0)</f>
        <v>1</v>
      </c>
      <c r="V67" s="25" t="inlineStr">
        <is>
          <t>EV_SRC_SHPN_1404_001_p79</t>
        </is>
      </c>
      <c r="W67" s="25" t="inlineStr">
        <is>
          <t>79/80</t>
        </is>
      </c>
      <c r="X67" s="25" t="inlineStr">
        <is>
          <t>تاییدشده</t>
        </is>
      </c>
      <c r="Y67" s="25" t="n"/>
    </row>
    <row r="68" ht="29" customHeight="1" s="76">
      <c r="A68" s="23" t="inlineStr">
        <is>
          <t>AC40-شپنا-03</t>
        </is>
      </c>
      <c r="B68" s="23" t="inlineStr">
        <is>
          <t>شپنا</t>
        </is>
      </c>
      <c r="C68" s="23" t="inlineStr">
        <is>
          <t>عضو کمیته</t>
        </is>
      </c>
      <c r="D68" s="23" t="inlineStr">
        <is>
          <t>MEMBER</t>
        </is>
      </c>
      <c r="E68" s="23" t="inlineStr">
        <is>
          <t>مصطفی باتقوا</t>
        </is>
      </c>
      <c r="F68" s="23" t="n"/>
      <c r="G68" s="23" t="inlineStr">
        <is>
          <t>N</t>
        </is>
      </c>
      <c r="H68" s="23" t="n"/>
      <c r="I68" s="23" t="n"/>
      <c r="J68" s="23" t="inlineStr">
        <is>
          <t>U</t>
        </is>
      </c>
      <c r="K68" s="23" t="inlineStr">
        <is>
          <t>کارشناسی ارشد حسابداری</t>
        </is>
      </c>
      <c r="L68" s="23" t="inlineStr">
        <is>
          <t>ACCT</t>
        </is>
      </c>
      <c r="M68" s="23" t="inlineStr">
        <is>
          <t>حسابدار رسمی؛ حسابرس مستقل؛ عضو شورای عالی جامعه حسابداران رسمی</t>
        </is>
      </c>
      <c r="N68" s="23" t="n">
        <v>1</v>
      </c>
      <c r="O68" s="23" t="inlineStr">
        <is>
          <t>1397/05/17</t>
        </is>
      </c>
      <c r="P68" s="23" t="n"/>
      <c r="Q68" s="23" t="n">
        <v>12</v>
      </c>
      <c r="R68" s="23" t="n">
        <v>12</v>
      </c>
      <c r="S68" s="23" t="inlineStr">
        <is>
          <t>صریح در سند</t>
        </is>
      </c>
      <c r="T68" s="23">
        <f>IF(AND(ISNUMBER(Q68),ISNUMBER(R68),R68&gt;0),Q68/R68,"")</f>
        <v>1</v>
      </c>
      <c r="U68" s="23">
        <f>IF(AND(D68="MEMBER",ISNUMBER(Q68),ISNUMBER(R68),R68&gt;0),1,0)</f>
        <v>1</v>
      </c>
      <c r="V68" s="23" t="inlineStr">
        <is>
          <t>EV_SRC_SHPN_1404_001_p79</t>
        </is>
      </c>
      <c r="W68" s="23" t="inlineStr">
        <is>
          <t>79/80</t>
        </is>
      </c>
      <c r="X68" s="23" t="inlineStr">
        <is>
          <t>تاییدشده</t>
        </is>
      </c>
      <c r="Y68" s="23" t="n"/>
    </row>
    <row r="69" ht="29" customHeight="1" s="76">
      <c r="A69" s="25" t="inlineStr">
        <is>
          <t>AC40-شپنا-04</t>
        </is>
      </c>
      <c r="B69" s="25" t="inlineStr">
        <is>
          <t>شپنا</t>
        </is>
      </c>
      <c r="C69" s="25" t="inlineStr">
        <is>
          <t>عضو کمیته</t>
        </is>
      </c>
      <c r="D69" s="25" t="inlineStr">
        <is>
          <t>MEMBER</t>
        </is>
      </c>
      <c r="E69" s="25" t="inlineStr">
        <is>
          <t>مسعود بهزادپور</t>
        </is>
      </c>
      <c r="F69" s="25" t="n"/>
      <c r="G69" s="25" t="inlineStr">
        <is>
          <t>N</t>
        </is>
      </c>
      <c r="H69" s="25" t="n"/>
      <c r="I69" s="25" t="n"/>
      <c r="J69" s="25" t="inlineStr">
        <is>
          <t>U</t>
        </is>
      </c>
      <c r="K69" s="25" t="inlineStr">
        <is>
          <t>کارشناسی ارشد حسابداری</t>
        </is>
      </c>
      <c r="L69" s="25" t="inlineStr">
        <is>
          <t>ACCT</t>
        </is>
      </c>
      <c r="M69" s="25" t="inlineStr">
        <is>
          <t>معاون مالی و اداری شرکت سرمایه‌گذاری صنایع پتروشیمی؛ معاون مالی</t>
        </is>
      </c>
      <c r="N69" s="25" t="n">
        <v>1</v>
      </c>
      <c r="O69" s="25" t="inlineStr">
        <is>
          <t>1398/05/09</t>
        </is>
      </c>
      <c r="P69" s="25" t="n"/>
      <c r="Q69" s="25" t="n">
        <v>11</v>
      </c>
      <c r="R69" s="25" t="n">
        <v>12</v>
      </c>
      <c r="S69" s="25" t="inlineStr">
        <is>
          <t>صریح در سند</t>
        </is>
      </c>
      <c r="T69" s="25">
        <f>IF(AND(ISNUMBER(Q69),ISNUMBER(R69),R69&gt;0),Q69/R69,"")</f>
        <v>0.9166666666666666</v>
      </c>
      <c r="U69" s="25">
        <f>IF(AND(D69="MEMBER",ISNUMBER(Q69),ISNUMBER(R69),R69&gt;0),1,0)</f>
        <v>1</v>
      </c>
      <c r="V69" s="25" t="inlineStr">
        <is>
          <t>EV_SRC_SHPN_1404_001_p79</t>
        </is>
      </c>
      <c r="W69" s="25" t="inlineStr">
        <is>
          <t>79/80</t>
        </is>
      </c>
      <c r="X69" s="25" t="inlineStr">
        <is>
          <t>تاییدشده</t>
        </is>
      </c>
      <c r="Y69" s="25" t="n"/>
    </row>
    <row r="70" ht="29" customHeight="1" s="76">
      <c r="A70" s="23" t="inlineStr">
        <is>
          <t>AC40-شپنا-05</t>
        </is>
      </c>
      <c r="B70" s="23" t="inlineStr">
        <is>
          <t>شپنا</t>
        </is>
      </c>
      <c r="C70" s="23" t="inlineStr">
        <is>
          <t>عضو کمیته</t>
        </is>
      </c>
      <c r="D70" s="23" t="inlineStr">
        <is>
          <t>MEMBER</t>
        </is>
      </c>
      <c r="E70" s="23" t="inlineStr">
        <is>
          <t>سعید محمدی</t>
        </is>
      </c>
      <c r="F70" s="23" t="n"/>
      <c r="G70" s="23" t="inlineStr">
        <is>
          <t>N</t>
        </is>
      </c>
      <c r="H70" s="23" t="n"/>
      <c r="I70" s="23" t="n"/>
      <c r="J70" s="23" t="inlineStr">
        <is>
          <t>U</t>
        </is>
      </c>
      <c r="K70" s="23" t="inlineStr">
        <is>
          <t>دانشجوی دکترا مهندسی مالی</t>
        </is>
      </c>
      <c r="L70" s="23" t="inlineStr">
        <is>
          <t>FIN</t>
        </is>
      </c>
      <c r="M70" s="23" t="inlineStr">
        <is>
          <t>مهندسی مالی؛ رئیس هیئت‌مدیره رفاه پردیس؛ معاون سرمایه‌گذاری</t>
        </is>
      </c>
      <c r="N70" s="23" t="n">
        <v>1</v>
      </c>
      <c r="O70" s="23" t="inlineStr">
        <is>
          <t>1401/04/16</t>
        </is>
      </c>
      <c r="P70" s="23" t="n"/>
      <c r="Q70" s="23" t="n">
        <v>12</v>
      </c>
      <c r="R70" s="23" t="n">
        <v>12</v>
      </c>
      <c r="S70" s="23" t="inlineStr">
        <is>
          <t>صریح در سند</t>
        </is>
      </c>
      <c r="T70" s="23">
        <f>IF(AND(ISNUMBER(Q70),ISNUMBER(R70),R70&gt;0),Q70/R70,"")</f>
        <v>1</v>
      </c>
      <c r="U70" s="23">
        <f>IF(AND(D70="MEMBER",ISNUMBER(Q70),ISNUMBER(R70),R70&gt;0),1,0)</f>
        <v>1</v>
      </c>
      <c r="V70" s="23" t="inlineStr">
        <is>
          <t>EV_SRC_SHPN_1404_001_p79</t>
        </is>
      </c>
      <c r="W70" s="23" t="inlineStr">
        <is>
          <t>79/80</t>
        </is>
      </c>
      <c r="X70" s="23" t="inlineStr">
        <is>
          <t>تاییدشده</t>
        </is>
      </c>
      <c r="Y70" s="23" t="n"/>
    </row>
    <row r="71" ht="29" customHeight="1" s="76">
      <c r="A71" s="25" t="inlineStr">
        <is>
          <t>AC40-وغدیر-01</t>
        </is>
      </c>
      <c r="B71" s="25" t="inlineStr">
        <is>
          <t>وغدیر</t>
        </is>
      </c>
      <c r="C71" s="25" t="inlineStr">
        <is>
          <t>رئیس کمیته</t>
        </is>
      </c>
      <c r="D71" s="25" t="inlineStr">
        <is>
          <t>MEMBER</t>
        </is>
      </c>
      <c r="E71" s="25" t="inlineStr">
        <is>
          <t>علی‌اکبر مصطفی‌پور</t>
        </is>
      </c>
      <c r="F71" s="25" t="inlineStr">
        <is>
          <t>عضو غیرموظف هیئت‌مدیره (نماینده صندوق بازنشستگی)</t>
        </is>
      </c>
      <c r="G71" s="25" t="inlineStr">
        <is>
          <t>Y</t>
        </is>
      </c>
      <c r="H71" s="25" t="inlineStr">
        <is>
          <t>غیرموظف هیئت‌مدیره: بله</t>
        </is>
      </c>
      <c r="I71" s="25" t="inlineStr">
        <is>
          <t>عضو مستقل: خیر</t>
        </is>
      </c>
      <c r="J71" s="25" t="inlineStr">
        <is>
          <t>N</t>
        </is>
      </c>
      <c r="K71" s="25" t="inlineStr">
        <is>
          <t>دکتری حسابداری</t>
        </is>
      </c>
      <c r="L71" s="25" t="inlineStr">
        <is>
          <t>ACCT</t>
        </is>
      </c>
      <c r="M71" s="25" t="inlineStr">
        <is>
          <t>ستون عضو مالی: بله؛ معاون مالی و اداری صندوق بازنشستگی</t>
        </is>
      </c>
      <c r="N71" s="25" t="n">
        <v>1</v>
      </c>
      <c r="O71" s="25" t="inlineStr">
        <is>
          <t>1404/01/25</t>
        </is>
      </c>
      <c r="P71" s="25" t="n"/>
      <c r="Q71" s="25" t="n"/>
      <c r="R71" s="25" t="n"/>
      <c r="S71" s="25" t="n"/>
      <c r="T71" s="25">
        <f>IF(AND(ISNUMBER(Q71),ISNUMBER(R71),R71&gt;0),Q71/R71,"")</f>
      </c>
      <c r="U71" s="25">
        <f>IF(AND(D71="MEMBER",ISNUMBER(Q71),ISNUMBER(R71),R71&gt;0),1,0)</f>
        <v>0</v>
      </c>
      <c r="V71" s="25" t="inlineStr">
        <is>
          <t>EV_SRC_VGHD_1404_001_p34</t>
        </is>
      </c>
      <c r="W71" s="25" t="inlineStr">
        <is>
          <t>34</t>
        </is>
      </c>
      <c r="X71" s="25" t="inlineStr">
        <is>
          <t>تاییدشده</t>
        </is>
      </c>
      <c r="Y71" s="25" t="n"/>
    </row>
    <row r="72" ht="29" customHeight="1" s="76">
      <c r="A72" s="23" t="inlineStr">
        <is>
          <t>AC40-وغدیر-02</t>
        </is>
      </c>
      <c r="B72" s="23" t="inlineStr">
        <is>
          <t>وغدیر</t>
        </is>
      </c>
      <c r="C72" s="23" t="inlineStr">
        <is>
          <t>عضو کمیته</t>
        </is>
      </c>
      <c r="D72" s="23" t="inlineStr">
        <is>
          <t>MEMBER</t>
        </is>
      </c>
      <c r="E72" s="23" t="inlineStr">
        <is>
          <t>رضا نظری</t>
        </is>
      </c>
      <c r="F72" s="23" t="n"/>
      <c r="G72" s="23" t="inlineStr">
        <is>
          <t>N</t>
        </is>
      </c>
      <c r="H72" s="23" t="inlineStr">
        <is>
          <t>غیرموظف هیئت‌مدیره: خیر</t>
        </is>
      </c>
      <c r="I72" s="23" t="inlineStr">
        <is>
          <t>عضو مستقل: بله</t>
        </is>
      </c>
      <c r="J72" s="23" t="inlineStr">
        <is>
          <t>Y</t>
        </is>
      </c>
      <c r="K72" s="23" t="inlineStr">
        <is>
          <t>دکتری مدیریت بازرگانی</t>
        </is>
      </c>
      <c r="L72" s="23" t="inlineStr">
        <is>
          <t>FIN_EXP</t>
        </is>
      </c>
      <c r="M72" s="23" t="inlineStr">
        <is>
          <t>ستون عضو مالی: بله؛ حسابرس داخلی شرکت‌های نفتی؛ مدیر مالی</t>
        </is>
      </c>
      <c r="N72" s="23" t="n">
        <v>1</v>
      </c>
      <c r="O72" s="23" t="inlineStr">
        <is>
          <t>1396/11/30</t>
        </is>
      </c>
      <c r="P72" s="23" t="n"/>
      <c r="Q72" s="23" t="n"/>
      <c r="R72" s="23" t="n"/>
      <c r="S72" s="23" t="n"/>
      <c r="T72" s="23">
        <f>IF(AND(ISNUMBER(Q72),ISNUMBER(R72),R72&gt;0),Q72/R72,"")</f>
      </c>
      <c r="U72" s="23">
        <f>IF(AND(D72="MEMBER",ISNUMBER(Q72),ISNUMBER(R72),R72&gt;0),1,0)</f>
        <v>0</v>
      </c>
      <c r="V72" s="23" t="inlineStr">
        <is>
          <t>EV_SRC_VGHD_1404_001_p34</t>
        </is>
      </c>
      <c r="W72" s="23" t="inlineStr">
        <is>
          <t>34</t>
        </is>
      </c>
      <c r="X72" s="23" t="inlineStr">
        <is>
          <t>تاییدشده</t>
        </is>
      </c>
      <c r="Y72" s="23" t="n"/>
    </row>
    <row r="73" ht="29" customHeight="1" s="76">
      <c r="A73" s="25" t="inlineStr">
        <is>
          <t>AC40-وغدیر-03</t>
        </is>
      </c>
      <c r="B73" s="25" t="inlineStr">
        <is>
          <t>وغدیر</t>
        </is>
      </c>
      <c r="C73" s="25" t="inlineStr">
        <is>
          <t>عضو کمیته</t>
        </is>
      </c>
      <c r="D73" s="25" t="inlineStr">
        <is>
          <t>MEMBER</t>
        </is>
      </c>
      <c r="E73" s="25" t="inlineStr">
        <is>
          <t>کامران پورمحمدی</t>
        </is>
      </c>
      <c r="F73" s="25" t="n"/>
      <c r="G73" s="25" t="inlineStr">
        <is>
          <t>N</t>
        </is>
      </c>
      <c r="H73" s="25" t="inlineStr">
        <is>
          <t>غیرموظف هیئت‌مدیره: خیر</t>
        </is>
      </c>
      <c r="I73" s="25" t="inlineStr">
        <is>
          <t>عضو مستقل: بله</t>
        </is>
      </c>
      <c r="J73" s="25" t="inlineStr">
        <is>
          <t>Y</t>
        </is>
      </c>
      <c r="K73" s="25" t="inlineStr">
        <is>
          <t>دکتری اقتصاد</t>
        </is>
      </c>
      <c r="L73" s="25" t="inlineStr">
        <is>
          <t>ECON</t>
        </is>
      </c>
      <c r="M73" s="25" t="inlineStr">
        <is>
          <t>ستون عضو مالی: بله (برچسب منبع)؛ رشته اقتصاد</t>
        </is>
      </c>
      <c r="N73" s="25" t="n">
        <v>1</v>
      </c>
      <c r="O73" s="25" t="inlineStr">
        <is>
          <t>1402/07/23</t>
        </is>
      </c>
      <c r="P73" s="25" t="n"/>
      <c r="Q73" s="25" t="n"/>
      <c r="R73" s="25" t="n"/>
      <c r="S73" s="25" t="n"/>
      <c r="T73" s="25">
        <f>IF(AND(ISNUMBER(Q73),ISNUMBER(R73),R73&gt;0),Q73/R73,"")</f>
      </c>
      <c r="U73" s="25">
        <f>IF(AND(D73="MEMBER",ISNUMBER(Q73),ISNUMBER(R73),R73&gt;0),1,0)</f>
        <v>0</v>
      </c>
      <c r="V73" s="25" t="inlineStr">
        <is>
          <t>EV_SRC_VGHD_1404_001_p34</t>
        </is>
      </c>
      <c r="W73" s="25" t="inlineStr">
        <is>
          <t>34</t>
        </is>
      </c>
      <c r="X73" s="25" t="inlineStr">
        <is>
          <t>تاییدشده</t>
        </is>
      </c>
      <c r="Y73" s="25" t="n"/>
    </row>
    <row r="74" ht="29" customHeight="1" s="76">
      <c r="A74" s="23" t="inlineStr">
        <is>
          <t>AC40-وغدیر-04</t>
        </is>
      </c>
      <c r="B74" s="23" t="inlineStr">
        <is>
          <t>وغدیر</t>
        </is>
      </c>
      <c r="C74" s="23" t="inlineStr">
        <is>
          <t>عضو کمیته</t>
        </is>
      </c>
      <c r="D74" s="23" t="inlineStr">
        <is>
          <t>MEMBER</t>
        </is>
      </c>
      <c r="E74" s="23" t="inlineStr">
        <is>
          <t>مهدی بیرانوند</t>
        </is>
      </c>
      <c r="F74" s="23" t="n"/>
      <c r="G74" s="23" t="inlineStr">
        <is>
          <t>N</t>
        </is>
      </c>
      <c r="H74" s="23" t="inlineStr">
        <is>
          <t>غیرموظف هیئت‌مدیره: خیر</t>
        </is>
      </c>
      <c r="I74" s="23" t="inlineStr">
        <is>
          <t>عضو مستقل: بله</t>
        </is>
      </c>
      <c r="J74" s="23" t="inlineStr">
        <is>
          <t>Y</t>
        </is>
      </c>
      <c r="K74" s="23" t="inlineStr">
        <is>
          <t>دکتری حسابداری</t>
        </is>
      </c>
      <c r="L74" s="23" t="inlineStr">
        <is>
          <t>ACCT</t>
        </is>
      </c>
      <c r="M74" s="23" t="inlineStr">
        <is>
          <t>ستون عضو مالی: بله؛ عضو جامعه حسابداران رسمی</t>
        </is>
      </c>
      <c r="N74" s="23" t="n">
        <v>1</v>
      </c>
      <c r="O74" s="23" t="inlineStr">
        <is>
          <t>1404/02/08</t>
        </is>
      </c>
      <c r="P74" s="23" t="n"/>
      <c r="Q74" s="23" t="n"/>
      <c r="R74" s="23" t="n"/>
      <c r="S74" s="23" t="n"/>
      <c r="T74" s="23">
        <f>IF(AND(ISNUMBER(Q74),ISNUMBER(R74),R74&gt;0),Q74/R74,"")</f>
      </c>
      <c r="U74" s="23">
        <f>IF(AND(D74="MEMBER",ISNUMBER(Q74),ISNUMBER(R74),R74&gt;0),1,0)</f>
        <v>0</v>
      </c>
      <c r="V74" s="23" t="inlineStr">
        <is>
          <t>EV_SRC_VGHD_1404_001_p34</t>
        </is>
      </c>
      <c r="W74" s="23" t="inlineStr">
        <is>
          <t>34</t>
        </is>
      </c>
      <c r="X74" s="23" t="inlineStr">
        <is>
          <t>تاییدشده</t>
        </is>
      </c>
      <c r="Y74" s="23" t="n"/>
    </row>
    <row r="75" ht="29" customHeight="1" s="76">
      <c r="A75" s="25" t="inlineStr">
        <is>
          <t>AC40-وغدیر-05</t>
        </is>
      </c>
      <c r="B75" s="25" t="inlineStr">
        <is>
          <t>وغدیر</t>
        </is>
      </c>
      <c r="C75" s="25" t="inlineStr">
        <is>
          <t>عضو کمیته</t>
        </is>
      </c>
      <c r="D75" s="25" t="inlineStr">
        <is>
          <t>POST_ASOF</t>
        </is>
      </c>
      <c r="E75" s="25" t="inlineStr">
        <is>
          <t>عباس مهرور</t>
        </is>
      </c>
      <c r="F75" s="25" t="n"/>
      <c r="G75" s="25" t="inlineStr">
        <is>
          <t>N</t>
        </is>
      </c>
      <c r="H75" s="25" t="inlineStr">
        <is>
          <t>غیرموظف هیئت‌مدیره: خیر</t>
        </is>
      </c>
      <c r="I75" s="25" t="inlineStr">
        <is>
          <t>عضو مستقل: بله</t>
        </is>
      </c>
      <c r="J75" s="25" t="inlineStr">
        <is>
          <t>Y</t>
        </is>
      </c>
      <c r="K75" s="25" t="inlineStr">
        <is>
          <t>دانشجوی دکتری حسابداری</t>
        </is>
      </c>
      <c r="L75" s="25" t="inlineStr">
        <is>
          <t>ACCT</t>
        </is>
      </c>
      <c r="M75" s="25" t="inlineStr">
        <is>
          <t>ستون عضو مالی: بله؛ معاون مالی و بودجه سازمان صنایع</t>
        </is>
      </c>
      <c r="N75" s="25" t="n">
        <v>1</v>
      </c>
      <c r="O75" s="25" t="inlineStr">
        <is>
          <t>1404/10/23</t>
        </is>
      </c>
      <c r="P75" s="25" t="n"/>
      <c r="Q75" s="25" t="n"/>
      <c r="R75" s="25" t="n"/>
      <c r="S75" s="25" t="n"/>
      <c r="T75" s="25">
        <f>IF(AND(ISNUMBER(Q75),ISNUMBER(R75),R75&gt;0),Q75/R75,"")</f>
      </c>
      <c r="U75" s="25">
        <f>IF(AND(D75="MEMBER",ISNUMBER(Q75),ISNUMBER(R75),R75&gt;0),1,0)</f>
        <v>0</v>
      </c>
      <c r="V75" s="25" t="inlineStr">
        <is>
          <t>EV_SRC_VGHD_1404_001_p34</t>
        </is>
      </c>
      <c r="W75" s="25" t="inlineStr">
        <is>
          <t>34</t>
        </is>
      </c>
      <c r="X75" s="25" t="inlineStr">
        <is>
          <t>تاییدشده (پس از مقطع)</t>
        </is>
      </c>
      <c r="Y75" s="25" t="inlineStr">
        <is>
          <t>تاریخ عضویت پس از پایان دوره ۱۴۰۴/۰۹/۳۰</t>
        </is>
      </c>
    </row>
    <row r="76" ht="29" customHeight="1" s="76">
      <c r="A76" s="23" t="inlineStr">
        <is>
          <t>AC40-نوری-01</t>
        </is>
      </c>
      <c r="B76" s="23" t="inlineStr">
        <is>
          <t>نوری</t>
        </is>
      </c>
      <c r="C76" s="23" t="inlineStr">
        <is>
          <t>رئیس کمیته</t>
        </is>
      </c>
      <c r="D76" s="23" t="inlineStr">
        <is>
          <t>MEMBER</t>
        </is>
      </c>
      <c r="E76" s="23" t="inlineStr">
        <is>
          <t>فریدون امیری</t>
        </is>
      </c>
      <c r="F76" s="23" t="inlineStr">
        <is>
          <t>عضو غیرموظف هیئت‌مدیره</t>
        </is>
      </c>
      <c r="G76" s="23" t="inlineStr">
        <is>
          <t>Y</t>
        </is>
      </c>
      <c r="H76" s="23" t="inlineStr">
        <is>
          <t>عضو غیرموظف هیئت‌مدیره: بله</t>
        </is>
      </c>
      <c r="I76" s="23" t="n"/>
      <c r="J76" s="23" t="inlineStr">
        <is>
          <t>U</t>
        </is>
      </c>
      <c r="K76" s="23" t="inlineStr">
        <is>
          <t>کارشناسی ارشد مدیریت مالی</t>
        </is>
      </c>
      <c r="L76" s="23" t="inlineStr">
        <is>
          <t>FIN</t>
        </is>
      </c>
      <c r="M76" s="23" t="inlineStr">
        <is>
          <t>رشته مدیریت مالی؛ مدیر مالی و روابط با سرمایه‌گذاران پتروشیمی پارس</t>
        </is>
      </c>
      <c r="N76" s="23" t="n">
        <v>1</v>
      </c>
      <c r="O76" s="23" t="inlineStr">
        <is>
          <t>1404/08/25</t>
        </is>
      </c>
      <c r="P76" s="23" t="n"/>
      <c r="Q76" s="23" t="n"/>
      <c r="R76" s="23" t="n"/>
      <c r="S76" s="23" t="n"/>
      <c r="T76" s="23">
        <f>IF(AND(ISNUMBER(Q76),ISNUMBER(R76),R76&gt;0),Q76/R76,"")</f>
      </c>
      <c r="U76" s="23">
        <f>IF(AND(D76="MEMBER",ISNUMBER(Q76),ISNUMBER(R76),R76&gt;0),1,0)</f>
        <v>0</v>
      </c>
      <c r="V76" s="23" t="inlineStr">
        <is>
          <t>EV_SRC_NOOR_1404_007_p43</t>
        </is>
      </c>
      <c r="W76" s="23" t="inlineStr">
        <is>
          <t>43</t>
        </is>
      </c>
      <c r="X76" s="23" t="inlineStr">
        <is>
          <t>تاییدشده</t>
        </is>
      </c>
      <c r="Y76" s="23" t="n"/>
    </row>
    <row r="77" ht="29" customHeight="1" s="76">
      <c r="A77" s="25" t="inlineStr">
        <is>
          <t>AC40-نوری-02</t>
        </is>
      </c>
      <c r="B77" s="25" t="inlineStr">
        <is>
          <t>نوری</t>
        </is>
      </c>
      <c r="C77" s="25" t="inlineStr">
        <is>
          <t>عضو کمیته</t>
        </is>
      </c>
      <c r="D77" s="25" t="inlineStr">
        <is>
          <t>MEMBER</t>
        </is>
      </c>
      <c r="E77" s="25" t="inlineStr">
        <is>
          <t>محمدرضا پاشایی</t>
        </is>
      </c>
      <c r="F77" s="25" t="n"/>
      <c r="G77" s="25" t="inlineStr">
        <is>
          <t>N</t>
        </is>
      </c>
      <c r="H77" s="25" t="inlineStr">
        <is>
          <t>عضو غیرموظف هیئت‌مدیره: خیر</t>
        </is>
      </c>
      <c r="I77" s="25" t="n"/>
      <c r="J77" s="25" t="inlineStr">
        <is>
          <t>U</t>
        </is>
      </c>
      <c r="K77" s="25" t="inlineStr">
        <is>
          <t>کارشناسی مدیریت بازرگانی</t>
        </is>
      </c>
      <c r="L77" s="25" t="inlineStr">
        <is>
          <t>FIN_EXP</t>
        </is>
      </c>
      <c r="M77" s="25" t="inlineStr">
        <is>
          <t>معاون مالی هلدینگ تاپیکو؛ مدیرعامل نیروگاه</t>
        </is>
      </c>
      <c r="N77" s="25" t="n">
        <v>1</v>
      </c>
      <c r="O77" s="25" t="inlineStr">
        <is>
          <t>1399/01/26</t>
        </is>
      </c>
      <c r="P77" s="25" t="n"/>
      <c r="Q77" s="25" t="n"/>
      <c r="R77" s="25" t="n"/>
      <c r="S77" s="25" t="n"/>
      <c r="T77" s="25">
        <f>IF(AND(ISNUMBER(Q77),ISNUMBER(R77),R77&gt;0),Q77/R77,"")</f>
      </c>
      <c r="U77" s="25">
        <f>IF(AND(D77="MEMBER",ISNUMBER(Q77),ISNUMBER(R77),R77&gt;0),1,0)</f>
        <v>0</v>
      </c>
      <c r="V77" s="25" t="inlineStr">
        <is>
          <t>EV_SRC_NOOR_1404_007_p43</t>
        </is>
      </c>
      <c r="W77" s="25" t="inlineStr">
        <is>
          <t>43</t>
        </is>
      </c>
      <c r="X77" s="25" t="inlineStr">
        <is>
          <t>تاییدشده</t>
        </is>
      </c>
      <c r="Y77" s="25" t="n"/>
    </row>
    <row r="78" ht="29" customHeight="1" s="76">
      <c r="A78" s="23" t="inlineStr">
        <is>
          <t>AC40-نوری-03</t>
        </is>
      </c>
      <c r="B78" s="23" t="inlineStr">
        <is>
          <t>نوری</t>
        </is>
      </c>
      <c r="C78" s="23" t="inlineStr">
        <is>
          <t>عضو کمیته</t>
        </is>
      </c>
      <c r="D78" s="23" t="inlineStr">
        <is>
          <t>MEMBER</t>
        </is>
      </c>
      <c r="E78" s="23" t="inlineStr">
        <is>
          <t>بهرام شیرزاد</t>
        </is>
      </c>
      <c r="F78" s="23" t="n"/>
      <c r="G78" s="23" t="inlineStr">
        <is>
          <t>N</t>
        </is>
      </c>
      <c r="H78" s="23" t="inlineStr">
        <is>
          <t>عضو غیرموظف هیئت‌مدیره: خیر</t>
        </is>
      </c>
      <c r="I78" s="23" t="n"/>
      <c r="J78" s="23" t="inlineStr">
        <is>
          <t>U</t>
        </is>
      </c>
      <c r="K78" s="23" t="inlineStr">
        <is>
          <t>دکتری حسابداری</t>
        </is>
      </c>
      <c r="L78" s="23" t="inlineStr">
        <is>
          <t>ACCT</t>
        </is>
      </c>
      <c r="M78" s="23" t="inlineStr">
        <is>
          <t>مدیر فنی سازمان حسابرسی؛ حسابرس رسمی</t>
        </is>
      </c>
      <c r="N78" s="23" t="n">
        <v>1</v>
      </c>
      <c r="O78" s="23" t="inlineStr">
        <is>
          <t>1404/05/26</t>
        </is>
      </c>
      <c r="P78" s="23" t="n"/>
      <c r="Q78" s="23" t="n"/>
      <c r="R78" s="23" t="n"/>
      <c r="S78" s="23" t="n"/>
      <c r="T78" s="23">
        <f>IF(AND(ISNUMBER(Q78),ISNUMBER(R78),R78&gt;0),Q78/R78,"")</f>
      </c>
      <c r="U78" s="23">
        <f>IF(AND(D78="MEMBER",ISNUMBER(Q78),ISNUMBER(R78),R78&gt;0),1,0)</f>
        <v>0</v>
      </c>
      <c r="V78" s="23" t="inlineStr">
        <is>
          <t>EV_SRC_NOOR_1404_007_p43</t>
        </is>
      </c>
      <c r="W78" s="23" t="inlineStr">
        <is>
          <t>43</t>
        </is>
      </c>
      <c r="X78" s="23" t="inlineStr">
        <is>
          <t>تاییدشده</t>
        </is>
      </c>
      <c r="Y78" s="23" t="n"/>
    </row>
    <row r="79" ht="20" customHeight="1" s="76">
      <c r="A79" s="25" t="inlineStr">
        <is>
          <t>AC40-فولاد-01</t>
        </is>
      </c>
      <c r="B79" s="25" t="inlineStr">
        <is>
          <t>فولاد</t>
        </is>
      </c>
      <c r="C79" s="25" t="inlineStr">
        <is>
          <t>رئیس</t>
        </is>
      </c>
      <c r="D79" s="25" t="inlineStr">
        <is>
          <t>MEMBER</t>
        </is>
      </c>
      <c r="E79" s="25" t="inlineStr">
        <is>
          <t>علی افشین</t>
        </is>
      </c>
      <c r="F79" s="25" t="inlineStr">
        <is>
          <t>عضو هیئت‌مدیره (v22)</t>
        </is>
      </c>
      <c r="G79" s="25" t="inlineStr">
        <is>
          <t>Y</t>
        </is>
      </c>
      <c r="H79" s="25" t="n"/>
      <c r="I79" s="25" t="n"/>
      <c r="J79" s="25" t="inlineStr">
        <is>
          <t>U</t>
        </is>
      </c>
      <c r="K79" s="25" t="inlineStr">
        <is>
          <t>کارشناسی MBA</t>
        </is>
      </c>
      <c r="L79" s="25" t="inlineStr">
        <is>
          <t>NONE_EVID</t>
        </is>
      </c>
      <c r="M79" s="25" t="inlineStr">
        <is>
          <t>سندیکای آلومینیوم ایران</t>
        </is>
      </c>
      <c r="N79" s="25" t="n">
        <v>0</v>
      </c>
      <c r="O79" s="25" t="inlineStr">
        <is>
          <t>1402/09/27</t>
        </is>
      </c>
      <c r="P79" s="25" t="n"/>
      <c r="Q79" s="25" t="n">
        <v>22</v>
      </c>
      <c r="R79" s="25" t="n">
        <v>22</v>
      </c>
      <c r="S79" s="25" t="inlineStr">
        <is>
          <t>صریح در سند</t>
        </is>
      </c>
      <c r="T79" s="25">
        <f>IF(AND(ISNUMBER(Q79),ISNUMBER(R79),R79&gt;0),Q79/R79,"")</f>
        <v>1</v>
      </c>
      <c r="U79" s="25">
        <f>IF(AND(D79="MEMBER",ISNUMBER(Q79),ISNUMBER(R79),R79&gt;0),1,0)</f>
        <v>1</v>
      </c>
      <c r="V79" s="25" t="inlineStr">
        <is>
          <t>EV_SRC_FOLD_1404_002_p34</t>
        </is>
      </c>
      <c r="W79" s="25" t="inlineStr">
        <is>
          <t>34</t>
        </is>
      </c>
      <c r="X79" s="25" t="inlineStr">
        <is>
          <t>تاییدشده</t>
        </is>
      </c>
      <c r="Y79" s="25" t="n"/>
    </row>
    <row r="80" ht="20" customHeight="1" s="76">
      <c r="A80" s="23" t="inlineStr">
        <is>
          <t>AC40-فولاد-02</t>
        </is>
      </c>
      <c r="B80" s="23" t="inlineStr">
        <is>
          <t>فولاد</t>
        </is>
      </c>
      <c r="C80" s="23" t="inlineStr">
        <is>
          <t>عضو</t>
        </is>
      </c>
      <c r="D80" s="23" t="inlineStr">
        <is>
          <t>MEMBER</t>
        </is>
      </c>
      <c r="E80" s="23" t="inlineStr">
        <is>
          <t>شاپور محمدی</t>
        </is>
      </c>
      <c r="F80" s="23" t="n"/>
      <c r="G80" s="23" t="inlineStr">
        <is>
          <t>N</t>
        </is>
      </c>
      <c r="H80" s="23" t="n"/>
      <c r="I80" s="23" t="n"/>
      <c r="J80" s="23" t="inlineStr">
        <is>
          <t>U</t>
        </is>
      </c>
      <c r="K80" s="23" t="inlineStr">
        <is>
          <t>دکترای اقتصاد</t>
        </is>
      </c>
      <c r="L80" s="23" t="inlineStr">
        <is>
          <t>ECON</t>
        </is>
      </c>
      <c r="M80" s="23" t="inlineStr">
        <is>
          <t>فقط رشته اقتصاد</t>
        </is>
      </c>
      <c r="N80" s="23" t="n">
        <v>0</v>
      </c>
      <c r="O80" s="23" t="inlineStr">
        <is>
          <t>1402/09/27</t>
        </is>
      </c>
      <c r="P80" s="23" t="n"/>
      <c r="Q80" s="23" t="n">
        <v>22</v>
      </c>
      <c r="R80" s="23" t="n">
        <v>22</v>
      </c>
      <c r="S80" s="23" t="inlineStr">
        <is>
          <t>صریح در سند</t>
        </is>
      </c>
      <c r="T80" s="23">
        <f>IF(AND(ISNUMBER(Q80),ISNUMBER(R80),R80&gt;0),Q80/R80,"")</f>
        <v>1</v>
      </c>
      <c r="U80" s="23">
        <f>IF(AND(D80="MEMBER",ISNUMBER(Q80),ISNUMBER(R80),R80&gt;0),1,0)</f>
        <v>1</v>
      </c>
      <c r="V80" s="23" t="inlineStr">
        <is>
          <t>EV_SRC_FOLD_1404_002_p34</t>
        </is>
      </c>
      <c r="W80" s="23" t="inlineStr">
        <is>
          <t>34</t>
        </is>
      </c>
      <c r="X80" s="23" t="inlineStr">
        <is>
          <t>تاییدشده</t>
        </is>
      </c>
      <c r="Y80" s="23" t="n"/>
    </row>
    <row r="81" ht="20" customHeight="1" s="76">
      <c r="A81" s="25" t="inlineStr">
        <is>
          <t>AC40-فولاد-03</t>
        </is>
      </c>
      <c r="B81" s="25" t="inlineStr">
        <is>
          <t>فولاد</t>
        </is>
      </c>
      <c r="C81" s="25" t="inlineStr">
        <is>
          <t>عضو</t>
        </is>
      </c>
      <c r="D81" s="25" t="inlineStr">
        <is>
          <t>MEMBER</t>
        </is>
      </c>
      <c r="E81" s="25" t="inlineStr">
        <is>
          <t>امیرحسین ابطحی</t>
        </is>
      </c>
      <c r="F81" s="25" t="n"/>
      <c r="G81" s="25" t="inlineStr">
        <is>
          <t>N</t>
        </is>
      </c>
      <c r="H81" s="25" t="n"/>
      <c r="I81" s="25" t="n"/>
      <c r="J81" s="25" t="inlineStr">
        <is>
          <t>U</t>
        </is>
      </c>
      <c r="K81" s="25" t="inlineStr">
        <is>
          <t>دکترای حسابداری</t>
        </is>
      </c>
      <c r="L81" s="25" t="inlineStr">
        <is>
          <t>ACCT</t>
        </is>
      </c>
      <c r="M81" s="25" t="inlineStr">
        <is>
          <t>رشته حسابداری</t>
        </is>
      </c>
      <c r="N81" s="25" t="n">
        <v>1</v>
      </c>
      <c r="O81" s="25" t="inlineStr">
        <is>
          <t>1401/06/09</t>
        </is>
      </c>
      <c r="P81" s="25" t="n"/>
      <c r="Q81" s="25" t="n">
        <v>22</v>
      </c>
      <c r="R81" s="25" t="n">
        <v>22</v>
      </c>
      <c r="S81" s="25" t="inlineStr">
        <is>
          <t>صریح در سند</t>
        </is>
      </c>
      <c r="T81" s="25">
        <f>IF(AND(ISNUMBER(Q81),ISNUMBER(R81),R81&gt;0),Q81/R81,"")</f>
        <v>1</v>
      </c>
      <c r="U81" s="25">
        <f>IF(AND(D81="MEMBER",ISNUMBER(Q81),ISNUMBER(R81),R81&gt;0),1,0)</f>
        <v>1</v>
      </c>
      <c r="V81" s="25" t="inlineStr">
        <is>
          <t>EV_SRC_FOLD_1404_002_p34</t>
        </is>
      </c>
      <c r="W81" s="25" t="inlineStr">
        <is>
          <t>34</t>
        </is>
      </c>
      <c r="X81" s="25" t="inlineStr">
        <is>
          <t>تاییدشده</t>
        </is>
      </c>
      <c r="Y81" s="25" t="n"/>
    </row>
    <row r="82" ht="20" customHeight="1" s="76">
      <c r="A82" s="23" t="inlineStr">
        <is>
          <t>AC40-فولاد-04</t>
        </is>
      </c>
      <c r="B82" s="23" t="inlineStr">
        <is>
          <t>فولاد</t>
        </is>
      </c>
      <c r="C82" s="23" t="inlineStr">
        <is>
          <t>عضو</t>
        </is>
      </c>
      <c r="D82" s="23" t="inlineStr">
        <is>
          <t>MEMBER</t>
        </is>
      </c>
      <c r="E82" s="23" t="inlineStr">
        <is>
          <t>حسن فرج‌زاده</t>
        </is>
      </c>
      <c r="F82" s="23" t="n"/>
      <c r="G82" s="23" t="inlineStr">
        <is>
          <t>N</t>
        </is>
      </c>
      <c r="H82" s="23" t="n"/>
      <c r="I82" s="23" t="n"/>
      <c r="J82" s="23" t="inlineStr">
        <is>
          <t>U</t>
        </is>
      </c>
      <c r="K82" s="23" t="inlineStr">
        <is>
          <t>دکترای حسابداری</t>
        </is>
      </c>
      <c r="L82" s="23" t="inlineStr">
        <is>
          <t>ACCT</t>
        </is>
      </c>
      <c r="M82" s="23" t="inlineStr">
        <is>
          <t>رشته حسابداری</t>
        </is>
      </c>
      <c r="N82" s="23" t="n">
        <v>1</v>
      </c>
      <c r="O82" s="23" t="inlineStr">
        <is>
          <t>1403/11/15</t>
        </is>
      </c>
      <c r="P82" s="23" t="n"/>
      <c r="Q82" s="23" t="n">
        <v>20</v>
      </c>
      <c r="R82" s="23" t="n">
        <v>22</v>
      </c>
      <c r="S82" s="23" t="inlineStr">
        <is>
          <t>صریح در سند</t>
        </is>
      </c>
      <c r="T82" s="23">
        <f>IF(AND(ISNUMBER(Q82),ISNUMBER(R82),R82&gt;0),Q82/R82,"")</f>
        <v>0.9090909090909091</v>
      </c>
      <c r="U82" s="23">
        <f>IF(AND(D82="MEMBER",ISNUMBER(Q82),ISNUMBER(R82),R82&gt;0),1,0)</f>
        <v>1</v>
      </c>
      <c r="V82" s="23" t="inlineStr">
        <is>
          <t>EV_SRC_FOLD_1404_002_p34</t>
        </is>
      </c>
      <c r="W82" s="23" t="inlineStr">
        <is>
          <t>34</t>
        </is>
      </c>
      <c r="X82" s="23" t="inlineStr">
        <is>
          <t>تاییدشده</t>
        </is>
      </c>
      <c r="Y82" s="23" t="n"/>
    </row>
    <row r="83" ht="20" customHeight="1" s="76">
      <c r="A83" s="25" t="inlineStr">
        <is>
          <t>AC40-فولاد-05</t>
        </is>
      </c>
      <c r="B83" s="25" t="inlineStr">
        <is>
          <t>فولاد</t>
        </is>
      </c>
      <c r="C83" s="25" t="inlineStr">
        <is>
          <t>عضو</t>
        </is>
      </c>
      <c r="D83" s="25" t="inlineStr">
        <is>
          <t>MEMBER</t>
        </is>
      </c>
      <c r="E83" s="25" t="inlineStr">
        <is>
          <t>حسن طالبی</t>
        </is>
      </c>
      <c r="F83" s="25" t="n"/>
      <c r="G83" s="25" t="inlineStr">
        <is>
          <t>N</t>
        </is>
      </c>
      <c r="H83" s="25" t="n"/>
      <c r="I83" s="25" t="n"/>
      <c r="J83" s="25" t="inlineStr">
        <is>
          <t>U</t>
        </is>
      </c>
      <c r="K83" s="25" t="inlineStr">
        <is>
          <t>کارشناسی ارشد حسابداری</t>
        </is>
      </c>
      <c r="L83" s="25" t="inlineStr">
        <is>
          <t>ACCT</t>
        </is>
      </c>
      <c r="M83" s="25" t="inlineStr">
        <is>
          <t>رشته حسابداری</t>
        </is>
      </c>
      <c r="N83" s="25" t="n">
        <v>1</v>
      </c>
      <c r="O83" s="25" t="inlineStr">
        <is>
          <t>1402/09/27</t>
        </is>
      </c>
      <c r="P83" s="25" t="n"/>
      <c r="Q83" s="25" t="n">
        <v>22</v>
      </c>
      <c r="R83" s="25" t="n">
        <v>22</v>
      </c>
      <c r="S83" s="25" t="inlineStr">
        <is>
          <t>صریح در سند</t>
        </is>
      </c>
      <c r="T83" s="25">
        <f>IF(AND(ISNUMBER(Q83),ISNUMBER(R83),R83&gt;0),Q83/R83,"")</f>
        <v>1</v>
      </c>
      <c r="U83" s="25">
        <f>IF(AND(D83="MEMBER",ISNUMBER(Q83),ISNUMBER(R83),R83&gt;0),1,0)</f>
        <v>1</v>
      </c>
      <c r="V83" s="25" t="inlineStr">
        <is>
          <t>EV_SRC_FOLD_1404_002_p34</t>
        </is>
      </c>
      <c r="W83" s="25" t="inlineStr">
        <is>
          <t>34</t>
        </is>
      </c>
      <c r="X83" s="25" t="inlineStr">
        <is>
          <t>تاییدشده</t>
        </is>
      </c>
      <c r="Y83" s="25" t="n"/>
    </row>
    <row r="84" ht="29" customHeight="1" s="76">
      <c r="A84" s="23" t="inlineStr">
        <is>
          <t>AC40-کچاد-01</t>
        </is>
      </c>
      <c r="B84" s="23" t="inlineStr">
        <is>
          <t>کچاد</t>
        </is>
      </c>
      <c r="C84" s="23" t="inlineStr">
        <is>
          <t>رئیس کمیته</t>
        </is>
      </c>
      <c r="D84" s="23" t="inlineStr">
        <is>
          <t>MEMBER</t>
        </is>
      </c>
      <c r="E84" s="23" t="inlineStr">
        <is>
          <t>مهدی آقاپوربی‌شک</t>
        </is>
      </c>
      <c r="F84" s="23" t="inlineStr">
        <is>
          <t>عضو هیئت‌مدیره (v22)</t>
        </is>
      </c>
      <c r="G84" s="23" t="inlineStr">
        <is>
          <t>Y</t>
        </is>
      </c>
      <c r="H84" s="23" t="n"/>
      <c r="I84" s="23" t="n"/>
      <c r="J84" s="23" t="inlineStr">
        <is>
          <t>U</t>
        </is>
      </c>
      <c r="K84" s="23" t="inlineStr">
        <is>
          <t>دکترا الهیات و معارف اسلامی</t>
        </is>
      </c>
      <c r="L84" s="23" t="inlineStr">
        <is>
          <t>NONE_EVID</t>
        </is>
      </c>
      <c r="M84" s="23" t="inlineStr">
        <is>
          <t>سوابق: مستشار دیوان محاسبات؛ ریاست دانشگاه (ص ۱۴۱ گزارش)</t>
        </is>
      </c>
      <c r="N84" s="23" t="n">
        <v>0</v>
      </c>
      <c r="O84" s="23" t="inlineStr">
        <is>
          <t>1403/10/11</t>
        </is>
      </c>
      <c r="P84" s="23" t="n"/>
      <c r="Q84" s="23" t="n">
        <v>19</v>
      </c>
      <c r="R84" s="23" t="n">
        <v>19</v>
      </c>
      <c r="S84" s="23" t="inlineStr">
        <is>
          <t>صریح در سند</t>
        </is>
      </c>
      <c r="T84" s="23">
        <f>IF(AND(ISNUMBER(Q84),ISNUMBER(R84),R84&gt;0),Q84/R84,"")</f>
        <v>1</v>
      </c>
      <c r="U84" s="23">
        <f>IF(AND(D84="MEMBER",ISNUMBER(Q84),ISNUMBER(R84),R84&gt;0),1,0)</f>
        <v>1</v>
      </c>
      <c r="V84" s="23" t="inlineStr">
        <is>
          <t>EV_SRC_KCHD_1404_001_p143</t>
        </is>
      </c>
      <c r="W84" s="23" t="inlineStr">
        <is>
          <t>143</t>
        </is>
      </c>
      <c r="X84" s="23" t="inlineStr">
        <is>
          <t>تاییدشده</t>
        </is>
      </c>
      <c r="Y84" s="23" t="n"/>
    </row>
    <row r="85" ht="29" customHeight="1" s="76">
      <c r="A85" s="25" t="inlineStr">
        <is>
          <t>AC40-کچاد-02</t>
        </is>
      </c>
      <c r="B85" s="25" t="inlineStr">
        <is>
          <t>کچاد</t>
        </is>
      </c>
      <c r="C85" s="25" t="inlineStr">
        <is>
          <t>عضو و دبیر کمیته</t>
        </is>
      </c>
      <c r="D85" s="25" t="inlineStr">
        <is>
          <t>MEMBER</t>
        </is>
      </c>
      <c r="E85" s="25" t="inlineStr">
        <is>
          <t>محمدرضا حسن‌پور</t>
        </is>
      </c>
      <c r="F85" s="25" t="n"/>
      <c r="G85" s="25" t="inlineStr">
        <is>
          <t>N</t>
        </is>
      </c>
      <c r="H85" s="25" t="n"/>
      <c r="I85" s="25" t="n"/>
      <c r="J85" s="25" t="inlineStr">
        <is>
          <t>U</t>
        </is>
      </c>
      <c r="K85" s="25" t="inlineStr">
        <is>
          <t>کارشناسی ارشد حسابداری</t>
        </is>
      </c>
      <c r="L85" s="25" t="inlineStr">
        <is>
          <t>ACCT</t>
        </is>
      </c>
      <c r="M85" s="25" t="inlineStr">
        <is>
          <t>مدیرعامل مؤسسه الزهرا؛ مدیر عامل سازمان پزشکی سیدالشهدا</t>
        </is>
      </c>
      <c r="N85" s="25" t="n">
        <v>1</v>
      </c>
      <c r="O85" s="25" t="inlineStr">
        <is>
          <t>1401/06/22</t>
        </is>
      </c>
      <c r="P85" s="25" t="n"/>
      <c r="Q85" s="25" t="n">
        <v>19</v>
      </c>
      <c r="R85" s="25" t="n">
        <v>19</v>
      </c>
      <c r="S85" s="25" t="inlineStr">
        <is>
          <t>صریح در سند</t>
        </is>
      </c>
      <c r="T85" s="25">
        <f>IF(AND(ISNUMBER(Q85),ISNUMBER(R85),R85&gt;0),Q85/R85,"")</f>
        <v>1</v>
      </c>
      <c r="U85" s="25">
        <f>IF(AND(D85="MEMBER",ISNUMBER(Q85),ISNUMBER(R85),R85&gt;0),1,0)</f>
        <v>1</v>
      </c>
      <c r="V85" s="25" t="inlineStr">
        <is>
          <t>EV_SRC_KCHD_1404_001_p143</t>
        </is>
      </c>
      <c r="W85" s="25" t="inlineStr">
        <is>
          <t>143</t>
        </is>
      </c>
      <c r="X85" s="25" t="inlineStr">
        <is>
          <t>تاییدشده</t>
        </is>
      </c>
      <c r="Y85" s="25" t="inlineStr">
        <is>
          <t>«عضو و دبیر» → عضو صریح</t>
        </is>
      </c>
    </row>
    <row r="86" ht="29" customHeight="1" s="76">
      <c r="A86" s="23" t="inlineStr">
        <is>
          <t>AC40-کچاد-03</t>
        </is>
      </c>
      <c r="B86" s="23" t="inlineStr">
        <is>
          <t>کچاد</t>
        </is>
      </c>
      <c r="C86" s="23" t="inlineStr">
        <is>
          <t>عضو کمیته</t>
        </is>
      </c>
      <c r="D86" s="23" t="inlineStr">
        <is>
          <t>MEMBER</t>
        </is>
      </c>
      <c r="E86" s="23" t="inlineStr">
        <is>
          <t>ناصر شکاری وانقی</t>
        </is>
      </c>
      <c r="F86" s="23" t="n"/>
      <c r="G86" s="23" t="inlineStr">
        <is>
          <t>N</t>
        </is>
      </c>
      <c r="H86" s="23" t="n"/>
      <c r="I86" s="23" t="n"/>
      <c r="J86" s="23" t="inlineStr">
        <is>
          <t>U</t>
        </is>
      </c>
      <c r="K86" s="23" t="inlineStr">
        <is>
          <t>کارشناسی ارشد حسابداری</t>
        </is>
      </c>
      <c r="L86" s="23" t="inlineStr">
        <is>
          <t>ACCT</t>
        </is>
      </c>
      <c r="M86" s="23" t="inlineStr">
        <is>
          <t>۱۷ سال سازمان حسابرسی؛ ۱۲ سال شریک مؤسسات حسابرسی</t>
        </is>
      </c>
      <c r="N86" s="23" t="n">
        <v>1</v>
      </c>
      <c r="O86" s="23" t="inlineStr">
        <is>
          <t>1401/06/22</t>
        </is>
      </c>
      <c r="P86" s="23" t="n"/>
      <c r="Q86" s="23" t="n">
        <v>19</v>
      </c>
      <c r="R86" s="23" t="n">
        <v>19</v>
      </c>
      <c r="S86" s="23" t="inlineStr">
        <is>
          <t>صریح در سند</t>
        </is>
      </c>
      <c r="T86" s="23">
        <f>IF(AND(ISNUMBER(Q86),ISNUMBER(R86),R86&gt;0),Q86/R86,"")</f>
        <v>1</v>
      </c>
      <c r="U86" s="23">
        <f>IF(AND(D86="MEMBER",ISNUMBER(Q86),ISNUMBER(R86),R86&gt;0),1,0)</f>
        <v>1</v>
      </c>
      <c r="V86" s="23" t="inlineStr">
        <is>
          <t>EV_SRC_KCHD_1404_001_p143</t>
        </is>
      </c>
      <c r="W86" s="23" t="inlineStr">
        <is>
          <t>143</t>
        </is>
      </c>
      <c r="X86" s="23" t="inlineStr">
        <is>
          <t>تاییدشده</t>
        </is>
      </c>
      <c r="Y86" s="23" t="n"/>
    </row>
    <row r="87" ht="43.5" customHeight="1" s="76">
      <c r="A87" s="25" t="inlineStr">
        <is>
          <t>AC40-کچاد-04</t>
        </is>
      </c>
      <c r="B87" s="25" t="inlineStr">
        <is>
          <t>کچاد</t>
        </is>
      </c>
      <c r="C87" s="25" t="inlineStr">
        <is>
          <t>عضو کمیته</t>
        </is>
      </c>
      <c r="D87" s="25" t="inlineStr">
        <is>
          <t>MEMBER</t>
        </is>
      </c>
      <c r="E87" s="25" t="inlineStr">
        <is>
          <t>هادی فاوچی</t>
        </is>
      </c>
      <c r="F87" s="25" t="n"/>
      <c r="G87" s="25" t="inlineStr">
        <is>
          <t>N</t>
        </is>
      </c>
      <c r="H87" s="25" t="n"/>
      <c r="I87" s="25" t="n"/>
      <c r="J87" s="25" t="inlineStr">
        <is>
          <t>U</t>
        </is>
      </c>
      <c r="K87" s="25" t="inlineStr">
        <is>
          <t>کارشناسی ارشد مدیریت بازرگانی</t>
        </is>
      </c>
      <c r="L87" s="25" t="inlineStr">
        <is>
          <t>FIN_EXP</t>
        </is>
      </c>
      <c r="M87" s="25" t="inlineStr">
        <is>
          <t>مشاور مدیرعامل ایراسکو؛ عضو کمیته حسابرسی سی‌پی‌جی‌پارس؛ مشاور رئیس کل دیوان محاسبات</t>
        </is>
      </c>
      <c r="N87" s="25" t="n">
        <v>1</v>
      </c>
      <c r="O87" s="25" t="inlineStr">
        <is>
          <t>1404/01/18</t>
        </is>
      </c>
      <c r="P87" s="25" t="n"/>
      <c r="Q87" s="25" t="n">
        <v>18</v>
      </c>
      <c r="R87" s="25" t="n"/>
      <c r="S87" s="25" t="n"/>
      <c r="T87" s="25">
        <f>IF(AND(ISNUMBER(Q87),ISNUMBER(R87),R87&gt;0),Q87/R87,"")</f>
      </c>
      <c r="U87" s="25">
        <f>IF(AND(D87="MEMBER",ISNUMBER(Q87),ISNUMBER(R87),R87&gt;0),1,0)</f>
        <v>0</v>
      </c>
      <c r="V87" s="25" t="inlineStr">
        <is>
          <t>EV_SRC_KCHD_1404_001_p143</t>
        </is>
      </c>
      <c r="W87" s="25" t="inlineStr">
        <is>
          <t>143</t>
        </is>
      </c>
      <c r="X87" s="25" t="inlineStr">
        <is>
          <t>تاییدشده</t>
        </is>
      </c>
      <c r="Y87" s="25" t="inlineStr">
        <is>
          <t>فرصت حضور نامشخص</t>
        </is>
      </c>
    </row>
    <row r="88" ht="29" customHeight="1" s="76">
      <c r="A88" s="23" t="inlineStr">
        <is>
          <t>AC40-کچاد-05</t>
        </is>
      </c>
      <c r="B88" s="23" t="inlineStr">
        <is>
          <t>کچاد</t>
        </is>
      </c>
      <c r="C88" s="23" t="inlineStr">
        <is>
          <t>عضو کمیته</t>
        </is>
      </c>
      <c r="D88" s="23" t="inlineStr">
        <is>
          <t>MEMBER</t>
        </is>
      </c>
      <c r="E88" s="23" t="inlineStr">
        <is>
          <t>حیدر فرزانه</t>
        </is>
      </c>
      <c r="F88" s="23" t="n"/>
      <c r="G88" s="23" t="inlineStr">
        <is>
          <t>N</t>
        </is>
      </c>
      <c r="H88" s="23" t="n"/>
      <c r="I88" s="23" t="n"/>
      <c r="J88" s="23" t="inlineStr">
        <is>
          <t>U</t>
        </is>
      </c>
      <c r="K88" s="23" t="inlineStr">
        <is>
          <t>دکترا حسابداری</t>
        </is>
      </c>
      <c r="L88" s="23" t="inlineStr">
        <is>
          <t>ACCT</t>
        </is>
      </c>
      <c r="M88" s="23" t="inlineStr">
        <is>
          <t>قائم‌مقام معاونت منابع مالی سازمان صدا و سیما؛ مدیر کل اداری مالی</t>
        </is>
      </c>
      <c r="N88" s="23" t="n">
        <v>1</v>
      </c>
      <c r="O88" s="23" t="inlineStr">
        <is>
          <t>1404/04/31</t>
        </is>
      </c>
      <c r="P88" s="23" t="n"/>
      <c r="Q88" s="23" t="n">
        <v>8</v>
      </c>
      <c r="R88" s="23" t="n"/>
      <c r="S88" s="23" t="n"/>
      <c r="T88" s="23">
        <f>IF(AND(ISNUMBER(Q88),ISNUMBER(R88),R88&gt;0),Q88/R88,"")</f>
      </c>
      <c r="U88" s="23">
        <f>IF(AND(D88="MEMBER",ISNUMBER(Q88),ISNUMBER(R88),R88&gt;0),1,0)</f>
        <v>0</v>
      </c>
      <c r="V88" s="23" t="inlineStr">
        <is>
          <t>EV_SRC_KCHD_1404_001_p143</t>
        </is>
      </c>
      <c r="W88" s="23" t="inlineStr">
        <is>
          <t>143</t>
        </is>
      </c>
      <c r="X88" s="23" t="inlineStr">
        <is>
          <t>تاییدشده</t>
        </is>
      </c>
      <c r="Y88" s="23" t="inlineStr">
        <is>
          <t>فرصت حضور نامشخص (عضو از ۱۴۰۴/۰۴/۳۱)</t>
        </is>
      </c>
    </row>
    <row r="89" ht="29" customHeight="1" s="76">
      <c r="A89" s="25" t="inlineStr">
        <is>
          <t>AC40-کگل-01</t>
        </is>
      </c>
      <c r="B89" s="25" t="inlineStr">
        <is>
          <t>کگل</t>
        </is>
      </c>
      <c r="C89" s="25" t="inlineStr">
        <is>
          <t>رئیس کمیته</t>
        </is>
      </c>
      <c r="D89" s="25" t="inlineStr">
        <is>
          <t>MEMBER</t>
        </is>
      </c>
      <c r="E89" s="25" t="inlineStr">
        <is>
          <t>حمیدرضا فولادگر</t>
        </is>
      </c>
      <c r="F89" s="25" t="inlineStr">
        <is>
          <t>عضو هیئت‌مدیره (v22)</t>
        </is>
      </c>
      <c r="G89" s="25" t="inlineStr">
        <is>
          <t>Y</t>
        </is>
      </c>
      <c r="H89" s="25" t="n"/>
      <c r="I89" s="25" t="n"/>
      <c r="J89" s="25" t="inlineStr">
        <is>
          <t>U</t>
        </is>
      </c>
      <c r="K89" s="25" t="inlineStr">
        <is>
          <t>دکتری مهندسی صنایع</t>
        </is>
      </c>
      <c r="L89" s="25" t="inlineStr">
        <is>
          <t>NONE_EVID</t>
        </is>
      </c>
      <c r="M89" s="25" t="inlineStr">
        <is>
          <t>رشته مهندسی صنایع؛ سوابق دانشگاهی/هیئت‌مدیره</t>
        </is>
      </c>
      <c r="N89" s="25" t="n">
        <v>0</v>
      </c>
      <c r="O89" s="25" t="inlineStr">
        <is>
          <t>1403/08/06</t>
        </is>
      </c>
      <c r="P89" s="25" t="n"/>
      <c r="Q89" s="25" t="n">
        <v>11</v>
      </c>
      <c r="R89" s="25" t="n"/>
      <c r="S89" s="25" t="n"/>
      <c r="T89" s="25">
        <f>IF(AND(ISNUMBER(Q89),ISNUMBER(R89),R89&gt;0),Q89/R89,"")</f>
      </c>
      <c r="U89" s="25">
        <f>IF(AND(D89="MEMBER",ISNUMBER(Q89),ISNUMBER(R89),R89&gt;0),1,0)</f>
        <v>0</v>
      </c>
      <c r="V89" s="25" t="inlineStr">
        <is>
          <t>EV_SRC_KGOL_1404_001_p136</t>
        </is>
      </c>
      <c r="W89" s="25" t="inlineStr">
        <is>
          <t>136</t>
        </is>
      </c>
      <c r="X89" s="25" t="inlineStr">
        <is>
          <t>تاییدشده</t>
        </is>
      </c>
      <c r="Y89" s="25" t="n"/>
    </row>
    <row r="90" ht="29" customHeight="1" s="76">
      <c r="A90" s="23" t="inlineStr">
        <is>
          <t>AC40-کگل-02</t>
        </is>
      </c>
      <c r="B90" s="23" t="inlineStr">
        <is>
          <t>کگل</t>
        </is>
      </c>
      <c r="C90" s="23" t="inlineStr">
        <is>
          <t>عضو کمیته (سابق)</t>
        </is>
      </c>
      <c r="D90" s="23" t="inlineStr">
        <is>
          <t>FORMER</t>
        </is>
      </c>
      <c r="E90" s="23" t="inlineStr">
        <is>
          <t>محمد سلطانی</t>
        </is>
      </c>
      <c r="F90" s="23" t="n"/>
      <c r="G90" s="23" t="inlineStr">
        <is>
          <t>N</t>
        </is>
      </c>
      <c r="H90" s="23" t="n"/>
      <c r="I90" s="23" t="n"/>
      <c r="J90" s="23" t="inlineStr">
        <is>
          <t>U</t>
        </is>
      </c>
      <c r="K90" s="23" t="inlineStr">
        <is>
          <t>کارشناسی ارشد حسابداری</t>
        </is>
      </c>
      <c r="L90" s="23" t="inlineStr">
        <is>
          <t>ACCT</t>
        </is>
      </c>
      <c r="M90" s="23" t="inlineStr">
        <is>
          <t>حسابدار رسمی؛ شریک؛ مدیر حسابرسی داخلی بانک ملی</t>
        </is>
      </c>
      <c r="N90" s="23" t="n">
        <v>1</v>
      </c>
      <c r="O90" s="23" t="inlineStr">
        <is>
          <t>1403/03/26</t>
        </is>
      </c>
      <c r="P90" s="23" t="inlineStr">
        <is>
          <t>(سابق؛ جایگزین‌شده)</t>
        </is>
      </c>
      <c r="Q90" s="23" t="n">
        <v>7</v>
      </c>
      <c r="R90" s="23" t="n"/>
      <c r="S90" s="23" t="n"/>
      <c r="T90" s="23">
        <f>IF(AND(ISNUMBER(Q90),ISNUMBER(R90),R90&gt;0),Q90/R90,"")</f>
      </c>
      <c r="U90" s="23">
        <f>IF(AND(D90="MEMBER",ISNUMBER(Q90),ISNUMBER(R90),R90&gt;0),1,0)</f>
        <v>0</v>
      </c>
      <c r="V90" s="23" t="inlineStr">
        <is>
          <t>EV_SRC_KGOL_1404_001_p136</t>
        </is>
      </c>
      <c r="W90" s="23" t="inlineStr">
        <is>
          <t>136</t>
        </is>
      </c>
      <c r="X90" s="23" t="inlineStr">
        <is>
          <t>تاییدشده</t>
        </is>
      </c>
      <c r="Y90" s="23" t="inlineStr">
        <is>
          <t>عضو سابق؛ در مقطع پایان دوره عضو نیست</t>
        </is>
      </c>
    </row>
    <row r="91" ht="29" customHeight="1" s="76">
      <c r="A91" s="25" t="inlineStr">
        <is>
          <t>AC40-کگل-03</t>
        </is>
      </c>
      <c r="B91" s="25" t="inlineStr">
        <is>
          <t>کگل</t>
        </is>
      </c>
      <c r="C91" s="25" t="inlineStr">
        <is>
          <t>عضو کمیته (جدید)</t>
        </is>
      </c>
      <c r="D91" s="25" t="inlineStr">
        <is>
          <t>MEMBER</t>
        </is>
      </c>
      <c r="E91" s="25" t="inlineStr">
        <is>
          <t>امیرحسین تائبی نقندری</t>
        </is>
      </c>
      <c r="F91" s="25" t="n"/>
      <c r="G91" s="25" t="inlineStr">
        <is>
          <t>N</t>
        </is>
      </c>
      <c r="H91" s="25" t="n"/>
      <c r="I91" s="25" t="n"/>
      <c r="J91" s="25" t="inlineStr">
        <is>
          <t>U</t>
        </is>
      </c>
      <c r="K91" s="25" t="inlineStr">
        <is>
          <t>دکتری حسابداری</t>
        </is>
      </c>
      <c r="L91" s="25" t="inlineStr">
        <is>
          <t>ACCT</t>
        </is>
      </c>
      <c r="M91" s="25" t="inlineStr">
        <is>
          <t>عضو هیئت علمی؛ عضو جامعه حسابداران رسمی</t>
        </is>
      </c>
      <c r="N91" s="25" t="n">
        <v>1</v>
      </c>
      <c r="O91" s="25" t="inlineStr">
        <is>
          <t>1404/07/27</t>
        </is>
      </c>
      <c r="P91" s="25" t="n"/>
      <c r="Q91" s="25" t="n">
        <v>2</v>
      </c>
      <c r="R91" s="25" t="n"/>
      <c r="S91" s="25" t="n"/>
      <c r="T91" s="25">
        <f>IF(AND(ISNUMBER(Q91),ISNUMBER(R91),R91&gt;0),Q91/R91,"")</f>
      </c>
      <c r="U91" s="25">
        <f>IF(AND(D91="MEMBER",ISNUMBER(Q91),ISNUMBER(R91),R91&gt;0),1,0)</f>
        <v>0</v>
      </c>
      <c r="V91" s="25" t="inlineStr">
        <is>
          <t>EV_SRC_KGOL_1404_001_p136</t>
        </is>
      </c>
      <c r="W91" s="25" t="inlineStr">
        <is>
          <t>136</t>
        </is>
      </c>
      <c r="X91" s="25" t="inlineStr">
        <is>
          <t>تاییدشده</t>
        </is>
      </c>
      <c r="Y91" s="25" t="n"/>
    </row>
    <row r="92" ht="29" customHeight="1" s="76">
      <c r="A92" s="23" t="inlineStr">
        <is>
          <t>AC40-کگل-04</t>
        </is>
      </c>
      <c r="B92" s="23" t="inlineStr">
        <is>
          <t>کگل</t>
        </is>
      </c>
      <c r="C92" s="23" t="inlineStr">
        <is>
          <t>عضو کمیته</t>
        </is>
      </c>
      <c r="D92" s="23" t="inlineStr">
        <is>
          <t>MEMBER</t>
        </is>
      </c>
      <c r="E92" s="23" t="inlineStr">
        <is>
          <t>فاطمه حسنی دهکاء</t>
        </is>
      </c>
      <c r="F92" s="23" t="n"/>
      <c r="G92" s="23" t="inlineStr">
        <is>
          <t>N</t>
        </is>
      </c>
      <c r="H92" s="23" t="n"/>
      <c r="I92" s="23" t="n"/>
      <c r="J92" s="23" t="inlineStr">
        <is>
          <t>U</t>
        </is>
      </c>
      <c r="K92" s="23" t="inlineStr">
        <is>
          <t>دانشجوی دکتری حسابداری</t>
        </is>
      </c>
      <c r="L92" s="23" t="inlineStr">
        <is>
          <t>ACCT</t>
        </is>
      </c>
      <c r="M92" s="23" t="inlineStr">
        <is>
          <t>عضو هیئت‌مدیره و رئیس کمیته حسابرسی چند شرکت</t>
        </is>
      </c>
      <c r="N92" s="23" t="n">
        <v>1</v>
      </c>
      <c r="O92" s="23" t="inlineStr">
        <is>
          <t>1403/03/26</t>
        </is>
      </c>
      <c r="P92" s="23" t="n"/>
      <c r="Q92" s="23" t="n">
        <v>11</v>
      </c>
      <c r="R92" s="23" t="n"/>
      <c r="S92" s="23" t="n"/>
      <c r="T92" s="23">
        <f>IF(AND(ISNUMBER(Q92),ISNUMBER(R92),R92&gt;0),Q92/R92,"")</f>
      </c>
      <c r="U92" s="23">
        <f>IF(AND(D92="MEMBER",ISNUMBER(Q92),ISNUMBER(R92),R92&gt;0),1,0)</f>
        <v>0</v>
      </c>
      <c r="V92" s="23" t="inlineStr">
        <is>
          <t>EV_SRC_KGOL_1404_001_p136</t>
        </is>
      </c>
      <c r="W92" s="23" t="inlineStr">
        <is>
          <t>136</t>
        </is>
      </c>
      <c r="X92" s="23" t="inlineStr">
        <is>
          <t>تاییدشده</t>
        </is>
      </c>
      <c r="Y92" s="23" t="inlineStr">
        <is>
          <t>«عضو هیئت‌مدیره و رئیس کمیته حسابرسی» سایر شرکت‌ها</t>
        </is>
      </c>
    </row>
    <row r="93" ht="29" customHeight="1" s="76">
      <c r="A93" s="25" t="inlineStr">
        <is>
          <t>AC40-کگل-05</t>
        </is>
      </c>
      <c r="B93" s="25" t="inlineStr">
        <is>
          <t>کگل</t>
        </is>
      </c>
      <c r="C93" s="25" t="inlineStr">
        <is>
          <t>دبیر کمیته و مدیر حسابرسی داخلی</t>
        </is>
      </c>
      <c r="D93" s="25" t="inlineStr">
        <is>
          <t>SECRETARY</t>
        </is>
      </c>
      <c r="E93" s="25" t="inlineStr">
        <is>
          <t>محمد سرچمی</t>
        </is>
      </c>
      <c r="F93" s="25" t="n"/>
      <c r="G93" s="25" t="inlineStr">
        <is>
          <t>N</t>
        </is>
      </c>
      <c r="H93" s="25" t="n"/>
      <c r="I93" s="25" t="n"/>
      <c r="J93" s="25" t="inlineStr">
        <is>
          <t>U</t>
        </is>
      </c>
      <c r="K93" s="25" t="inlineStr">
        <is>
          <t>دکتری حسابداری</t>
        </is>
      </c>
      <c r="L93" s="25" t="inlineStr">
        <is>
          <t>ACCT</t>
        </is>
      </c>
      <c r="M93" s="25" t="inlineStr">
        <is>
          <t>مدیر بورس و مجامع؛ معاون مالی</t>
        </is>
      </c>
      <c r="N93" s="25" t="n">
        <v>1</v>
      </c>
      <c r="O93" s="25" t="inlineStr">
        <is>
          <t>1403/12/19</t>
        </is>
      </c>
      <c r="P93" s="25" t="n"/>
      <c r="Q93" s="25" t="n">
        <v>11</v>
      </c>
      <c r="R93" s="25" t="n"/>
      <c r="S93" s="25" t="n"/>
      <c r="T93" s="25">
        <f>IF(AND(ISNUMBER(Q93),ISNUMBER(R93),R93&gt;0),Q93/R93,"")</f>
      </c>
      <c r="U93" s="25">
        <f>IF(AND(D93="MEMBER",ISNUMBER(Q93),ISNUMBER(R93),R93&gt;0),1,0)</f>
        <v>0</v>
      </c>
      <c r="V93" s="25" t="inlineStr">
        <is>
          <t>EV_SRC_KGOL_1404_001_p136</t>
        </is>
      </c>
      <c r="W93" s="25" t="inlineStr">
        <is>
          <t>136</t>
        </is>
      </c>
      <c r="X93" s="25" t="inlineStr">
        <is>
          <t>تاییدشده</t>
        </is>
      </c>
      <c r="Y93" s="25" t="inlineStr">
        <is>
          <t>دبیر؛ عضو شمرده نشد</t>
        </is>
      </c>
    </row>
    <row r="94" ht="29" customHeight="1" s="76">
      <c r="A94" s="23" t="inlineStr">
        <is>
          <t>AC40-پارسان-01</t>
        </is>
      </c>
      <c r="B94" s="23" t="inlineStr">
        <is>
          <t>پارسان</t>
        </is>
      </c>
      <c r="C94" s="23" t="inlineStr">
        <is>
          <t>رئیس کمیته</t>
        </is>
      </c>
      <c r="D94" s="23" t="inlineStr">
        <is>
          <t>MEMBER</t>
        </is>
      </c>
      <c r="E94" s="23" t="inlineStr">
        <is>
          <t>رحیم اسماعیلی دانا</t>
        </is>
      </c>
      <c r="F94" s="23" t="inlineStr">
        <is>
          <t>عضو هیئت‌مدیره</t>
        </is>
      </c>
      <c r="G94" s="23" t="inlineStr">
        <is>
          <t>Y</t>
        </is>
      </c>
      <c r="H94" s="23" t="n"/>
      <c r="I94" s="23" t="inlineStr">
        <is>
          <t>عضو هیئت‌مدیره (ستون عضو هیئت‌مدیره/مستقل)</t>
        </is>
      </c>
      <c r="J94" s="23" t="inlineStr">
        <is>
          <t>N</t>
        </is>
      </c>
      <c r="K94" s="23" t="inlineStr">
        <is>
          <t>دکترای حسابداری</t>
        </is>
      </c>
      <c r="L94" s="23" t="inlineStr">
        <is>
          <t>ACCT</t>
        </is>
      </c>
      <c r="M94" s="23" t="inlineStr">
        <is>
          <t>دکترای حسابداری؛ مدیرعامل سرمایه‌گذاری غدیر</t>
        </is>
      </c>
      <c r="N94" s="23" t="n">
        <v>1</v>
      </c>
      <c r="O94" s="23" t="inlineStr">
        <is>
          <t>1398/12/11</t>
        </is>
      </c>
      <c r="P94" s="23" t="n"/>
      <c r="Q94" s="23" t="n">
        <v>13</v>
      </c>
      <c r="R94" s="23" t="n">
        <v>13</v>
      </c>
      <c r="S94" s="23" t="inlineStr">
        <is>
          <t>صریح در سند</t>
        </is>
      </c>
      <c r="T94" s="23">
        <f>IF(AND(ISNUMBER(Q94),ISNUMBER(R94),R94&gt;0),Q94/R94,"")</f>
        <v>1</v>
      </c>
      <c r="U94" s="23">
        <f>IF(AND(D94="MEMBER",ISNUMBER(Q94),ISNUMBER(R94),R94&gt;0),1,0)</f>
        <v>1</v>
      </c>
      <c r="V94" s="23" t="inlineStr">
        <is>
          <t>EV_SRC_PRSN_1404_007_p42</t>
        </is>
      </c>
      <c r="W94" s="23" t="inlineStr">
        <is>
          <t>42</t>
        </is>
      </c>
      <c r="X94" s="23" t="inlineStr">
        <is>
          <t>تاییدشده</t>
        </is>
      </c>
      <c r="Y94" s="23" t="n"/>
    </row>
    <row r="95" ht="29" customHeight="1" s="76">
      <c r="A95" s="25" t="inlineStr">
        <is>
          <t>AC40-پارسان-02</t>
        </is>
      </c>
      <c r="B95" s="25" t="inlineStr">
        <is>
          <t>پارسان</t>
        </is>
      </c>
      <c r="C95" s="25" t="inlineStr">
        <is>
          <t>عضو کمیته</t>
        </is>
      </c>
      <c r="D95" s="25" t="inlineStr">
        <is>
          <t>MEMBER</t>
        </is>
      </c>
      <c r="E95" s="25" t="inlineStr">
        <is>
          <t>حمید اسدزاده</t>
        </is>
      </c>
      <c r="F95" s="25" t="n"/>
      <c r="G95" s="25" t="inlineStr">
        <is>
          <t>N</t>
        </is>
      </c>
      <c r="H95" s="25" t="n"/>
      <c r="I95" s="25" t="inlineStr">
        <is>
          <t>مستقل</t>
        </is>
      </c>
      <c r="J95" s="25" t="inlineStr">
        <is>
          <t>Y</t>
        </is>
      </c>
      <c r="K95" s="25" t="inlineStr">
        <is>
          <t>دکترای حسابداری</t>
        </is>
      </c>
      <c r="L95" s="25" t="inlineStr">
        <is>
          <t>ACCT</t>
        </is>
      </c>
      <c r="M95" s="25" t="inlineStr">
        <is>
          <t>مدیر حسابرسی داخلی هلدینگ؛ حسابدار رسمی</t>
        </is>
      </c>
      <c r="N95" s="25" t="n">
        <v>1</v>
      </c>
      <c r="O95" s="25" t="inlineStr">
        <is>
          <t>1403/10/04</t>
        </is>
      </c>
      <c r="P95" s="25" t="n"/>
      <c r="Q95" s="25" t="n">
        <v>13</v>
      </c>
      <c r="R95" s="25" t="n">
        <v>13</v>
      </c>
      <c r="S95" s="25" t="inlineStr">
        <is>
          <t>مشتق: حضور برابر کل جلسات</t>
        </is>
      </c>
      <c r="T95" s="25">
        <f>IF(AND(ISNUMBER(Q95),ISNUMBER(R95),R95&gt;0),Q95/R95,"")</f>
        <v>1</v>
      </c>
      <c r="U95" s="25">
        <f>IF(AND(D95="MEMBER",ISNUMBER(Q95),ISNUMBER(R95),R95&gt;0),1,0)</f>
        <v>1</v>
      </c>
      <c r="V95" s="25" t="inlineStr">
        <is>
          <t>EV_SRC_PRSN_1404_007_p42</t>
        </is>
      </c>
      <c r="W95" s="25" t="inlineStr">
        <is>
          <t>42</t>
        </is>
      </c>
      <c r="X95" s="25" t="inlineStr">
        <is>
          <t>تاییدشده</t>
        </is>
      </c>
      <c r="Y95" s="25" t="inlineStr">
        <is>
          <t>عضو از میانه سال ولی ۱۳ جلسه حضور؛ تناقض احتمالی با تاریخ</t>
        </is>
      </c>
    </row>
    <row r="96" ht="29" customHeight="1" s="76">
      <c r="A96" s="23" t="inlineStr">
        <is>
          <t>AC40-پارسان-03</t>
        </is>
      </c>
      <c r="B96" s="23" t="inlineStr">
        <is>
          <t>پارسان</t>
        </is>
      </c>
      <c r="C96" s="23" t="inlineStr">
        <is>
          <t>عضو کمیته (پایان‌یافته)</t>
        </is>
      </c>
      <c r="D96" s="23" t="inlineStr">
        <is>
          <t>FORMER</t>
        </is>
      </c>
      <c r="E96" s="23" t="inlineStr">
        <is>
          <t>افشین رحیمی</t>
        </is>
      </c>
      <c r="F96" s="23" t="n"/>
      <c r="G96" s="23" t="inlineStr">
        <is>
          <t>N</t>
        </is>
      </c>
      <c r="H96" s="23" t="n"/>
      <c r="I96" s="23" t="inlineStr">
        <is>
          <t>مستقل</t>
        </is>
      </c>
      <c r="J96" s="23" t="inlineStr">
        <is>
          <t>Y</t>
        </is>
      </c>
      <c r="K96" s="23" t="inlineStr">
        <is>
          <t>کارشناسی ارشد</t>
        </is>
      </c>
      <c r="L96" s="23" t="inlineStr">
        <is>
          <t>FIN_EXP</t>
        </is>
      </c>
      <c r="M96" s="23" t="inlineStr">
        <is>
          <t>حسابرس داخلی بین‌المللی؛ معاون مالی گردشگری</t>
        </is>
      </c>
      <c r="N96" s="23" t="n">
        <v>1</v>
      </c>
      <c r="O96" s="23" t="inlineStr">
        <is>
          <t>1403/10/04</t>
        </is>
      </c>
      <c r="P96" s="23" t="inlineStr">
        <is>
          <t>1404/02/15</t>
        </is>
      </c>
      <c r="Q96" s="23" t="n">
        <v>8</v>
      </c>
      <c r="R96" s="23" t="n"/>
      <c r="S96" s="23" t="n"/>
      <c r="T96" s="23">
        <f>IF(AND(ISNUMBER(Q96),ISNUMBER(R96),R96&gt;0),Q96/R96,"")</f>
      </c>
      <c r="U96" s="23">
        <f>IF(AND(D96="MEMBER",ISNUMBER(Q96),ISNUMBER(R96),R96&gt;0),1,0)</f>
        <v>0</v>
      </c>
      <c r="V96" s="23" t="inlineStr">
        <is>
          <t>EV_SRC_PRSN_1404_007_p42</t>
        </is>
      </c>
      <c r="W96" s="23" t="inlineStr">
        <is>
          <t>42</t>
        </is>
      </c>
      <c r="X96" s="23" t="inlineStr">
        <is>
          <t>تاییدشده</t>
        </is>
      </c>
      <c r="Y96" s="23" t="inlineStr">
        <is>
          <t>عضویت پایان‌یافته؛ در پایان سال عضو نیست</t>
        </is>
      </c>
    </row>
    <row r="97" ht="29" customHeight="1" s="76">
      <c r="A97" s="25" t="inlineStr">
        <is>
          <t>AC40-پارسان-04</t>
        </is>
      </c>
      <c r="B97" s="25" t="inlineStr">
        <is>
          <t>پارسان</t>
        </is>
      </c>
      <c r="C97" s="25" t="inlineStr">
        <is>
          <t>عضو کمیته</t>
        </is>
      </c>
      <c r="D97" s="25" t="inlineStr">
        <is>
          <t>MEMBER</t>
        </is>
      </c>
      <c r="E97" s="25" t="inlineStr">
        <is>
          <t>محسن غلامرضائی</t>
        </is>
      </c>
      <c r="F97" s="25" t="n"/>
      <c r="G97" s="25" t="inlineStr">
        <is>
          <t>N</t>
        </is>
      </c>
      <c r="H97" s="25" t="n"/>
      <c r="I97" s="25" t="inlineStr">
        <is>
          <t>مستقل</t>
        </is>
      </c>
      <c r="J97" s="25" t="inlineStr">
        <is>
          <t>Y</t>
        </is>
      </c>
      <c r="K97" s="25" t="inlineStr">
        <is>
          <t>دکترای حسابداری</t>
        </is>
      </c>
      <c r="L97" s="25" t="inlineStr">
        <is>
          <t>ACCT</t>
        </is>
      </c>
      <c r="M97" s="25" t="inlineStr">
        <is>
          <t>کارشناس رسمی دادگستری؛ عضو کمیته فنی انجمن حسابرسان داخلی</t>
        </is>
      </c>
      <c r="N97" s="25" t="n">
        <v>1</v>
      </c>
      <c r="O97" s="25" t="inlineStr">
        <is>
          <t>1404/04/04</t>
        </is>
      </c>
      <c r="P97" s="25" t="n"/>
      <c r="Q97" s="25" t="n">
        <v>1</v>
      </c>
      <c r="R97" s="25" t="n"/>
      <c r="S97" s="25" t="n"/>
      <c r="T97" s="25">
        <f>IF(AND(ISNUMBER(Q97),ISNUMBER(R97),R97&gt;0),Q97/R97,"")</f>
      </c>
      <c r="U97" s="25">
        <f>IF(AND(D97="MEMBER",ISNUMBER(Q97),ISNUMBER(R97),R97&gt;0),1,0)</f>
        <v>0</v>
      </c>
      <c r="V97" s="25" t="inlineStr">
        <is>
          <t>EV_SRC_PRSN_1404_007_p42</t>
        </is>
      </c>
      <c r="W97" s="25" t="inlineStr">
        <is>
          <t>42</t>
        </is>
      </c>
      <c r="X97" s="25" t="inlineStr">
        <is>
          <t>تاییدشده</t>
        </is>
      </c>
      <c r="Y97" s="25" t="n"/>
    </row>
    <row r="98" ht="29" customHeight="1" s="76">
      <c r="A98" s="23" t="inlineStr">
        <is>
          <t>AC40-اخابر-01</t>
        </is>
      </c>
      <c r="B98" s="23" t="inlineStr">
        <is>
          <t>اخابر</t>
        </is>
      </c>
      <c r="C98" s="23" t="inlineStr">
        <is>
          <t>رئیس کمیته حسابرسی</t>
        </is>
      </c>
      <c r="D98" s="23" t="inlineStr">
        <is>
          <t>MEMBER</t>
        </is>
      </c>
      <c r="E98" s="23" t="inlineStr">
        <is>
          <t>ابراهیم محمودزاده</t>
        </is>
      </c>
      <c r="F98" s="23" t="inlineStr">
        <is>
          <t>عضو هیئت‌مدیره</t>
        </is>
      </c>
      <c r="G98" s="23" t="inlineStr">
        <is>
          <t>Y</t>
        </is>
      </c>
      <c r="H98" s="23" t="n"/>
      <c r="I98" s="23" t="inlineStr">
        <is>
          <t>عضو مستقل: × (خیر)</t>
        </is>
      </c>
      <c r="J98" s="23" t="inlineStr">
        <is>
          <t>N</t>
        </is>
      </c>
      <c r="K98" s="23" t="inlineStr">
        <is>
          <t>دکترای مدیریت استراتژیک</t>
        </is>
      </c>
      <c r="L98" s="23" t="inlineStr">
        <is>
          <t>NONE_EVID</t>
        </is>
      </c>
      <c r="M98" s="23" t="inlineStr">
        <is>
          <t>رئیس هیئت‌مدیره مخابرات؛ مدیرعامل صاایران؛ سوابق غیرمالی</t>
        </is>
      </c>
      <c r="N98" s="23" t="n">
        <v>0</v>
      </c>
      <c r="O98" s="23" t="n"/>
      <c r="P98" s="23" t="n"/>
      <c r="Q98" s="23" t="n">
        <v>22</v>
      </c>
      <c r="R98" s="23" t="n"/>
      <c r="S98" s="23" t="n"/>
      <c r="T98" s="23">
        <f>IF(AND(ISNUMBER(Q98),ISNUMBER(R98),R98&gt;0),Q98/R98,"")</f>
      </c>
      <c r="U98" s="23">
        <f>IF(AND(D98="MEMBER",ISNUMBER(Q98),ISNUMBER(R98),R98&gt;0),1,0)</f>
        <v>0</v>
      </c>
      <c r="V98" s="23" t="inlineStr">
        <is>
          <t>EV_SRC_AKHB_1404_001_p99</t>
        </is>
      </c>
      <c r="W98" s="23" t="inlineStr">
        <is>
          <t>99/95</t>
        </is>
      </c>
      <c r="X98" s="23" t="inlineStr">
        <is>
          <t>تاییدشده</t>
        </is>
      </c>
      <c r="Y98" s="23" t="n"/>
    </row>
    <row r="99" ht="29" customHeight="1" s="76">
      <c r="A99" s="25" t="inlineStr">
        <is>
          <t>AC40-اخابر-02</t>
        </is>
      </c>
      <c r="B99" s="25" t="inlineStr">
        <is>
          <t>اخابر</t>
        </is>
      </c>
      <c r="C99" s="25" t="inlineStr">
        <is>
          <t>عضو کمیته</t>
        </is>
      </c>
      <c r="D99" s="25" t="inlineStr">
        <is>
          <t>MEMBER</t>
        </is>
      </c>
      <c r="E99" s="25" t="inlineStr">
        <is>
          <t>سیداسدالله دهناد</t>
        </is>
      </c>
      <c r="F99" s="25" t="inlineStr">
        <is>
          <t>عضو هیئت‌مدیره</t>
        </is>
      </c>
      <c r="G99" s="25" t="inlineStr">
        <is>
          <t>Y</t>
        </is>
      </c>
      <c r="H99" s="25" t="n"/>
      <c r="I99" s="25" t="inlineStr">
        <is>
          <t>عضو مستقل: × (خیر)</t>
        </is>
      </c>
      <c r="J99" s="25" t="inlineStr">
        <is>
          <t>N</t>
        </is>
      </c>
      <c r="K99" s="25" t="inlineStr">
        <is>
          <t>کارشناسی ارشد مدیریت فناوری اطلاعات</t>
        </is>
      </c>
      <c r="L99" s="25" t="inlineStr">
        <is>
          <t>NONE_EVID</t>
        </is>
      </c>
      <c r="M99" s="25" t="inlineStr">
        <is>
          <t>وزیر ارتباطات سابق؛ فناوری اطلاعات</t>
        </is>
      </c>
      <c r="N99" s="25" t="n">
        <v>0</v>
      </c>
      <c r="O99" s="25" t="n"/>
      <c r="P99" s="25" t="n"/>
      <c r="Q99" s="25" t="n">
        <v>17</v>
      </c>
      <c r="R99" s="25" t="n"/>
      <c r="S99" s="25" t="n"/>
      <c r="T99" s="25">
        <f>IF(AND(ISNUMBER(Q99),ISNUMBER(R99),R99&gt;0),Q99/R99,"")</f>
      </c>
      <c r="U99" s="25">
        <f>IF(AND(D99="MEMBER",ISNUMBER(Q99),ISNUMBER(R99),R99&gt;0),1,0)</f>
        <v>0</v>
      </c>
      <c r="V99" s="25" t="inlineStr">
        <is>
          <t>EV_SRC_AKHB_1404_001_p99</t>
        </is>
      </c>
      <c r="W99" s="25" t="inlineStr">
        <is>
          <t>99/95</t>
        </is>
      </c>
      <c r="X99" s="25" t="inlineStr">
        <is>
          <t>تاییدشده</t>
        </is>
      </c>
      <c r="Y99" s="25" t="n"/>
    </row>
    <row r="100" ht="29" customHeight="1" s="76">
      <c r="A100" s="23" t="inlineStr">
        <is>
          <t>AC40-اخابر-03</t>
        </is>
      </c>
      <c r="B100" s="23" t="inlineStr">
        <is>
          <t>اخابر</t>
        </is>
      </c>
      <c r="C100" s="23" t="inlineStr">
        <is>
          <t>عضو کمیته</t>
        </is>
      </c>
      <c r="D100" s="23" t="inlineStr">
        <is>
          <t>MEMBER</t>
        </is>
      </c>
      <c r="E100" s="23" t="inlineStr">
        <is>
          <t>محمداسماعیل مولایی</t>
        </is>
      </c>
      <c r="F100" s="23" t="n"/>
      <c r="G100" s="23" t="inlineStr">
        <is>
          <t>N</t>
        </is>
      </c>
      <c r="H100" s="23" t="n"/>
      <c r="I100" s="23" t="inlineStr">
        <is>
          <t>عضو مستقل: √ (بله)</t>
        </is>
      </c>
      <c r="J100" s="23" t="inlineStr">
        <is>
          <t>Y</t>
        </is>
      </c>
      <c r="K100" s="23" t="inlineStr">
        <is>
          <t>دکترا (رشته نامشخص)</t>
        </is>
      </c>
      <c r="L100" s="23" t="inlineStr">
        <is>
          <t>FIN_EXP</t>
        </is>
      </c>
      <c r="M100" s="23" t="inlineStr">
        <is>
          <t>معاونت مالی در دستگاه‌های اجرایی مختلف</t>
        </is>
      </c>
      <c r="N100" s="23" t="n">
        <v>1</v>
      </c>
      <c r="O100" s="23" t="n"/>
      <c r="P100" s="23" t="n"/>
      <c r="Q100" s="23" t="n"/>
      <c r="R100" s="23" t="n"/>
      <c r="S100" s="23" t="n"/>
      <c r="T100" s="23">
        <f>IF(AND(ISNUMBER(Q100),ISNUMBER(R100),R100&gt;0),Q100/R100,"")</f>
      </c>
      <c r="U100" s="23">
        <f>IF(AND(D100="MEMBER",ISNUMBER(Q100),ISNUMBER(R100),R100&gt;0),1,0)</f>
        <v>0</v>
      </c>
      <c r="V100" s="23" t="inlineStr">
        <is>
          <t>EV_SRC_AKHB_1404_001_p99</t>
        </is>
      </c>
      <c r="W100" s="23" t="inlineStr">
        <is>
          <t>99</t>
        </is>
      </c>
      <c r="X100" s="23" t="inlineStr">
        <is>
          <t>تاییدشده</t>
        </is>
      </c>
      <c r="Y100" s="23" t="n"/>
    </row>
    <row r="101" ht="43.5" customHeight="1" s="76">
      <c r="A101" s="25" t="inlineStr">
        <is>
          <t>AC40-اخابر-04</t>
        </is>
      </c>
      <c r="B101" s="25" t="inlineStr">
        <is>
          <t>اخابر</t>
        </is>
      </c>
      <c r="C101" s="25" t="inlineStr">
        <is>
          <t>عضو کمیته</t>
        </is>
      </c>
      <c r="D101" s="25" t="inlineStr">
        <is>
          <t>MEMBER</t>
        </is>
      </c>
      <c r="E101" s="25" t="inlineStr">
        <is>
          <t>غلامعلی موحدی اصل</t>
        </is>
      </c>
      <c r="F101" s="25" t="n"/>
      <c r="G101" s="25" t="inlineStr">
        <is>
          <t>N</t>
        </is>
      </c>
      <c r="H101" s="25" t="n"/>
      <c r="I101" s="25" t="inlineStr">
        <is>
          <t>عضو مستقل: √ (بله)</t>
        </is>
      </c>
      <c r="J101" s="25" t="inlineStr">
        <is>
          <t>Y</t>
        </is>
      </c>
      <c r="K101" s="25" t="inlineStr">
        <is>
          <t>دکترای حسابداری</t>
        </is>
      </c>
      <c r="L101" s="25" t="inlineStr">
        <is>
          <t>ACCT</t>
        </is>
      </c>
      <c r="M101" s="25" t="inlineStr">
        <is>
          <t>رئیس گروه حسابرسی مدیریت ساصد؛ حسابدار رسمی؛ رئیس کمیته حسابرسی سرمایه‌گذاری ساتا</t>
        </is>
      </c>
      <c r="N101" s="25" t="n">
        <v>1</v>
      </c>
      <c r="O101" s="25" t="n"/>
      <c r="P101" s="25" t="n"/>
      <c r="Q101" s="25" t="n"/>
      <c r="R101" s="25" t="n"/>
      <c r="S101" s="25" t="n"/>
      <c r="T101" s="25">
        <f>IF(AND(ISNUMBER(Q101),ISNUMBER(R101),R101&gt;0),Q101/R101,"")</f>
      </c>
      <c r="U101" s="25">
        <f>IF(AND(D101="MEMBER",ISNUMBER(Q101),ISNUMBER(R101),R101&gt;0),1,0)</f>
        <v>0</v>
      </c>
      <c r="V101" s="25" t="inlineStr">
        <is>
          <t>EV_SRC_AKHB_1404_001_p99</t>
        </is>
      </c>
      <c r="W101" s="25" t="inlineStr">
        <is>
          <t>99</t>
        </is>
      </c>
      <c r="X101" s="25" t="inlineStr">
        <is>
          <t>تاییدشده</t>
        </is>
      </c>
      <c r="Y101" s="25" t="n"/>
    </row>
    <row r="102" ht="29" customHeight="1" s="76">
      <c r="A102" s="23" t="inlineStr">
        <is>
          <t>AC40-اخابر-05</t>
        </is>
      </c>
      <c r="B102" s="23" t="inlineStr">
        <is>
          <t>اخابر</t>
        </is>
      </c>
      <c r="C102" s="23" t="inlineStr">
        <is>
          <t>عضو کمیته</t>
        </is>
      </c>
      <c r="D102" s="23" t="inlineStr">
        <is>
          <t>MEMBER</t>
        </is>
      </c>
      <c r="E102" s="23" t="inlineStr">
        <is>
          <t>کمال بیگدلی</t>
        </is>
      </c>
      <c r="F102" s="23" t="n"/>
      <c r="G102" s="23" t="inlineStr">
        <is>
          <t>N</t>
        </is>
      </c>
      <c r="H102" s="23" t="n"/>
      <c r="I102" s="23" t="inlineStr">
        <is>
          <t>عضو مستقل: √ (بله)</t>
        </is>
      </c>
      <c r="J102" s="23" t="inlineStr">
        <is>
          <t>Y</t>
        </is>
      </c>
      <c r="K102" s="23" t="inlineStr">
        <is>
          <t>دکترای حسابداری</t>
        </is>
      </c>
      <c r="L102" s="23" t="inlineStr">
        <is>
          <t>ACCT</t>
        </is>
      </c>
      <c r="M102" s="23" t="inlineStr">
        <is>
          <t>مدیرکل مالی؛ ذی‌حساب مخابرات؛ مسئول کمیته حسابرسی تأمین سرمایه لوتوس</t>
        </is>
      </c>
      <c r="N102" s="23" t="n">
        <v>1</v>
      </c>
      <c r="O102" s="23" t="n"/>
      <c r="P102" s="23" t="n"/>
      <c r="Q102" s="23" t="n"/>
      <c r="R102" s="23" t="n"/>
      <c r="S102" s="23" t="n"/>
      <c r="T102" s="23">
        <f>IF(AND(ISNUMBER(Q102),ISNUMBER(R102),R102&gt;0),Q102/R102,"")</f>
      </c>
      <c r="U102" s="23">
        <f>IF(AND(D102="MEMBER",ISNUMBER(Q102),ISNUMBER(R102),R102&gt;0),1,0)</f>
        <v>0</v>
      </c>
      <c r="V102" s="23" t="inlineStr">
        <is>
          <t>EV_SRC_AKHB_1404_001_p99</t>
        </is>
      </c>
      <c r="W102" s="23" t="inlineStr">
        <is>
          <t>99</t>
        </is>
      </c>
      <c r="X102" s="23" t="inlineStr">
        <is>
          <t>تاییدشده</t>
        </is>
      </c>
      <c r="Y102" s="23" t="n"/>
    </row>
    <row r="103" ht="29" customHeight="1" s="76">
      <c r="A103" s="25" t="inlineStr">
        <is>
          <t>AC40-جم-01</t>
        </is>
      </c>
      <c r="B103" s="25" t="inlineStr">
        <is>
          <t>جم</t>
        </is>
      </c>
      <c r="C103" s="25" t="inlineStr">
        <is>
          <t>رئیس کمیته</t>
        </is>
      </c>
      <c r="D103" s="25" t="inlineStr">
        <is>
          <t>MEMBER</t>
        </is>
      </c>
      <c r="E103" s="25" t="inlineStr">
        <is>
          <t>محمدسجاد سیاهکارزاده</t>
        </is>
      </c>
      <c r="F103" s="25" t="inlineStr">
        <is>
          <t>عضو هیئت‌مدیره</t>
        </is>
      </c>
      <c r="G103" s="25" t="inlineStr">
        <is>
          <t>Y</t>
        </is>
      </c>
      <c r="H103" s="25" t="n"/>
      <c r="I103" s="25" t="n"/>
      <c r="J103" s="25" t="inlineStr">
        <is>
          <t>U</t>
        </is>
      </c>
      <c r="K103" s="25" t="n"/>
      <c r="L103" s="25" t="inlineStr">
        <is>
          <t>UNK</t>
        </is>
      </c>
      <c r="M103" s="25" t="inlineStr">
        <is>
          <t>تحصیل/سابقه در این صفحه نیست (دکترا طبق Type19 هیئت‌مدیره)</t>
        </is>
      </c>
      <c r="N103" s="25" t="n">
        <v>0</v>
      </c>
      <c r="O103" s="25" t="n"/>
      <c r="P103" s="25" t="n"/>
      <c r="Q103" s="25" t="n"/>
      <c r="R103" s="25" t="n"/>
      <c r="S103" s="25" t="n"/>
      <c r="T103" s="25">
        <f>IF(AND(ISNUMBER(Q103),ISNUMBER(R103),R103&gt;0),Q103/R103,"")</f>
      </c>
      <c r="U103" s="25">
        <f>IF(AND(D103="MEMBER",ISNUMBER(Q103),ISNUMBER(R103),R103&gt;0),1,0)</f>
        <v>0</v>
      </c>
      <c r="V103" s="25" t="inlineStr">
        <is>
          <t>EV_SRC_JAM_1404_001_p62</t>
        </is>
      </c>
      <c r="W103" s="25" t="inlineStr">
        <is>
          <t>62</t>
        </is>
      </c>
      <c r="X103" s="25" t="inlineStr">
        <is>
          <t>تاییدشده</t>
        </is>
      </c>
      <c r="Y103" s="25" t="n"/>
    </row>
    <row r="104" ht="20" customHeight="1" s="76">
      <c r="A104" s="23" t="inlineStr">
        <is>
          <t>AC40-جم-02</t>
        </is>
      </c>
      <c r="B104" s="23" t="inlineStr">
        <is>
          <t>جم</t>
        </is>
      </c>
      <c r="C104" s="23" t="inlineStr">
        <is>
          <t>دبیر کمیته</t>
        </is>
      </c>
      <c r="D104" s="23" t="inlineStr">
        <is>
          <t>SECRETARY</t>
        </is>
      </c>
      <c r="E104" s="23" t="inlineStr">
        <is>
          <t>مهرداد فصیحی</t>
        </is>
      </c>
      <c r="F104" s="23" t="inlineStr">
        <is>
          <t>مدیر حسابرسی داخلی</t>
        </is>
      </c>
      <c r="G104" s="23" t="inlineStr">
        <is>
          <t>N</t>
        </is>
      </c>
      <c r="H104" s="23" t="n"/>
      <c r="I104" s="23" t="n"/>
      <c r="J104" s="23" t="inlineStr">
        <is>
          <t>U</t>
        </is>
      </c>
      <c r="K104" s="23" t="n"/>
      <c r="L104" s="23" t="inlineStr">
        <is>
          <t>FIN_EXP</t>
        </is>
      </c>
      <c r="M104" s="23" t="inlineStr">
        <is>
          <t>عنوان: مدیر حسابرسی داخلی</t>
        </is>
      </c>
      <c r="N104" s="23" t="n">
        <v>1</v>
      </c>
      <c r="O104" s="23" t="n"/>
      <c r="P104" s="23" t="n"/>
      <c r="Q104" s="23" t="n"/>
      <c r="R104" s="23" t="n"/>
      <c r="S104" s="23" t="n"/>
      <c r="T104" s="23">
        <f>IF(AND(ISNUMBER(Q104),ISNUMBER(R104),R104&gt;0),Q104/R104,"")</f>
      </c>
      <c r="U104" s="23">
        <f>IF(AND(D104="MEMBER",ISNUMBER(Q104),ISNUMBER(R104),R104&gt;0),1,0)</f>
        <v>0</v>
      </c>
      <c r="V104" s="23" t="inlineStr">
        <is>
          <t>EV_SRC_JAM_1404_001_p62</t>
        </is>
      </c>
      <c r="W104" s="23" t="inlineStr">
        <is>
          <t>62</t>
        </is>
      </c>
      <c r="X104" s="23" t="inlineStr">
        <is>
          <t>تاییدشده</t>
        </is>
      </c>
      <c r="Y104" s="23" t="inlineStr">
        <is>
          <t>دبیر؛ عضو شمرده نشد</t>
        </is>
      </c>
    </row>
    <row r="105" ht="20" customHeight="1" s="76">
      <c r="A105" s="25" t="inlineStr">
        <is>
          <t>AC40-جم-03</t>
        </is>
      </c>
      <c r="B105" s="25" t="inlineStr">
        <is>
          <t>جم</t>
        </is>
      </c>
      <c r="C105" s="25" t="inlineStr">
        <is>
          <t>عضو کمیته</t>
        </is>
      </c>
      <c r="D105" s="25" t="inlineStr">
        <is>
          <t>MEMBER</t>
        </is>
      </c>
      <c r="E105" s="25" t="inlineStr">
        <is>
          <t>منوچهر کاظمی</t>
        </is>
      </c>
      <c r="F105" s="25" t="n"/>
      <c r="G105" s="25" t="inlineStr">
        <is>
          <t>N</t>
        </is>
      </c>
      <c r="H105" s="25" t="n"/>
      <c r="I105" s="25" t="n"/>
      <c r="J105" s="25" t="inlineStr">
        <is>
          <t>U</t>
        </is>
      </c>
      <c r="K105" s="25" t="n"/>
      <c r="L105" s="25" t="inlineStr">
        <is>
          <t>UNK</t>
        </is>
      </c>
      <c r="M105" s="25" t="inlineStr">
        <is>
          <t>فقط نام</t>
        </is>
      </c>
      <c r="N105" s="25" t="n">
        <v>0</v>
      </c>
      <c r="O105" s="25" t="n"/>
      <c r="P105" s="25" t="n"/>
      <c r="Q105" s="25" t="n"/>
      <c r="R105" s="25" t="n"/>
      <c r="S105" s="25" t="n"/>
      <c r="T105" s="25">
        <f>IF(AND(ISNUMBER(Q105),ISNUMBER(R105),R105&gt;0),Q105/R105,"")</f>
      </c>
      <c r="U105" s="25">
        <f>IF(AND(D105="MEMBER",ISNUMBER(Q105),ISNUMBER(R105),R105&gt;0),1,0)</f>
        <v>0</v>
      </c>
      <c r="V105" s="25" t="inlineStr">
        <is>
          <t>EV_SRC_JAM_1404_001_p62</t>
        </is>
      </c>
      <c r="W105" s="25" t="inlineStr">
        <is>
          <t>62</t>
        </is>
      </c>
      <c r="X105" s="25" t="inlineStr">
        <is>
          <t>تاییدشده</t>
        </is>
      </c>
      <c r="Y105" s="25" t="n"/>
    </row>
    <row r="106" ht="29" customHeight="1" s="76">
      <c r="A106" s="23" t="inlineStr">
        <is>
          <t>AC40-جم-04</t>
        </is>
      </c>
      <c r="B106" s="23" t="inlineStr">
        <is>
          <t>جم</t>
        </is>
      </c>
      <c r="C106" s="23" t="inlineStr">
        <is>
          <t>عضو کمیته</t>
        </is>
      </c>
      <c r="D106" s="23" t="inlineStr">
        <is>
          <t>MEMBER</t>
        </is>
      </c>
      <c r="E106" s="23" t="inlineStr">
        <is>
          <t>مهدی رضایی</t>
        </is>
      </c>
      <c r="F106" s="23" t="n"/>
      <c r="G106" s="23" t="inlineStr">
        <is>
          <t>N</t>
        </is>
      </c>
      <c r="H106" s="23" t="n"/>
      <c r="I106" s="23" t="n"/>
      <c r="J106" s="23" t="inlineStr">
        <is>
          <t>U</t>
        </is>
      </c>
      <c r="K106" s="23" t="inlineStr">
        <is>
          <t>دکترای حسابداری (ارجاع به گزارش پارس ص۳۶)</t>
        </is>
      </c>
      <c r="L106" s="23" t="inlineStr">
        <is>
          <t>ACCT</t>
        </is>
      </c>
      <c r="M106" s="23" t="inlineStr">
        <is>
          <t>گزارش پارس ص۳۶: عضو کمیته حسابرسی جم/نوری؛ دکترای حسابداری</t>
        </is>
      </c>
      <c r="N106" s="23" t="n">
        <v>1</v>
      </c>
      <c r="O106" s="23" t="n"/>
      <c r="P106" s="23" t="n"/>
      <c r="Q106" s="23" t="n"/>
      <c r="R106" s="23" t="n"/>
      <c r="S106" s="23" t="n"/>
      <c r="T106" s="23">
        <f>IF(AND(ISNUMBER(Q106),ISNUMBER(R106),R106&gt;0),Q106/R106,"")</f>
      </c>
      <c r="U106" s="23">
        <f>IF(AND(D106="MEMBER",ISNUMBER(Q106),ISNUMBER(R106),R106&gt;0),1,0)</f>
        <v>0</v>
      </c>
      <c r="V106" s="23" t="inlineStr">
        <is>
          <t>EV_SRC_JAM_1404_001_p62</t>
        </is>
      </c>
      <c r="W106" s="23" t="inlineStr">
        <is>
          <t>62+PARS36</t>
        </is>
      </c>
      <c r="X106" s="23" t="inlineStr">
        <is>
          <t>تاییدشده</t>
        </is>
      </c>
      <c r="Y106" s="23" t="inlineStr">
        <is>
          <t>شواهد تخصص از سند شرکت دیگر با تصریح عضویت همزمان در جم</t>
        </is>
      </c>
    </row>
    <row r="107" ht="20" customHeight="1" s="76">
      <c r="A107" s="25" t="inlineStr">
        <is>
          <t>AC40-جم-05</t>
        </is>
      </c>
      <c r="B107" s="25" t="inlineStr">
        <is>
          <t>جم</t>
        </is>
      </c>
      <c r="C107" s="25" t="inlineStr">
        <is>
          <t>عضو کمیته</t>
        </is>
      </c>
      <c r="D107" s="25" t="inlineStr">
        <is>
          <t>MEMBER</t>
        </is>
      </c>
      <c r="E107" s="25" t="inlineStr">
        <is>
          <t>مجید همتی</t>
        </is>
      </c>
      <c r="F107" s="25" t="n"/>
      <c r="G107" s="25" t="inlineStr">
        <is>
          <t>N</t>
        </is>
      </c>
      <c r="H107" s="25" t="n"/>
      <c r="I107" s="25" t="n"/>
      <c r="J107" s="25" t="inlineStr">
        <is>
          <t>U</t>
        </is>
      </c>
      <c r="K107" s="25" t="n"/>
      <c r="L107" s="25" t="inlineStr">
        <is>
          <t>UNK</t>
        </is>
      </c>
      <c r="M107" s="25" t="inlineStr">
        <is>
          <t>فقط نام</t>
        </is>
      </c>
      <c r="N107" s="25" t="n">
        <v>0</v>
      </c>
      <c r="O107" s="25" t="n"/>
      <c r="P107" s="25" t="n"/>
      <c r="Q107" s="25" t="n"/>
      <c r="R107" s="25" t="n"/>
      <c r="S107" s="25" t="n"/>
      <c r="T107" s="25">
        <f>IF(AND(ISNUMBER(Q107),ISNUMBER(R107),R107&gt;0),Q107/R107,"")</f>
      </c>
      <c r="U107" s="25">
        <f>IF(AND(D107="MEMBER",ISNUMBER(Q107),ISNUMBER(R107),R107&gt;0),1,0)</f>
        <v>0</v>
      </c>
      <c r="V107" s="25" t="inlineStr">
        <is>
          <t>EV_SRC_JAM_1404_001_p62</t>
        </is>
      </c>
      <c r="W107" s="25" t="inlineStr">
        <is>
          <t>62</t>
        </is>
      </c>
      <c r="X107" s="25" t="inlineStr">
        <is>
          <t>تاییدشده</t>
        </is>
      </c>
      <c r="Y107" s="25" t="n"/>
    </row>
    <row r="108" ht="29" customHeight="1" s="76">
      <c r="A108" s="23" t="inlineStr">
        <is>
          <t>AC40-جم-06</t>
        </is>
      </c>
      <c r="B108" s="23" t="inlineStr">
        <is>
          <t>جم</t>
        </is>
      </c>
      <c r="C108" s="23" t="inlineStr">
        <is>
          <t>عضو کمیته</t>
        </is>
      </c>
      <c r="D108" s="23" t="inlineStr">
        <is>
          <t>MEMBER</t>
        </is>
      </c>
      <c r="E108" s="23" t="inlineStr">
        <is>
          <t>فلورا کریمی</t>
        </is>
      </c>
      <c r="F108" s="23" t="n"/>
      <c r="G108" s="23" t="inlineStr">
        <is>
          <t>N</t>
        </is>
      </c>
      <c r="H108" s="23" t="n"/>
      <c r="I108" s="23" t="n"/>
      <c r="J108" s="23" t="inlineStr">
        <is>
          <t>U</t>
        </is>
      </c>
      <c r="K108" s="23" t="n"/>
      <c r="L108" s="23" t="inlineStr">
        <is>
          <t>UNK</t>
        </is>
      </c>
      <c r="M108" s="23" t="inlineStr">
        <is>
          <t>فقط نام (گزارش پارس: ارشد اقتصاد)</t>
        </is>
      </c>
      <c r="N108" s="23" t="n">
        <v>0</v>
      </c>
      <c r="O108" s="23" t="n"/>
      <c r="P108" s="23" t="n"/>
      <c r="Q108" s="23" t="n"/>
      <c r="R108" s="23" t="n"/>
      <c r="S108" s="23" t="n"/>
      <c r="T108" s="23">
        <f>IF(AND(ISNUMBER(Q108),ISNUMBER(R108),R108&gt;0),Q108/R108,"")</f>
      </c>
      <c r="U108" s="23">
        <f>IF(AND(D108="MEMBER",ISNUMBER(Q108),ISNUMBER(R108),R108&gt;0),1,0)</f>
        <v>0</v>
      </c>
      <c r="V108" s="23" t="inlineStr">
        <is>
          <t>EV_SRC_JAM_1404_001_p62</t>
        </is>
      </c>
      <c r="W108" s="23" t="inlineStr">
        <is>
          <t>62</t>
        </is>
      </c>
      <c r="X108" s="23" t="inlineStr">
        <is>
          <t>تاییدشده</t>
        </is>
      </c>
      <c r="Y108" s="23" t="inlineStr">
        <is>
          <t>هویت با فلورا کریمی پارس بدون تصریح یکسان نشد</t>
        </is>
      </c>
    </row>
    <row r="109" ht="29" customHeight="1" s="76">
      <c r="A109" s="25" t="inlineStr">
        <is>
          <t>AC40-ومعادن-01</t>
        </is>
      </c>
      <c r="B109" s="25" t="inlineStr">
        <is>
          <t>ومعادن</t>
        </is>
      </c>
      <c r="C109" s="25" t="inlineStr">
        <is>
          <t>رئیس کمیته</t>
        </is>
      </c>
      <c r="D109" s="25" t="inlineStr">
        <is>
          <t>MEMBER</t>
        </is>
      </c>
      <c r="E109" s="25" t="inlineStr">
        <is>
          <t>محمدرضا درخشنده</t>
        </is>
      </c>
      <c r="F109" s="25" t="inlineStr">
        <is>
          <t>عضو هیئت‌مدیره (v22)</t>
        </is>
      </c>
      <c r="G109" s="25" t="inlineStr">
        <is>
          <t>Y</t>
        </is>
      </c>
      <c r="H109" s="25" t="n"/>
      <c r="I109" s="25" t="n"/>
      <c r="J109" s="25" t="inlineStr">
        <is>
          <t>U</t>
        </is>
      </c>
      <c r="K109" s="25" t="inlineStr">
        <is>
          <t>کارشناسی ارشد حسابداری</t>
        </is>
      </c>
      <c r="L109" s="25" t="inlineStr">
        <is>
          <t>ACCT</t>
        </is>
      </c>
      <c r="M109" s="25" t="inlineStr">
        <is>
          <t>معاون مالی و اقتصادی صدرتامین؛ مدیر سرمایه‌گذاری</t>
        </is>
      </c>
      <c r="N109" s="25" t="n">
        <v>1</v>
      </c>
      <c r="O109" s="25" t="inlineStr">
        <is>
          <t>1403/02/02</t>
        </is>
      </c>
      <c r="P109" s="25" t="n"/>
      <c r="Q109" s="25" t="n">
        <v>10</v>
      </c>
      <c r="R109" s="25" t="n">
        <v>10</v>
      </c>
      <c r="S109" s="25" t="inlineStr">
        <is>
          <t>صریح در سند</t>
        </is>
      </c>
      <c r="T109" s="25">
        <f>IF(AND(ISNUMBER(Q109),ISNUMBER(R109),R109&gt;0),Q109/R109,"")</f>
        <v>1</v>
      </c>
      <c r="U109" s="25">
        <f>IF(AND(D109="MEMBER",ISNUMBER(Q109),ISNUMBER(R109),R109&gt;0),1,0)</f>
        <v>1</v>
      </c>
      <c r="V109" s="25" t="inlineStr">
        <is>
          <t>EV_SRC_VMDN_1404_001_p44</t>
        </is>
      </c>
      <c r="W109" s="25" t="inlineStr">
        <is>
          <t>44</t>
        </is>
      </c>
      <c r="X109" s="25" t="inlineStr">
        <is>
          <t>تاییدشده</t>
        </is>
      </c>
      <c r="Y109" s="25" t="n"/>
    </row>
    <row r="110" ht="29" customHeight="1" s="76">
      <c r="A110" s="23" t="inlineStr">
        <is>
          <t>AC40-ومعادن-02</t>
        </is>
      </c>
      <c r="B110" s="23" t="inlineStr">
        <is>
          <t>ومعادن</t>
        </is>
      </c>
      <c r="C110" s="23" t="inlineStr">
        <is>
          <t>عضو کمیته</t>
        </is>
      </c>
      <c r="D110" s="23" t="inlineStr">
        <is>
          <t>MEMBER</t>
        </is>
      </c>
      <c r="E110" s="23" t="inlineStr">
        <is>
          <t>غلامرضا روزبهانی</t>
        </is>
      </c>
      <c r="F110" s="23" t="n"/>
      <c r="G110" s="23" t="inlineStr">
        <is>
          <t>N</t>
        </is>
      </c>
      <c r="H110" s="23" t="n"/>
      <c r="I110" s="23" t="n"/>
      <c r="J110" s="23" t="inlineStr">
        <is>
          <t>U</t>
        </is>
      </c>
      <c r="K110" s="23" t="inlineStr">
        <is>
          <t>کارشناسی ارشد حسابداری</t>
        </is>
      </c>
      <c r="L110" s="23" t="inlineStr">
        <is>
          <t>ACCT</t>
        </is>
      </c>
      <c r="M110" s="23" t="inlineStr">
        <is>
          <t>رئیس هیئت‌مدیره شرکت‌های فولاد؛ مدیر مالی؛ حسابرس</t>
        </is>
      </c>
      <c r="N110" s="23" t="n">
        <v>1</v>
      </c>
      <c r="O110" s="23" t="inlineStr">
        <is>
          <t>1400/02/12</t>
        </is>
      </c>
      <c r="P110" s="23" t="n"/>
      <c r="Q110" s="23" t="n">
        <v>10</v>
      </c>
      <c r="R110" s="23" t="n">
        <v>10</v>
      </c>
      <c r="S110" s="23" t="inlineStr">
        <is>
          <t>صریح در سند</t>
        </is>
      </c>
      <c r="T110" s="23">
        <f>IF(AND(ISNUMBER(Q110),ISNUMBER(R110),R110&gt;0),Q110/R110,"")</f>
        <v>1</v>
      </c>
      <c r="U110" s="23">
        <f>IF(AND(D110="MEMBER",ISNUMBER(Q110),ISNUMBER(R110),R110&gt;0),1,0)</f>
        <v>1</v>
      </c>
      <c r="V110" s="23" t="inlineStr">
        <is>
          <t>EV_SRC_VMDN_1404_001_p44</t>
        </is>
      </c>
      <c r="W110" s="23" t="inlineStr">
        <is>
          <t>44</t>
        </is>
      </c>
      <c r="X110" s="23" t="inlineStr">
        <is>
          <t>تاییدشده</t>
        </is>
      </c>
      <c r="Y110" s="23" t="n"/>
    </row>
    <row r="111" ht="29" customHeight="1" s="76">
      <c r="A111" s="25" t="inlineStr">
        <is>
          <t>AC40-ومعادن-03</t>
        </is>
      </c>
      <c r="B111" s="25" t="inlineStr">
        <is>
          <t>ومعادن</t>
        </is>
      </c>
      <c r="C111" s="25" t="inlineStr">
        <is>
          <t>عضو کمیته</t>
        </is>
      </c>
      <c r="D111" s="25" t="inlineStr">
        <is>
          <t>MEMBER</t>
        </is>
      </c>
      <c r="E111" s="25" t="inlineStr">
        <is>
          <t>سعید عبودی</t>
        </is>
      </c>
      <c r="F111" s="25" t="n"/>
      <c r="G111" s="25" t="inlineStr">
        <is>
          <t>N</t>
        </is>
      </c>
      <c r="H111" s="25" t="n"/>
      <c r="I111" s="25" t="n"/>
      <c r="J111" s="25" t="inlineStr">
        <is>
          <t>U</t>
        </is>
      </c>
      <c r="K111" s="25" t="inlineStr">
        <is>
          <t>کارشناسی مدیریت</t>
        </is>
      </c>
      <c r="L111" s="25" t="inlineStr">
        <is>
          <t>UNK</t>
        </is>
      </c>
      <c r="M111" s="25" t="inlineStr">
        <is>
          <t>مشاور و بازرس؛ مدیرعامل شرکت؛ بدون شاهد مالی صریح</t>
        </is>
      </c>
      <c r="N111" s="25" t="n">
        <v>0</v>
      </c>
      <c r="O111" s="25" t="inlineStr">
        <is>
          <t>1394/08/17</t>
        </is>
      </c>
      <c r="P111" s="25" t="n"/>
      <c r="Q111" s="25" t="n">
        <v>10</v>
      </c>
      <c r="R111" s="25" t="n">
        <v>10</v>
      </c>
      <c r="S111" s="25" t="inlineStr">
        <is>
          <t>صریح در سند</t>
        </is>
      </c>
      <c r="T111" s="25">
        <f>IF(AND(ISNUMBER(Q111),ISNUMBER(R111),R111&gt;0),Q111/R111,"")</f>
        <v>1</v>
      </c>
      <c r="U111" s="25">
        <f>IF(AND(D111="MEMBER",ISNUMBER(Q111),ISNUMBER(R111),R111&gt;0),1,0)</f>
        <v>1</v>
      </c>
      <c r="V111" s="25" t="inlineStr">
        <is>
          <t>EV_SRC_VMDN_1404_001_p45</t>
        </is>
      </c>
      <c r="W111" s="25" t="inlineStr">
        <is>
          <t>45</t>
        </is>
      </c>
      <c r="X111" s="25" t="inlineStr">
        <is>
          <t>تاییدشده</t>
        </is>
      </c>
      <c r="Y111" s="25" t="n"/>
    </row>
    <row r="112" ht="29" customHeight="1" s="76">
      <c r="A112" s="23" t="inlineStr">
        <is>
          <t>AC40-ومعادن-04</t>
        </is>
      </c>
      <c r="B112" s="23" t="inlineStr">
        <is>
          <t>ومعادن</t>
        </is>
      </c>
      <c r="C112" s="23" t="inlineStr">
        <is>
          <t>عضو کمیته</t>
        </is>
      </c>
      <c r="D112" s="23" t="inlineStr">
        <is>
          <t>MEMBER</t>
        </is>
      </c>
      <c r="E112" s="23" t="inlineStr">
        <is>
          <t>رسول پورسعادت</t>
        </is>
      </c>
      <c r="F112" s="23" t="n"/>
      <c r="G112" s="23" t="inlineStr">
        <is>
          <t>N</t>
        </is>
      </c>
      <c r="H112" s="23" t="n"/>
      <c r="I112" s="23" t="n"/>
      <c r="J112" s="23" t="inlineStr">
        <is>
          <t>U</t>
        </is>
      </c>
      <c r="K112" s="23" t="inlineStr">
        <is>
          <t>دکتری مدیریت کسب‌وکار</t>
        </is>
      </c>
      <c r="L112" s="23" t="inlineStr">
        <is>
          <t>FIN_EXP</t>
        </is>
      </c>
      <c r="M112" s="23" t="inlineStr">
        <is>
          <t>مدیر حسابرسی داخلی و دبیر کمیته حسابرسی فولاد مبارکه؛ رئیس کمیته ریسک</t>
        </is>
      </c>
      <c r="N112" s="23" t="n">
        <v>1</v>
      </c>
      <c r="O112" s="23" t="inlineStr">
        <is>
          <t>1403/05/14</t>
        </is>
      </c>
      <c r="P112" s="23" t="n"/>
      <c r="Q112" s="23" t="n">
        <v>10</v>
      </c>
      <c r="R112" s="23" t="n">
        <v>10</v>
      </c>
      <c r="S112" s="23" t="inlineStr">
        <is>
          <t>صریح در سند</t>
        </is>
      </c>
      <c r="T112" s="23">
        <f>IF(AND(ISNUMBER(Q112),ISNUMBER(R112),R112&gt;0),Q112/R112,"")</f>
        <v>1</v>
      </c>
      <c r="U112" s="23">
        <f>IF(AND(D112="MEMBER",ISNUMBER(Q112),ISNUMBER(R112),R112&gt;0),1,0)</f>
        <v>1</v>
      </c>
      <c r="V112" s="23" t="inlineStr">
        <is>
          <t>EV_SRC_VMDN_1404_001_p45</t>
        </is>
      </c>
      <c r="W112" s="23" t="inlineStr">
        <is>
          <t>45</t>
        </is>
      </c>
      <c r="X112" s="23" t="inlineStr">
        <is>
          <t>تاییدشده</t>
        </is>
      </c>
      <c r="Y112" s="23" t="n"/>
    </row>
    <row r="113" ht="29" customHeight="1" s="76">
      <c r="A113" s="25" t="inlineStr">
        <is>
          <t>AC40-ومعادن-05</t>
        </is>
      </c>
      <c r="B113" s="25" t="inlineStr">
        <is>
          <t>ومعادن</t>
        </is>
      </c>
      <c r="C113" s="25" t="inlineStr">
        <is>
          <t>عضو کمیته</t>
        </is>
      </c>
      <c r="D113" s="25" t="inlineStr">
        <is>
          <t>MEMBER</t>
        </is>
      </c>
      <c r="E113" s="25" t="inlineStr">
        <is>
          <t>محسن غلامرضایی</t>
        </is>
      </c>
      <c r="F113" s="25" t="n"/>
      <c r="G113" s="25" t="inlineStr">
        <is>
          <t>N</t>
        </is>
      </c>
      <c r="H113" s="25" t="n"/>
      <c r="I113" s="25" t="n"/>
      <c r="J113" s="25" t="inlineStr">
        <is>
          <t>U</t>
        </is>
      </c>
      <c r="K113" s="25" t="inlineStr">
        <is>
          <t>دکتری حسابداری</t>
        </is>
      </c>
      <c r="L113" s="25" t="inlineStr">
        <is>
          <t>ACCT</t>
        </is>
      </c>
      <c r="M113" s="25" t="inlineStr">
        <is>
          <t>دبیر کمیته آموزش و تحقیقات سازمان حسابرسی؛ عضو جامعه حسابداران رسمی</t>
        </is>
      </c>
      <c r="N113" s="25" t="n">
        <v>1</v>
      </c>
      <c r="O113" s="25" t="inlineStr">
        <is>
          <t>1395/06/28</t>
        </is>
      </c>
      <c r="P113" s="25" t="n"/>
      <c r="Q113" s="25" t="n">
        <v>10</v>
      </c>
      <c r="R113" s="25" t="n">
        <v>10</v>
      </c>
      <c r="S113" s="25" t="inlineStr">
        <is>
          <t>صریح در سند</t>
        </is>
      </c>
      <c r="T113" s="25">
        <f>IF(AND(ISNUMBER(Q113),ISNUMBER(R113),R113&gt;0),Q113/R113,"")</f>
        <v>1</v>
      </c>
      <c r="U113" s="25">
        <f>IF(AND(D113="MEMBER",ISNUMBER(Q113),ISNUMBER(R113),R113&gt;0),1,0)</f>
        <v>1</v>
      </c>
      <c r="V113" s="25" t="inlineStr">
        <is>
          <t>EV_SRC_VMDN_1404_001_p45</t>
        </is>
      </c>
      <c r="W113" s="25" t="inlineStr">
        <is>
          <t>45</t>
        </is>
      </c>
      <c r="X113" s="25" t="inlineStr">
        <is>
          <t>تاییدشده</t>
        </is>
      </c>
      <c r="Y113" s="25" t="n"/>
    </row>
    <row r="114" ht="29" customHeight="1" s="76">
      <c r="A114" s="23" t="inlineStr">
        <is>
          <t>AC40-ومعادن-06</t>
        </is>
      </c>
      <c r="B114" s="23" t="inlineStr">
        <is>
          <t>ومعادن</t>
        </is>
      </c>
      <c r="C114" s="23" t="inlineStr">
        <is>
          <t>دبیر کمیته</t>
        </is>
      </c>
      <c r="D114" s="23" t="inlineStr">
        <is>
          <t>SECRETARY</t>
        </is>
      </c>
      <c r="E114" s="23" t="inlineStr">
        <is>
          <t>اعظم دانشی</t>
        </is>
      </c>
      <c r="F114" s="23" t="n"/>
      <c r="G114" s="23" t="inlineStr">
        <is>
          <t>N</t>
        </is>
      </c>
      <c r="H114" s="23" t="n"/>
      <c r="I114" s="23" t="n"/>
      <c r="J114" s="23" t="inlineStr">
        <is>
          <t>U</t>
        </is>
      </c>
      <c r="K114" s="23" t="inlineStr">
        <is>
          <t>کارشناسی ارشد حسابداری</t>
        </is>
      </c>
      <c r="L114" s="23" t="inlineStr">
        <is>
          <t>ACCT</t>
        </is>
      </c>
      <c r="M114" s="23" t="inlineStr">
        <is>
          <t>بیش از ۱۵ سال حسابرسی داخلی؛ موسسه حسابرسی</t>
        </is>
      </c>
      <c r="N114" s="23" t="n">
        <v>1</v>
      </c>
      <c r="O114" s="23" t="inlineStr">
        <is>
          <t>1401/06/20</t>
        </is>
      </c>
      <c r="P114" s="23" t="n"/>
      <c r="Q114" s="23" t="n">
        <v>10</v>
      </c>
      <c r="R114" s="23" t="n">
        <v>10</v>
      </c>
      <c r="S114" s="23" t="inlineStr">
        <is>
          <t>صریح در سند</t>
        </is>
      </c>
      <c r="T114" s="23">
        <f>IF(AND(ISNUMBER(Q114),ISNUMBER(R114),R114&gt;0),Q114/R114,"")</f>
        <v>1</v>
      </c>
      <c r="U114" s="23">
        <f>IF(AND(D114="MEMBER",ISNUMBER(Q114),ISNUMBER(R114),R114&gt;0),1,0)</f>
        <v>0</v>
      </c>
      <c r="V114" s="23" t="inlineStr">
        <is>
          <t>EV_SRC_VMDN_1404_001_p45</t>
        </is>
      </c>
      <c r="W114" s="23" t="inlineStr">
        <is>
          <t>45</t>
        </is>
      </c>
      <c r="X114" s="23" t="inlineStr">
        <is>
          <t>تاییدشده</t>
        </is>
      </c>
      <c r="Y114" s="23" t="inlineStr">
        <is>
          <t>دبیر؛ عضو شمرده نشد</t>
        </is>
      </c>
    </row>
    <row r="115" ht="29" customHeight="1" s="76">
      <c r="A115" s="25" t="inlineStr">
        <is>
          <t>AC40-وامید-01</t>
        </is>
      </c>
      <c r="B115" s="25" t="inlineStr">
        <is>
          <t>وامید</t>
        </is>
      </c>
      <c r="C115" s="25" t="inlineStr">
        <is>
          <t>رئیس کمیته</t>
        </is>
      </c>
      <c r="D115" s="25" t="inlineStr">
        <is>
          <t>MEMBER</t>
        </is>
      </c>
      <c r="E115" s="25" t="inlineStr">
        <is>
          <t>سیدمصطفی سیدهاشمی</t>
        </is>
      </c>
      <c r="F115" s="25" t="inlineStr">
        <is>
          <t>عضو غیرموظف هیئت‌مدیره</t>
        </is>
      </c>
      <c r="G115" s="25" t="inlineStr">
        <is>
          <t>Y</t>
        </is>
      </c>
      <c r="H115" s="25" t="inlineStr">
        <is>
          <t>عضو غیرموظف هیئت‌مدیره: بله</t>
        </is>
      </c>
      <c r="I115" s="25" t="inlineStr">
        <is>
          <t>عضو مستقل: خیر</t>
        </is>
      </c>
      <c r="J115" s="25" t="inlineStr">
        <is>
          <t>N</t>
        </is>
      </c>
      <c r="K115" s="25" t="inlineStr">
        <is>
          <t>کارشناسی ارشد توسعه اقتصادی و برنامه‌ریزی</t>
        </is>
      </c>
      <c r="L115" s="25" t="inlineStr">
        <is>
          <t>FIN</t>
        </is>
      </c>
      <c r="M115" s="25" t="inlineStr">
        <is>
          <t>ستون عضو مالی: بله (برچسب منبع)؛ رشته اقتصاد</t>
        </is>
      </c>
      <c r="N115" s="25" t="n">
        <v>1</v>
      </c>
      <c r="O115" s="25" t="inlineStr">
        <is>
          <t>1402/10/16</t>
        </is>
      </c>
      <c r="P115" s="25" t="n"/>
      <c r="Q115" s="25" t="n">
        <v>19</v>
      </c>
      <c r="R115" s="25" t="n">
        <v>19</v>
      </c>
      <c r="S115" s="25" t="inlineStr">
        <is>
          <t>صریح در سند</t>
        </is>
      </c>
      <c r="T115" s="25">
        <f>IF(AND(ISNUMBER(Q115),ISNUMBER(R115),R115&gt;0),Q115/R115,"")</f>
        <v>1</v>
      </c>
      <c r="U115" s="25">
        <f>IF(AND(D115="MEMBER",ISNUMBER(Q115),ISNUMBER(R115),R115&gt;0),1,0)</f>
        <v>1</v>
      </c>
      <c r="V115" s="25" t="inlineStr">
        <is>
          <t>EV_SRC_VAMD_1404_001_p73</t>
        </is>
      </c>
      <c r="W115" s="25" t="inlineStr">
        <is>
          <t>73</t>
        </is>
      </c>
      <c r="X115" s="25" t="inlineStr">
        <is>
          <t>تاییدشده</t>
        </is>
      </c>
      <c r="Y115" s="25" t="n"/>
    </row>
    <row r="116" ht="29" customHeight="1" s="76">
      <c r="A116" s="23" t="inlineStr">
        <is>
          <t>AC40-وامید-02</t>
        </is>
      </c>
      <c r="B116" s="23" t="inlineStr">
        <is>
          <t>وامید</t>
        </is>
      </c>
      <c r="C116" s="23" t="inlineStr">
        <is>
          <t>عضو کمیته</t>
        </is>
      </c>
      <c r="D116" s="23" t="inlineStr">
        <is>
          <t>MEMBER</t>
        </is>
      </c>
      <c r="E116" s="23" t="inlineStr">
        <is>
          <t>محمدرضا صادقی مقدم</t>
        </is>
      </c>
      <c r="F116" s="23" t="n"/>
      <c r="G116" s="23" t="inlineStr">
        <is>
          <t>N</t>
        </is>
      </c>
      <c r="H116" s="23" t="inlineStr">
        <is>
          <t>عضو غیرموظف هیئت‌مدیره: خیر</t>
        </is>
      </c>
      <c r="I116" s="23" t="inlineStr">
        <is>
          <t>عضو مستقل: بله</t>
        </is>
      </c>
      <c r="J116" s="23" t="inlineStr">
        <is>
          <t>Y</t>
        </is>
      </c>
      <c r="K116" s="23" t="inlineStr">
        <is>
          <t>دکتری مدیریت تولید و عملیات</t>
        </is>
      </c>
      <c r="L116" s="23" t="inlineStr">
        <is>
          <t>FIN</t>
        </is>
      </c>
      <c r="M116" s="23" t="inlineStr">
        <is>
          <t>ستون عضو مالی: بله؛ رئیس هیئت‌مدیره مدیریت سرمایه‌گذاری ملی</t>
        </is>
      </c>
      <c r="N116" s="23" t="n">
        <v>1</v>
      </c>
      <c r="O116" s="23" t="inlineStr">
        <is>
          <t>1403/02/11</t>
        </is>
      </c>
      <c r="P116" s="23" t="n"/>
      <c r="Q116" s="23" t="n">
        <v>19</v>
      </c>
      <c r="R116" s="23" t="n">
        <v>19</v>
      </c>
      <c r="S116" s="23" t="inlineStr">
        <is>
          <t>صریح در سند</t>
        </is>
      </c>
      <c r="T116" s="23">
        <f>IF(AND(ISNUMBER(Q116),ISNUMBER(R116),R116&gt;0),Q116/R116,"")</f>
        <v>1</v>
      </c>
      <c r="U116" s="23">
        <f>IF(AND(D116="MEMBER",ISNUMBER(Q116),ISNUMBER(R116),R116&gt;0),1,0)</f>
        <v>1</v>
      </c>
      <c r="V116" s="23" t="inlineStr">
        <is>
          <t>EV_SRC_VAMD_1404_001_p73</t>
        </is>
      </c>
      <c r="W116" s="23" t="inlineStr">
        <is>
          <t>73</t>
        </is>
      </c>
      <c r="X116" s="23" t="inlineStr">
        <is>
          <t>تاییدشده</t>
        </is>
      </c>
      <c r="Y116" s="23" t="n"/>
    </row>
    <row r="117" ht="29" customHeight="1" s="76">
      <c r="A117" s="25" t="inlineStr">
        <is>
          <t>AC40-وامید-03</t>
        </is>
      </c>
      <c r="B117" s="25" t="inlineStr">
        <is>
          <t>وامید</t>
        </is>
      </c>
      <c r="C117" s="25" t="inlineStr">
        <is>
          <t>عضو کمیته</t>
        </is>
      </c>
      <c r="D117" s="25" t="inlineStr">
        <is>
          <t>MEMBER</t>
        </is>
      </c>
      <c r="E117" s="25" t="inlineStr">
        <is>
          <t>مرتضی درویشی</t>
        </is>
      </c>
      <c r="F117" s="25" t="n"/>
      <c r="G117" s="25" t="inlineStr">
        <is>
          <t>N</t>
        </is>
      </c>
      <c r="H117" s="25" t="inlineStr">
        <is>
          <t>عضو غیرموظف هیئت‌مدیره: خیر</t>
        </is>
      </c>
      <c r="I117" s="25" t="inlineStr">
        <is>
          <t>عضو مستقل: خیر</t>
        </is>
      </c>
      <c r="J117" s="25" t="inlineStr">
        <is>
          <t>N</t>
        </is>
      </c>
      <c r="K117" s="25" t="inlineStr">
        <is>
          <t>دکتری حسابداری</t>
        </is>
      </c>
      <c r="L117" s="25" t="inlineStr">
        <is>
          <t>ACCT</t>
        </is>
      </c>
      <c r="M117" s="25" t="inlineStr">
        <is>
          <t>ستون عضو مالی: بله؛ کارشناس رسمی دادگستری</t>
        </is>
      </c>
      <c r="N117" s="25" t="n">
        <v>1</v>
      </c>
      <c r="O117" s="25" t="inlineStr">
        <is>
          <t>1401/02/06</t>
        </is>
      </c>
      <c r="P117" s="25" t="n"/>
      <c r="Q117" s="25" t="n">
        <v>19</v>
      </c>
      <c r="R117" s="25" t="n">
        <v>19</v>
      </c>
      <c r="S117" s="25" t="inlineStr">
        <is>
          <t>صریح در سند</t>
        </is>
      </c>
      <c r="T117" s="25">
        <f>IF(AND(ISNUMBER(Q117),ISNUMBER(R117),R117&gt;0),Q117/R117,"")</f>
        <v>1</v>
      </c>
      <c r="U117" s="25">
        <f>IF(AND(D117="MEMBER",ISNUMBER(Q117),ISNUMBER(R117),R117&gt;0),1,0)</f>
        <v>1</v>
      </c>
      <c r="V117" s="25" t="inlineStr">
        <is>
          <t>EV_SRC_VAMD_1404_001_p73</t>
        </is>
      </c>
      <c r="W117" s="25" t="inlineStr">
        <is>
          <t>73</t>
        </is>
      </c>
      <c r="X117" s="25" t="inlineStr">
        <is>
          <t>تاییدشده</t>
        </is>
      </c>
      <c r="Y117" s="25" t="n"/>
    </row>
    <row r="118" ht="29" customHeight="1" s="76">
      <c r="A118" s="23" t="inlineStr">
        <is>
          <t>AC40-وامید-04</t>
        </is>
      </c>
      <c r="B118" s="23" t="inlineStr">
        <is>
          <t>وامید</t>
        </is>
      </c>
      <c r="C118" s="23" t="inlineStr">
        <is>
          <t>عضو کمیته</t>
        </is>
      </c>
      <c r="D118" s="23" t="inlineStr">
        <is>
          <t>MEMBER</t>
        </is>
      </c>
      <c r="E118" s="23" t="inlineStr">
        <is>
          <t>حمیدرضا خطیبی</t>
        </is>
      </c>
      <c r="F118" s="23" t="n"/>
      <c r="G118" s="23" t="inlineStr">
        <is>
          <t>N</t>
        </is>
      </c>
      <c r="H118" s="23" t="inlineStr">
        <is>
          <t>عضو غیرموظف هیئت‌مدیره: خیر</t>
        </is>
      </c>
      <c r="I118" s="23" t="inlineStr">
        <is>
          <t>عضو مستقل: بله</t>
        </is>
      </c>
      <c r="J118" s="23" t="inlineStr">
        <is>
          <t>Y</t>
        </is>
      </c>
      <c r="K118" s="23" t="inlineStr">
        <is>
          <t>کارشناسی ارشد مدیریت بانکی</t>
        </is>
      </c>
      <c r="L118" s="23" t="inlineStr">
        <is>
          <t>FIN</t>
        </is>
      </c>
      <c r="M118" s="23" t="inlineStr">
        <is>
          <t>ستون عضو مالی: بله؛ هیئت‌مدیره بانک سپه</t>
        </is>
      </c>
      <c r="N118" s="23" t="n">
        <v>1</v>
      </c>
      <c r="O118" s="23" t="inlineStr">
        <is>
          <t>1399/12/13</t>
        </is>
      </c>
      <c r="P118" s="23" t="n"/>
      <c r="Q118" s="23" t="n">
        <v>19</v>
      </c>
      <c r="R118" s="23" t="n">
        <v>19</v>
      </c>
      <c r="S118" s="23" t="inlineStr">
        <is>
          <t>صریح در سند</t>
        </is>
      </c>
      <c r="T118" s="23">
        <f>IF(AND(ISNUMBER(Q118),ISNUMBER(R118),R118&gt;0),Q118/R118,"")</f>
        <v>1</v>
      </c>
      <c r="U118" s="23">
        <f>IF(AND(D118="MEMBER",ISNUMBER(Q118),ISNUMBER(R118),R118&gt;0),1,0)</f>
        <v>1</v>
      </c>
      <c r="V118" s="23" t="inlineStr">
        <is>
          <t>EV_SRC_VAMD_1404_001_p73</t>
        </is>
      </c>
      <c r="W118" s="23" t="inlineStr">
        <is>
          <t>73</t>
        </is>
      </c>
      <c r="X118" s="23" t="inlineStr">
        <is>
          <t>تاییدشده</t>
        </is>
      </c>
      <c r="Y118" s="23" t="n"/>
    </row>
    <row r="119" ht="29" customHeight="1" s="76">
      <c r="A119" s="25" t="inlineStr">
        <is>
          <t>AC40-وامید-05</t>
        </is>
      </c>
      <c r="B119" s="25" t="inlineStr">
        <is>
          <t>وامید</t>
        </is>
      </c>
      <c r="C119" s="25" t="inlineStr">
        <is>
          <t>عضو کمیته</t>
        </is>
      </c>
      <c r="D119" s="25" t="inlineStr">
        <is>
          <t>MEMBER</t>
        </is>
      </c>
      <c r="E119" s="25" t="inlineStr">
        <is>
          <t>محسن خوش‌طینت نیک‌نیت</t>
        </is>
      </c>
      <c r="F119" s="25" t="n"/>
      <c r="G119" s="25" t="inlineStr">
        <is>
          <t>N</t>
        </is>
      </c>
      <c r="H119" s="25" t="inlineStr">
        <is>
          <t>عضو غیرموظف هیئت‌مدیره: خیر</t>
        </is>
      </c>
      <c r="I119" s="25" t="inlineStr">
        <is>
          <t>عضو مستقل: بله</t>
        </is>
      </c>
      <c r="J119" s="25" t="inlineStr">
        <is>
          <t>Y</t>
        </is>
      </c>
      <c r="K119" s="25" t="inlineStr">
        <is>
          <t>دکتری حسابداری</t>
        </is>
      </c>
      <c r="L119" s="25" t="inlineStr">
        <is>
          <t>ACCT</t>
        </is>
      </c>
      <c r="M119" s="25" t="inlineStr">
        <is>
          <t>ستون عضو مالی: بله؛ عضو کمیته حسابرسی شرکت‌های کارگزاری</t>
        </is>
      </c>
      <c r="N119" s="25" t="n">
        <v>1</v>
      </c>
      <c r="O119" s="25" t="inlineStr">
        <is>
          <t>1399/09/11</t>
        </is>
      </c>
      <c r="P119" s="25" t="n"/>
      <c r="Q119" s="25" t="n">
        <v>19</v>
      </c>
      <c r="R119" s="25" t="n">
        <v>19</v>
      </c>
      <c r="S119" s="25" t="inlineStr">
        <is>
          <t>صریح در سند</t>
        </is>
      </c>
      <c r="T119" s="25">
        <f>IF(AND(ISNUMBER(Q119),ISNUMBER(R119),R119&gt;0),Q119/R119,"")</f>
        <v>1</v>
      </c>
      <c r="U119" s="25">
        <f>IF(AND(D119="MEMBER",ISNUMBER(Q119),ISNUMBER(R119),R119&gt;0),1,0)</f>
        <v>1</v>
      </c>
      <c r="V119" s="25" t="inlineStr">
        <is>
          <t>EV_SRC_VAMD_1404_001_p73</t>
        </is>
      </c>
      <c r="W119" s="25" t="inlineStr">
        <is>
          <t>73</t>
        </is>
      </c>
      <c r="X119" s="25" t="inlineStr">
        <is>
          <t>تاییدشده</t>
        </is>
      </c>
      <c r="Y119" s="25" t="n"/>
    </row>
    <row r="120" ht="20" customHeight="1" s="76">
      <c r="A120" s="23" t="inlineStr">
        <is>
          <t>AC40-خساپا-01</t>
        </is>
      </c>
      <c r="B120" s="23" t="inlineStr">
        <is>
          <t>خساپا</t>
        </is>
      </c>
      <c r="C120" s="23" t="inlineStr">
        <is>
          <t>رئیس کمیته حسابرسی</t>
        </is>
      </c>
      <c r="D120" s="23" t="inlineStr">
        <is>
          <t>MEMBER</t>
        </is>
      </c>
      <c r="E120" s="23" t="inlineStr">
        <is>
          <t>کورش پرویزیان</t>
        </is>
      </c>
      <c r="F120" s="23" t="inlineStr">
        <is>
          <t>عضو هیئت‌مدیره</t>
        </is>
      </c>
      <c r="G120" s="23" t="inlineStr">
        <is>
          <t>Y</t>
        </is>
      </c>
      <c r="H120" s="23" t="n"/>
      <c r="I120" s="23" t="inlineStr">
        <is>
          <t>(برچسب استقلال ندارد)</t>
        </is>
      </c>
      <c r="J120" s="23" t="inlineStr">
        <is>
          <t>U</t>
        </is>
      </c>
      <c r="K120" s="23" t="n"/>
      <c r="L120" s="23" t="inlineStr">
        <is>
          <t>UNK</t>
        </is>
      </c>
      <c r="M120" s="23" t="inlineStr">
        <is>
          <t>تحصیل/سابقه در این صفحه نیست</t>
        </is>
      </c>
      <c r="N120" s="23" t="n">
        <v>0</v>
      </c>
      <c r="O120" s="23" t="inlineStr">
        <is>
          <t>1404/02/27</t>
        </is>
      </c>
      <c r="P120" s="23" t="n"/>
      <c r="Q120" s="23" t="n"/>
      <c r="R120" s="23" t="n"/>
      <c r="S120" s="23" t="n"/>
      <c r="T120" s="23">
        <f>IF(AND(ISNUMBER(Q120),ISNUMBER(R120),R120&gt;0),Q120/R120,"")</f>
      </c>
      <c r="U120" s="23">
        <f>IF(AND(D120="MEMBER",ISNUMBER(Q120),ISNUMBER(R120),R120&gt;0),1,0)</f>
        <v>0</v>
      </c>
      <c r="V120" s="23" t="inlineStr">
        <is>
          <t>EV_SRC_KHSP_1404_001_p49</t>
        </is>
      </c>
      <c r="W120" s="23" t="inlineStr">
        <is>
          <t>49</t>
        </is>
      </c>
      <c r="X120" s="23" t="inlineStr">
        <is>
          <t>تاییدشده</t>
        </is>
      </c>
      <c r="Y120" s="23" t="n"/>
    </row>
    <row r="121" ht="29" customHeight="1" s="76">
      <c r="A121" s="25" t="inlineStr">
        <is>
          <t>AC40-خساپا-02</t>
        </is>
      </c>
      <c r="B121" s="25" t="inlineStr">
        <is>
          <t>خساپا</t>
        </is>
      </c>
      <c r="C121" s="25" t="inlineStr">
        <is>
          <t>عضو مستقل کمیته حسابرسی</t>
        </is>
      </c>
      <c r="D121" s="25" t="inlineStr">
        <is>
          <t>MEMBER</t>
        </is>
      </c>
      <c r="E121" s="25" t="inlineStr">
        <is>
          <t>فریدون رهنمای رودپشتی</t>
        </is>
      </c>
      <c r="F121" s="25" t="n"/>
      <c r="G121" s="25" t="inlineStr">
        <is>
          <t>N</t>
        </is>
      </c>
      <c r="H121" s="25" t="n"/>
      <c r="I121" s="25" t="inlineStr">
        <is>
          <t>عضو مستقل کمیته حسابرسی (صریح در متن)</t>
        </is>
      </c>
      <c r="J121" s="25" t="inlineStr">
        <is>
          <t>Y</t>
        </is>
      </c>
      <c r="K121" s="25" t="n"/>
      <c r="L121" s="25" t="inlineStr">
        <is>
          <t>UNK</t>
        </is>
      </c>
      <c r="M121" s="25" t="inlineStr">
        <is>
          <t>تحصیل/سابقه در این صفحه نیست</t>
        </is>
      </c>
      <c r="N121" s="25" t="n">
        <v>0</v>
      </c>
      <c r="O121" s="25" t="inlineStr">
        <is>
          <t>1404/02/27</t>
        </is>
      </c>
      <c r="P121" s="25" t="n"/>
      <c r="Q121" s="25" t="n"/>
      <c r="R121" s="25" t="n"/>
      <c r="S121" s="25" t="n"/>
      <c r="T121" s="25">
        <f>IF(AND(ISNUMBER(Q121),ISNUMBER(R121),R121&gt;0),Q121/R121,"")</f>
      </c>
      <c r="U121" s="25">
        <f>IF(AND(D121="MEMBER",ISNUMBER(Q121),ISNUMBER(R121),R121&gt;0),1,0)</f>
        <v>0</v>
      </c>
      <c r="V121" s="25" t="inlineStr">
        <is>
          <t>EV_SRC_KHSP_1404_001_p49</t>
        </is>
      </c>
      <c r="W121" s="25" t="inlineStr">
        <is>
          <t>49</t>
        </is>
      </c>
      <c r="X121" s="25" t="inlineStr">
        <is>
          <t>تاییدشده</t>
        </is>
      </c>
      <c r="Y121" s="25" t="n"/>
    </row>
    <row r="122" ht="29" customHeight="1" s="76">
      <c r="A122" s="23" t="inlineStr">
        <is>
          <t>AC40-خساپا-03</t>
        </is>
      </c>
      <c r="B122" s="23" t="inlineStr">
        <is>
          <t>خساپا</t>
        </is>
      </c>
      <c r="C122" s="23" t="inlineStr">
        <is>
          <t>عضو مستقل کمیته حسابرسی</t>
        </is>
      </c>
      <c r="D122" s="23" t="inlineStr">
        <is>
          <t>MEMBER</t>
        </is>
      </c>
      <c r="E122" s="23" t="inlineStr">
        <is>
          <t>ابراهیم آقاپور</t>
        </is>
      </c>
      <c r="F122" s="23" t="n"/>
      <c r="G122" s="23" t="inlineStr">
        <is>
          <t>N</t>
        </is>
      </c>
      <c r="H122" s="23" t="n"/>
      <c r="I122" s="23" t="inlineStr">
        <is>
          <t>عضو مستقل کمیته حسابرسی (صریح در متن)</t>
        </is>
      </c>
      <c r="J122" s="23" t="inlineStr">
        <is>
          <t>Y</t>
        </is>
      </c>
      <c r="K122" s="23" t="n"/>
      <c r="L122" s="23" t="inlineStr">
        <is>
          <t>UNK</t>
        </is>
      </c>
      <c r="M122" s="23" t="inlineStr">
        <is>
          <t>تحصیل/سابقه در این صفحه نیست</t>
        </is>
      </c>
      <c r="N122" s="23" t="n">
        <v>0</v>
      </c>
      <c r="O122" s="23" t="inlineStr">
        <is>
          <t>1404/02/27</t>
        </is>
      </c>
      <c r="P122" s="23" t="n"/>
      <c r="Q122" s="23" t="n"/>
      <c r="R122" s="23" t="n"/>
      <c r="S122" s="23" t="n"/>
      <c r="T122" s="23">
        <f>IF(AND(ISNUMBER(Q122),ISNUMBER(R122),R122&gt;0),Q122/R122,"")</f>
      </c>
      <c r="U122" s="23">
        <f>IF(AND(D122="MEMBER",ISNUMBER(Q122),ISNUMBER(R122),R122&gt;0),1,0)</f>
        <v>0</v>
      </c>
      <c r="V122" s="23" t="inlineStr">
        <is>
          <t>EV_SRC_KHSP_1404_001_p49</t>
        </is>
      </c>
      <c r="W122" s="23" t="inlineStr">
        <is>
          <t>49</t>
        </is>
      </c>
      <c r="X122" s="23" t="inlineStr">
        <is>
          <t>تاییدشده</t>
        </is>
      </c>
      <c r="Y122" s="23" t="n"/>
    </row>
    <row r="123" ht="29" customHeight="1" s="76">
      <c r="A123" s="25" t="inlineStr">
        <is>
          <t>AC40-همراه-01</t>
        </is>
      </c>
      <c r="B123" s="25" t="inlineStr">
        <is>
          <t>همراه</t>
        </is>
      </c>
      <c r="C123" s="25" t="inlineStr">
        <is>
          <t>عضو کمیته (سمت شرکتی: رئیس هیئت‌مدیره)</t>
        </is>
      </c>
      <c r="D123" s="25" t="inlineStr">
        <is>
          <t>MEMBER</t>
        </is>
      </c>
      <c r="E123" s="25" t="inlineStr">
        <is>
          <t>علی بقائی</t>
        </is>
      </c>
      <c r="F123" s="25" t="inlineStr">
        <is>
          <t>رئیس هیئت‌مدیره (عضو غیرموظف)</t>
        </is>
      </c>
      <c r="G123" s="25" t="inlineStr">
        <is>
          <t>Y</t>
        </is>
      </c>
      <c r="H123" s="25" t="inlineStr">
        <is>
          <t>عضو غیرموظف هیئت‌مدیره</t>
        </is>
      </c>
      <c r="I123" s="25" t="n"/>
      <c r="J123" s="25" t="inlineStr">
        <is>
          <t>U</t>
        </is>
      </c>
      <c r="K123" s="25" t="inlineStr">
        <is>
          <t>دکتری مدیریت مالی</t>
        </is>
      </c>
      <c r="L123" s="25" t="inlineStr">
        <is>
          <t>FIN</t>
        </is>
      </c>
      <c r="M123" s="25" t="inlineStr">
        <is>
          <t>دکتری مدیریت مالی؛ رئیس هیئت‌مدیره توسعه اقتصادی تدبیر</t>
        </is>
      </c>
      <c r="N123" s="25" t="n">
        <v>1</v>
      </c>
      <c r="O123" s="25" t="inlineStr">
        <is>
          <t>1397</t>
        </is>
      </c>
      <c r="P123" s="25" t="n"/>
      <c r="Q123" s="25" t="n">
        <v>20</v>
      </c>
      <c r="R123" s="25" t="n">
        <v>20</v>
      </c>
      <c r="S123" s="25" t="inlineStr">
        <is>
          <t>مشتق: حضور برابر کل جلسات</t>
        </is>
      </c>
      <c r="T123" s="25">
        <f>IF(AND(ISNUMBER(Q123),ISNUMBER(R123),R123&gt;0),Q123/R123,"")</f>
        <v>1</v>
      </c>
      <c r="U123" s="25">
        <f>IF(AND(D123="MEMBER",ISNUMBER(Q123),ISNUMBER(R123),R123&gt;0),1,0)</f>
        <v>1</v>
      </c>
      <c r="V123" s="25" t="inlineStr">
        <is>
          <t>EV_SRC_HMRH_1404_001_p29</t>
        </is>
      </c>
      <c r="W123" s="25" t="inlineStr">
        <is>
          <t>29</t>
        </is>
      </c>
      <c r="X123" s="25" t="inlineStr">
        <is>
          <t>تاییدشده</t>
        </is>
      </c>
      <c r="Y123" s="25" t="inlineStr">
        <is>
          <t>سمت در کمیته ذکر نشده؛ فقط سال عضویت</t>
        </is>
      </c>
    </row>
    <row r="124" ht="29" customHeight="1" s="76">
      <c r="A124" s="23" t="inlineStr">
        <is>
          <t>AC40-همراه-02</t>
        </is>
      </c>
      <c r="B124" s="23" t="inlineStr">
        <is>
          <t>همراه</t>
        </is>
      </c>
      <c r="C124" s="23" t="inlineStr">
        <is>
          <t>عضو کمیته (سمت شرکتی: نایب رئیس)</t>
        </is>
      </c>
      <c r="D124" s="23" t="inlineStr">
        <is>
          <t>MEMBER</t>
        </is>
      </c>
      <c r="E124" s="23" t="inlineStr">
        <is>
          <t>محمد پیری</t>
        </is>
      </c>
      <c r="F124" s="23" t="inlineStr">
        <is>
          <t>نایب رئیس هیئت‌مدیره (عضو غیرموظف)</t>
        </is>
      </c>
      <c r="G124" s="23" t="inlineStr">
        <is>
          <t>Y</t>
        </is>
      </c>
      <c r="H124" s="23" t="inlineStr">
        <is>
          <t>عضو غیرموظف هیئت‌مدیره</t>
        </is>
      </c>
      <c r="I124" s="23" t="n"/>
      <c r="J124" s="23" t="inlineStr">
        <is>
          <t>U</t>
        </is>
      </c>
      <c r="K124" s="23" t="inlineStr">
        <is>
          <t>دکتری مدیریت استراتژیک</t>
        </is>
      </c>
      <c r="L124" s="23" t="inlineStr">
        <is>
          <t>NONE_EVID</t>
        </is>
      </c>
      <c r="M124" s="23" t="inlineStr">
        <is>
          <t>مدیرعامل شرکت‌های توسعه؛ غیرمالی</t>
        </is>
      </c>
      <c r="N124" s="23" t="n">
        <v>0</v>
      </c>
      <c r="O124" s="23" t="inlineStr">
        <is>
          <t>1403</t>
        </is>
      </c>
      <c r="P124" s="23" t="n"/>
      <c r="Q124" s="23" t="n">
        <v>20</v>
      </c>
      <c r="R124" s="23" t="n">
        <v>20</v>
      </c>
      <c r="S124" s="23" t="inlineStr">
        <is>
          <t>مشتق: حضور برابر کل جلسات</t>
        </is>
      </c>
      <c r="T124" s="23">
        <f>IF(AND(ISNUMBER(Q124),ISNUMBER(R124),R124&gt;0),Q124/R124,"")</f>
        <v>1</v>
      </c>
      <c r="U124" s="23">
        <f>IF(AND(D124="MEMBER",ISNUMBER(Q124),ISNUMBER(R124),R124&gt;0),1,0)</f>
        <v>1</v>
      </c>
      <c r="V124" s="23" t="inlineStr">
        <is>
          <t>EV_SRC_HMRH_1404_001_p29</t>
        </is>
      </c>
      <c r="W124" s="23" t="inlineStr">
        <is>
          <t>29</t>
        </is>
      </c>
      <c r="X124" s="23" t="inlineStr">
        <is>
          <t>تاییدشده</t>
        </is>
      </c>
      <c r="Y124" s="23" t="n"/>
    </row>
    <row r="125" ht="29" customHeight="1" s="76">
      <c r="A125" s="25" t="inlineStr">
        <is>
          <t>AC40-همراه-03</t>
        </is>
      </c>
      <c r="B125" s="25" t="inlineStr">
        <is>
          <t>همراه</t>
        </is>
      </c>
      <c r="C125" s="25" t="inlineStr">
        <is>
          <t>عضو مستقل کمیته حسابرسی</t>
        </is>
      </c>
      <c r="D125" s="25" t="inlineStr">
        <is>
          <t>MEMBER</t>
        </is>
      </c>
      <c r="E125" s="25" t="inlineStr">
        <is>
          <t>کیهان مهام</t>
        </is>
      </c>
      <c r="F125" s="25" t="n"/>
      <c r="G125" s="25" t="inlineStr">
        <is>
          <t>N</t>
        </is>
      </c>
      <c r="H125" s="25" t="n"/>
      <c r="I125" s="25" t="inlineStr">
        <is>
          <t>عضو مستقل کمیته حسابرسی</t>
        </is>
      </c>
      <c r="J125" s="25" t="inlineStr">
        <is>
          <t>Y</t>
        </is>
      </c>
      <c r="K125" s="25" t="inlineStr">
        <is>
          <t>دکتری حسابداری</t>
        </is>
      </c>
      <c r="L125" s="25" t="inlineStr">
        <is>
          <t>ACCT</t>
        </is>
      </c>
      <c r="M125" s="25" t="inlineStr">
        <is>
          <t>عضو جامعه حسابداران رسمی؛ شریک موسسه حسابرسی</t>
        </is>
      </c>
      <c r="N125" s="25" t="n">
        <v>1</v>
      </c>
      <c r="O125" s="25" t="inlineStr">
        <is>
          <t>1398</t>
        </is>
      </c>
      <c r="P125" s="25" t="n"/>
      <c r="Q125" s="25" t="n">
        <v>20</v>
      </c>
      <c r="R125" s="25" t="n">
        <v>20</v>
      </c>
      <c r="S125" s="25" t="inlineStr">
        <is>
          <t>مشتق: حضور برابر کل جلسات</t>
        </is>
      </c>
      <c r="T125" s="25">
        <f>IF(AND(ISNUMBER(Q125),ISNUMBER(R125),R125&gt;0),Q125/R125,"")</f>
        <v>1</v>
      </c>
      <c r="U125" s="25">
        <f>IF(AND(D125="MEMBER",ISNUMBER(Q125),ISNUMBER(R125),R125&gt;0),1,0)</f>
        <v>1</v>
      </c>
      <c r="V125" s="25" t="inlineStr">
        <is>
          <t>EV_SRC_HMRH_1404_001_p29</t>
        </is>
      </c>
      <c r="W125" s="25" t="inlineStr">
        <is>
          <t>29</t>
        </is>
      </c>
      <c r="X125" s="25" t="inlineStr">
        <is>
          <t>تاییدشده</t>
        </is>
      </c>
      <c r="Y125" s="25" t="n"/>
    </row>
    <row r="126" ht="29" customHeight="1" s="76">
      <c r="A126" s="23" t="inlineStr">
        <is>
          <t>AC40-همراه-04</t>
        </is>
      </c>
      <c r="B126" s="23" t="inlineStr">
        <is>
          <t>همراه</t>
        </is>
      </c>
      <c r="C126" s="23" t="inlineStr">
        <is>
          <t>عضو مستقل کمیته حسابرسی</t>
        </is>
      </c>
      <c r="D126" s="23" t="inlineStr">
        <is>
          <t>MEMBER</t>
        </is>
      </c>
      <c r="E126" s="23" t="inlineStr">
        <is>
          <t>علی صفرعلی</t>
        </is>
      </c>
      <c r="F126" s="23" t="n"/>
      <c r="G126" s="23" t="inlineStr">
        <is>
          <t>N</t>
        </is>
      </c>
      <c r="H126" s="23" t="n"/>
      <c r="I126" s="23" t="inlineStr">
        <is>
          <t>عضو مستقل کمیته حسابرسی</t>
        </is>
      </c>
      <c r="J126" s="23" t="inlineStr">
        <is>
          <t>Y</t>
        </is>
      </c>
      <c r="K126" s="23" t="inlineStr">
        <is>
          <t>دکتری مدیریت مالی</t>
        </is>
      </c>
      <c r="L126" s="23" t="inlineStr">
        <is>
          <t>FIN</t>
        </is>
      </c>
      <c r="M126" s="23" t="inlineStr">
        <is>
          <t>دکتری مدیریت مالی؛ معاون مدیرعامل تدبیر؛ تامین سرمایه لوتوس</t>
        </is>
      </c>
      <c r="N126" s="23" t="n">
        <v>1</v>
      </c>
      <c r="O126" s="23" t="inlineStr">
        <is>
          <t>1398</t>
        </is>
      </c>
      <c r="P126" s="23" t="n"/>
      <c r="Q126" s="23" t="n">
        <v>20</v>
      </c>
      <c r="R126" s="23" t="n">
        <v>20</v>
      </c>
      <c r="S126" s="23" t="inlineStr">
        <is>
          <t>مشتق: حضور برابر کل جلسات</t>
        </is>
      </c>
      <c r="T126" s="23">
        <f>IF(AND(ISNUMBER(Q126),ISNUMBER(R126),R126&gt;0),Q126/R126,"")</f>
        <v>1</v>
      </c>
      <c r="U126" s="23">
        <f>IF(AND(D126="MEMBER",ISNUMBER(Q126),ISNUMBER(R126),R126&gt;0),1,0)</f>
        <v>1</v>
      </c>
      <c r="V126" s="23" t="inlineStr">
        <is>
          <t>EV_SRC_HMRH_1404_001_p29</t>
        </is>
      </c>
      <c r="W126" s="23" t="inlineStr">
        <is>
          <t>29</t>
        </is>
      </c>
      <c r="X126" s="23" t="inlineStr">
        <is>
          <t>تاییدشده</t>
        </is>
      </c>
      <c r="Y126" s="23" t="n"/>
    </row>
    <row r="127" ht="29" customHeight="1" s="76">
      <c r="A127" s="25" t="inlineStr">
        <is>
          <t>AC40-همراه-05</t>
        </is>
      </c>
      <c r="B127" s="25" t="inlineStr">
        <is>
          <t>همراه</t>
        </is>
      </c>
      <c r="C127" s="25" t="inlineStr">
        <is>
          <t>عضو مستقل کمیته حسابرسی</t>
        </is>
      </c>
      <c r="D127" s="25" t="inlineStr">
        <is>
          <t>MEMBER</t>
        </is>
      </c>
      <c r="E127" s="25" t="inlineStr">
        <is>
          <t>امیرحسین عسگری‌زاده</t>
        </is>
      </c>
      <c r="F127" s="25" t="n"/>
      <c r="G127" s="25" t="inlineStr">
        <is>
          <t>N</t>
        </is>
      </c>
      <c r="H127" s="25" t="n"/>
      <c r="I127" s="25" t="inlineStr">
        <is>
          <t>عضو مستقل کمیته حسابرسی</t>
        </is>
      </c>
      <c r="J127" s="25" t="inlineStr">
        <is>
          <t>Y</t>
        </is>
      </c>
      <c r="K127" s="25" t="inlineStr">
        <is>
          <t>لیسانس حسابداری</t>
        </is>
      </c>
      <c r="L127" s="25" t="inlineStr">
        <is>
          <t>ACCT</t>
        </is>
      </c>
      <c r="M127" s="25" t="inlineStr">
        <is>
          <t>عضو جامعه حسابداران رسمی؛ شریک موسسه حسابرسی</t>
        </is>
      </c>
      <c r="N127" s="25" t="n">
        <v>1</v>
      </c>
      <c r="O127" s="25" t="inlineStr">
        <is>
          <t>1404</t>
        </is>
      </c>
      <c r="P127" s="25" t="n"/>
      <c r="Q127" s="25" t="n">
        <v>6</v>
      </c>
      <c r="R127" s="25" t="n"/>
      <c r="S127" s="25" t="n"/>
      <c r="T127" s="25">
        <f>IF(AND(ISNUMBER(Q127),ISNUMBER(R127),R127&gt;0),Q127/R127,"")</f>
      </c>
      <c r="U127" s="25">
        <f>IF(AND(D127="MEMBER",ISNUMBER(Q127),ISNUMBER(R127),R127&gt;0),1,0)</f>
        <v>0</v>
      </c>
      <c r="V127" s="25" t="inlineStr">
        <is>
          <t>EV_SRC_HMRH_1404_001_p29</t>
        </is>
      </c>
      <c r="W127" s="25" t="inlineStr">
        <is>
          <t>29</t>
        </is>
      </c>
      <c r="X127" s="25" t="inlineStr">
        <is>
          <t>تاییدشده</t>
        </is>
      </c>
      <c r="Y127" s="25" t="inlineStr">
        <is>
          <t>فرصت حضور نامشخص</t>
        </is>
      </c>
    </row>
    <row r="128" ht="29" customHeight="1" s="76">
      <c r="A128" s="23" t="inlineStr">
        <is>
          <t>AC40-وبملت-01</t>
        </is>
      </c>
      <c r="B128" s="23" t="inlineStr">
        <is>
          <t>وبملت</t>
        </is>
      </c>
      <c r="C128" s="23" t="inlineStr">
        <is>
          <t>ریاست کمیته حسابرسی</t>
        </is>
      </c>
      <c r="D128" s="23" t="inlineStr">
        <is>
          <t>MEMBER</t>
        </is>
      </c>
      <c r="E128" s="23" t="inlineStr">
        <is>
          <t>سیدکاظم چاووشی</t>
        </is>
      </c>
      <c r="F128" s="23" t="inlineStr">
        <is>
          <t>عضو هیئت‌مدیره (v22)</t>
        </is>
      </c>
      <c r="G128" s="23" t="inlineStr">
        <is>
          <t>Y</t>
        </is>
      </c>
      <c r="H128" s="23" t="n"/>
      <c r="I128" s="23" t="n"/>
      <c r="J128" s="23" t="inlineStr">
        <is>
          <t>U</t>
        </is>
      </c>
      <c r="K128" s="23" t="inlineStr">
        <is>
          <t>دکتری مدیریت بازرگانی</t>
        </is>
      </c>
      <c r="L128" s="23" t="inlineStr">
        <is>
          <t>FIN_EXP</t>
        </is>
      </c>
      <c r="M128" s="23" t="inlineStr">
        <is>
          <t>مدیر امور مالی بانک ملت؛ رئیس حسابرسی گروه مالی ملت</t>
        </is>
      </c>
      <c r="N128" s="23" t="n">
        <v>1</v>
      </c>
      <c r="O128" s="23" t="inlineStr">
        <is>
          <t>1400/12/04</t>
        </is>
      </c>
      <c r="P128" s="23" t="n"/>
      <c r="Q128" s="23" t="n">
        <v>37</v>
      </c>
      <c r="R128" s="23" t="n">
        <v>37</v>
      </c>
      <c r="S128" s="23" t="inlineStr">
        <is>
          <t>صریح در سند</t>
        </is>
      </c>
      <c r="T128" s="23">
        <f>IF(AND(ISNUMBER(Q128),ISNUMBER(R128),R128&gt;0),Q128/R128,"")</f>
        <v>1</v>
      </c>
      <c r="U128" s="23">
        <f>IF(AND(D128="MEMBER",ISNUMBER(Q128),ISNUMBER(R128),R128&gt;0),1,0)</f>
        <v>1</v>
      </c>
      <c r="V128" s="23" t="inlineStr">
        <is>
          <t>EV_SRC_MELT_1404_002_p53</t>
        </is>
      </c>
      <c r="W128" s="23" t="inlineStr">
        <is>
          <t>53</t>
        </is>
      </c>
      <c r="X128" s="23" t="inlineStr">
        <is>
          <t>تاییدشده</t>
        </is>
      </c>
      <c r="Y128" s="23" t="n"/>
    </row>
    <row r="129" ht="29" customHeight="1" s="76">
      <c r="A129" s="25" t="inlineStr">
        <is>
          <t>AC40-وبملت-02</t>
        </is>
      </c>
      <c r="B129" s="25" t="inlineStr">
        <is>
          <t>وبملت</t>
        </is>
      </c>
      <c r="C129" s="25" t="inlineStr">
        <is>
          <t>عضو کمیته حسابرسی</t>
        </is>
      </c>
      <c r="D129" s="25" t="inlineStr">
        <is>
          <t>MEMBER</t>
        </is>
      </c>
      <c r="E129" s="25" t="inlineStr">
        <is>
          <t>علی اسماعیل‌زاده مقری</t>
        </is>
      </c>
      <c r="F129" s="25" t="n"/>
      <c r="G129" s="25" t="inlineStr">
        <is>
          <t>N</t>
        </is>
      </c>
      <c r="H129" s="25" t="n"/>
      <c r="I129" s="25" t="n"/>
      <c r="J129" s="25" t="inlineStr">
        <is>
          <t>U</t>
        </is>
      </c>
      <c r="K129" s="25" t="inlineStr">
        <is>
          <t>دکتری مدیریت مالی</t>
        </is>
      </c>
      <c r="L129" s="25" t="inlineStr">
        <is>
          <t>FIN</t>
        </is>
      </c>
      <c r="M129" s="25" t="inlineStr">
        <is>
          <t>دکتری مدیریت مالی؛ رئیس دانشکده حسابداری</t>
        </is>
      </c>
      <c r="N129" s="25" t="n">
        <v>1</v>
      </c>
      <c r="O129" s="25" t="inlineStr">
        <is>
          <t>1397/03/09</t>
        </is>
      </c>
      <c r="P129" s="25" t="n"/>
      <c r="Q129" s="25" t="n">
        <v>34</v>
      </c>
      <c r="R129" s="25" t="n">
        <v>37</v>
      </c>
      <c r="S129" s="25" t="inlineStr">
        <is>
          <t>صریح در سند</t>
        </is>
      </c>
      <c r="T129" s="25">
        <f>IF(AND(ISNUMBER(Q129),ISNUMBER(R129),R129&gt;0),Q129/R129,"")</f>
        <v>0.918918918918919</v>
      </c>
      <c r="U129" s="25">
        <f>IF(AND(D129="MEMBER",ISNUMBER(Q129),ISNUMBER(R129),R129&gt;0),1,0)</f>
        <v>1</v>
      </c>
      <c r="V129" s="25" t="inlineStr">
        <is>
          <t>EV_SRC_MELT_1404_002_p53</t>
        </is>
      </c>
      <c r="W129" s="25" t="inlineStr">
        <is>
          <t>53</t>
        </is>
      </c>
      <c r="X129" s="25" t="inlineStr">
        <is>
          <t>تاییدشده</t>
        </is>
      </c>
      <c r="Y129" s="25" t="n"/>
    </row>
    <row r="130" ht="43.5" customHeight="1" s="76">
      <c r="A130" s="23" t="inlineStr">
        <is>
          <t>AC40-وبملت-03</t>
        </is>
      </c>
      <c r="B130" s="23" t="inlineStr">
        <is>
          <t>وبملت</t>
        </is>
      </c>
      <c r="C130" s="23" t="inlineStr">
        <is>
          <t>عضو کمیته حسابرسی</t>
        </is>
      </c>
      <c r="D130" s="23" t="inlineStr">
        <is>
          <t>MEMBER</t>
        </is>
      </c>
      <c r="E130" s="23" t="inlineStr">
        <is>
          <t>حسین کثیری</t>
        </is>
      </c>
      <c r="F130" s="23" t="n"/>
      <c r="G130" s="23" t="inlineStr">
        <is>
          <t>N</t>
        </is>
      </c>
      <c r="H130" s="23" t="n"/>
      <c r="I130" s="23" t="n"/>
      <c r="J130" s="23" t="inlineStr">
        <is>
          <t>U</t>
        </is>
      </c>
      <c r="K130" s="23" t="inlineStr">
        <is>
          <t>دکتری حسابداری</t>
        </is>
      </c>
      <c r="L130" s="23" t="inlineStr">
        <is>
          <t>ACCT</t>
        </is>
      </c>
      <c r="M130" s="23" t="inlineStr">
        <is>
          <t>معاون مالی بانک مرکزی؛ حسابداری</t>
        </is>
      </c>
      <c r="N130" s="23" t="n">
        <v>1</v>
      </c>
      <c r="O130" s="23" t="inlineStr">
        <is>
          <t>1401/10/11 تا کنون (و ۱۴۰۰/۰۵/۱۷ ۱۴۰۰/۱۰/۱۲)</t>
        </is>
      </c>
      <c r="P130" s="23" t="n"/>
      <c r="Q130" s="23" t="n">
        <v>35</v>
      </c>
      <c r="R130" s="23" t="n">
        <v>37</v>
      </c>
      <c r="S130" s="23" t="inlineStr">
        <is>
          <t>صریح در سند</t>
        </is>
      </c>
      <c r="T130" s="23">
        <f>IF(AND(ISNUMBER(Q130),ISNUMBER(R130),R130&gt;0),Q130/R130,"")</f>
        <v>0.9459459459459459</v>
      </c>
      <c r="U130" s="23">
        <f>IF(AND(D130="MEMBER",ISNUMBER(Q130),ISNUMBER(R130),R130&gt;0),1,0)</f>
        <v>1</v>
      </c>
      <c r="V130" s="23" t="inlineStr">
        <is>
          <t>EV_SRC_MELT_1404_002_p54</t>
        </is>
      </c>
      <c r="W130" s="23" t="inlineStr">
        <is>
          <t>54</t>
        </is>
      </c>
      <c r="X130" s="23" t="inlineStr">
        <is>
          <t>تاییدشده</t>
        </is>
      </c>
      <c r="Y130" s="23" t="n"/>
    </row>
    <row r="131" ht="29" customHeight="1" s="76">
      <c r="A131" s="25" t="inlineStr">
        <is>
          <t>AC40-وبملت-04</t>
        </is>
      </c>
      <c r="B131" s="25" t="inlineStr">
        <is>
          <t>وبملت</t>
        </is>
      </c>
      <c r="C131" s="25" t="inlineStr">
        <is>
          <t>عضو کمیته حسابرسی</t>
        </is>
      </c>
      <c r="D131" s="25" t="inlineStr">
        <is>
          <t>MEMBER</t>
        </is>
      </c>
      <c r="E131" s="25" t="inlineStr">
        <is>
          <t>محمدحسین صفرزاده بندری</t>
        </is>
      </c>
      <c r="F131" s="25" t="n"/>
      <c r="G131" s="25" t="inlineStr">
        <is>
          <t>N</t>
        </is>
      </c>
      <c r="H131" s="25" t="n"/>
      <c r="I131" s="25" t="n"/>
      <c r="J131" s="25" t="inlineStr">
        <is>
          <t>U</t>
        </is>
      </c>
      <c r="K131" s="25" t="inlineStr">
        <is>
          <t>دکتری حسابداری</t>
        </is>
      </c>
      <c r="L131" s="25" t="inlineStr">
        <is>
          <t>ACCT</t>
        </is>
      </c>
      <c r="M131" s="25" t="inlineStr">
        <is>
          <t>عضو هیئت علمی حسابداری؛ استانداردهای حسابداری</t>
        </is>
      </c>
      <c r="N131" s="25" t="n">
        <v>1</v>
      </c>
      <c r="O131" s="25" t="inlineStr">
        <is>
          <t>1404/03/13</t>
        </is>
      </c>
      <c r="P131" s="25" t="n"/>
      <c r="Q131" s="25" t="n">
        <v>30</v>
      </c>
      <c r="R131" s="25" t="n"/>
      <c r="S131" s="25" t="n"/>
      <c r="T131" s="25">
        <f>IF(AND(ISNUMBER(Q131),ISNUMBER(R131),R131&gt;0),Q131/R131,"")</f>
      </c>
      <c r="U131" s="25">
        <f>IF(AND(D131="MEMBER",ISNUMBER(Q131),ISNUMBER(R131),R131&gt;0),1,0)</f>
        <v>0</v>
      </c>
      <c r="V131" s="25" t="inlineStr">
        <is>
          <t>EV_SRC_MELT_1404_002_p54</t>
        </is>
      </c>
      <c r="W131" s="25" t="inlineStr">
        <is>
          <t>54</t>
        </is>
      </c>
      <c r="X131" s="25" t="inlineStr">
        <is>
          <t>تاییدشده</t>
        </is>
      </c>
      <c r="Y131" s="25" t="inlineStr">
        <is>
          <t>عضو از میانه سال؛ ۳۰ حضور در برابر ۳۷ جلسه سال؛ فرصت واقعی نامشخص</t>
        </is>
      </c>
    </row>
    <row r="132" ht="29" customHeight="1" s="76">
      <c r="A132" s="23" t="inlineStr">
        <is>
          <t>AC40-وبملت-05</t>
        </is>
      </c>
      <c r="B132" s="23" t="inlineStr">
        <is>
          <t>وبملت</t>
        </is>
      </c>
      <c r="C132" s="23" t="inlineStr">
        <is>
          <t>دبیر کمیته حسابرسی</t>
        </is>
      </c>
      <c r="D132" s="23" t="inlineStr">
        <is>
          <t>SECRETARY</t>
        </is>
      </c>
      <c r="E132" s="23" t="inlineStr">
        <is>
          <t>پیمان طوبائی</t>
        </is>
      </c>
      <c r="F132" s="23" t="n"/>
      <c r="G132" s="23" t="inlineStr">
        <is>
          <t>N</t>
        </is>
      </c>
      <c r="H132" s="23" t="n"/>
      <c r="I132" s="23" t="n"/>
      <c r="J132" s="23" t="inlineStr">
        <is>
          <t>U</t>
        </is>
      </c>
      <c r="K132" s="23" t="inlineStr">
        <is>
          <t>کارشناسی ارشد مدیریت مالی</t>
        </is>
      </c>
      <c r="L132" s="23" t="inlineStr">
        <is>
          <t>FIN</t>
        </is>
      </c>
      <c r="M132" s="23" t="inlineStr">
        <is>
          <t>رئیس مدیریت حسابرسی داخلی بانک ملت</t>
        </is>
      </c>
      <c r="N132" s="23" t="n">
        <v>1</v>
      </c>
      <c r="O132" s="23" t="inlineStr">
        <is>
          <t>1398/01/21</t>
        </is>
      </c>
      <c r="P132" s="23" t="n"/>
      <c r="Q132" s="23" t="n">
        <v>37</v>
      </c>
      <c r="R132" s="23" t="n">
        <v>37</v>
      </c>
      <c r="S132" s="23" t="inlineStr">
        <is>
          <t>صریح در سند</t>
        </is>
      </c>
      <c r="T132" s="23">
        <f>IF(AND(ISNUMBER(Q132),ISNUMBER(R132),R132&gt;0),Q132/R132,"")</f>
        <v>1</v>
      </c>
      <c r="U132" s="23">
        <f>IF(AND(D132="MEMBER",ISNUMBER(Q132),ISNUMBER(R132),R132&gt;0),1,0)</f>
        <v>0</v>
      </c>
      <c r="V132" s="23" t="inlineStr">
        <is>
          <t>EV_SRC_MELT_1404_002_p55</t>
        </is>
      </c>
      <c r="W132" s="23" t="inlineStr">
        <is>
          <t>55</t>
        </is>
      </c>
      <c r="X132" s="23" t="inlineStr">
        <is>
          <t>تاییدشده</t>
        </is>
      </c>
      <c r="Y132" s="23" t="inlineStr">
        <is>
          <t>دبیر؛ عضو شمرده نشد</t>
        </is>
      </c>
    </row>
    <row r="133" ht="29" customHeight="1" s="76">
      <c r="A133" s="25" t="inlineStr">
        <is>
          <t>AC40-وبصادر-01</t>
        </is>
      </c>
      <c r="B133" s="25" t="inlineStr">
        <is>
          <t>وبصادر</t>
        </is>
      </c>
      <c r="C133" s="25" t="inlineStr">
        <is>
          <t>عضو هیئت‌مدیره و رئیس کمیته</t>
        </is>
      </c>
      <c r="D133" s="25" t="inlineStr">
        <is>
          <t>MEMBER</t>
        </is>
      </c>
      <c r="E133" s="25" t="inlineStr">
        <is>
          <t>محمد وطن‌پور</t>
        </is>
      </c>
      <c r="F133" s="25" t="inlineStr">
        <is>
          <t>عضو هیئت‌مدیره (v22)</t>
        </is>
      </c>
      <c r="G133" s="25" t="inlineStr">
        <is>
          <t>Y</t>
        </is>
      </c>
      <c r="H133" s="25" t="n"/>
      <c r="I133" s="25" t="inlineStr">
        <is>
          <t>(برچسب استقلال ندارد)</t>
        </is>
      </c>
      <c r="J133" s="25" t="inlineStr">
        <is>
          <t>U</t>
        </is>
      </c>
      <c r="K133" s="25" t="inlineStr">
        <is>
          <t>کارشناسی ارشد مدیریت مالی</t>
        </is>
      </c>
      <c r="L133" s="25" t="inlineStr">
        <is>
          <t>FIN</t>
        </is>
      </c>
      <c r="M133" s="25" t="inlineStr">
        <is>
          <t>مدیرعامل موظف غیراجرایی؛ معاون بانکداری جامع؛ رشته مدیریت مالی</t>
        </is>
      </c>
      <c r="N133" s="25" t="n">
        <v>1</v>
      </c>
      <c r="O133" s="25" t="n"/>
      <c r="P133" s="25" t="n"/>
      <c r="Q133" s="25" t="n">
        <v>22</v>
      </c>
      <c r="R133" s="25" t="n">
        <v>22</v>
      </c>
      <c r="S133" s="25" t="inlineStr">
        <is>
          <t>مشتق: حضور برابر کل جلسات</t>
        </is>
      </c>
      <c r="T133" s="25">
        <f>IF(AND(ISNUMBER(Q133),ISNUMBER(R133),R133&gt;0),Q133/R133,"")</f>
        <v>1</v>
      </c>
      <c r="U133" s="25">
        <f>IF(AND(D133="MEMBER",ISNUMBER(Q133),ISNUMBER(R133),R133&gt;0),1,0)</f>
        <v>1</v>
      </c>
      <c r="V133" s="25" t="inlineStr">
        <is>
          <t>EV_SRC_VBSD_1404_001_p49</t>
        </is>
      </c>
      <c r="W133" s="25" t="inlineStr">
        <is>
          <t>49</t>
        </is>
      </c>
      <c r="X133" s="25" t="inlineStr">
        <is>
          <t>تاییدشده</t>
        </is>
      </c>
      <c r="Y133" s="25" t="n"/>
    </row>
    <row r="134" ht="29" customHeight="1" s="76">
      <c r="A134" s="23" t="inlineStr">
        <is>
          <t>AC40-وبصادر-02</t>
        </is>
      </c>
      <c r="B134" s="23" t="inlineStr">
        <is>
          <t>وبصادر</t>
        </is>
      </c>
      <c r="C134" s="23" t="inlineStr">
        <is>
          <t>عضو مستقل کمیته</t>
        </is>
      </c>
      <c r="D134" s="23" t="inlineStr">
        <is>
          <t>MEMBER</t>
        </is>
      </c>
      <c r="E134" s="23" t="inlineStr">
        <is>
          <t>محمود لنگری</t>
        </is>
      </c>
      <c r="F134" s="23" t="n"/>
      <c r="G134" s="23" t="inlineStr">
        <is>
          <t>N</t>
        </is>
      </c>
      <c r="H134" s="23" t="n"/>
      <c r="I134" s="23" t="inlineStr">
        <is>
          <t>عضو مستقل کمیته</t>
        </is>
      </c>
      <c r="J134" s="23" t="inlineStr">
        <is>
          <t>Y</t>
        </is>
      </c>
      <c r="K134" s="23" t="inlineStr">
        <is>
          <t>دکترای حسابداری</t>
        </is>
      </c>
      <c r="L134" s="23" t="inlineStr">
        <is>
          <t>ACCT</t>
        </is>
      </c>
      <c r="M134" s="23" t="inlineStr">
        <is>
          <t>عضو جامعه حسابداران رسمی؛ شریک موسسه حسابرسی</t>
        </is>
      </c>
      <c r="N134" s="23" t="n">
        <v>1</v>
      </c>
      <c r="O134" s="23" t="n"/>
      <c r="P134" s="23" t="n"/>
      <c r="Q134" s="23" t="n">
        <v>22</v>
      </c>
      <c r="R134" s="23" t="n">
        <v>22</v>
      </c>
      <c r="S134" s="23" t="inlineStr">
        <is>
          <t>مشتق: حضور برابر کل جلسات</t>
        </is>
      </c>
      <c r="T134" s="23">
        <f>IF(AND(ISNUMBER(Q134),ISNUMBER(R134),R134&gt;0),Q134/R134,"")</f>
        <v>1</v>
      </c>
      <c r="U134" s="23">
        <f>IF(AND(D134="MEMBER",ISNUMBER(Q134),ISNUMBER(R134),R134&gt;0),1,0)</f>
        <v>1</v>
      </c>
      <c r="V134" s="23" t="inlineStr">
        <is>
          <t>EV_SRC_VBSD_1404_001_p49</t>
        </is>
      </c>
      <c r="W134" s="23" t="inlineStr">
        <is>
          <t>49</t>
        </is>
      </c>
      <c r="X134" s="23" t="inlineStr">
        <is>
          <t>تاییدشده</t>
        </is>
      </c>
      <c r="Y134" s="23" t="n"/>
    </row>
    <row r="135" ht="29" customHeight="1" s="76">
      <c r="A135" s="25" t="inlineStr">
        <is>
          <t>AC40-وبصادر-03</t>
        </is>
      </c>
      <c r="B135" s="25" t="inlineStr">
        <is>
          <t>وبصادر</t>
        </is>
      </c>
      <c r="C135" s="25" t="inlineStr">
        <is>
          <t>عضو مستقل کمیته</t>
        </is>
      </c>
      <c r="D135" s="25" t="inlineStr">
        <is>
          <t>MEMBER</t>
        </is>
      </c>
      <c r="E135" s="25" t="inlineStr">
        <is>
          <t>حمیدرضا گنجی</t>
        </is>
      </c>
      <c r="F135" s="25" t="n"/>
      <c r="G135" s="25" t="inlineStr">
        <is>
          <t>N</t>
        </is>
      </c>
      <c r="H135" s="25" t="n"/>
      <c r="I135" s="25" t="inlineStr">
        <is>
          <t>عضو مستقل کمیته</t>
        </is>
      </c>
      <c r="J135" s="25" t="inlineStr">
        <is>
          <t>Y</t>
        </is>
      </c>
      <c r="K135" s="25" t="inlineStr">
        <is>
          <t>دکترای حسابداری</t>
        </is>
      </c>
      <c r="L135" s="25" t="inlineStr">
        <is>
          <t>ACCT</t>
        </is>
      </c>
      <c r="M135" s="25" t="inlineStr">
        <is>
          <t>کارشناس رسمی؛ مشاور مالیاتی؛ عضو هیئت‌مدیره شرکت‌های بورسی</t>
        </is>
      </c>
      <c r="N135" s="25" t="n">
        <v>1</v>
      </c>
      <c r="O135" s="25" t="n"/>
      <c r="P135" s="25" t="n"/>
      <c r="Q135" s="25" t="n">
        <v>22</v>
      </c>
      <c r="R135" s="25" t="n">
        <v>22</v>
      </c>
      <c r="S135" s="25" t="inlineStr">
        <is>
          <t>مشتق: حضور برابر کل جلسات</t>
        </is>
      </c>
      <c r="T135" s="25">
        <f>IF(AND(ISNUMBER(Q135),ISNUMBER(R135),R135&gt;0),Q135/R135,"")</f>
        <v>1</v>
      </c>
      <c r="U135" s="25">
        <f>IF(AND(D135="MEMBER",ISNUMBER(Q135),ISNUMBER(R135),R135&gt;0),1,0)</f>
        <v>1</v>
      </c>
      <c r="V135" s="25" t="inlineStr">
        <is>
          <t>EV_SRC_VBSD_1404_001_p50</t>
        </is>
      </c>
      <c r="W135" s="25" t="inlineStr">
        <is>
          <t>50</t>
        </is>
      </c>
      <c r="X135" s="25" t="inlineStr">
        <is>
          <t>تاییدشده</t>
        </is>
      </c>
      <c r="Y135" s="25" t="n"/>
    </row>
    <row r="136" ht="29" customHeight="1" s="76">
      <c r="A136" s="23" t="inlineStr">
        <is>
          <t>AC40-وبصادر-04</t>
        </is>
      </c>
      <c r="B136" s="23" t="inlineStr">
        <is>
          <t>وبصادر</t>
        </is>
      </c>
      <c r="C136" s="23" t="inlineStr">
        <is>
          <t>عضو مستقل کمیته</t>
        </is>
      </c>
      <c r="D136" s="23" t="inlineStr">
        <is>
          <t>MEMBER</t>
        </is>
      </c>
      <c r="E136" s="23" t="inlineStr">
        <is>
          <t>محسن قادری</t>
        </is>
      </c>
      <c r="F136" s="23" t="n"/>
      <c r="G136" s="23" t="inlineStr">
        <is>
          <t>N</t>
        </is>
      </c>
      <c r="H136" s="23" t="n"/>
      <c r="I136" s="23" t="inlineStr">
        <is>
          <t>عضو مستقل کمیته</t>
        </is>
      </c>
      <c r="J136" s="23" t="inlineStr">
        <is>
          <t>Y</t>
        </is>
      </c>
      <c r="K136" s="23" t="inlineStr">
        <is>
          <t>کارشناسی ارشد مهندسی برق-کامپیوتر</t>
        </is>
      </c>
      <c r="L136" s="23" t="inlineStr">
        <is>
          <t>NONE_EVID</t>
        </is>
      </c>
      <c r="M136" s="23" t="inlineStr">
        <is>
          <t>مدیر فناوری اطلاعات؛ عضو هیئت‌مدیره فناوری</t>
        </is>
      </c>
      <c r="N136" s="23" t="n">
        <v>0</v>
      </c>
      <c r="O136" s="23" t="inlineStr">
        <is>
          <t>1404/03/10</t>
        </is>
      </c>
      <c r="P136" s="23" t="n"/>
      <c r="Q136" s="23" t="n">
        <v>18</v>
      </c>
      <c r="R136" s="23" t="n"/>
      <c r="S136" s="23" t="n"/>
      <c r="T136" s="23">
        <f>IF(AND(ISNUMBER(Q136),ISNUMBER(R136),R136&gt;0),Q136/R136,"")</f>
      </c>
      <c r="U136" s="23">
        <f>IF(AND(D136="MEMBER",ISNUMBER(Q136),ISNUMBER(R136),R136&gt;0),1,0)</f>
        <v>0</v>
      </c>
      <c r="V136" s="23" t="inlineStr">
        <is>
          <t>EV_SRC_VBSD_1404_001_p50</t>
        </is>
      </c>
      <c r="W136" s="23" t="inlineStr">
        <is>
          <t>50</t>
        </is>
      </c>
      <c r="X136" s="23" t="inlineStr">
        <is>
          <t>تاییدشده</t>
        </is>
      </c>
      <c r="Y136" s="23" t="inlineStr">
        <is>
          <t>عضو از میانه سال؛ حضور کمتر طبق پانوشت</t>
        </is>
      </c>
    </row>
    <row r="137" ht="29" customHeight="1" s="76">
      <c r="A137" s="25" t="inlineStr">
        <is>
          <t>AC40-وبصادر-05</t>
        </is>
      </c>
      <c r="B137" s="25" t="inlineStr">
        <is>
          <t>وبصادر</t>
        </is>
      </c>
      <c r="C137" s="25" t="inlineStr">
        <is>
          <t>عضو کمیته (مستقل طبق پانوشت)</t>
        </is>
      </c>
      <c r="D137" s="25" t="inlineStr">
        <is>
          <t>MEMBER</t>
        </is>
      </c>
      <c r="E137" s="25" t="inlineStr">
        <is>
          <t>محمد خدایاری</t>
        </is>
      </c>
      <c r="F137" s="25" t="n"/>
      <c r="G137" s="25" t="inlineStr">
        <is>
          <t>N</t>
        </is>
      </c>
      <c r="H137" s="25" t="n"/>
      <c r="I137" s="25" t="inlineStr">
        <is>
          <t>عضو مستقل (پانوشت)</t>
        </is>
      </c>
      <c r="J137" s="25" t="inlineStr">
        <is>
          <t>Y</t>
        </is>
      </c>
      <c r="K137" s="25" t="inlineStr">
        <is>
          <t>کارشناسی ارشد حسابداری</t>
        </is>
      </c>
      <c r="L137" s="25" t="inlineStr">
        <is>
          <t>ACCT</t>
        </is>
      </c>
      <c r="M137" s="25" t="inlineStr">
        <is>
          <t>بازنشسته بانک مرکزی؛ معاون حسابداری؛ رئیس گروه حسابداری و مالی</t>
        </is>
      </c>
      <c r="N137" s="25" t="n">
        <v>1</v>
      </c>
      <c r="O137" s="25" t="inlineStr">
        <is>
          <t>1404/03/20</t>
        </is>
      </c>
      <c r="P137" s="25" t="n"/>
      <c r="Q137" s="25" t="n">
        <v>18</v>
      </c>
      <c r="R137" s="25" t="n"/>
      <c r="S137" s="25" t="n"/>
      <c r="T137" s="25">
        <f>IF(AND(ISNUMBER(Q137),ISNUMBER(R137),R137&gt;0),Q137/R137,"")</f>
      </c>
      <c r="U137" s="25">
        <f>IF(AND(D137="MEMBER",ISNUMBER(Q137),ISNUMBER(R137),R137&gt;0),1,0)</f>
        <v>0</v>
      </c>
      <c r="V137" s="25" t="inlineStr">
        <is>
          <t>EV_SRC_VBSD_1404_001_p50</t>
        </is>
      </c>
      <c r="W137" s="25" t="inlineStr">
        <is>
          <t>50</t>
        </is>
      </c>
      <c r="X137" s="25" t="inlineStr">
        <is>
          <t>تاییدشده</t>
        </is>
      </c>
      <c r="Y137" s="25" t="inlineStr">
        <is>
          <t>عضو از میانه سال</t>
        </is>
      </c>
    </row>
    <row r="138" ht="29" customHeight="1" s="76">
      <c r="A138" s="23" t="inlineStr">
        <is>
          <t>AC40-وبصادر-06</t>
        </is>
      </c>
      <c r="B138" s="23" t="inlineStr">
        <is>
          <t>وبصادر</t>
        </is>
      </c>
      <c r="C138" s="23" t="inlineStr">
        <is>
          <t>رئیس اداره کل حسابرسی داخلی و دبیر کمیته</t>
        </is>
      </c>
      <c r="D138" s="23" t="inlineStr">
        <is>
          <t>SECRETARY</t>
        </is>
      </c>
      <c r="E138" s="23" t="inlineStr">
        <is>
          <t>حسین جعفری</t>
        </is>
      </c>
      <c r="F138" s="23" t="n"/>
      <c r="G138" s="23" t="inlineStr">
        <is>
          <t>N</t>
        </is>
      </c>
      <c r="H138" s="23" t="n"/>
      <c r="I138" s="23" t="n"/>
      <c r="J138" s="23" t="inlineStr">
        <is>
          <t>U</t>
        </is>
      </c>
      <c r="K138" s="23" t="inlineStr">
        <is>
          <t>کارشناسی ارشد مدیریت بازرگانی</t>
        </is>
      </c>
      <c r="L138" s="23" t="inlineStr">
        <is>
          <t>ACCT</t>
        </is>
      </c>
      <c r="M138" s="23" t="inlineStr">
        <is>
          <t>رئیس اداره کل حسابرسی داخلی؛ عضو مستقل کمیته حسابرسی شرکت‌ها</t>
        </is>
      </c>
      <c r="N138" s="23" t="n">
        <v>1</v>
      </c>
      <c r="O138" s="23" t="n"/>
      <c r="P138" s="23" t="n"/>
      <c r="Q138" s="23" t="n">
        <v>22</v>
      </c>
      <c r="R138" s="23" t="n">
        <v>22</v>
      </c>
      <c r="S138" s="23" t="inlineStr">
        <is>
          <t>صریح در سند</t>
        </is>
      </c>
      <c r="T138" s="23">
        <f>IF(AND(ISNUMBER(Q138),ISNUMBER(R138),R138&gt;0),Q138/R138,"")</f>
        <v>1</v>
      </c>
      <c r="U138" s="23">
        <f>IF(AND(D138="MEMBER",ISNUMBER(Q138),ISNUMBER(R138),R138&gt;0),1,0)</f>
        <v>0</v>
      </c>
      <c r="V138" s="23" t="inlineStr">
        <is>
          <t>EV_SRC_VBSD_1404_001_p50</t>
        </is>
      </c>
      <c r="W138" s="23" t="inlineStr">
        <is>
          <t>50</t>
        </is>
      </c>
      <c r="X138" s="23" t="inlineStr">
        <is>
          <t>تاییدشده</t>
        </is>
      </c>
      <c r="Y138" s="23" t="inlineStr">
        <is>
          <t>دبیر؛ عضو شمرده نشد</t>
        </is>
      </c>
    </row>
    <row r="139" ht="20" customHeight="1" s="76">
      <c r="A139" s="25" t="inlineStr">
        <is>
          <t>AC40-حکشتی-01</t>
        </is>
      </c>
      <c r="B139" s="25" t="inlineStr">
        <is>
          <t>حکشتی</t>
        </is>
      </c>
      <c r="C139" s="25" t="inlineStr">
        <is>
          <t>رئیس کمیته</t>
        </is>
      </c>
      <c r="D139" s="25" t="inlineStr">
        <is>
          <t>MEMBER</t>
        </is>
      </c>
      <c r="E139" s="25" t="inlineStr">
        <is>
          <t>(نام ثبت نشده ردیف ۱)</t>
        </is>
      </c>
      <c r="F139" s="25" t="n"/>
      <c r="G139" s="25" t="inlineStr">
        <is>
          <t>U</t>
        </is>
      </c>
      <c r="H139" s="25" t="n"/>
      <c r="I139" s="25" t="n"/>
      <c r="J139" s="25" t="inlineStr">
        <is>
          <t>U</t>
        </is>
      </c>
      <c r="K139" s="25" t="inlineStr">
        <is>
          <t>دکتری</t>
        </is>
      </c>
      <c r="L139" s="25" t="inlineStr">
        <is>
          <t>UNK</t>
        </is>
      </c>
      <c r="M139" s="25" t="inlineStr">
        <is>
          <t>رشته ذکر نشده</t>
        </is>
      </c>
      <c r="N139" s="25" t="n">
        <v>0</v>
      </c>
      <c r="O139" s="25" t="inlineStr">
        <is>
          <t>1398/07/17</t>
        </is>
      </c>
      <c r="P139" s="25" t="n"/>
      <c r="Q139" s="25" t="n">
        <v>19</v>
      </c>
      <c r="R139" s="25" t="n"/>
      <c r="S139" s="25" t="n"/>
      <c r="T139" s="25">
        <f>IF(AND(ISNUMBER(Q139),ISNUMBER(R139),R139&gt;0),Q139/R139,"")</f>
      </c>
      <c r="U139" s="25">
        <f>IF(AND(D139="MEMBER",ISNUMBER(Q139),ISNUMBER(R139),R139&gt;0),1,0)</f>
        <v>0</v>
      </c>
      <c r="V139" s="25" t="inlineStr">
        <is>
          <t>EV_SRC_HKSH_1404_002_p89</t>
        </is>
      </c>
      <c r="W139" s="25" t="inlineStr">
        <is>
          <t>89</t>
        </is>
      </c>
      <c r="X139" s="25" t="inlineStr">
        <is>
          <t>ناقص</t>
        </is>
      </c>
      <c r="Y139" s="25" t="n"/>
    </row>
    <row r="140" ht="20" customHeight="1" s="76">
      <c r="A140" s="23" t="inlineStr">
        <is>
          <t>AC40-حکشتی-02</t>
        </is>
      </c>
      <c r="B140" s="23" t="inlineStr">
        <is>
          <t>حکشتی</t>
        </is>
      </c>
      <c r="C140" s="23" t="inlineStr">
        <is>
          <t>عضو کمیته</t>
        </is>
      </c>
      <c r="D140" s="23" t="inlineStr">
        <is>
          <t>MEMBER</t>
        </is>
      </c>
      <c r="E140" s="23" t="inlineStr">
        <is>
          <t>(نام ثبت نشده ردیف ۲)</t>
        </is>
      </c>
      <c r="F140" s="23" t="n"/>
      <c r="G140" s="23" t="inlineStr">
        <is>
          <t>U</t>
        </is>
      </c>
      <c r="H140" s="23" t="n"/>
      <c r="I140" s="23" t="n"/>
      <c r="J140" s="23" t="inlineStr">
        <is>
          <t>U</t>
        </is>
      </c>
      <c r="K140" s="23" t="inlineStr">
        <is>
          <t>دکتری</t>
        </is>
      </c>
      <c r="L140" s="23" t="inlineStr">
        <is>
          <t>UNK</t>
        </is>
      </c>
      <c r="M140" s="23" t="n"/>
      <c r="N140" s="23" t="n">
        <v>0</v>
      </c>
      <c r="O140" s="23" t="inlineStr">
        <is>
          <t>1400/04/22</t>
        </is>
      </c>
      <c r="P140" s="23" t="n"/>
      <c r="Q140" s="23" t="n">
        <v>19</v>
      </c>
      <c r="R140" s="23" t="n"/>
      <c r="S140" s="23" t="n"/>
      <c r="T140" s="23">
        <f>IF(AND(ISNUMBER(Q140),ISNUMBER(R140),R140&gt;0),Q140/R140,"")</f>
      </c>
      <c r="U140" s="23">
        <f>IF(AND(D140="MEMBER",ISNUMBER(Q140),ISNUMBER(R140),R140&gt;0),1,0)</f>
        <v>0</v>
      </c>
      <c r="V140" s="23" t="inlineStr">
        <is>
          <t>EV_SRC_HKSH_1404_002_p89</t>
        </is>
      </c>
      <c r="W140" s="23" t="inlineStr">
        <is>
          <t>89</t>
        </is>
      </c>
      <c r="X140" s="23" t="inlineStr">
        <is>
          <t>ناقص</t>
        </is>
      </c>
      <c r="Y140" s="23" t="n"/>
    </row>
    <row r="141" ht="20" customHeight="1" s="76">
      <c r="A141" s="25" t="inlineStr">
        <is>
          <t>AC40-حکشتی-03</t>
        </is>
      </c>
      <c r="B141" s="25" t="inlineStr">
        <is>
          <t>حکشتی</t>
        </is>
      </c>
      <c r="C141" s="25" t="inlineStr">
        <is>
          <t>عضو کمیته</t>
        </is>
      </c>
      <c r="D141" s="25" t="inlineStr">
        <is>
          <t>MEMBER</t>
        </is>
      </c>
      <c r="E141" s="25" t="inlineStr">
        <is>
          <t>(نام ثبت نشده ردیف ۳)</t>
        </is>
      </c>
      <c r="F141" s="25" t="n"/>
      <c r="G141" s="25" t="inlineStr">
        <is>
          <t>U</t>
        </is>
      </c>
      <c r="H141" s="25" t="n"/>
      <c r="I141" s="25" t="n"/>
      <c r="J141" s="25" t="inlineStr">
        <is>
          <t>U</t>
        </is>
      </c>
      <c r="K141" s="25" t="inlineStr">
        <is>
          <t>دکتری</t>
        </is>
      </c>
      <c r="L141" s="25" t="inlineStr">
        <is>
          <t>UNK</t>
        </is>
      </c>
      <c r="M141" s="25" t="n"/>
      <c r="N141" s="25" t="n">
        <v>0</v>
      </c>
      <c r="O141" s="25" t="inlineStr">
        <is>
          <t>1399/04/07</t>
        </is>
      </c>
      <c r="P141" s="25" t="n"/>
      <c r="Q141" s="25" t="n">
        <v>19</v>
      </c>
      <c r="R141" s="25" t="n"/>
      <c r="S141" s="25" t="n"/>
      <c r="T141" s="25">
        <f>IF(AND(ISNUMBER(Q141),ISNUMBER(R141),R141&gt;0),Q141/R141,"")</f>
      </c>
      <c r="U141" s="25">
        <f>IF(AND(D141="MEMBER",ISNUMBER(Q141),ISNUMBER(R141),R141&gt;0),1,0)</f>
        <v>0</v>
      </c>
      <c r="V141" s="25" t="inlineStr">
        <is>
          <t>EV_SRC_HKSH_1404_002_p89</t>
        </is>
      </c>
      <c r="W141" s="25" t="inlineStr">
        <is>
          <t>89</t>
        </is>
      </c>
      <c r="X141" s="25" t="inlineStr">
        <is>
          <t>ناقص</t>
        </is>
      </c>
      <c r="Y141" s="25" t="n"/>
    </row>
    <row r="142" ht="20" customHeight="1" s="76">
      <c r="A142" s="23" t="inlineStr">
        <is>
          <t>AC40-حکشتی-04</t>
        </is>
      </c>
      <c r="B142" s="23" t="inlineStr">
        <is>
          <t>حکشتی</t>
        </is>
      </c>
      <c r="C142" s="23" t="inlineStr">
        <is>
          <t>عضو کمیته</t>
        </is>
      </c>
      <c r="D142" s="23" t="inlineStr">
        <is>
          <t>MEMBER</t>
        </is>
      </c>
      <c r="E142" s="23" t="inlineStr">
        <is>
          <t>(نام ثبت نشده ردیف ۴)</t>
        </is>
      </c>
      <c r="F142" s="23" t="n"/>
      <c r="G142" s="23" t="inlineStr">
        <is>
          <t>U</t>
        </is>
      </c>
      <c r="H142" s="23" t="n"/>
      <c r="I142" s="23" t="n"/>
      <c r="J142" s="23" t="inlineStr">
        <is>
          <t>U</t>
        </is>
      </c>
      <c r="K142" s="23" t="inlineStr">
        <is>
          <t>کارشناسی ارشد</t>
        </is>
      </c>
      <c r="L142" s="23" t="inlineStr">
        <is>
          <t>UNK</t>
        </is>
      </c>
      <c r="M142" s="23" t="n"/>
      <c r="N142" s="23" t="n">
        <v>0</v>
      </c>
      <c r="O142" s="23" t="inlineStr">
        <is>
          <t>1395/02/15</t>
        </is>
      </c>
      <c r="P142" s="23" t="n"/>
      <c r="Q142" s="23" t="n">
        <v>19</v>
      </c>
      <c r="R142" s="23" t="n"/>
      <c r="S142" s="23" t="n"/>
      <c r="T142" s="23">
        <f>IF(AND(ISNUMBER(Q142),ISNUMBER(R142),R142&gt;0),Q142/R142,"")</f>
      </c>
      <c r="U142" s="23">
        <f>IF(AND(D142="MEMBER",ISNUMBER(Q142),ISNUMBER(R142),R142&gt;0),1,0)</f>
        <v>0</v>
      </c>
      <c r="V142" s="23" t="inlineStr">
        <is>
          <t>EV_SRC_HKSH_1404_002_p89</t>
        </is>
      </c>
      <c r="W142" s="23" t="inlineStr">
        <is>
          <t>89</t>
        </is>
      </c>
      <c r="X142" s="23" t="inlineStr">
        <is>
          <t>ناقص</t>
        </is>
      </c>
      <c r="Y142" s="23" t="n"/>
    </row>
    <row r="143" ht="20" customHeight="1" s="76">
      <c r="A143" s="25" t="inlineStr">
        <is>
          <t>AC40-حکشتی-05</t>
        </is>
      </c>
      <c r="B143" s="25" t="inlineStr">
        <is>
          <t>حکشتی</t>
        </is>
      </c>
      <c r="C143" s="25" t="inlineStr">
        <is>
          <t>عضو کمیته</t>
        </is>
      </c>
      <c r="D143" s="25" t="inlineStr">
        <is>
          <t>MEMBER</t>
        </is>
      </c>
      <c r="E143" s="25" t="inlineStr">
        <is>
          <t>(نام ثبت نشده ردیف ۵)</t>
        </is>
      </c>
      <c r="F143" s="25" t="n"/>
      <c r="G143" s="25" t="inlineStr">
        <is>
          <t>U</t>
        </is>
      </c>
      <c r="H143" s="25" t="n"/>
      <c r="I143" s="25" t="n"/>
      <c r="J143" s="25" t="inlineStr">
        <is>
          <t>U</t>
        </is>
      </c>
      <c r="K143" s="25" t="inlineStr">
        <is>
          <t>کارشناسی ارشد</t>
        </is>
      </c>
      <c r="L143" s="25" t="inlineStr">
        <is>
          <t>UNK</t>
        </is>
      </c>
      <c r="M143" s="25" t="n"/>
      <c r="N143" s="25" t="n">
        <v>0</v>
      </c>
      <c r="O143" s="25" t="inlineStr">
        <is>
          <t>1397/05/23</t>
        </is>
      </c>
      <c r="P143" s="25" t="n"/>
      <c r="Q143" s="25" t="n">
        <v>19</v>
      </c>
      <c r="R143" s="25" t="n"/>
      <c r="S143" s="25" t="n"/>
      <c r="T143" s="25">
        <f>IF(AND(ISNUMBER(Q143),ISNUMBER(R143),R143&gt;0),Q143/R143,"")</f>
      </c>
      <c r="U143" s="25">
        <f>IF(AND(D143="MEMBER",ISNUMBER(Q143),ISNUMBER(R143),R143&gt;0),1,0)</f>
        <v>0</v>
      </c>
      <c r="V143" s="25" t="inlineStr">
        <is>
          <t>EV_SRC_HKSH_1404_002_p89</t>
        </is>
      </c>
      <c r="W143" s="25" t="inlineStr">
        <is>
          <t>89</t>
        </is>
      </c>
      <c r="X143" s="25" t="inlineStr">
        <is>
          <t>ناقص</t>
        </is>
      </c>
      <c r="Y143" s="25" t="n"/>
    </row>
    <row r="144" ht="29" customHeight="1" s="76">
      <c r="A144" s="23" t="inlineStr">
        <is>
          <t>AC40-حکشتی-06</t>
        </is>
      </c>
      <c r="B144" s="23" t="inlineStr">
        <is>
          <t>حکشتی</t>
        </is>
      </c>
      <c r="C144" s="23" t="inlineStr">
        <is>
          <t>مدیر حسابرسی داخلی و دبیر کمیته</t>
        </is>
      </c>
      <c r="D144" s="23" t="inlineStr">
        <is>
          <t>SECRETARY</t>
        </is>
      </c>
      <c r="E144" s="23" t="inlineStr">
        <is>
          <t>(نام ثبت نشده دبیر)</t>
        </is>
      </c>
      <c r="F144" s="23" t="n"/>
      <c r="G144" s="23" t="inlineStr">
        <is>
          <t>U</t>
        </is>
      </c>
      <c r="H144" s="23" t="n"/>
      <c r="I144" s="23" t="n"/>
      <c r="J144" s="23" t="inlineStr">
        <is>
          <t>U</t>
        </is>
      </c>
      <c r="K144" s="23" t="inlineStr">
        <is>
          <t>کارشناسی ارشد</t>
        </is>
      </c>
      <c r="L144" s="23" t="inlineStr">
        <is>
          <t>UNK</t>
        </is>
      </c>
      <c r="M144" s="23" t="n"/>
      <c r="N144" s="23" t="n">
        <v>0</v>
      </c>
      <c r="O144" s="23" t="inlineStr">
        <is>
          <t>1403/08/09</t>
        </is>
      </c>
      <c r="P144" s="23" t="n"/>
      <c r="Q144" s="23" t="n"/>
      <c r="R144" s="23" t="n"/>
      <c r="S144" s="23" t="n"/>
      <c r="T144" s="23">
        <f>IF(AND(ISNUMBER(Q144),ISNUMBER(R144),R144&gt;0),Q144/R144,"")</f>
      </c>
      <c r="U144" s="23">
        <f>IF(AND(D144="MEMBER",ISNUMBER(Q144),ISNUMBER(R144),R144&gt;0),1,0)</f>
        <v>0</v>
      </c>
      <c r="V144" s="23" t="inlineStr">
        <is>
          <t>EV_SRC_HKSH_1404_002_p89</t>
        </is>
      </c>
      <c r="W144" s="23" t="inlineStr">
        <is>
          <t>89</t>
        </is>
      </c>
      <c r="X144" s="23" t="inlineStr">
        <is>
          <t>ناقص</t>
        </is>
      </c>
      <c r="Y144" s="23" t="inlineStr">
        <is>
          <t>دبیر؛ عضو شمرده نشد</t>
        </is>
      </c>
    </row>
    <row r="145" ht="43.5" customHeight="1" s="76">
      <c r="A145" s="25" t="inlineStr">
        <is>
          <t>AC40-شپدیس-01</t>
        </is>
      </c>
      <c r="B145" s="25" t="inlineStr">
        <is>
          <t>شپدیس</t>
        </is>
      </c>
      <c r="C145" s="25" t="inlineStr">
        <is>
          <t>رئیس کمیته</t>
        </is>
      </c>
      <c r="D145" s="25" t="inlineStr">
        <is>
          <t>MEMBER</t>
        </is>
      </c>
      <c r="E145" s="25" t="inlineStr">
        <is>
          <t>هوشنگ گودرزی</t>
        </is>
      </c>
      <c r="F145" s="25" t="inlineStr">
        <is>
          <t>عضو غیرموظف هیئت‌مدیره (رئیس هیئت‌مدیره تا ۱۴۰۴/۰۸/۱۷)</t>
        </is>
      </c>
      <c r="G145" s="25" t="inlineStr">
        <is>
          <t>Y</t>
        </is>
      </c>
      <c r="H145" s="25" t="inlineStr">
        <is>
          <t>عضو غیرموظف هیئت‌مدیره: بله</t>
        </is>
      </c>
      <c r="I145" s="25" t="n"/>
      <c r="J145" s="25" t="inlineStr">
        <is>
          <t>U</t>
        </is>
      </c>
      <c r="K145" s="25" t="inlineStr">
        <is>
          <t>رشته مدیریت بازرگانی</t>
        </is>
      </c>
      <c r="L145" s="25" t="inlineStr">
        <is>
          <t>NONE_EVID</t>
        </is>
      </c>
      <c r="M145" s="25" t="inlineStr">
        <is>
          <t>رشته مدیریت بازرگانی؛ بدون شاهد مالی صریح</t>
        </is>
      </c>
      <c r="N145" s="25" t="n">
        <v>0</v>
      </c>
      <c r="O145" s="25" t="inlineStr">
        <is>
          <t>1403/12/12</t>
        </is>
      </c>
      <c r="P145" s="25" t="n"/>
      <c r="Q145" s="25" t="n"/>
      <c r="R145" s="25" t="n"/>
      <c r="S145" s="25" t="n"/>
      <c r="T145" s="25">
        <f>IF(AND(ISNUMBER(Q145),ISNUMBER(R145),R145&gt;0),Q145/R145,"")</f>
      </c>
      <c r="U145" s="25">
        <f>IF(AND(D145="MEMBER",ISNUMBER(Q145),ISNUMBER(R145),R145&gt;0),1,0)</f>
        <v>0</v>
      </c>
      <c r="V145" s="25" t="inlineStr">
        <is>
          <t>EV_SRC_SHPD_1404_001_p23</t>
        </is>
      </c>
      <c r="W145" s="25" t="inlineStr">
        <is>
          <t>23</t>
        </is>
      </c>
      <c r="X145" s="25" t="inlineStr">
        <is>
          <t>تاییدشده</t>
        </is>
      </c>
      <c r="Y145" s="25" t="n"/>
    </row>
    <row r="146" ht="29" customHeight="1" s="76">
      <c r="A146" s="23" t="inlineStr">
        <is>
          <t>AC40-شپدیس-02</t>
        </is>
      </c>
      <c r="B146" s="23" t="inlineStr">
        <is>
          <t>شپدیس</t>
        </is>
      </c>
      <c r="C146" s="23" t="inlineStr">
        <is>
          <t>عضو کمیته</t>
        </is>
      </c>
      <c r="D146" s="23" t="inlineStr">
        <is>
          <t>MEMBER</t>
        </is>
      </c>
      <c r="E146" s="23" t="inlineStr">
        <is>
          <t>رحیم اسماعیلی دانا</t>
        </is>
      </c>
      <c r="F146" s="23" t="n"/>
      <c r="G146" s="23" t="inlineStr">
        <is>
          <t>N</t>
        </is>
      </c>
      <c r="H146" s="23" t="inlineStr">
        <is>
          <t>عضو غیرموظف هیئت‌مدیره: خیر</t>
        </is>
      </c>
      <c r="I146" s="23" t="n"/>
      <c r="J146" s="23" t="inlineStr">
        <is>
          <t>U</t>
        </is>
      </c>
      <c r="K146" s="23" t="inlineStr">
        <is>
          <t>رشته حسابداری</t>
        </is>
      </c>
      <c r="L146" s="23" t="inlineStr">
        <is>
          <t>ACCT</t>
        </is>
      </c>
      <c r="M146" s="23" t="inlineStr">
        <is>
          <t>رشته حسابداری (دکترا طبق گزارش پارسان)</t>
        </is>
      </c>
      <c r="N146" s="23" t="n">
        <v>1</v>
      </c>
      <c r="O146" s="23" t="inlineStr">
        <is>
          <t>1391/05/16</t>
        </is>
      </c>
      <c r="P146" s="23" t="n"/>
      <c r="Q146" s="23" t="n"/>
      <c r="R146" s="23" t="n"/>
      <c r="S146" s="23" t="n"/>
      <c r="T146" s="23">
        <f>IF(AND(ISNUMBER(Q146),ISNUMBER(R146),R146&gt;0),Q146/R146,"")</f>
      </c>
      <c r="U146" s="23">
        <f>IF(AND(D146="MEMBER",ISNUMBER(Q146),ISNUMBER(R146),R146&gt;0),1,0)</f>
        <v>0</v>
      </c>
      <c r="V146" s="23" t="inlineStr">
        <is>
          <t>EV_SRC_SHPD_1404_001_p23</t>
        </is>
      </c>
      <c r="W146" s="23" t="inlineStr">
        <is>
          <t>23</t>
        </is>
      </c>
      <c r="X146" s="23" t="inlineStr">
        <is>
          <t>تاییدشده</t>
        </is>
      </c>
      <c r="Y146" s="23" t="inlineStr">
        <is>
          <t>عضو هیئت‌مدیره پارسان؛ در شپدیس غیرهیئت‌مدیره</t>
        </is>
      </c>
    </row>
    <row r="147" ht="29" customHeight="1" s="76">
      <c r="A147" s="25" t="inlineStr">
        <is>
          <t>AC40-شپدیس-03</t>
        </is>
      </c>
      <c r="B147" s="25" t="inlineStr">
        <is>
          <t>شپدیس</t>
        </is>
      </c>
      <c r="C147" s="25" t="inlineStr">
        <is>
          <t>عضو کمیته</t>
        </is>
      </c>
      <c r="D147" s="25" t="inlineStr">
        <is>
          <t>MEMBER</t>
        </is>
      </c>
      <c r="E147" s="25" t="inlineStr">
        <is>
          <t>اکبر لطفی</t>
        </is>
      </c>
      <c r="F147" s="25" t="n"/>
      <c r="G147" s="25" t="inlineStr">
        <is>
          <t>N</t>
        </is>
      </c>
      <c r="H147" s="25" t="inlineStr">
        <is>
          <t>عضو غیرموظف هیئت‌مدیره: خیر</t>
        </is>
      </c>
      <c r="I147" s="25" t="n"/>
      <c r="J147" s="25" t="inlineStr">
        <is>
          <t>U</t>
        </is>
      </c>
      <c r="K147" s="25" t="inlineStr">
        <is>
          <t>رشته مدیریت مالی</t>
        </is>
      </c>
      <c r="L147" s="25" t="inlineStr">
        <is>
          <t>FIN</t>
        </is>
      </c>
      <c r="M147" s="25" t="inlineStr">
        <is>
          <t>رشته مدیریت مالی</t>
        </is>
      </c>
      <c r="N147" s="25" t="n">
        <v>1</v>
      </c>
      <c r="O147" s="25" t="inlineStr">
        <is>
          <t>1401/05/30</t>
        </is>
      </c>
      <c r="P147" s="25" t="n"/>
      <c r="Q147" s="25" t="n"/>
      <c r="R147" s="25" t="n"/>
      <c r="S147" s="25" t="n"/>
      <c r="T147" s="25">
        <f>IF(AND(ISNUMBER(Q147),ISNUMBER(R147),R147&gt;0),Q147/R147,"")</f>
      </c>
      <c r="U147" s="25">
        <f>IF(AND(D147="MEMBER",ISNUMBER(Q147),ISNUMBER(R147),R147&gt;0),1,0)</f>
        <v>0</v>
      </c>
      <c r="V147" s="25" t="inlineStr">
        <is>
          <t>EV_SRC_SHPD_1404_001_p23</t>
        </is>
      </c>
      <c r="W147" s="25" t="inlineStr">
        <is>
          <t>23</t>
        </is>
      </c>
      <c r="X147" s="25" t="inlineStr">
        <is>
          <t>تاییدشده</t>
        </is>
      </c>
      <c r="Y147" s="25" t="n"/>
    </row>
    <row r="148" ht="29" customHeight="1" s="76">
      <c r="A148" s="23" t="inlineStr">
        <is>
          <t>AC40-شپدیس-04</t>
        </is>
      </c>
      <c r="B148" s="23" t="inlineStr">
        <is>
          <t>شپدیس</t>
        </is>
      </c>
      <c r="C148" s="23" t="inlineStr">
        <is>
          <t>دبیر کمیته</t>
        </is>
      </c>
      <c r="D148" s="23" t="inlineStr">
        <is>
          <t>SECRETARY</t>
        </is>
      </c>
      <c r="E148" s="23" t="inlineStr">
        <is>
          <t>کمال محمدعلی‌زاده</t>
        </is>
      </c>
      <c r="F148" s="23" t="n"/>
      <c r="G148" s="23" t="inlineStr">
        <is>
          <t>N</t>
        </is>
      </c>
      <c r="H148" s="23" t="inlineStr">
        <is>
          <t>عضو غیرموظف هیئت‌مدیره: خیر</t>
        </is>
      </c>
      <c r="I148" s="23" t="n"/>
      <c r="J148" s="23" t="inlineStr">
        <is>
          <t>U</t>
        </is>
      </c>
      <c r="K148" s="23" t="inlineStr">
        <is>
          <t>رشته حسابداری</t>
        </is>
      </c>
      <c r="L148" s="23" t="inlineStr">
        <is>
          <t>ACCT</t>
        </is>
      </c>
      <c r="M148" s="23" t="inlineStr">
        <is>
          <t>رشته حسابداری</t>
        </is>
      </c>
      <c r="N148" s="23" t="n">
        <v>1</v>
      </c>
      <c r="O148" s="23" t="inlineStr">
        <is>
          <t>1402/08/17</t>
        </is>
      </c>
      <c r="P148" s="23" t="n"/>
      <c r="Q148" s="23" t="n"/>
      <c r="R148" s="23" t="n"/>
      <c r="S148" s="23" t="n"/>
      <c r="T148" s="23">
        <f>IF(AND(ISNUMBER(Q148),ISNUMBER(R148),R148&gt;0),Q148/R148,"")</f>
      </c>
      <c r="U148" s="23">
        <f>IF(AND(D148="MEMBER",ISNUMBER(Q148),ISNUMBER(R148),R148&gt;0),1,0)</f>
        <v>0</v>
      </c>
      <c r="V148" s="23" t="inlineStr">
        <is>
          <t>EV_SRC_SHPD_1404_001_p23</t>
        </is>
      </c>
      <c r="W148" s="23" t="inlineStr">
        <is>
          <t>23</t>
        </is>
      </c>
      <c r="X148" s="23" t="inlineStr">
        <is>
          <t>تاییدشده</t>
        </is>
      </c>
      <c r="Y148" s="23" t="inlineStr">
        <is>
          <t>دبیر؛ عضو شمرده نشد</t>
        </is>
      </c>
    </row>
  </sheetData>
  <mergeCells count="2">
    <mergeCell ref="A2:Y2"/>
    <mergeCell ref="A1:Y1"/>
  </mergeCells>
  <pageMargins left="0.75" right="0.75" top="1" bottom="1" header="0.5" footer="0.5"/>
</worksheet>
</file>

<file path=xl/worksheets/sheet71.xml><?xml version="1.0" encoding="utf-8"?>
<worksheet xmlns="http://schemas.openxmlformats.org/spreadsheetml/2006/main">
  <sheetPr>
    <tabColor rgb="FF548235"/>
    <outlinePr summaryBelow="1" summaryRight="1"/>
    <pageSetUpPr/>
  </sheetPr>
  <dimension ref="A1:AP3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style="76" min="1" max="1"/>
    <col width="24" customWidth="1" style="76" min="2" max="2"/>
    <col width="26" customWidth="1" style="76" min="3" max="3"/>
    <col width="12" customWidth="1" style="76" min="4" max="4"/>
    <col width="30" customWidth="1" style="76" min="5" max="5"/>
    <col width="14" customWidth="1" style="76" min="6" max="6"/>
    <col width="9" customWidth="1" style="76" min="7" max="8"/>
    <col width="40" customWidth="1" style="76" min="9" max="9"/>
    <col width="14" customWidth="1" style="76" min="10" max="10"/>
    <col width="10" customWidth="1" style="76" min="11" max="11"/>
    <col width="8" customWidth="1" style="76" min="12" max="13"/>
    <col width="9" customWidth="1" style="76" min="14" max="14"/>
    <col width="10" customWidth="1" style="76" min="15" max="15"/>
    <col width="9" customWidth="1" style="76" min="16" max="19"/>
    <col width="16" customWidth="1" style="76" min="20" max="20"/>
    <col width="11" customWidth="1" style="76" min="21" max="21"/>
    <col width="14" customWidth="1" style="76" min="22" max="22"/>
    <col width="9" customWidth="1" style="76" min="23" max="25"/>
    <col width="16" customWidth="1" style="76" min="26" max="26"/>
    <col width="9" customWidth="1" style="76" min="27" max="27"/>
    <col width="14" customWidth="1" style="76" min="28" max="28"/>
    <col width="12" customWidth="1" style="76" min="29" max="29"/>
    <col width="9" customWidth="1" style="76" min="30" max="30"/>
    <col width="18" customWidth="1" style="76" min="31" max="31"/>
    <col width="9" customWidth="1" style="76" min="32" max="32"/>
    <col width="22" customWidth="1" style="76" min="33" max="33"/>
    <col width="8" customWidth="1" style="76" min="34" max="34"/>
    <col width="10" customWidth="1" style="76" min="35" max="37"/>
    <col width="11" customWidth="1" style="76" min="38" max="38"/>
    <col width="16" customWidth="1" style="76" min="39" max="39"/>
    <col width="22" customWidth="1" style="76" min="40" max="41"/>
    <col width="50" customWidth="1" style="76" min="42" max="42"/>
  </cols>
  <sheetData>
    <row r="1" ht="30" customHeight="1" s="76">
      <c r="A1" s="87" t="inlineStr">
        <is>
          <t>خلاصه شرکت به شرکت کمیته حسابرسی v40</t>
        </is>
      </c>
    </row>
    <row r="2" ht="22" customHeight="1" s="76">
      <c r="A2" s="85" t="inlineStr">
        <is>
          <t>ستون های شمارشی با فرمول از برگه AC Members v40 ساخته شده اند. سنجه ها فقط وقتی مقدار می گیرند که فهرست تاییدشده و مخرج معتبر باشد؛ نامشخص هرگز صفر نشده است. ستون های ACX01 و ACX02 کاندید تکمیلی اند، نه سنجه نهایی.</t>
        </is>
      </c>
    </row>
    <row r="3" ht="56" customHeight="1" s="76">
      <c r="A3" s="24" t="inlineStr">
        <is>
          <t>شرکت</t>
        </is>
      </c>
      <c r="B3" s="24" t="inlineStr">
        <is>
          <t>منبع اصلی</t>
        </is>
      </c>
      <c r="C3" s="24" t="inlineStr">
        <is>
          <t>دوره یا مقطع گزارش</t>
        </is>
      </c>
      <c r="D3" s="24" t="inlineStr">
        <is>
          <t>مقطع مبنا</t>
        </is>
      </c>
      <c r="E3" s="24" t="inlineStr">
        <is>
          <t>پایان دوره پس از ۱۴۰۴/۱۲/۲۹ یا پیش از آن</t>
        </is>
      </c>
      <c r="F3" s="24" t="inlineStr">
        <is>
          <t>وضعیت وجود کمیته</t>
        </is>
      </c>
      <c r="G3" s="24" t="inlineStr">
        <is>
          <t>AUD01 وجود کمیته</t>
        </is>
      </c>
      <c r="H3" s="24" t="inlineStr">
        <is>
          <t>تعداد اعلام شده در متن</t>
        </is>
      </c>
      <c r="I3" s="24" t="inlineStr">
        <is>
          <t>عبارت اعلام تعداد</t>
        </is>
      </c>
      <c r="J3" s="24" t="inlineStr">
        <is>
          <t>وضعیت فهرست اعضا</t>
        </is>
      </c>
      <c r="K3" s="24" t="inlineStr">
        <is>
          <t>تعداد اعضای شناسایی شده (MEMBER)</t>
        </is>
      </c>
      <c r="L3" s="24" t="inlineStr">
        <is>
          <t>تعداد دبیر</t>
        </is>
      </c>
      <c r="M3" s="24" t="inlineStr">
        <is>
          <t>تعداد عضو پیشین</t>
        </is>
      </c>
      <c r="N3" s="24" t="inlineStr">
        <is>
          <t>تعداد شروع پس از مقطع</t>
        </is>
      </c>
      <c r="O3" s="24" t="inlineStr">
        <is>
          <t>AUD02 اندازه کمیته (نهایی)</t>
        </is>
      </c>
      <c r="P3" s="24" t="inlineStr">
        <is>
          <t>تفاوت اعلام شده و شناسایی شده</t>
        </is>
      </c>
      <c r="Q3" s="24" t="inlineStr">
        <is>
          <t>تعداد مستقل مستند</t>
        </is>
      </c>
      <c r="R3" s="24" t="inlineStr">
        <is>
          <t>تعداد غیرمستقل مستند</t>
        </is>
      </c>
      <c r="S3" s="24" t="inlineStr">
        <is>
          <t>تعداد نامشخص استقلال</t>
        </is>
      </c>
      <c r="T3" s="24" t="inlineStr">
        <is>
          <t>وضعیت استقلال</t>
        </is>
      </c>
      <c r="U3" s="24" t="inlineStr">
        <is>
          <t>N14 استقلال کمیته (کل اعضا)</t>
        </is>
      </c>
      <c r="V3" s="24" t="inlineStr">
        <is>
          <t>نسبت مستقل در میان قابل ارزیابی (جدا از N14)</t>
        </is>
      </c>
      <c r="W3" s="24" t="inlineStr">
        <is>
          <t>تعداد دارای تخصص مالی مستند</t>
        </is>
      </c>
      <c r="X3" s="24" t="inlineStr">
        <is>
          <t>تعداد بدون شاهد مالی کافی</t>
        </is>
      </c>
      <c r="Y3" s="24" t="inlineStr">
        <is>
          <t>تعداد نامشخص تخصص مالی</t>
        </is>
      </c>
      <c r="Z3" s="24" t="inlineStr">
        <is>
          <t>وضعیت وجود متخصص مالی</t>
        </is>
      </c>
      <c r="AA3" s="24" t="inlineStr">
        <is>
          <t>N15 وجود متخصص مالی</t>
        </is>
      </c>
      <c r="AB3" s="24" t="inlineStr">
        <is>
          <t>کامل بودن تعیین تخصص همه اعضا</t>
        </is>
      </c>
      <c r="AC3" s="24" t="inlineStr">
        <is>
          <t>ACX01 سهم اعضای متخصص مالی (حد پایین)</t>
        </is>
      </c>
      <c r="AD3" s="24" t="inlineStr">
        <is>
          <t>تعداد جلسات (عبارت منبع)</t>
        </is>
      </c>
      <c r="AE3" s="24" t="inlineStr">
        <is>
          <t>وضعیت جلسات</t>
        </is>
      </c>
      <c r="AF3" s="24" t="inlineStr">
        <is>
          <t>N16 تعداد جلسات</t>
        </is>
      </c>
      <c r="AG3" s="24" t="inlineStr">
        <is>
          <t>دوره جلسات</t>
        </is>
      </c>
      <c r="AH3" s="24" t="inlineStr">
        <is>
          <t>طول دوره جلسات به ماه</t>
        </is>
      </c>
      <c r="AI3" s="24" t="inlineStr">
        <is>
          <t>جمع حضور اعضای مشمول</t>
        </is>
      </c>
      <c r="AJ3" s="24" t="inlineStr">
        <is>
          <t>جمع فرصت حضور اعضای مشمول</t>
        </is>
      </c>
      <c r="AK3" s="24" t="inlineStr">
        <is>
          <t>تعداد اعضای مشمول نرخ حضور</t>
        </is>
      </c>
      <c r="AL3" s="24" t="inlineStr">
        <is>
          <t>ACX02 نرخ حضور کمیته</t>
        </is>
      </c>
      <c r="AM3" s="24" t="inlineStr">
        <is>
          <t>وضعیت حضور</t>
        </is>
      </c>
      <c r="AN3" s="24" t="inlineStr">
        <is>
          <t>نام رئیس کمیته</t>
        </is>
      </c>
      <c r="AO3" s="24" t="inlineStr">
        <is>
          <t>شاهد صفحه</t>
        </is>
      </c>
      <c r="AP3" s="24" t="inlineStr">
        <is>
          <t>توضیح و محدودیت</t>
        </is>
      </c>
    </row>
    <row r="4" ht="29" customHeight="1" s="76">
      <c r="A4" s="23" t="inlineStr">
        <is>
          <t>فملی</t>
        </is>
      </c>
      <c r="B4" s="23" t="inlineStr">
        <is>
          <t>SRC_FMLI_1404_001</t>
        </is>
      </c>
      <c r="C4" s="23" t="inlineStr">
        <is>
          <t>FY1404 (…/12/29)</t>
        </is>
      </c>
      <c r="D4" s="23" t="inlineStr">
        <is>
          <t>1404/12/29</t>
        </is>
      </c>
      <c r="E4" s="23" t="inlineStr">
        <is>
          <t>مقطع مبنا برابر ۱۴۰۴/۱۲/۲۹</t>
        </is>
      </c>
      <c r="F4" s="23" t="inlineStr">
        <is>
          <t>تاییدشده</t>
        </is>
      </c>
      <c r="G4" s="23">
        <f>IF(F4="تاییدشده",1,"")</f>
        <v>1</v>
      </c>
      <c r="H4" s="23" t="n">
        <v>5</v>
      </c>
      <c r="I4" s="23" t="inlineStr">
        <is>
          <t>کمیته از پنج عضو (با اکثریت مستقل و دارای تخصص مالی) تشکیل شده است</t>
        </is>
      </c>
      <c r="J4" s="23" t="inlineStr">
        <is>
          <t>تاییدشده</t>
        </is>
      </c>
      <c r="K4" s="23">
        <f>COUNTIFS('AC Members v40'!$B$4:$B$148,$A4,'AC Members v40'!$D$4:$D$148,"MEMBER")</f>
        <v>5</v>
      </c>
      <c r="L4" s="23">
        <f>COUNTIFS('AC Members v40'!$B$4:$B$148,$A4,'AC Members v40'!$D$4:$D$148,"SECRETARY")</f>
        <v>1</v>
      </c>
      <c r="M4" s="23">
        <f>COUNTIFS('AC Members v40'!$B$4:$B$148,$A4,'AC Members v40'!$D$4:$D$148,"FORMER")</f>
        <v>0</v>
      </c>
      <c r="N4" s="23">
        <f>COUNTIFS('AC Members v40'!$B$4:$B$148,$A4,'AC Members v40'!$D$4:$D$148,"POST_ASOF")</f>
        <v>0</v>
      </c>
      <c r="O4" s="23">
        <f>IF(AND(J4="تاییدشده",K4&gt;0),K4,"")</f>
        <v>5</v>
      </c>
      <c r="P4" s="23">
        <f>IF(AND(ISNUMBER(H4),ISNUMBER(K4)),H4-K4,"")</f>
        <v>0</v>
      </c>
      <c r="Q4" s="23">
        <f>COUNTIFS('AC Members v40'!$B$4:$B$148,$A4,'AC Members v40'!$D$4:$D$148,"MEMBER",'AC Members v40'!$J$4:$J$148,"Y")</f>
        <v>0</v>
      </c>
      <c r="R4" s="23">
        <f>COUNTIFS('AC Members v40'!$B$4:$B$148,$A4,'AC Members v40'!$D$4:$D$148,"MEMBER",'AC Members v40'!$J$4:$J$148,"N")</f>
        <v>0</v>
      </c>
      <c r="S4" s="23">
        <f>COUNTIFS('AC Members v40'!$B$4:$B$148,$A4,'AC Members v40'!$D$4:$D$148,"MEMBER",'AC Members v40'!$J$4:$J$148,"U")</f>
        <v>5</v>
      </c>
      <c r="T4" s="23" t="inlineStr">
        <is>
          <t>بررسی شده ولی افشا یافت نشد</t>
        </is>
      </c>
      <c r="U4" s="67">
        <f>IF(AND(J4="تاییدشده",K4&gt;0,S4=0),Q4/K4,"")</f>
      </c>
      <c r="V4" s="67">
        <f>IF(Q4+R4&gt;0,Q4/(Q4+R4),"")</f>
      </c>
      <c r="W4" s="23">
        <f>COUNTIFS('AC Members v40'!$B$4:$B$148,$A4,'AC Members v40'!$D$4:$D$148,"MEMBER",'AC Members v40'!$N$4:$N$148,1)</f>
        <v>4</v>
      </c>
      <c r="X4" s="23">
        <f>K4-W4</f>
        <v>1</v>
      </c>
      <c r="Y4" s="23">
        <f>COUNTIFS('AC Members v40'!$B$4:$B$148,$A4,'AC Members v40'!$D$4:$D$148,"MEMBER",'AC Members v40'!$L$4:$L$148,"UNK",'AC Members v40'!$N$4:$N$148,0)</f>
        <v>0</v>
      </c>
      <c r="Z4" s="23" t="inlineStr">
        <is>
          <t>تاییدشده</t>
        </is>
      </c>
      <c r="AA4" s="23">
        <f>IF(W4&gt;=1,1,"")</f>
        <v>1</v>
      </c>
      <c r="AB4" s="23" t="str">
        <f>IF(AND(J4="تاییدشده",K4&gt;0,Y4=0),"کامل","ناقص (حد پایین)")</f>
        <v>کامل</v>
      </c>
      <c r="AC4" s="67">
        <f>IF(AND(J4="تاییدشده",K4&gt;0,OR(W4&gt;=1,Y4=0)),W4/K4,"")</f>
        <v>0.8</v>
      </c>
      <c r="AD4" s="23" t="n">
        <v>14</v>
      </c>
      <c r="AE4" s="23" t="inlineStr">
        <is>
          <t>تاییدشده</t>
        </is>
      </c>
      <c r="AF4" s="23">
        <f>IF(AND(ISNUMBER(AD4),OR(AE4="تاییدشده",AE4="تاییدشده با هشدار")),AD4,"")</f>
        <v>14</v>
      </c>
      <c r="AG4" s="23" t="inlineStr">
        <is>
          <t>1404/01/01 تا 1404/12/29</t>
        </is>
      </c>
      <c r="AH4" s="23" t="n">
        <v>12</v>
      </c>
      <c r="AI4" s="23">
        <f>SUMIFS('AC Members v40'!$Q$4:$Q$148,'AC Members v40'!$B$4:$B$148,$A4,'AC Members v40'!$U$4:$U$148,1)</f>
        <v>0</v>
      </c>
      <c r="AJ4" s="23">
        <f>SUMIFS('AC Members v40'!$R$4:$R$148,'AC Members v40'!$B$4:$B$148,$A4,'AC Members v40'!$U$4:$U$148,1)</f>
        <v>0</v>
      </c>
      <c r="AK4" s="23">
        <f>COUNTIFS('AC Members v40'!$B$4:$B$148,$A4,'AC Members v40'!$U$4:$U$148,1)</f>
        <v>0</v>
      </c>
      <c r="AL4" s="67">
        <f>IF(K4=0,"",IF(AND(AJ4&gt;0,AK4&gt;=2,AK4/K4&gt;=0.5),AI4/AJ4,""))</f>
      </c>
      <c r="AM4" s="23" t="inlineStr">
        <is>
          <t>بررسی شده ولی افشا یافت نشد</t>
        </is>
      </c>
      <c r="AN4" s="23" t="inlineStr">
        <is>
          <t>مهرداد محقق‌زاده</t>
        </is>
      </c>
      <c r="AO4" s="23" t="inlineStr">
        <is>
          <t>EV_SRC_FMLI_1404_001_p36</t>
        </is>
      </c>
      <c r="AP4" s="23" t="inlineStr">
        <is>
          <t>فهرست پایان سال؛ جلسات حضور فردی ندارد؛ اعضای غیر از رئیس در فهرست هیئت‌مدیره نیستند.</t>
        </is>
      </c>
    </row>
    <row r="5" ht="43.5" customHeight="1" s="76">
      <c r="A5" s="25" t="inlineStr">
        <is>
          <t>تاپیکو</t>
        </is>
      </c>
      <c r="B5" s="25" t="inlineStr">
        <is>
          <t>SRC_TPIK_1404_002</t>
        </is>
      </c>
      <c r="C5" s="25" t="inlineStr">
        <is>
          <t>FYE 1404/02/31 (1403/03/01 تا 1404/02/31)</t>
        </is>
      </c>
      <c r="D5" s="25" t="inlineStr">
        <is>
          <t>1404/02/31</t>
        </is>
      </c>
      <c r="E5" s="25" t="inlineStr">
        <is>
          <t>پایان دوره شرکت 1404/02/31، با مقطع مشترک ۱۴۰۴/۱۲/۲۹ برابر نیست</t>
        </is>
      </c>
      <c r="F5" s="25" t="inlineStr">
        <is>
          <t>تاییدشده</t>
        </is>
      </c>
      <c r="G5" s="25">
        <f>IF(F5="تاییدشده",1,"")</f>
        <v>1</v>
      </c>
      <c r="H5" s="25" t="n"/>
      <c r="I5" s="25" t="n"/>
      <c r="J5" s="25" t="inlineStr">
        <is>
          <t>تاییدشده</t>
        </is>
      </c>
      <c r="K5" s="25">
        <f>COUNTIFS('AC Members v40'!$B$4:$B$148,$A5,'AC Members v40'!$D$4:$D$148,"MEMBER")</f>
        <v>5</v>
      </c>
      <c r="L5" s="25">
        <f>COUNTIFS('AC Members v40'!$B$4:$B$148,$A5,'AC Members v40'!$D$4:$D$148,"SECRETARY")</f>
        <v>1</v>
      </c>
      <c r="M5" s="25">
        <f>COUNTIFS('AC Members v40'!$B$4:$B$148,$A5,'AC Members v40'!$D$4:$D$148,"FORMER")</f>
        <v>5</v>
      </c>
      <c r="N5" s="25">
        <f>COUNTIFS('AC Members v40'!$B$4:$B$148,$A5,'AC Members v40'!$D$4:$D$148,"POST_ASOF")</f>
        <v>0</v>
      </c>
      <c r="O5" s="25">
        <f>IF(AND(J5="تاییدشده",K5&gt;0),K5,"")</f>
        <v>5</v>
      </c>
      <c r="P5" s="25">
        <f>IF(AND(ISNUMBER(H5),ISNUMBER(K5)),H5-K5,"")</f>
      </c>
      <c r="Q5" s="25">
        <f>COUNTIFS('AC Members v40'!$B$4:$B$148,$A5,'AC Members v40'!$D$4:$D$148,"MEMBER",'AC Members v40'!$J$4:$J$148,"Y")</f>
        <v>0</v>
      </c>
      <c r="R5" s="25">
        <f>COUNTIFS('AC Members v40'!$B$4:$B$148,$A5,'AC Members v40'!$D$4:$D$148,"MEMBER",'AC Members v40'!$J$4:$J$148,"N")</f>
        <v>0</v>
      </c>
      <c r="S5" s="25">
        <f>COUNTIFS('AC Members v40'!$B$4:$B$148,$A5,'AC Members v40'!$D$4:$D$148,"MEMBER",'AC Members v40'!$J$4:$J$148,"U")</f>
        <v>5</v>
      </c>
      <c r="T5" s="25" t="inlineStr">
        <is>
          <t>بررسی شده ولی افشا یافت نشد</t>
        </is>
      </c>
      <c r="U5" s="68">
        <f>IF(AND(J5="تاییدشده",K5&gt;0,S5=0),Q5/K5,"")</f>
      </c>
      <c r="V5" s="68">
        <f>IF(Q5+R5&gt;0,Q5/(Q5+R5),"")</f>
      </c>
      <c r="W5" s="25">
        <f>COUNTIFS('AC Members v40'!$B$4:$B$148,$A5,'AC Members v40'!$D$4:$D$148,"MEMBER",'AC Members v40'!$N$4:$N$148,1)</f>
        <v>1</v>
      </c>
      <c r="X5" s="25">
        <f>K5-W5</f>
        <v>4</v>
      </c>
      <c r="Y5" s="25">
        <f>COUNTIFS('AC Members v40'!$B$4:$B$148,$A5,'AC Members v40'!$D$4:$D$148,"MEMBER",'AC Members v40'!$L$4:$L$148,"UNK",'AC Members v40'!$N$4:$N$148,0)</f>
        <v>3</v>
      </c>
      <c r="Z5" s="25" t="inlineStr">
        <is>
          <t>تاییدشده</t>
        </is>
      </c>
      <c r="AA5" s="25">
        <f>IF(W5&gt;=1,1,"")</f>
        <v>1</v>
      </c>
      <c r="AB5" s="25" t="str">
        <f>IF(AND(J5="تاییدشده",K5&gt;0,Y5=0),"کامل","ناقص (حد پایین)")</f>
        <v>ناقص (حد پایین)</v>
      </c>
      <c r="AC5" s="68">
        <f>IF(AND(J5="تاییدشده",K5&gt;0,OR(W5&gt;=1,Y5=0)),W5/K5,"")</f>
        <v>0.2</v>
      </c>
      <c r="AD5" s="25" t="n">
        <v>19</v>
      </c>
      <c r="AE5" s="25" t="inlineStr">
        <is>
          <t>تاییدشده با هشدار</t>
        </is>
      </c>
      <c r="AF5" s="25">
        <f>IF(AND(ISNUMBER(AD5),OR(AE5="تاییدشده",AE5="تاییدشده با هشدار")),AD5,"")</f>
        <v>19</v>
      </c>
      <c r="AG5" s="25" t="inlineStr">
        <is>
          <t>1403/03/01 تا 1404/02/31 (با هشدار سرصفحه)</t>
        </is>
      </c>
      <c r="AH5" s="25" t="n">
        <v>12</v>
      </c>
      <c r="AI5" s="25">
        <f>SUMIFS('AC Members v40'!$Q$4:$Q$148,'AC Members v40'!$B$4:$B$148,$A5,'AC Members v40'!$U$4:$U$148,1)</f>
        <v>0</v>
      </c>
      <c r="AJ5" s="25">
        <f>SUMIFS('AC Members v40'!$R$4:$R$148,'AC Members v40'!$B$4:$B$148,$A5,'AC Members v40'!$U$4:$U$148,1)</f>
        <v>0</v>
      </c>
      <c r="AK5" s="25">
        <f>COUNTIFS('AC Members v40'!$B$4:$B$148,$A5,'AC Members v40'!$U$4:$U$148,1)</f>
        <v>0</v>
      </c>
      <c r="AL5" s="68">
        <f>IF(K5=0,"",IF(AND(AJ5&gt;0,AK5&gt;=2,AK5/K5&gt;=0.5),AI5/AJ5,""))</f>
      </c>
      <c r="AM5" s="25" t="inlineStr">
        <is>
          <t>ناقص</t>
        </is>
      </c>
      <c r="AN5" s="25" t="inlineStr">
        <is>
          <t>محمدمهدی رحمتی</t>
        </is>
      </c>
      <c r="AO5" s="25" t="inlineStr">
        <is>
          <t>EV_SRC_TPIK_1404_002_p82</t>
        </is>
      </c>
      <c r="AP5" s="25" t="inlineStr">
        <is>
          <t>۵ عضو فعلی از ۱۴۰۳/۱۲/۱۵؛ فهرست ۵ عضو قبلی با تاریخ پایان در همان جدول؛ رشته تحصیلی اعضای فعلی صراحتا مالی نیست؛ فرصت حضور مشخص نیست.</t>
        </is>
      </c>
    </row>
    <row r="6" ht="58" customHeight="1" s="76">
      <c r="A6" s="23" t="inlineStr">
        <is>
          <t>فارس</t>
        </is>
      </c>
      <c r="B6" s="23" t="inlineStr">
        <is>
          <t>SRC_FARS_1404_001</t>
        </is>
      </c>
      <c r="C6" s="23" t="inlineStr">
        <is>
          <t>FYE 1404/03/31 (1403/04/01 تا 1404/03/31)</t>
        </is>
      </c>
      <c r="D6" s="23" t="inlineStr">
        <is>
          <t>1404/03/31</t>
        </is>
      </c>
      <c r="E6" s="23" t="inlineStr">
        <is>
          <t>پایان دوره شرکت 1404/03/31، با مقطع مشترک ۱۴۰۴/۱۲/۲۹ برابر نیست</t>
        </is>
      </c>
      <c r="F6" s="23" t="inlineStr">
        <is>
          <t>تاییدشده</t>
        </is>
      </c>
      <c r="G6" s="23">
        <f>IF(F6="تاییدشده",1,"")</f>
        <v>1</v>
      </c>
      <c r="H6" s="23" t="n">
        <v>3</v>
      </c>
      <c r="I6" s="23" t="inlineStr">
        <is>
          <t>به موجب مصوبه ۴۲۸ مورخ ۱۴۰۳/۰۵/۲۹ هیئت‌مدیره، اعضای کمیته از ۵ نفر به ۳ نفر (یک عضو مستقل هیئت‌مدیره و دو عضو مستقل خارج از شرکت) تغییر یافت</t>
        </is>
      </c>
      <c r="J6" s="23" t="inlineStr">
        <is>
          <t>تاییدشده</t>
        </is>
      </c>
      <c r="K6" s="23">
        <f>COUNTIFS('AC Members v40'!$B$4:$B$148,$A6,'AC Members v40'!$D$4:$D$148,"MEMBER")</f>
        <v>3</v>
      </c>
      <c r="L6" s="23">
        <f>COUNTIFS('AC Members v40'!$B$4:$B$148,$A6,'AC Members v40'!$D$4:$D$148,"SECRETARY")</f>
        <v>0</v>
      </c>
      <c r="M6" s="23">
        <f>COUNTIFS('AC Members v40'!$B$4:$B$148,$A6,'AC Members v40'!$D$4:$D$148,"FORMER")</f>
        <v>0</v>
      </c>
      <c r="N6" s="23">
        <f>COUNTIFS('AC Members v40'!$B$4:$B$148,$A6,'AC Members v40'!$D$4:$D$148,"POST_ASOF")</f>
        <v>0</v>
      </c>
      <c r="O6" s="23">
        <f>IF(AND(J6="تاییدشده",K6&gt;0),K6,"")</f>
        <v>3</v>
      </c>
      <c r="P6" s="23">
        <f>IF(AND(ISNUMBER(H6),ISNUMBER(K6)),H6-K6,"")</f>
        <v>0</v>
      </c>
      <c r="Q6" s="23">
        <f>COUNTIFS('AC Members v40'!$B$4:$B$148,$A6,'AC Members v40'!$D$4:$D$148,"MEMBER",'AC Members v40'!$J$4:$J$148,"Y")</f>
        <v>3</v>
      </c>
      <c r="R6" s="23">
        <f>COUNTIFS('AC Members v40'!$B$4:$B$148,$A6,'AC Members v40'!$D$4:$D$148,"MEMBER",'AC Members v40'!$J$4:$J$148,"N")</f>
        <v>0</v>
      </c>
      <c r="S6" s="23">
        <f>COUNTIFS('AC Members v40'!$B$4:$B$148,$A6,'AC Members v40'!$D$4:$D$148,"MEMBER",'AC Members v40'!$J$4:$J$148,"U")</f>
        <v>0</v>
      </c>
      <c r="T6" s="23" t="inlineStr">
        <is>
          <t>تاییدشده</t>
        </is>
      </c>
      <c r="U6" s="67">
        <f>IF(AND(J6="تاییدشده",K6&gt;0,S6=0),Q6/K6,"")</f>
        <v>1</v>
      </c>
      <c r="V6" s="67">
        <f>IF(Q6+R6&gt;0,Q6/(Q6+R6),"")</f>
        <v>1</v>
      </c>
      <c r="W6" s="23">
        <f>COUNTIFS('AC Members v40'!$B$4:$B$148,$A6,'AC Members v40'!$D$4:$D$148,"MEMBER",'AC Members v40'!$N$4:$N$148,1)</f>
        <v>2</v>
      </c>
      <c r="X6" s="23">
        <f>K6-W6</f>
        <v>1</v>
      </c>
      <c r="Y6" s="23">
        <f>COUNTIFS('AC Members v40'!$B$4:$B$148,$A6,'AC Members v40'!$D$4:$D$148,"MEMBER",'AC Members v40'!$L$4:$L$148,"UNK",'AC Members v40'!$N$4:$N$148,0)</f>
        <v>0</v>
      </c>
      <c r="Z6" s="23" t="inlineStr">
        <is>
          <t>تاییدشده</t>
        </is>
      </c>
      <c r="AA6" s="23">
        <f>IF(W6&gt;=1,1,"")</f>
        <v>1</v>
      </c>
      <c r="AB6" s="23" t="str">
        <f>IF(AND(J6="تاییدشده",K6&gt;0,Y6=0),"کامل","ناقص (حد پایین)")</f>
        <v>کامل</v>
      </c>
      <c r="AC6" s="67">
        <f>IF(AND(J6="تاییدشده",K6&gt;0,OR(W6&gt;=1,Y6=0)),W6/K6,"")</f>
        <v>0.6666666666666666</v>
      </c>
      <c r="AD6" s="23" t="n">
        <v>14</v>
      </c>
      <c r="AE6" s="23" t="inlineStr">
        <is>
          <t>تاییدشده</t>
        </is>
      </c>
      <c r="AF6" s="23">
        <f>IF(AND(ISNUMBER(AD6),OR(AE6="تاییدشده",AE6="تاییدشده با هشدار")),AD6,"")</f>
        <v>14</v>
      </c>
      <c r="AG6" s="23" t="inlineStr">
        <is>
          <t>1403/04/01 تا 1404/03/31</t>
        </is>
      </c>
      <c r="AH6" s="23" t="n">
        <v>12</v>
      </c>
      <c r="AI6" s="23">
        <f>SUMIFS('AC Members v40'!$Q$4:$Q$148,'AC Members v40'!$B$4:$B$148,$A6,'AC Members v40'!$U$4:$U$148,1)</f>
        <v>28</v>
      </c>
      <c r="AJ6" s="23">
        <f>SUMIFS('AC Members v40'!$R$4:$R$148,'AC Members v40'!$B$4:$B$148,$A6,'AC Members v40'!$U$4:$U$148,1)</f>
        <v>28</v>
      </c>
      <c r="AK6" s="23">
        <f>COUNTIFS('AC Members v40'!$B$4:$B$148,$A6,'AC Members v40'!$U$4:$U$148,1)</f>
        <v>2</v>
      </c>
      <c r="AL6" s="67">
        <f>IF(K6=0,"",IF(AND(AJ6&gt;0,AK6&gt;=2,AK6/K6&gt;=0.5),AI6/AJ6,""))</f>
        <v>1</v>
      </c>
      <c r="AM6" s="23" t="inlineStr">
        <is>
          <t>ناقص</t>
        </is>
      </c>
      <c r="AN6" s="23" t="inlineStr">
        <is>
          <t>حسین حسین‌زاده</t>
        </is>
      </c>
      <c r="AO6" s="23" t="inlineStr">
        <is>
          <t>EV_SRC_FARS_1404_001_p42</t>
        </is>
      </c>
      <c r="AP6" s="23" t="inlineStr">
        <is>
          <t>دو عضو قبلی بعد از ۱۴۰۳/۰۵/۲۹ حذف شده‌اند و در فهرست نیستند؛ حضور آنان قبل از آن مستند نیست؛ نرخ کل کمیته فقط برای دو عضو دارای فرصت معلوم قابل محاسبه است.</t>
        </is>
      </c>
    </row>
    <row r="7" ht="29" customHeight="1" s="76">
      <c r="A7" s="25" t="inlineStr">
        <is>
          <t>خودرو</t>
        </is>
      </c>
      <c r="B7" s="25" t="inlineStr">
        <is>
          <t>SRC_IKCO_1404_001</t>
        </is>
      </c>
      <c r="C7" s="25" t="inlineStr">
        <is>
          <t>FY1404 (…/12/29)</t>
        </is>
      </c>
      <c r="D7" s="25" t="inlineStr">
        <is>
          <t>1404/12/29</t>
        </is>
      </c>
      <c r="E7" s="25" t="inlineStr">
        <is>
          <t>مقطع مبنا برابر ۱۴۰۴/۱۲/۲۹</t>
        </is>
      </c>
      <c r="F7" s="25" t="inlineStr">
        <is>
          <t>تاییدشده</t>
        </is>
      </c>
      <c r="G7" s="25">
        <f>IF(F7="تاییدشده",1,"")</f>
        <v>1</v>
      </c>
      <c r="H7" s="25" t="n"/>
      <c r="I7" s="25" t="inlineStr">
        <is>
          <t>جدول «اعضای کمیته حسابرسی» (۳ ردیف)</t>
        </is>
      </c>
      <c r="J7" s="25" t="inlineStr">
        <is>
          <t>تاییدشده</t>
        </is>
      </c>
      <c r="K7" s="25">
        <f>COUNTIFS('AC Members v40'!$B$4:$B$148,$A7,'AC Members v40'!$D$4:$D$148,"MEMBER")</f>
        <v>3</v>
      </c>
      <c r="L7" s="25">
        <f>COUNTIFS('AC Members v40'!$B$4:$B$148,$A7,'AC Members v40'!$D$4:$D$148,"SECRETARY")</f>
        <v>0</v>
      </c>
      <c r="M7" s="25">
        <f>COUNTIFS('AC Members v40'!$B$4:$B$148,$A7,'AC Members v40'!$D$4:$D$148,"FORMER")</f>
        <v>0</v>
      </c>
      <c r="N7" s="25">
        <f>COUNTIFS('AC Members v40'!$B$4:$B$148,$A7,'AC Members v40'!$D$4:$D$148,"POST_ASOF")</f>
        <v>0</v>
      </c>
      <c r="O7" s="25">
        <f>IF(AND(J7="تاییدشده",K7&gt;0),K7,"")</f>
        <v>3</v>
      </c>
      <c r="P7" s="25">
        <f>IF(AND(ISNUMBER(H7),ISNUMBER(K7)),H7-K7,"")</f>
      </c>
      <c r="Q7" s="25">
        <f>COUNTIFS('AC Members v40'!$B$4:$B$148,$A7,'AC Members v40'!$D$4:$D$148,"MEMBER",'AC Members v40'!$J$4:$J$148,"Y")</f>
        <v>0</v>
      </c>
      <c r="R7" s="25">
        <f>COUNTIFS('AC Members v40'!$B$4:$B$148,$A7,'AC Members v40'!$D$4:$D$148,"MEMBER",'AC Members v40'!$J$4:$J$148,"N")</f>
        <v>0</v>
      </c>
      <c r="S7" s="25">
        <f>COUNTIFS('AC Members v40'!$B$4:$B$148,$A7,'AC Members v40'!$D$4:$D$148,"MEMBER",'AC Members v40'!$J$4:$J$148,"U")</f>
        <v>3</v>
      </c>
      <c r="T7" s="25" t="inlineStr">
        <is>
          <t>بررسی شده ولی افشا یافت نشد</t>
        </is>
      </c>
      <c r="U7" s="68">
        <f>IF(AND(J7="تاییدشده",K7&gt;0,S7=0),Q7/K7,"")</f>
      </c>
      <c r="V7" s="68">
        <f>IF(Q7+R7&gt;0,Q7/(Q7+R7),"")</f>
      </c>
      <c r="W7" s="25">
        <f>COUNTIFS('AC Members v40'!$B$4:$B$148,$A7,'AC Members v40'!$D$4:$D$148,"MEMBER",'AC Members v40'!$N$4:$N$148,1)</f>
        <v>3</v>
      </c>
      <c r="X7" s="25">
        <f>K7-W7</f>
        <v>0</v>
      </c>
      <c r="Y7" s="25">
        <f>COUNTIFS('AC Members v40'!$B$4:$B$148,$A7,'AC Members v40'!$D$4:$D$148,"MEMBER",'AC Members v40'!$L$4:$L$148,"UNK",'AC Members v40'!$N$4:$N$148,0)</f>
        <v>0</v>
      </c>
      <c r="Z7" s="25" t="inlineStr">
        <is>
          <t>تاییدشده</t>
        </is>
      </c>
      <c r="AA7" s="25">
        <f>IF(W7&gt;=1,1,"")</f>
        <v>1</v>
      </c>
      <c r="AB7" s="25" t="str">
        <f>IF(AND(J7="تاییدشده",K7&gt;0,Y7=0),"کامل","ناقص (حد پایین)")</f>
        <v>کامل</v>
      </c>
      <c r="AC7" s="68">
        <f>IF(AND(J7="تاییدشده",K7&gt;0,OR(W7&gt;=1,Y7=0)),W7/K7,"")</f>
        <v>1</v>
      </c>
      <c r="AD7" s="25" t="n"/>
      <c r="AE7" s="25" t="inlineStr">
        <is>
          <t>بررسی شده ولی افشا یافت نشد</t>
        </is>
      </c>
      <c r="AF7" s="25">
        <f>IF(AND(ISNUMBER(AD7),OR(AE7="تاییدشده",AE7="تاییدشده با هشدار")),AD7,"")</f>
      </c>
      <c r="AG7" s="25" t="n"/>
      <c r="AH7" s="25" t="n"/>
      <c r="AI7" s="25">
        <f>SUMIFS('AC Members v40'!$Q$4:$Q$148,'AC Members v40'!$B$4:$B$148,$A7,'AC Members v40'!$U$4:$U$148,1)</f>
        <v>0</v>
      </c>
      <c r="AJ7" s="25">
        <f>SUMIFS('AC Members v40'!$R$4:$R$148,'AC Members v40'!$B$4:$B$148,$A7,'AC Members v40'!$U$4:$U$148,1)</f>
        <v>0</v>
      </c>
      <c r="AK7" s="25">
        <f>COUNTIFS('AC Members v40'!$B$4:$B$148,$A7,'AC Members v40'!$U$4:$U$148,1)</f>
        <v>0</v>
      </c>
      <c r="AL7" s="68">
        <f>IF(K7=0,"",IF(AND(AJ7&gt;0,AK7&gt;=2,AK7/K7&gt;=0.5),AI7/AJ7,""))</f>
      </c>
      <c r="AM7" s="25" t="inlineStr">
        <is>
          <t>ناقص</t>
        </is>
      </c>
      <c r="AN7" s="25" t="inlineStr">
        <is>
          <t>جمشید ایمانی کتک‌لاهیجانی</t>
        </is>
      </c>
      <c r="AO7" s="25" t="inlineStr">
        <is>
          <t>EV_SRC_IKCO_1404_001_p54</t>
        </is>
      </c>
      <c r="AP7" s="25" t="inlineStr">
        <is>
          <t>تاریخ‌ها «ریسک، انتصابات، حسابرسی» مشترک در عنوان ستون؛ تاریخ عضویت AC تعبیر شده با تردید جزئی.</t>
        </is>
      </c>
    </row>
    <row r="8" ht="29" customHeight="1" s="76">
      <c r="A8" s="23" t="inlineStr">
        <is>
          <t>زاگرس</t>
        </is>
      </c>
      <c r="B8" s="23" t="inlineStr">
        <is>
          <t>SRC_ZGRS_1404_001</t>
        </is>
      </c>
      <c r="C8" s="23" t="inlineStr">
        <is>
          <t>FY1404 (…/12/29)</t>
        </is>
      </c>
      <c r="D8" s="23" t="inlineStr">
        <is>
          <t>1404/12/29</t>
        </is>
      </c>
      <c r="E8" s="23" t="inlineStr">
        <is>
          <t>مقطع مبنا برابر ۱۴۰۴/۱۲/۲۹</t>
        </is>
      </c>
      <c r="F8" s="23" t="inlineStr">
        <is>
          <t>تاییدشده</t>
        </is>
      </c>
      <c r="G8" s="23">
        <f>IF(F8="تاییدشده",1,"")</f>
        <v>1</v>
      </c>
      <c r="H8" s="23" t="n"/>
      <c r="I8" s="23" t="inlineStr">
        <is>
          <t>«مشخصات و سوابق کمیته حسابرسی» (۵ نفر)؛ بدون عدد اعلام‌شده</t>
        </is>
      </c>
      <c r="J8" s="23" t="inlineStr">
        <is>
          <t>تاییدشده</t>
        </is>
      </c>
      <c r="K8" s="23">
        <f>COUNTIFS('AC Members v40'!$B$4:$B$148,$A8,'AC Members v40'!$D$4:$D$148,"MEMBER")</f>
        <v>5</v>
      </c>
      <c r="L8" s="23">
        <f>COUNTIFS('AC Members v40'!$B$4:$B$148,$A8,'AC Members v40'!$D$4:$D$148,"SECRETARY")</f>
        <v>0</v>
      </c>
      <c r="M8" s="23">
        <f>COUNTIFS('AC Members v40'!$B$4:$B$148,$A8,'AC Members v40'!$D$4:$D$148,"FORMER")</f>
        <v>0</v>
      </c>
      <c r="N8" s="23">
        <f>COUNTIFS('AC Members v40'!$B$4:$B$148,$A8,'AC Members v40'!$D$4:$D$148,"POST_ASOF")</f>
        <v>0</v>
      </c>
      <c r="O8" s="23">
        <f>IF(AND(J8="تاییدشده",K8&gt;0),K8,"")</f>
        <v>5</v>
      </c>
      <c r="P8" s="23">
        <f>IF(AND(ISNUMBER(H8),ISNUMBER(K8)),H8-K8,"")</f>
      </c>
      <c r="Q8" s="23">
        <f>COUNTIFS('AC Members v40'!$B$4:$B$148,$A8,'AC Members v40'!$D$4:$D$148,"MEMBER",'AC Members v40'!$J$4:$J$148,"Y")</f>
        <v>0</v>
      </c>
      <c r="R8" s="23">
        <f>COUNTIFS('AC Members v40'!$B$4:$B$148,$A8,'AC Members v40'!$D$4:$D$148,"MEMBER",'AC Members v40'!$J$4:$J$148,"N")</f>
        <v>0</v>
      </c>
      <c r="S8" s="23">
        <f>COUNTIFS('AC Members v40'!$B$4:$B$148,$A8,'AC Members v40'!$D$4:$D$148,"MEMBER",'AC Members v40'!$J$4:$J$148,"U")</f>
        <v>5</v>
      </c>
      <c r="T8" s="23" t="inlineStr">
        <is>
          <t>بررسی شده ولی افشا یافت نشد</t>
        </is>
      </c>
      <c r="U8" s="67">
        <f>IF(AND(J8="تاییدشده",K8&gt;0,S8=0),Q8/K8,"")</f>
      </c>
      <c r="V8" s="67">
        <f>IF(Q8+R8&gt;0,Q8/(Q8+R8),"")</f>
      </c>
      <c r="W8" s="23">
        <f>COUNTIFS('AC Members v40'!$B$4:$B$148,$A8,'AC Members v40'!$D$4:$D$148,"MEMBER",'AC Members v40'!$N$4:$N$148,1)</f>
        <v>3</v>
      </c>
      <c r="X8" s="23">
        <f>K8-W8</f>
        <v>2</v>
      </c>
      <c r="Y8" s="23">
        <f>COUNTIFS('AC Members v40'!$B$4:$B$148,$A8,'AC Members v40'!$D$4:$D$148,"MEMBER",'AC Members v40'!$L$4:$L$148,"UNK",'AC Members v40'!$N$4:$N$148,0)</f>
        <v>0</v>
      </c>
      <c r="Z8" s="23" t="inlineStr">
        <is>
          <t>تاییدشده</t>
        </is>
      </c>
      <c r="AA8" s="23">
        <f>IF(W8&gt;=1,1,"")</f>
        <v>1</v>
      </c>
      <c r="AB8" s="23" t="str">
        <f>IF(AND(J8="تاییدشده",K8&gt;0,Y8=0),"کامل","ناقص (حد پایین)")</f>
        <v>کامل</v>
      </c>
      <c r="AC8" s="67">
        <f>IF(AND(J8="تاییدشده",K8&gt;0,OR(W8&gt;=1,Y8=0)),W8/K8,"")</f>
        <v>0.6</v>
      </c>
      <c r="AD8" s="23" t="n"/>
      <c r="AE8" s="23" t="inlineStr">
        <is>
          <t>بررسی شده ولی افشا یافت نشد</t>
        </is>
      </c>
      <c r="AF8" s="23">
        <f>IF(AND(ISNUMBER(AD8),OR(AE8="تاییدشده",AE8="تاییدشده با هشدار")),AD8,"")</f>
      </c>
      <c r="AG8" s="23" t="n"/>
      <c r="AH8" s="23" t="n"/>
      <c r="AI8" s="23">
        <f>SUMIFS('AC Members v40'!$Q$4:$Q$148,'AC Members v40'!$B$4:$B$148,$A8,'AC Members v40'!$U$4:$U$148,1)</f>
        <v>0</v>
      </c>
      <c r="AJ8" s="23">
        <f>SUMIFS('AC Members v40'!$R$4:$R$148,'AC Members v40'!$B$4:$B$148,$A8,'AC Members v40'!$U$4:$U$148,1)</f>
        <v>0</v>
      </c>
      <c r="AK8" s="23">
        <f>COUNTIFS('AC Members v40'!$B$4:$B$148,$A8,'AC Members v40'!$U$4:$U$148,1)</f>
        <v>0</v>
      </c>
      <c r="AL8" s="67">
        <f>IF(K8=0,"",IF(AND(AJ8&gt;0,AK8&gt;=2,AK8/K8&gt;=0.5),AI8/AJ8,""))</f>
      </c>
      <c r="AM8" s="23" t="inlineStr">
        <is>
          <t>بررسی شده ولی افشا یافت نشد</t>
        </is>
      </c>
      <c r="AN8" s="23" t="inlineStr">
        <is>
          <t>محمود مجیب</t>
        </is>
      </c>
      <c r="AO8" s="23" t="inlineStr">
        <is>
          <t>EV_SRC_ZGRS_1404_001_p27</t>
        </is>
      </c>
      <c r="AP8" s="23" t="inlineStr">
        <is>
          <t>وجود کمیته برای نخستین بار با سند تایید شد (v31: نامشخص). حضور و جلسات کمیته در گزارش نیست.</t>
        </is>
      </c>
    </row>
    <row r="9" ht="29" customHeight="1" s="76">
      <c r="A9" s="25" t="inlineStr">
        <is>
          <t>شبندر</t>
        </is>
      </c>
      <c r="B9" s="25" t="inlineStr">
        <is>
          <t>SRC_SHBN_1404_001</t>
        </is>
      </c>
      <c r="C9" s="25" t="inlineStr">
        <is>
          <t>FY1404 (…/12/29)</t>
        </is>
      </c>
      <c r="D9" s="25" t="inlineStr">
        <is>
          <t>1404/12/29</t>
        </is>
      </c>
      <c r="E9" s="25" t="inlineStr">
        <is>
          <t>مقطع مبنا برابر ۱۴۰۴/۱۲/۲۹</t>
        </is>
      </c>
      <c r="F9" s="25" t="inlineStr">
        <is>
          <t>تاییدشده</t>
        </is>
      </c>
      <c r="G9" s="25">
        <f>IF(F9="تاییدشده",1,"")</f>
        <v>1</v>
      </c>
      <c r="H9" s="25" t="n"/>
      <c r="I9" s="25" t="inlineStr">
        <is>
          <t>جدول ۴ تا ۲ تا ۱ اطلاعات اعضای کمیته حسابرسی (۵ ردیف)</t>
        </is>
      </c>
      <c r="J9" s="25" t="inlineStr">
        <is>
          <t>تاییدشده</t>
        </is>
      </c>
      <c r="K9" s="25">
        <f>COUNTIFS('AC Members v40'!$B$4:$B$148,$A9,'AC Members v40'!$D$4:$D$148,"MEMBER")</f>
        <v>5</v>
      </c>
      <c r="L9" s="25">
        <f>COUNTIFS('AC Members v40'!$B$4:$B$148,$A9,'AC Members v40'!$D$4:$D$148,"SECRETARY")</f>
        <v>0</v>
      </c>
      <c r="M9" s="25">
        <f>COUNTIFS('AC Members v40'!$B$4:$B$148,$A9,'AC Members v40'!$D$4:$D$148,"FORMER")</f>
        <v>0</v>
      </c>
      <c r="N9" s="25">
        <f>COUNTIFS('AC Members v40'!$B$4:$B$148,$A9,'AC Members v40'!$D$4:$D$148,"POST_ASOF")</f>
        <v>0</v>
      </c>
      <c r="O9" s="25">
        <f>IF(AND(J9="تاییدشده",K9&gt;0),K9,"")</f>
        <v>5</v>
      </c>
      <c r="P9" s="25">
        <f>IF(AND(ISNUMBER(H9),ISNUMBER(K9)),H9-K9,"")</f>
      </c>
      <c r="Q9" s="25">
        <f>COUNTIFS('AC Members v40'!$B$4:$B$148,$A9,'AC Members v40'!$D$4:$D$148,"MEMBER",'AC Members v40'!$J$4:$J$148,"Y")</f>
        <v>0</v>
      </c>
      <c r="R9" s="25">
        <f>COUNTIFS('AC Members v40'!$B$4:$B$148,$A9,'AC Members v40'!$D$4:$D$148,"MEMBER",'AC Members v40'!$J$4:$J$148,"N")</f>
        <v>0</v>
      </c>
      <c r="S9" s="25">
        <f>COUNTIFS('AC Members v40'!$B$4:$B$148,$A9,'AC Members v40'!$D$4:$D$148,"MEMBER",'AC Members v40'!$J$4:$J$148,"U")</f>
        <v>5</v>
      </c>
      <c r="T9" s="25" t="inlineStr">
        <is>
          <t>بررسی شده ولی افشا یافت نشد</t>
        </is>
      </c>
      <c r="U9" s="68">
        <f>IF(AND(J9="تاییدشده",K9&gt;0,S9=0),Q9/K9,"")</f>
      </c>
      <c r="V9" s="68">
        <f>IF(Q9+R9&gt;0,Q9/(Q9+R9),"")</f>
      </c>
      <c r="W9" s="25">
        <f>COUNTIFS('AC Members v40'!$B$4:$B$148,$A9,'AC Members v40'!$D$4:$D$148,"MEMBER",'AC Members v40'!$N$4:$N$148,1)</f>
        <v>2</v>
      </c>
      <c r="X9" s="25">
        <f>K9-W9</f>
        <v>3</v>
      </c>
      <c r="Y9" s="25">
        <f>COUNTIFS('AC Members v40'!$B$4:$B$148,$A9,'AC Members v40'!$D$4:$D$148,"MEMBER",'AC Members v40'!$L$4:$L$148,"UNK",'AC Members v40'!$N$4:$N$148,0)</f>
        <v>1</v>
      </c>
      <c r="Z9" s="25" t="inlineStr">
        <is>
          <t>تاییدشده</t>
        </is>
      </c>
      <c r="AA9" s="25">
        <f>IF(W9&gt;=1,1,"")</f>
        <v>1</v>
      </c>
      <c r="AB9" s="25" t="str">
        <f>IF(AND(J9="تاییدشده",K9&gt;0,Y9=0),"کامل","ناقص (حد پایین)")</f>
        <v>ناقص (حد پایین)</v>
      </c>
      <c r="AC9" s="68">
        <f>IF(AND(J9="تاییدشده",K9&gt;0,OR(W9&gt;=1,Y9=0)),W9/K9,"")</f>
        <v>0.4</v>
      </c>
      <c r="AD9" s="25" t="n">
        <v>22</v>
      </c>
      <c r="AE9" s="25" t="inlineStr">
        <is>
          <t>تاییدشده</t>
        </is>
      </c>
      <c r="AF9" s="25">
        <f>IF(AND(ISNUMBER(AD9),OR(AE9="تاییدشده",AE9="تاییدشده با هشدار")),AD9,"")</f>
        <v>22</v>
      </c>
      <c r="AG9" s="25" t="inlineStr">
        <is>
          <t>1404/01/01 تا 1404/12/29</t>
        </is>
      </c>
      <c r="AH9" s="25" t="n">
        <v>12</v>
      </c>
      <c r="AI9" s="25">
        <f>SUMIFS('AC Members v40'!$Q$4:$Q$148,'AC Members v40'!$B$4:$B$148,$A9,'AC Members v40'!$U$4:$U$148,1)</f>
        <v>0</v>
      </c>
      <c r="AJ9" s="25">
        <f>SUMIFS('AC Members v40'!$R$4:$R$148,'AC Members v40'!$B$4:$B$148,$A9,'AC Members v40'!$U$4:$U$148,1)</f>
        <v>0</v>
      </c>
      <c r="AK9" s="25">
        <f>COUNTIFS('AC Members v40'!$B$4:$B$148,$A9,'AC Members v40'!$U$4:$U$148,1)</f>
        <v>0</v>
      </c>
      <c r="AL9" s="68">
        <f>IF(K9=0,"",IF(AND(AJ9&gt;0,AK9&gt;=2,AK9/K9&gt;=0.5),AI9/AJ9,""))</f>
      </c>
      <c r="AM9" s="25" t="inlineStr">
        <is>
          <t>بررسی شده ولی افشا یافت نشد</t>
        </is>
      </c>
      <c r="AN9" s="25" t="inlineStr">
        <is>
          <t>حامد اکبری</t>
        </is>
      </c>
      <c r="AO9" s="25" t="inlineStr">
        <is>
          <t>EV_SRC_SHBN_1404_001_p56</t>
        </is>
      </c>
      <c r="AP9" s="25" t="inlineStr">
        <is>
          <t>فهرست اعضا؛ مصوبات و حضور فردی ندارد؛ اعضای پیشین کمیته در ۱۴۰۴ ثبت نشده.</t>
        </is>
      </c>
    </row>
    <row r="10" ht="29" customHeight="1" s="76">
      <c r="A10" s="23" t="inlineStr">
        <is>
          <t>پارس</t>
        </is>
      </c>
      <c r="B10" s="23" t="inlineStr">
        <is>
          <t>SRC_PARS_1404_001</t>
        </is>
      </c>
      <c r="C10" s="23" t="inlineStr">
        <is>
          <t>FY1404 (…/12/29)</t>
        </is>
      </c>
      <c r="D10" s="23" t="inlineStr">
        <is>
          <t>1404/12/29</t>
        </is>
      </c>
      <c r="E10" s="23" t="inlineStr">
        <is>
          <t>مقطع مبنا برابر ۱۴۰۴/۱۲/۲۹</t>
        </is>
      </c>
      <c r="F10" s="23" t="inlineStr">
        <is>
          <t>تاییدشده</t>
        </is>
      </c>
      <c r="G10" s="23">
        <f>IF(F10="تاییدشده",1,"")</f>
        <v>1</v>
      </c>
      <c r="H10" s="23" t="n"/>
      <c r="I10" s="23" t="inlineStr">
        <is>
          <t>«اطلاعات اعضای کمیته حسابرسی» (۵ ردیف)</t>
        </is>
      </c>
      <c r="J10" s="23" t="inlineStr">
        <is>
          <t>تاییدشده</t>
        </is>
      </c>
      <c r="K10" s="23">
        <f>COUNTIFS('AC Members v40'!$B$4:$B$148,$A10,'AC Members v40'!$D$4:$D$148,"MEMBER")</f>
        <v>5</v>
      </c>
      <c r="L10" s="23">
        <f>COUNTIFS('AC Members v40'!$B$4:$B$148,$A10,'AC Members v40'!$D$4:$D$148,"SECRETARY")</f>
        <v>0</v>
      </c>
      <c r="M10" s="23">
        <f>COUNTIFS('AC Members v40'!$B$4:$B$148,$A10,'AC Members v40'!$D$4:$D$148,"FORMER")</f>
        <v>0</v>
      </c>
      <c r="N10" s="23">
        <f>COUNTIFS('AC Members v40'!$B$4:$B$148,$A10,'AC Members v40'!$D$4:$D$148,"POST_ASOF")</f>
        <v>0</v>
      </c>
      <c r="O10" s="23">
        <f>IF(AND(J10="تاییدشده",K10&gt;0),K10,"")</f>
        <v>5</v>
      </c>
      <c r="P10" s="23">
        <f>IF(AND(ISNUMBER(H10),ISNUMBER(K10)),H10-K10,"")</f>
      </c>
      <c r="Q10" s="23">
        <f>COUNTIFS('AC Members v40'!$B$4:$B$148,$A10,'AC Members v40'!$D$4:$D$148,"MEMBER",'AC Members v40'!$J$4:$J$148,"Y")</f>
        <v>0</v>
      </c>
      <c r="R10" s="23">
        <f>COUNTIFS('AC Members v40'!$B$4:$B$148,$A10,'AC Members v40'!$D$4:$D$148,"MEMBER",'AC Members v40'!$J$4:$J$148,"N")</f>
        <v>0</v>
      </c>
      <c r="S10" s="23">
        <f>COUNTIFS('AC Members v40'!$B$4:$B$148,$A10,'AC Members v40'!$D$4:$D$148,"MEMBER",'AC Members v40'!$J$4:$J$148,"U")</f>
        <v>5</v>
      </c>
      <c r="T10" s="23" t="inlineStr">
        <is>
          <t>بررسی شده ولی افشا یافت نشد</t>
        </is>
      </c>
      <c r="U10" s="67">
        <f>IF(AND(J10="تاییدشده",K10&gt;0,S10=0),Q10/K10,"")</f>
      </c>
      <c r="V10" s="67">
        <f>IF(Q10+R10&gt;0,Q10/(Q10+R10),"")</f>
      </c>
      <c r="W10" s="23">
        <f>COUNTIFS('AC Members v40'!$B$4:$B$148,$A10,'AC Members v40'!$D$4:$D$148,"MEMBER",'AC Members v40'!$N$4:$N$148,1)</f>
        <v>4</v>
      </c>
      <c r="X10" s="23">
        <f>K10-W10</f>
        <v>1</v>
      </c>
      <c r="Y10" s="23">
        <f>COUNTIFS('AC Members v40'!$B$4:$B$148,$A10,'AC Members v40'!$D$4:$D$148,"MEMBER",'AC Members v40'!$L$4:$L$148,"UNK",'AC Members v40'!$N$4:$N$148,0)</f>
        <v>0</v>
      </c>
      <c r="Z10" s="23" t="inlineStr">
        <is>
          <t>تاییدشده</t>
        </is>
      </c>
      <c r="AA10" s="23">
        <f>IF(W10&gt;=1,1,"")</f>
        <v>1</v>
      </c>
      <c r="AB10" s="23" t="str">
        <f>IF(AND(J10="تاییدشده",K10&gt;0,Y10=0),"کامل","ناقص (حد پایین)")</f>
        <v>کامل</v>
      </c>
      <c r="AC10" s="67">
        <f>IF(AND(J10="تاییدشده",K10&gt;0,OR(W10&gt;=1,Y10=0)),W10/K10,"")</f>
        <v>0.8</v>
      </c>
      <c r="AD10" s="23" t="n">
        <v>17</v>
      </c>
      <c r="AE10" s="23" t="inlineStr">
        <is>
          <t>تاییدشده با هشدار</t>
        </is>
      </c>
      <c r="AF10" s="23">
        <f>IF(AND(ISNUMBER(AD10),OR(AE10="تاییدشده",AE10="تاییدشده با هشدار")),AD10,"")</f>
        <v>17</v>
      </c>
      <c r="AG10" s="23" t="inlineStr">
        <is>
          <t>1404/01/01 تا 1404/12/29</t>
        </is>
      </c>
      <c r="AH10" s="23" t="n">
        <v>12</v>
      </c>
      <c r="AI10" s="23">
        <f>SUMIFS('AC Members v40'!$Q$4:$Q$148,'AC Members v40'!$B$4:$B$148,$A10,'AC Members v40'!$U$4:$U$148,1)</f>
        <v>34</v>
      </c>
      <c r="AJ10" s="23">
        <f>SUMIFS('AC Members v40'!$R$4:$R$148,'AC Members v40'!$B$4:$B$148,$A10,'AC Members v40'!$U$4:$U$148,1)</f>
        <v>34</v>
      </c>
      <c r="AK10" s="23">
        <f>COUNTIFS('AC Members v40'!$B$4:$B$148,$A10,'AC Members v40'!$U$4:$U$148,1)</f>
        <v>2</v>
      </c>
      <c r="AL10" s="67">
        <f>IF(K10=0,"",IF(AND(AJ10&gt;0,AK10&gt;=2,AK10/K10&gt;=0.5),AI10/AJ10,""))</f>
      </c>
      <c r="AM10" s="23" t="inlineStr">
        <is>
          <t>ناقص</t>
        </is>
      </c>
      <c r="AN10" s="23" t="inlineStr">
        <is>
          <t>ابراهیم صادقی</t>
        </is>
      </c>
      <c r="AO10" s="23" t="inlineStr">
        <is>
          <t>EV_SRC_PARS_1404_001_p36</t>
        </is>
      </c>
      <c r="AP10" s="23" t="inlineStr">
        <is>
          <t>حضور اعضای تازه‌وارد (۱۴۰۴/۰۹/۱۶) = ۵ جلسه؛ فرصت حضور آنها مشخص نیست.</t>
        </is>
      </c>
    </row>
    <row r="11" ht="29" customHeight="1" s="76">
      <c r="A11" s="25" t="inlineStr">
        <is>
          <t>شتران</t>
        </is>
      </c>
      <c r="B11" s="25" t="inlineStr">
        <is>
          <t>SRC_SHTR_1404_002</t>
        </is>
      </c>
      <c r="C11" s="25" t="inlineStr">
        <is>
          <t>FY1404 (…/12/29)</t>
        </is>
      </c>
      <c r="D11" s="25" t="inlineStr">
        <is>
          <t>1404/12/29</t>
        </is>
      </c>
      <c r="E11" s="25" t="inlineStr">
        <is>
          <t>مقطع مبنا برابر ۱۴۰۴/۱۲/۲۹</t>
        </is>
      </c>
      <c r="F11" s="25" t="inlineStr">
        <is>
          <t>تاییدشده</t>
        </is>
      </c>
      <c r="G11" s="25">
        <f>IF(F11="تاییدشده",1,"")</f>
        <v>1</v>
      </c>
      <c r="H11" s="25" t="n"/>
      <c r="I11" s="25" t="inlineStr">
        <is>
          <t>جدول «اعضای کمیته حسابرسی» (۴ ردیف شامل دبیر)</t>
        </is>
      </c>
      <c r="J11" s="25" t="inlineStr">
        <is>
          <t>تاییدشده</t>
        </is>
      </c>
      <c r="K11" s="25">
        <f>COUNTIFS('AC Members v40'!$B$4:$B$148,$A11,'AC Members v40'!$D$4:$D$148,"MEMBER")</f>
        <v>3</v>
      </c>
      <c r="L11" s="25">
        <f>COUNTIFS('AC Members v40'!$B$4:$B$148,$A11,'AC Members v40'!$D$4:$D$148,"SECRETARY")</f>
        <v>1</v>
      </c>
      <c r="M11" s="25">
        <f>COUNTIFS('AC Members v40'!$B$4:$B$148,$A11,'AC Members v40'!$D$4:$D$148,"FORMER")</f>
        <v>0</v>
      </c>
      <c r="N11" s="25">
        <f>COUNTIFS('AC Members v40'!$B$4:$B$148,$A11,'AC Members v40'!$D$4:$D$148,"POST_ASOF")</f>
        <v>0</v>
      </c>
      <c r="O11" s="25">
        <f>IF(AND(J11="تاییدشده",K11&gt;0),K11,"")</f>
        <v>3</v>
      </c>
      <c r="P11" s="25">
        <f>IF(AND(ISNUMBER(H11),ISNUMBER(K11)),H11-K11,"")</f>
      </c>
      <c r="Q11" s="25">
        <f>COUNTIFS('AC Members v40'!$B$4:$B$148,$A11,'AC Members v40'!$D$4:$D$148,"MEMBER",'AC Members v40'!$J$4:$J$148,"Y")</f>
        <v>2</v>
      </c>
      <c r="R11" s="25">
        <f>COUNTIFS('AC Members v40'!$B$4:$B$148,$A11,'AC Members v40'!$D$4:$D$148,"MEMBER",'AC Members v40'!$J$4:$J$148,"N")</f>
        <v>0</v>
      </c>
      <c r="S11" s="25">
        <f>COUNTIFS('AC Members v40'!$B$4:$B$148,$A11,'AC Members v40'!$D$4:$D$148,"MEMBER",'AC Members v40'!$J$4:$J$148,"U")</f>
        <v>1</v>
      </c>
      <c r="T11" s="25" t="inlineStr">
        <is>
          <t>ناقص</t>
        </is>
      </c>
      <c r="U11" s="68">
        <f>IF(AND(J11="تاییدشده",K11&gt;0,S11=0),Q11/K11,"")</f>
      </c>
      <c r="V11" s="68">
        <f>IF(Q11+R11&gt;0,Q11/(Q11+R11),"")</f>
        <v>1</v>
      </c>
      <c r="W11" s="25">
        <f>COUNTIFS('AC Members v40'!$B$4:$B$148,$A11,'AC Members v40'!$D$4:$D$148,"MEMBER",'AC Members v40'!$N$4:$N$148,1)</f>
        <v>3</v>
      </c>
      <c r="X11" s="25">
        <f>K11-W11</f>
        <v>0</v>
      </c>
      <c r="Y11" s="25">
        <f>COUNTIFS('AC Members v40'!$B$4:$B$148,$A11,'AC Members v40'!$D$4:$D$148,"MEMBER",'AC Members v40'!$L$4:$L$148,"UNK",'AC Members v40'!$N$4:$N$148,0)</f>
        <v>0</v>
      </c>
      <c r="Z11" s="25" t="inlineStr">
        <is>
          <t>تاییدشده</t>
        </is>
      </c>
      <c r="AA11" s="25">
        <f>IF(W11&gt;=1,1,"")</f>
        <v>1</v>
      </c>
      <c r="AB11" s="25" t="str">
        <f>IF(AND(J11="تاییدشده",K11&gt;0,Y11=0),"کامل","ناقص (حد پایین)")</f>
        <v>کامل</v>
      </c>
      <c r="AC11" s="68">
        <f>IF(AND(J11="تاییدشده",K11&gt;0,OR(W11&gt;=1,Y11=0)),W11/K11,"")</f>
        <v>1</v>
      </c>
      <c r="AD11" s="25" t="n">
        <v>20</v>
      </c>
      <c r="AE11" s="25" t="inlineStr">
        <is>
          <t>تاییدشده</t>
        </is>
      </c>
      <c r="AF11" s="25">
        <f>IF(AND(ISNUMBER(AD11),OR(AE11="تاییدشده",AE11="تاییدشده با هشدار")),AD11,"")</f>
        <v>20</v>
      </c>
      <c r="AG11" s="25" t="inlineStr">
        <is>
          <t>1404/01/01 تا 1404/12/29</t>
        </is>
      </c>
      <c r="AH11" s="25" t="n">
        <v>12</v>
      </c>
      <c r="AI11" s="25">
        <f>SUMIFS('AC Members v40'!$Q$4:$Q$148,'AC Members v40'!$B$4:$B$148,$A11,'AC Members v40'!$U$4:$U$148,1)</f>
        <v>60</v>
      </c>
      <c r="AJ11" s="25">
        <f>SUMIFS('AC Members v40'!$R$4:$R$148,'AC Members v40'!$B$4:$B$148,$A11,'AC Members v40'!$U$4:$U$148,1)</f>
        <v>60</v>
      </c>
      <c r="AK11" s="25">
        <f>COUNTIFS('AC Members v40'!$B$4:$B$148,$A11,'AC Members v40'!$U$4:$U$148,1)</f>
        <v>3</v>
      </c>
      <c r="AL11" s="68">
        <f>IF(K11=0,"",IF(AND(AJ11&gt;0,AK11&gt;=2,AK11/K11&gt;=0.5),AI11/AJ11,""))</f>
        <v>1</v>
      </c>
      <c r="AM11" s="25" t="inlineStr">
        <is>
          <t>تاییدشده</t>
        </is>
      </c>
      <c r="AN11" s="25" t="inlineStr">
        <is>
          <t>میثم قاسمی</t>
        </is>
      </c>
      <c r="AO11" s="25" t="inlineStr">
        <is>
          <t>EV_SRC_SHTR_1404_002_p17</t>
        </is>
      </c>
      <c r="AP11" s="25" t="inlineStr">
        <is>
          <t>وجود کمیته برای نخستین بار با سند تایید شد (v31: نامشخص). حضور فردی عددی نیست، فقط عبارت جمعی.</t>
        </is>
      </c>
    </row>
    <row r="12" ht="29" customHeight="1" s="76">
      <c r="A12" s="23" t="inlineStr">
        <is>
          <t>وتجارت</t>
        </is>
      </c>
      <c r="B12" s="23" t="inlineStr">
        <is>
          <t>SRC_VTEJ_1404_001</t>
        </is>
      </c>
      <c r="C12" s="23" t="inlineStr">
        <is>
          <t>FY1404 (…/12/29)؛ جدول «در تاریخ ۱۴۰۴/۱۲/۲۹»</t>
        </is>
      </c>
      <c r="D12" s="23" t="inlineStr">
        <is>
          <t>1404/12/29</t>
        </is>
      </c>
      <c r="E12" s="23" t="inlineStr">
        <is>
          <t>مقطع مبنا برابر ۱۴۰۴/۱۲/۲۹</t>
        </is>
      </c>
      <c r="F12" s="23" t="inlineStr">
        <is>
          <t>تاییدشده</t>
        </is>
      </c>
      <c r="G12" s="23">
        <f>IF(F12="تاییدشده",1,"")</f>
        <v>1</v>
      </c>
      <c r="H12" s="23" t="n"/>
      <c r="I12" s="23" t="inlineStr">
        <is>
          <t>«۴ تا ۲-اطلاعات مربوط به کمیته‌های تخصصی در تاریخ ۱۴۰۴/۱۲/۲۹ کمیته حسابرسی» (۵ ردیف)</t>
        </is>
      </c>
      <c r="J12" s="23" t="inlineStr">
        <is>
          <t>تاییدشده</t>
        </is>
      </c>
      <c r="K12" s="23">
        <f>COUNTIFS('AC Members v40'!$B$4:$B$148,$A12,'AC Members v40'!$D$4:$D$148,"MEMBER")</f>
        <v>5</v>
      </c>
      <c r="L12" s="23">
        <f>COUNTIFS('AC Members v40'!$B$4:$B$148,$A12,'AC Members v40'!$D$4:$D$148,"SECRETARY")</f>
        <v>0</v>
      </c>
      <c r="M12" s="23">
        <f>COUNTIFS('AC Members v40'!$B$4:$B$148,$A12,'AC Members v40'!$D$4:$D$148,"FORMER")</f>
        <v>0</v>
      </c>
      <c r="N12" s="23">
        <f>COUNTIFS('AC Members v40'!$B$4:$B$148,$A12,'AC Members v40'!$D$4:$D$148,"POST_ASOF")</f>
        <v>0</v>
      </c>
      <c r="O12" s="23">
        <f>IF(AND(J12="تاییدشده",K12&gt;0),K12,"")</f>
        <v>5</v>
      </c>
      <c r="P12" s="23">
        <f>IF(AND(ISNUMBER(H12),ISNUMBER(K12)),H12-K12,"")</f>
      </c>
      <c r="Q12" s="23">
        <f>COUNTIFS('AC Members v40'!$B$4:$B$148,$A12,'AC Members v40'!$D$4:$D$148,"MEMBER",'AC Members v40'!$J$4:$J$148,"Y")</f>
        <v>4</v>
      </c>
      <c r="R12" s="23">
        <f>COUNTIFS('AC Members v40'!$B$4:$B$148,$A12,'AC Members v40'!$D$4:$D$148,"MEMBER",'AC Members v40'!$J$4:$J$148,"N")</f>
        <v>0</v>
      </c>
      <c r="S12" s="23">
        <f>COUNTIFS('AC Members v40'!$B$4:$B$148,$A12,'AC Members v40'!$D$4:$D$148,"MEMBER",'AC Members v40'!$J$4:$J$148,"U")</f>
        <v>1</v>
      </c>
      <c r="T12" s="23" t="inlineStr">
        <is>
          <t>ناقص</t>
        </is>
      </c>
      <c r="U12" s="67">
        <f>IF(AND(J12="تاییدشده",K12&gt;0,S12=0),Q12/K12,"")</f>
      </c>
      <c r="V12" s="67">
        <f>IF(Q12+R12&gt;0,Q12/(Q12+R12),"")</f>
        <v>1</v>
      </c>
      <c r="W12" s="23">
        <f>COUNTIFS('AC Members v40'!$B$4:$B$148,$A12,'AC Members v40'!$D$4:$D$148,"MEMBER",'AC Members v40'!$N$4:$N$148,1)</f>
        <v>4</v>
      </c>
      <c r="X12" s="23">
        <f>K12-W12</f>
        <v>1</v>
      </c>
      <c r="Y12" s="23">
        <f>COUNTIFS('AC Members v40'!$B$4:$B$148,$A12,'AC Members v40'!$D$4:$D$148,"MEMBER",'AC Members v40'!$L$4:$L$148,"UNK",'AC Members v40'!$N$4:$N$148,0)</f>
        <v>0</v>
      </c>
      <c r="Z12" s="23" t="inlineStr">
        <is>
          <t>تاییدشده</t>
        </is>
      </c>
      <c r="AA12" s="23">
        <f>IF(W12&gt;=1,1,"")</f>
        <v>1</v>
      </c>
      <c r="AB12" s="23" t="str">
        <f>IF(AND(J12="تاییدشده",K12&gt;0,Y12=0),"کامل","ناقص (حد پایین)")</f>
        <v>کامل</v>
      </c>
      <c r="AC12" s="67">
        <f>IF(AND(J12="تاییدشده",K12&gt;0,OR(W12&gt;=1,Y12=0)),W12/K12,"")</f>
        <v>0.8</v>
      </c>
      <c r="AD12" s="23" t="n"/>
      <c r="AE12" s="23" t="inlineStr">
        <is>
          <t>بررسی شده ولی افشا یافت نشد</t>
        </is>
      </c>
      <c r="AF12" s="23">
        <f>IF(AND(ISNUMBER(AD12),OR(AE12="تاییدشده",AE12="تاییدشده با هشدار")),AD12,"")</f>
      </c>
      <c r="AG12" s="23" t="n"/>
      <c r="AH12" s="23" t="n"/>
      <c r="AI12" s="23">
        <f>SUMIFS('AC Members v40'!$Q$4:$Q$148,'AC Members v40'!$B$4:$B$148,$A12,'AC Members v40'!$U$4:$U$148,1)</f>
        <v>0</v>
      </c>
      <c r="AJ12" s="23">
        <f>SUMIFS('AC Members v40'!$R$4:$R$148,'AC Members v40'!$B$4:$B$148,$A12,'AC Members v40'!$U$4:$U$148,1)</f>
        <v>0</v>
      </c>
      <c r="AK12" s="23">
        <f>COUNTIFS('AC Members v40'!$B$4:$B$148,$A12,'AC Members v40'!$U$4:$U$148,1)</f>
        <v>0</v>
      </c>
      <c r="AL12" s="67">
        <f>IF(K12=0,"",IF(AND(AJ12&gt;0,AK12&gt;=2,AK12/K12&gt;=0.5),AI12/AJ12,""))</f>
      </c>
      <c r="AM12" s="23" t="inlineStr">
        <is>
          <t>ناقص</t>
        </is>
      </c>
      <c r="AN12" s="23" t="inlineStr">
        <is>
          <t>مشخص نشده</t>
        </is>
      </c>
      <c r="AO12" s="23" t="inlineStr">
        <is>
          <t>EV_SRC_VTEJ_1404_001_p52</t>
        </is>
      </c>
      <c r="AP12" s="23" t="inlineStr">
        <is>
          <t>هیچ تاریخ عضویت؛ سمت رئیس کمیته مشخص نشده؛ فرصت حضور نامعلوم.</t>
        </is>
      </c>
    </row>
    <row r="13" ht="43.5" customHeight="1" s="76">
      <c r="A13" s="25" t="inlineStr">
        <is>
          <t>رمپنا</t>
        </is>
      </c>
      <c r="B13" s="25" t="inlineStr">
        <is>
          <t>SRC_RMPN_1404_001</t>
        </is>
      </c>
      <c r="C13" s="25" t="inlineStr">
        <is>
          <t>FY1404 (…/12/29)؛ اصلاحیه اسکن‌شده</t>
        </is>
      </c>
      <c r="D13" s="25" t="inlineStr">
        <is>
          <t>1404/12/29</t>
        </is>
      </c>
      <c r="E13" s="25" t="inlineStr">
        <is>
          <t>مقطع مبنا برابر ۱۴۰۴/۱۲/۲۹</t>
        </is>
      </c>
      <c r="F13" s="25" t="inlineStr">
        <is>
          <t>تاییدشده</t>
        </is>
      </c>
      <c r="G13" s="25">
        <f>IF(F13="تاییدشده",1,"")</f>
        <v>1</v>
      </c>
      <c r="H13" s="25" t="n"/>
      <c r="I13" s="25" t="inlineStr">
        <is>
          <t>متن: «تعداد جلسات ۱۸ که ۹ جلسه آن با حضور اعضای جدید در شش‌ماهه دوم برگزار شده؛ جدول ۹ جلسه»</t>
        </is>
      </c>
      <c r="J13" s="25" t="inlineStr">
        <is>
          <t>تاییدشده</t>
        </is>
      </c>
      <c r="K13" s="25">
        <f>COUNTIFS('AC Members v40'!$B$4:$B$148,$A13,'AC Members v40'!$D$4:$D$148,"MEMBER")</f>
        <v>7</v>
      </c>
      <c r="L13" s="25">
        <f>COUNTIFS('AC Members v40'!$B$4:$B$148,$A13,'AC Members v40'!$D$4:$D$148,"SECRETARY")</f>
        <v>1</v>
      </c>
      <c r="M13" s="25">
        <f>COUNTIFS('AC Members v40'!$B$4:$B$148,$A13,'AC Members v40'!$D$4:$D$148,"FORMER")</f>
        <v>0</v>
      </c>
      <c r="N13" s="25">
        <f>COUNTIFS('AC Members v40'!$B$4:$B$148,$A13,'AC Members v40'!$D$4:$D$148,"POST_ASOF")</f>
        <v>0</v>
      </c>
      <c r="O13" s="25">
        <f>IF(AND(J13="تاییدشده",K13&gt;0),K13,"")</f>
        <v>7</v>
      </c>
      <c r="P13" s="25">
        <f>IF(AND(ISNUMBER(H13),ISNUMBER(K13)),H13-K13,"")</f>
      </c>
      <c r="Q13" s="25">
        <f>COUNTIFS('AC Members v40'!$B$4:$B$148,$A13,'AC Members v40'!$D$4:$D$148,"MEMBER",'AC Members v40'!$J$4:$J$148,"Y")</f>
        <v>0</v>
      </c>
      <c r="R13" s="25">
        <f>COUNTIFS('AC Members v40'!$B$4:$B$148,$A13,'AC Members v40'!$D$4:$D$148,"MEMBER",'AC Members v40'!$J$4:$J$148,"N")</f>
        <v>0</v>
      </c>
      <c r="S13" s="25">
        <f>COUNTIFS('AC Members v40'!$B$4:$B$148,$A13,'AC Members v40'!$D$4:$D$148,"MEMBER",'AC Members v40'!$J$4:$J$148,"U")</f>
        <v>7</v>
      </c>
      <c r="T13" s="25" t="inlineStr">
        <is>
          <t>بررسی شده ولی افشا یافت نشد</t>
        </is>
      </c>
      <c r="U13" s="68">
        <f>IF(AND(J13="تاییدشده",K13&gt;0,S13=0),Q13/K13,"")</f>
      </c>
      <c r="V13" s="68">
        <f>IF(Q13+R13&gt;0,Q13/(Q13+R13),"")</f>
      </c>
      <c r="W13" s="25">
        <f>COUNTIFS('AC Members v40'!$B$4:$B$148,$A13,'AC Members v40'!$D$4:$D$148,"MEMBER",'AC Members v40'!$N$4:$N$148,1)</f>
        <v>5</v>
      </c>
      <c r="X13" s="25">
        <f>K13-W13</f>
        <v>2</v>
      </c>
      <c r="Y13" s="25">
        <f>COUNTIFS('AC Members v40'!$B$4:$B$148,$A13,'AC Members v40'!$D$4:$D$148,"MEMBER",'AC Members v40'!$L$4:$L$148,"UNK",'AC Members v40'!$N$4:$N$148,0)</f>
        <v>0</v>
      </c>
      <c r="Z13" s="25" t="inlineStr">
        <is>
          <t>تاییدشده</t>
        </is>
      </c>
      <c r="AA13" s="25">
        <f>IF(W13&gt;=1,1,"")</f>
        <v>1</v>
      </c>
      <c r="AB13" s="25" t="str">
        <f>IF(AND(J13="تاییدشده",K13&gt;0,Y13=0),"کامل","ناقص (حد پایین)")</f>
        <v>کامل</v>
      </c>
      <c r="AC13" s="68">
        <f>IF(AND(J13="تاییدشده",K13&gt;0,OR(W13&gt;=1,Y13=0)),W13/K13,"")</f>
        <v>0.7142857142857143</v>
      </c>
      <c r="AD13" s="25" t="n">
        <v>18</v>
      </c>
      <c r="AE13" s="25" t="inlineStr">
        <is>
          <t>تاییدشده با هشدار</t>
        </is>
      </c>
      <c r="AF13" s="25">
        <f>IF(AND(ISNUMBER(AD13),OR(AE13="تاییدشده",AE13="تاییدشده با هشدار")),AD13,"")</f>
        <v>18</v>
      </c>
      <c r="AG13" s="25" t="inlineStr">
        <is>
          <t>1404/01/01 تا 1404/12/29</t>
        </is>
      </c>
      <c r="AH13" s="25" t="n">
        <v>12</v>
      </c>
      <c r="AI13" s="25">
        <f>SUMIFS('AC Members v40'!$Q$4:$Q$148,'AC Members v40'!$B$4:$B$148,$A13,'AC Members v40'!$U$4:$U$148,1)</f>
        <v>63</v>
      </c>
      <c r="AJ13" s="25">
        <f>SUMIFS('AC Members v40'!$R$4:$R$148,'AC Members v40'!$B$4:$B$148,$A13,'AC Members v40'!$U$4:$U$148,1)</f>
        <v>63</v>
      </c>
      <c r="AK13" s="25">
        <f>COUNTIFS('AC Members v40'!$B$4:$B$148,$A13,'AC Members v40'!$U$4:$U$148,1)</f>
        <v>7</v>
      </c>
      <c r="AL13" s="68">
        <f>IF(K13=0,"",IF(AND(AJ13&gt;0,AK13&gt;=2,AK13/K13&gt;=0.5),AI13/AJ13,""))</f>
        <v>1</v>
      </c>
      <c r="AM13" s="25" t="inlineStr">
        <is>
          <t>تاییدشده</t>
        </is>
      </c>
      <c r="AN13" s="25" t="inlineStr">
        <is>
          <t>محمدرضا اولی</t>
        </is>
      </c>
      <c r="AO13" s="25" t="inlineStr">
        <is>
          <t>EV_SRC_RMPN_1404_001_p38</t>
        </is>
      </c>
      <c r="AP13" s="25" t="inlineStr">
        <is>
          <t>۷ عضو + دبیر؛ ۹ جلسه نیمه اول با اعضای قبلی بدون نام و حضور. شاهد از اصلاحیه اسکن‌شده با خواندن تصویر صفحه.</t>
        </is>
      </c>
    </row>
    <row r="14" ht="29" customHeight="1" s="76">
      <c r="A14" s="23" t="inlineStr">
        <is>
          <t>فخوز</t>
        </is>
      </c>
      <c r="B14" s="23" t="inlineStr">
        <is>
          <t>SRC_FKHZ_1404_001</t>
        </is>
      </c>
      <c r="C14" s="23" t="inlineStr">
        <is>
          <t>FY1404 (…/12/29)</t>
        </is>
      </c>
      <c r="D14" s="23" t="inlineStr">
        <is>
          <t>1404/12/29</t>
        </is>
      </c>
      <c r="E14" s="23" t="inlineStr">
        <is>
          <t>مقطع مبنا برابر ۱۴۰۴/۱۲/۲۹</t>
        </is>
      </c>
      <c r="F14" s="23" t="inlineStr">
        <is>
          <t>تاییدشده</t>
        </is>
      </c>
      <c r="G14" s="23">
        <f>IF(F14="تاییدشده",1,"")</f>
        <v>1</v>
      </c>
      <c r="H14" s="23" t="n"/>
      <c r="I14" s="23" t="inlineStr">
        <is>
          <t>جدول «اعضای کمیته حسابرسی» (۳ ردیف)</t>
        </is>
      </c>
      <c r="J14" s="23" t="inlineStr">
        <is>
          <t>ناقص</t>
        </is>
      </c>
      <c r="K14" s="23">
        <f>COUNTIFS('AC Members v40'!$B$4:$B$148,$A14,'AC Members v40'!$D$4:$D$148,"MEMBER")</f>
        <v>2</v>
      </c>
      <c r="L14" s="23">
        <f>COUNTIFS('AC Members v40'!$B$4:$B$148,$A14,'AC Members v40'!$D$4:$D$148,"SECRETARY")</f>
        <v>0</v>
      </c>
      <c r="M14" s="23">
        <f>COUNTIFS('AC Members v40'!$B$4:$B$148,$A14,'AC Members v40'!$D$4:$D$148,"FORMER")</f>
        <v>0</v>
      </c>
      <c r="N14" s="23">
        <f>COUNTIFS('AC Members v40'!$B$4:$B$148,$A14,'AC Members v40'!$D$4:$D$148,"POST_ASOF")</f>
        <v>1</v>
      </c>
      <c r="O14" s="23">
        <f>IF(AND(J14="تاییدشده",K14&gt;0),K14,"")</f>
      </c>
      <c r="P14" s="23">
        <f>IF(AND(ISNUMBER(H14),ISNUMBER(K14)),H14-K14,"")</f>
      </c>
      <c r="Q14" s="23">
        <f>COUNTIFS('AC Members v40'!$B$4:$B$148,$A14,'AC Members v40'!$D$4:$D$148,"MEMBER",'AC Members v40'!$J$4:$J$148,"Y")</f>
        <v>0</v>
      </c>
      <c r="R14" s="23">
        <f>COUNTIFS('AC Members v40'!$B$4:$B$148,$A14,'AC Members v40'!$D$4:$D$148,"MEMBER",'AC Members v40'!$J$4:$J$148,"N")</f>
        <v>2</v>
      </c>
      <c r="S14" s="23">
        <f>COUNTIFS('AC Members v40'!$B$4:$B$148,$A14,'AC Members v40'!$D$4:$D$148,"MEMBER",'AC Members v40'!$J$4:$J$148,"U")</f>
        <v>0</v>
      </c>
      <c r="T14" s="23" t="inlineStr">
        <is>
          <t>ناقص</t>
        </is>
      </c>
      <c r="U14" s="67">
        <f>IF(AND(J14="تاییدشده",K14&gt;0,S14=0),Q14/K14,"")</f>
      </c>
      <c r="V14" s="67">
        <f>IF(Q14+R14&gt;0,Q14/(Q14+R14),"")</f>
        <v>0</v>
      </c>
      <c r="W14" s="23">
        <f>COUNTIFS('AC Members v40'!$B$4:$B$148,$A14,'AC Members v40'!$D$4:$D$148,"MEMBER",'AC Members v40'!$N$4:$N$148,1)</f>
        <v>2</v>
      </c>
      <c r="X14" s="23">
        <f>K14-W14</f>
        <v>0</v>
      </c>
      <c r="Y14" s="23">
        <f>COUNTIFS('AC Members v40'!$B$4:$B$148,$A14,'AC Members v40'!$D$4:$D$148,"MEMBER",'AC Members v40'!$L$4:$L$148,"UNK",'AC Members v40'!$N$4:$N$148,0)</f>
        <v>0</v>
      </c>
      <c r="Z14" s="23" t="inlineStr">
        <is>
          <t>تاییدشده</t>
        </is>
      </c>
      <c r="AA14" s="23">
        <f>IF(W14&gt;=1,1,"")</f>
        <v>1</v>
      </c>
      <c r="AB14" s="23" t="str">
        <f>IF(AND(J14="تاییدشده",K14&gt;0,Y14=0),"کامل","ناقص (حد پایین)")</f>
        <v>ناقص (حد پایین)</v>
      </c>
      <c r="AC14" s="67">
        <f>IF(AND(J14="تاییدشده",K14&gt;0,OR(W14&gt;=1,Y14=0)),W14/K14,"")</f>
      </c>
      <c r="AD14" s="23" t="n">
        <v>7</v>
      </c>
      <c r="AE14" s="23" t="inlineStr">
        <is>
          <t>تاییدشده</t>
        </is>
      </c>
      <c r="AF14" s="23">
        <f>IF(AND(ISNUMBER(AD14),OR(AE14="تاییدشده",AE14="تاییدشده با هشدار")),AD14,"")</f>
        <v>7</v>
      </c>
      <c r="AG14" s="23" t="inlineStr">
        <is>
          <t>1404/01/01 تا 1404/12/29</t>
        </is>
      </c>
      <c r="AH14" s="23" t="n">
        <v>12</v>
      </c>
      <c r="AI14" s="23">
        <f>SUMIFS('AC Members v40'!$Q$4:$Q$148,'AC Members v40'!$B$4:$B$148,$A14,'AC Members v40'!$U$4:$U$148,1)</f>
        <v>0</v>
      </c>
      <c r="AJ14" s="23">
        <f>SUMIFS('AC Members v40'!$R$4:$R$148,'AC Members v40'!$B$4:$B$148,$A14,'AC Members v40'!$U$4:$U$148,1)</f>
        <v>0</v>
      </c>
      <c r="AK14" s="23">
        <f>COUNTIFS('AC Members v40'!$B$4:$B$148,$A14,'AC Members v40'!$U$4:$U$148,1)</f>
        <v>0</v>
      </c>
      <c r="AL14" s="67">
        <f>IF(K14=0,"",IF(AND(AJ14&gt;0,AK14&gt;=2,AK14/K14&gt;=0.5),AI14/AJ14,""))</f>
      </c>
      <c r="AM14" s="23" t="inlineStr">
        <is>
          <t>بررسی شده ولی افشا یافت نشد</t>
        </is>
      </c>
      <c r="AN14" s="23" t="inlineStr">
        <is>
          <t>مشخص نشده</t>
        </is>
      </c>
      <c r="AO14" s="23" t="inlineStr">
        <is>
          <t>EV_SRC_FKHZ_1404_001_p34</t>
        </is>
      </c>
      <c r="AP14" s="23" t="inlineStr">
        <is>
          <t>در مقطع ۱۴۰۴/۱۲/۲۹ فقط دو عضو تایید می‌شود؛ ممکن است عضو/رئیس قبلی حذف شده باشد (فهرست پایان سال نیست).</t>
        </is>
      </c>
    </row>
    <row r="15" ht="29" customHeight="1" s="76">
      <c r="A15" s="25" t="inlineStr">
        <is>
          <t>شستا</t>
        </is>
      </c>
      <c r="B15" s="25" t="inlineStr">
        <is>
          <t>SRC_SHST_1404_001</t>
        </is>
      </c>
      <c r="C15" s="25" t="inlineStr">
        <is>
          <t>FYE 1404/03/31 (1403/04/01 تا 1404/03/31)</t>
        </is>
      </c>
      <c r="D15" s="25" t="inlineStr">
        <is>
          <t>1404/03/31</t>
        </is>
      </c>
      <c r="E15" s="25" t="inlineStr">
        <is>
          <t>پایان دوره شرکت 1404/03/31، با مقطع مشترک ۱۴۰۴/۱۲/۲۹ برابر نیست</t>
        </is>
      </c>
      <c r="F15" s="25" t="inlineStr">
        <is>
          <t>تاییدشده</t>
        </is>
      </c>
      <c r="G15" s="25">
        <f>IF(F15="تاییدشده",1,"")</f>
        <v>1</v>
      </c>
      <c r="H15" s="25" t="n"/>
      <c r="I15" s="25" t="inlineStr">
        <is>
          <t>«اعضای کمیته حسابرسی شستا برای دوره مالی منتهی به ۱۴۰۴/۰۳/۳۱ به شرح جدول» (۴ ردیف)</t>
        </is>
      </c>
      <c r="J15" s="25" t="inlineStr">
        <is>
          <t>تاییدشده</t>
        </is>
      </c>
      <c r="K15" s="25">
        <f>COUNTIFS('AC Members v40'!$B$4:$B$148,$A15,'AC Members v40'!$D$4:$D$148,"MEMBER")</f>
        <v>4</v>
      </c>
      <c r="L15" s="25">
        <f>COUNTIFS('AC Members v40'!$B$4:$B$148,$A15,'AC Members v40'!$D$4:$D$148,"SECRETARY")</f>
        <v>0</v>
      </c>
      <c r="M15" s="25">
        <f>COUNTIFS('AC Members v40'!$B$4:$B$148,$A15,'AC Members v40'!$D$4:$D$148,"FORMER")</f>
        <v>0</v>
      </c>
      <c r="N15" s="25">
        <f>COUNTIFS('AC Members v40'!$B$4:$B$148,$A15,'AC Members v40'!$D$4:$D$148,"POST_ASOF")</f>
        <v>0</v>
      </c>
      <c r="O15" s="25">
        <f>IF(AND(J15="تاییدشده",K15&gt;0),K15,"")</f>
        <v>4</v>
      </c>
      <c r="P15" s="25">
        <f>IF(AND(ISNUMBER(H15),ISNUMBER(K15)),H15-K15,"")</f>
      </c>
      <c r="Q15" s="25">
        <f>COUNTIFS('AC Members v40'!$B$4:$B$148,$A15,'AC Members v40'!$D$4:$D$148,"MEMBER",'AC Members v40'!$J$4:$J$148,"Y")</f>
        <v>0</v>
      </c>
      <c r="R15" s="25">
        <f>COUNTIFS('AC Members v40'!$B$4:$B$148,$A15,'AC Members v40'!$D$4:$D$148,"MEMBER",'AC Members v40'!$J$4:$J$148,"N")</f>
        <v>0</v>
      </c>
      <c r="S15" s="25">
        <f>COUNTIFS('AC Members v40'!$B$4:$B$148,$A15,'AC Members v40'!$D$4:$D$148,"MEMBER",'AC Members v40'!$J$4:$J$148,"U")</f>
        <v>4</v>
      </c>
      <c r="T15" s="25" t="inlineStr">
        <is>
          <t>بررسی شده ولی افشا یافت نشد</t>
        </is>
      </c>
      <c r="U15" s="68">
        <f>IF(AND(J15="تاییدشده",K15&gt;0,S15=0),Q15/K15,"")</f>
      </c>
      <c r="V15" s="68">
        <f>IF(Q15+R15&gt;0,Q15/(Q15+R15),"")</f>
      </c>
      <c r="W15" s="25">
        <f>COUNTIFS('AC Members v40'!$B$4:$B$148,$A15,'AC Members v40'!$D$4:$D$148,"MEMBER",'AC Members v40'!$N$4:$N$148,1)</f>
        <v>3</v>
      </c>
      <c r="X15" s="25">
        <f>K15-W15</f>
        <v>1</v>
      </c>
      <c r="Y15" s="25">
        <f>COUNTIFS('AC Members v40'!$B$4:$B$148,$A15,'AC Members v40'!$D$4:$D$148,"MEMBER",'AC Members v40'!$L$4:$L$148,"UNK",'AC Members v40'!$N$4:$N$148,0)</f>
        <v>1</v>
      </c>
      <c r="Z15" s="25" t="inlineStr">
        <is>
          <t>تاییدشده</t>
        </is>
      </c>
      <c r="AA15" s="25">
        <f>IF(W15&gt;=1,1,"")</f>
        <v>1</v>
      </c>
      <c r="AB15" s="25" t="str">
        <f>IF(AND(J15="تاییدشده",K15&gt;0,Y15=0),"کامل","ناقص (حد پایین)")</f>
        <v>ناقص (حد پایین)</v>
      </c>
      <c r="AC15" s="68">
        <f>IF(AND(J15="تاییدشده",K15&gt;0,OR(W15&gt;=1,Y15=0)),W15/K15,"")</f>
        <v>0.75</v>
      </c>
      <c r="AD15" s="25" t="n">
        <v>11</v>
      </c>
      <c r="AE15" s="25" t="inlineStr">
        <is>
          <t>تاییدشده</t>
        </is>
      </c>
      <c r="AF15" s="25">
        <f>IF(AND(ISNUMBER(AD15),OR(AE15="تاییدشده",AE15="تاییدشده با هشدار")),AD15,"")</f>
        <v>11</v>
      </c>
      <c r="AG15" s="25" t="inlineStr">
        <is>
          <t>1403/04/01 تا 1404/03/31</t>
        </is>
      </c>
      <c r="AH15" s="25" t="n">
        <v>12</v>
      </c>
      <c r="AI15" s="25">
        <f>SUMIFS('AC Members v40'!$Q$4:$Q$148,'AC Members v40'!$B$4:$B$148,$A15,'AC Members v40'!$U$4:$U$148,1)</f>
        <v>44</v>
      </c>
      <c r="AJ15" s="25">
        <f>SUMIFS('AC Members v40'!$R$4:$R$148,'AC Members v40'!$B$4:$B$148,$A15,'AC Members v40'!$U$4:$U$148,1)</f>
        <v>44</v>
      </c>
      <c r="AK15" s="25">
        <f>COUNTIFS('AC Members v40'!$B$4:$B$148,$A15,'AC Members v40'!$U$4:$U$148,1)</f>
        <v>4</v>
      </c>
      <c r="AL15" s="68">
        <f>IF(K15=0,"",IF(AND(AJ15&gt;0,AK15&gt;=2,AK15/K15&gt;=0.5),AI15/AJ15,""))</f>
        <v>1</v>
      </c>
      <c r="AM15" s="25" t="inlineStr">
        <is>
          <t>تاییدشده</t>
        </is>
      </c>
      <c r="AN15" s="25" t="inlineStr">
        <is>
          <t>مشخص نشده</t>
        </is>
      </c>
      <c r="AO15" s="25" t="inlineStr">
        <is>
          <t>EV_SRC_SHST_1404_001_p30</t>
        </is>
      </c>
      <c r="AP15" s="25" t="inlineStr">
        <is>
          <t>شستا سال مالی ۰۳/۳۱ دارد؛ ترکیب پایان ۱۴۰۴/۰۳/۳۱ با مقطع مشترک ۱۴۰۴/۱۲/۲۹ فاصله دارد.</t>
        </is>
      </c>
    </row>
    <row r="16" ht="43.5" customHeight="1" s="76">
      <c r="A16" s="23" t="inlineStr">
        <is>
          <t>شپنا</t>
        </is>
      </c>
      <c r="B16" s="23" t="inlineStr">
        <is>
          <t>SRC_SHPN_1404_001</t>
        </is>
      </c>
      <c r="C16" s="23" t="inlineStr">
        <is>
          <t>FY1404 (…/12/29)</t>
        </is>
      </c>
      <c r="D16" s="23" t="inlineStr">
        <is>
          <t>1404/12/29</t>
        </is>
      </c>
      <c r="E16" s="23" t="inlineStr">
        <is>
          <t>مقطع مبنا برابر ۱۴۰۴/۱۲/۲۹</t>
        </is>
      </c>
      <c r="F16" s="23" t="inlineStr">
        <is>
          <t>تاییدشده</t>
        </is>
      </c>
      <c r="G16" s="23">
        <f>IF(F16="تاییدشده",1,"")</f>
        <v>1</v>
      </c>
      <c r="H16" s="23" t="n"/>
      <c r="I16" s="23" t="inlineStr">
        <is>
          <t>«مشخصات اعضای کمیته حسابرسی» (۵ ردیف)</t>
        </is>
      </c>
      <c r="J16" s="23" t="inlineStr">
        <is>
          <t>تاییدشده</t>
        </is>
      </c>
      <c r="K16" s="23">
        <f>COUNTIFS('AC Members v40'!$B$4:$B$148,$A16,'AC Members v40'!$D$4:$D$148,"MEMBER")</f>
        <v>5</v>
      </c>
      <c r="L16" s="23">
        <f>COUNTIFS('AC Members v40'!$B$4:$B$148,$A16,'AC Members v40'!$D$4:$D$148,"SECRETARY")</f>
        <v>0</v>
      </c>
      <c r="M16" s="23">
        <f>COUNTIFS('AC Members v40'!$B$4:$B$148,$A16,'AC Members v40'!$D$4:$D$148,"FORMER")</f>
        <v>0</v>
      </c>
      <c r="N16" s="23">
        <f>COUNTIFS('AC Members v40'!$B$4:$B$148,$A16,'AC Members v40'!$D$4:$D$148,"POST_ASOF")</f>
        <v>0</v>
      </c>
      <c r="O16" s="23">
        <f>IF(AND(J16="تاییدشده",K16&gt;0),K16,"")</f>
        <v>5</v>
      </c>
      <c r="P16" s="23">
        <f>IF(AND(ISNUMBER(H16),ISNUMBER(K16)),H16-K16,"")</f>
      </c>
      <c r="Q16" s="23">
        <f>COUNTIFS('AC Members v40'!$B$4:$B$148,$A16,'AC Members v40'!$D$4:$D$148,"MEMBER",'AC Members v40'!$J$4:$J$148,"Y")</f>
        <v>0</v>
      </c>
      <c r="R16" s="23">
        <f>COUNTIFS('AC Members v40'!$B$4:$B$148,$A16,'AC Members v40'!$D$4:$D$148,"MEMBER",'AC Members v40'!$J$4:$J$148,"N")</f>
        <v>0</v>
      </c>
      <c r="S16" s="23">
        <f>COUNTIFS('AC Members v40'!$B$4:$B$148,$A16,'AC Members v40'!$D$4:$D$148,"MEMBER",'AC Members v40'!$J$4:$J$148,"U")</f>
        <v>5</v>
      </c>
      <c r="T16" s="23" t="inlineStr">
        <is>
          <t>بررسی شده ولی افشا یافت نشد</t>
        </is>
      </c>
      <c r="U16" s="67">
        <f>IF(AND(J16="تاییدشده",K16&gt;0,S16=0),Q16/K16,"")</f>
      </c>
      <c r="V16" s="67">
        <f>IF(Q16+R16&gt;0,Q16/(Q16+R16),"")</f>
      </c>
      <c r="W16" s="23">
        <f>COUNTIFS('AC Members v40'!$B$4:$B$148,$A16,'AC Members v40'!$D$4:$D$148,"MEMBER",'AC Members v40'!$N$4:$N$148,1)</f>
        <v>5</v>
      </c>
      <c r="X16" s="23">
        <f>K16-W16</f>
        <v>0</v>
      </c>
      <c r="Y16" s="23">
        <f>COUNTIFS('AC Members v40'!$B$4:$B$148,$A16,'AC Members v40'!$D$4:$D$148,"MEMBER",'AC Members v40'!$L$4:$L$148,"UNK",'AC Members v40'!$N$4:$N$148,0)</f>
        <v>0</v>
      </c>
      <c r="Z16" s="23" t="inlineStr">
        <is>
          <t>تاییدشده</t>
        </is>
      </c>
      <c r="AA16" s="23">
        <f>IF(W16&gt;=1,1,"")</f>
        <v>1</v>
      </c>
      <c r="AB16" s="23" t="str">
        <f>IF(AND(J16="تاییدشده",K16&gt;0,Y16=0),"کامل","ناقص (حد پایین)")</f>
        <v>کامل</v>
      </c>
      <c r="AC16" s="67">
        <f>IF(AND(J16="تاییدشده",K16&gt;0,OR(W16&gt;=1,Y16=0)),W16/K16,"")</f>
        <v>1</v>
      </c>
      <c r="AD16" s="23" t="n">
        <v>12</v>
      </c>
      <c r="AE16" s="23" t="inlineStr">
        <is>
          <t>تاییدشده</t>
        </is>
      </c>
      <c r="AF16" s="23">
        <f>IF(AND(ISNUMBER(AD16),OR(AE16="تاییدشده",AE16="تاییدشده با هشدار")),AD16,"")</f>
        <v>12</v>
      </c>
      <c r="AG16" s="23" t="inlineStr">
        <is>
          <t>1404/01/01 تا 1404/12/29</t>
        </is>
      </c>
      <c r="AH16" s="23" t="n">
        <v>12</v>
      </c>
      <c r="AI16" s="23">
        <f>SUMIFS('AC Members v40'!$Q$4:$Q$148,'AC Members v40'!$B$4:$B$148,$A16,'AC Members v40'!$U$4:$U$148,1)</f>
        <v>56</v>
      </c>
      <c r="AJ16" s="23">
        <f>SUMIFS('AC Members v40'!$R$4:$R$148,'AC Members v40'!$B$4:$B$148,$A16,'AC Members v40'!$U$4:$U$148,1)</f>
        <v>60</v>
      </c>
      <c r="AK16" s="23">
        <f>COUNTIFS('AC Members v40'!$B$4:$B$148,$A16,'AC Members v40'!$U$4:$U$148,1)</f>
        <v>5</v>
      </c>
      <c r="AL16" s="67">
        <f>IF(K16=0,"",IF(AND(AJ16&gt;0,AK16&gt;=2,AK16/K16&gt;=0.5),AI16/AJ16,""))</f>
        <v>0.9333333333333333</v>
      </c>
      <c r="AM16" s="23" t="inlineStr">
        <is>
          <t>تاییدشده</t>
        </is>
      </c>
      <c r="AN16" s="23" t="inlineStr">
        <is>
          <t>سیدمحمود سیدی</t>
        </is>
      </c>
      <c r="AO16" s="23" t="inlineStr">
        <is>
          <t>EV_SRC_SHPN_1404_001_p79</t>
        </is>
      </c>
      <c r="AP16" s="23" t="inlineStr">
        <is>
          <t>همه اعضا پیش از ابتدای ۱۴۰۴ عضو بودند → فرصت حضور ۱۲؛ عنوان ستون حضور «سال مالی گذشته» است و به سال گزارش تعبیر شد.</t>
        </is>
      </c>
    </row>
    <row r="17" ht="29" customHeight="1" s="76">
      <c r="A17" s="25" t="inlineStr">
        <is>
          <t>وغدیر</t>
        </is>
      </c>
      <c r="B17" s="25" t="inlineStr">
        <is>
          <t>SRC_VGHD_1404_001</t>
        </is>
      </c>
      <c r="C17" s="25" t="inlineStr">
        <is>
          <t>FYE 1404/09/30 (1403/10/01 تا 1404/09/30)</t>
        </is>
      </c>
      <c r="D17" s="25" t="inlineStr">
        <is>
          <t>1404/09/30</t>
        </is>
      </c>
      <c r="E17" s="25" t="inlineStr">
        <is>
          <t>پایان دوره شرکت 1404/09/30، با مقطع مشترک ۱۴۰۴/۱۲/۲۹ برابر نیست</t>
        </is>
      </c>
      <c r="F17" s="25" t="inlineStr">
        <is>
          <t>تاییدشده</t>
        </is>
      </c>
      <c r="G17" s="25">
        <f>IF(F17="تاییدشده",1,"")</f>
        <v>1</v>
      </c>
      <c r="H17" s="25" t="n"/>
      <c r="I17" s="25" t="inlineStr">
        <is>
          <t>جدول «اعضای کمیته حسابرسی» (۵ ردیف)</t>
        </is>
      </c>
      <c r="J17" s="25" t="inlineStr">
        <is>
          <t>تاییدشده</t>
        </is>
      </c>
      <c r="K17" s="25">
        <f>COUNTIFS('AC Members v40'!$B$4:$B$148,$A17,'AC Members v40'!$D$4:$D$148,"MEMBER")</f>
        <v>4</v>
      </c>
      <c r="L17" s="25">
        <f>COUNTIFS('AC Members v40'!$B$4:$B$148,$A17,'AC Members v40'!$D$4:$D$148,"SECRETARY")</f>
        <v>0</v>
      </c>
      <c r="M17" s="25">
        <f>COUNTIFS('AC Members v40'!$B$4:$B$148,$A17,'AC Members v40'!$D$4:$D$148,"FORMER")</f>
        <v>0</v>
      </c>
      <c r="N17" s="25">
        <f>COUNTIFS('AC Members v40'!$B$4:$B$148,$A17,'AC Members v40'!$D$4:$D$148,"POST_ASOF")</f>
        <v>1</v>
      </c>
      <c r="O17" s="25">
        <f>IF(AND(J17="تاییدشده",K17&gt;0),K17,"")</f>
        <v>4</v>
      </c>
      <c r="P17" s="25">
        <f>IF(AND(ISNUMBER(H17),ISNUMBER(K17)),H17-K17,"")</f>
      </c>
      <c r="Q17" s="25">
        <f>COUNTIFS('AC Members v40'!$B$4:$B$148,$A17,'AC Members v40'!$D$4:$D$148,"MEMBER",'AC Members v40'!$J$4:$J$148,"Y")</f>
        <v>3</v>
      </c>
      <c r="R17" s="25">
        <f>COUNTIFS('AC Members v40'!$B$4:$B$148,$A17,'AC Members v40'!$D$4:$D$148,"MEMBER",'AC Members v40'!$J$4:$J$148,"N")</f>
        <v>1</v>
      </c>
      <c r="S17" s="25">
        <f>COUNTIFS('AC Members v40'!$B$4:$B$148,$A17,'AC Members v40'!$D$4:$D$148,"MEMBER",'AC Members v40'!$J$4:$J$148,"U")</f>
        <v>0</v>
      </c>
      <c r="T17" s="25" t="inlineStr">
        <is>
          <t>تاییدشده</t>
        </is>
      </c>
      <c r="U17" s="68">
        <f>IF(AND(J17="تاییدشده",K17&gt;0,S17=0),Q17/K17,"")</f>
        <v>0.75</v>
      </c>
      <c r="V17" s="68">
        <f>IF(Q17+R17&gt;0,Q17/(Q17+R17),"")</f>
        <v>0.75</v>
      </c>
      <c r="W17" s="25">
        <f>COUNTIFS('AC Members v40'!$B$4:$B$148,$A17,'AC Members v40'!$D$4:$D$148,"MEMBER",'AC Members v40'!$N$4:$N$148,1)</f>
        <v>4</v>
      </c>
      <c r="X17" s="25">
        <f>K17-W17</f>
        <v>0</v>
      </c>
      <c r="Y17" s="25">
        <f>COUNTIFS('AC Members v40'!$B$4:$B$148,$A17,'AC Members v40'!$D$4:$D$148,"MEMBER",'AC Members v40'!$L$4:$L$148,"UNK",'AC Members v40'!$N$4:$N$148,0)</f>
        <v>0</v>
      </c>
      <c r="Z17" s="25" t="inlineStr">
        <is>
          <t>تاییدشده</t>
        </is>
      </c>
      <c r="AA17" s="25">
        <f>IF(W17&gt;=1,1,"")</f>
        <v>1</v>
      </c>
      <c r="AB17" s="25" t="str">
        <f>IF(AND(J17="تاییدشده",K17&gt;0,Y17=0),"کامل","ناقص (حد پایین)")</f>
        <v>کامل</v>
      </c>
      <c r="AC17" s="68">
        <f>IF(AND(J17="تاییدشده",K17&gt;0,OR(W17&gt;=1,Y17=0)),W17/K17,"")</f>
        <v>1</v>
      </c>
      <c r="AD17" s="25" t="n"/>
      <c r="AE17" s="25" t="inlineStr">
        <is>
          <t>بررسی شده ولی افشا یافت نشد</t>
        </is>
      </c>
      <c r="AF17" s="25">
        <f>IF(AND(ISNUMBER(AD17),OR(AE17="تاییدشده",AE17="تاییدشده با هشدار")),AD17,"")</f>
      </c>
      <c r="AG17" s="25" t="n"/>
      <c r="AH17" s="25" t="n"/>
      <c r="AI17" s="25">
        <f>SUMIFS('AC Members v40'!$Q$4:$Q$148,'AC Members v40'!$B$4:$B$148,$A17,'AC Members v40'!$U$4:$U$148,1)</f>
        <v>0</v>
      </c>
      <c r="AJ17" s="25">
        <f>SUMIFS('AC Members v40'!$R$4:$R$148,'AC Members v40'!$B$4:$B$148,$A17,'AC Members v40'!$U$4:$U$148,1)</f>
        <v>0</v>
      </c>
      <c r="AK17" s="25">
        <f>COUNTIFS('AC Members v40'!$B$4:$B$148,$A17,'AC Members v40'!$U$4:$U$148,1)</f>
        <v>0</v>
      </c>
      <c r="AL17" s="68">
        <f>IF(K17=0,"",IF(AND(AJ17&gt;0,AK17&gt;=2,AK17/K17&gt;=0.5),AI17/AJ17,""))</f>
      </c>
      <c r="AM17" s="25" t="inlineStr">
        <is>
          <t>بررسی شده ولی افشا یافت نشد</t>
        </is>
      </c>
      <c r="AN17" s="25" t="inlineStr">
        <is>
          <t>علی‌اکبر مصطفی‌پور</t>
        </is>
      </c>
      <c r="AO17" s="25" t="inlineStr">
        <is>
          <t>EV_SRC_VGHD_1404_001_p34</t>
        </is>
      </c>
      <c r="AP17" s="25" t="inlineStr">
        <is>
          <t>استقلال و تخصص مالی صریح (برچسب ستون). عضو پنجم پس از FYE آغاز شده؛ ترکیب در پایان ۱۴۰۴/۰۹/۳۰ چهار نفر.</t>
        </is>
      </c>
    </row>
    <row r="18" ht="29" customHeight="1" s="76">
      <c r="A18" s="23" t="inlineStr">
        <is>
          <t>نوری</t>
        </is>
      </c>
      <c r="B18" s="23" t="inlineStr">
        <is>
          <t>SRC_NOOR_1404_007</t>
        </is>
      </c>
      <c r="C18" s="23" t="inlineStr">
        <is>
          <t>FY1404 (…/12/29)</t>
        </is>
      </c>
      <c r="D18" s="23" t="inlineStr">
        <is>
          <t>1404/12/29</t>
        </is>
      </c>
      <c r="E18" s="23" t="inlineStr">
        <is>
          <t>مقطع مبنا برابر ۱۴۰۴/۱۲/۲۹</t>
        </is>
      </c>
      <c r="F18" s="23" t="inlineStr">
        <is>
          <t>تاییدشده</t>
        </is>
      </c>
      <c r="G18" s="23">
        <f>IF(F18="تاییدشده",1,"")</f>
        <v>1</v>
      </c>
      <c r="H18" s="23" t="n"/>
      <c r="I18" s="23" t="inlineStr">
        <is>
          <t>جدول اعضای کمیته حسابرسی (۳ ردیف)</t>
        </is>
      </c>
      <c r="J18" s="23" t="inlineStr">
        <is>
          <t>تاییدشده</t>
        </is>
      </c>
      <c r="K18" s="23">
        <f>COUNTIFS('AC Members v40'!$B$4:$B$148,$A18,'AC Members v40'!$D$4:$D$148,"MEMBER")</f>
        <v>3</v>
      </c>
      <c r="L18" s="23">
        <f>COUNTIFS('AC Members v40'!$B$4:$B$148,$A18,'AC Members v40'!$D$4:$D$148,"SECRETARY")</f>
        <v>0</v>
      </c>
      <c r="M18" s="23">
        <f>COUNTIFS('AC Members v40'!$B$4:$B$148,$A18,'AC Members v40'!$D$4:$D$148,"FORMER")</f>
        <v>0</v>
      </c>
      <c r="N18" s="23">
        <f>COUNTIFS('AC Members v40'!$B$4:$B$148,$A18,'AC Members v40'!$D$4:$D$148,"POST_ASOF")</f>
        <v>0</v>
      </c>
      <c r="O18" s="23">
        <f>IF(AND(J18="تاییدشده",K18&gt;0),K18,"")</f>
        <v>3</v>
      </c>
      <c r="P18" s="23">
        <f>IF(AND(ISNUMBER(H18),ISNUMBER(K18)),H18-K18,"")</f>
      </c>
      <c r="Q18" s="23">
        <f>COUNTIFS('AC Members v40'!$B$4:$B$148,$A18,'AC Members v40'!$D$4:$D$148,"MEMBER",'AC Members v40'!$J$4:$J$148,"Y")</f>
        <v>0</v>
      </c>
      <c r="R18" s="23">
        <f>COUNTIFS('AC Members v40'!$B$4:$B$148,$A18,'AC Members v40'!$D$4:$D$148,"MEMBER",'AC Members v40'!$J$4:$J$148,"N")</f>
        <v>0</v>
      </c>
      <c r="S18" s="23">
        <f>COUNTIFS('AC Members v40'!$B$4:$B$148,$A18,'AC Members v40'!$D$4:$D$148,"MEMBER",'AC Members v40'!$J$4:$J$148,"U")</f>
        <v>3</v>
      </c>
      <c r="T18" s="23" t="inlineStr">
        <is>
          <t>بررسی شده ولی افشا یافت نشد</t>
        </is>
      </c>
      <c r="U18" s="67">
        <f>IF(AND(J18="تاییدشده",K18&gt;0,S18=0),Q18/K18,"")</f>
      </c>
      <c r="V18" s="67">
        <f>IF(Q18+R18&gt;0,Q18/(Q18+R18),"")</f>
      </c>
      <c r="W18" s="23">
        <f>COUNTIFS('AC Members v40'!$B$4:$B$148,$A18,'AC Members v40'!$D$4:$D$148,"MEMBER",'AC Members v40'!$N$4:$N$148,1)</f>
        <v>3</v>
      </c>
      <c r="X18" s="23">
        <f>K18-W18</f>
        <v>0</v>
      </c>
      <c r="Y18" s="23">
        <f>COUNTIFS('AC Members v40'!$B$4:$B$148,$A18,'AC Members v40'!$D$4:$D$148,"MEMBER",'AC Members v40'!$L$4:$L$148,"UNK",'AC Members v40'!$N$4:$N$148,0)</f>
        <v>0</v>
      </c>
      <c r="Z18" s="23" t="inlineStr">
        <is>
          <t>تاییدشده</t>
        </is>
      </c>
      <c r="AA18" s="23">
        <f>IF(W18&gt;=1,1,"")</f>
        <v>1</v>
      </c>
      <c r="AB18" s="23" t="str">
        <f>IF(AND(J18="تاییدشده",K18&gt;0,Y18=0),"کامل","ناقص (حد پایین)")</f>
        <v>کامل</v>
      </c>
      <c r="AC18" s="67">
        <f>IF(AND(J18="تاییدشده",K18&gt;0,OR(W18&gt;=1,Y18=0)),W18/K18,"")</f>
        <v>1</v>
      </c>
      <c r="AD18" s="23" t="n"/>
      <c r="AE18" s="23" t="inlineStr">
        <is>
          <t>بررسی شده ولی افشا یافت نشد</t>
        </is>
      </c>
      <c r="AF18" s="23">
        <f>IF(AND(ISNUMBER(AD18),OR(AE18="تاییدشده",AE18="تاییدشده با هشدار")),AD18,"")</f>
      </c>
      <c r="AG18" s="23" t="n"/>
      <c r="AH18" s="23" t="n"/>
      <c r="AI18" s="23">
        <f>SUMIFS('AC Members v40'!$Q$4:$Q$148,'AC Members v40'!$B$4:$B$148,$A18,'AC Members v40'!$U$4:$U$148,1)</f>
        <v>0</v>
      </c>
      <c r="AJ18" s="23">
        <f>SUMIFS('AC Members v40'!$R$4:$R$148,'AC Members v40'!$B$4:$B$148,$A18,'AC Members v40'!$U$4:$U$148,1)</f>
        <v>0</v>
      </c>
      <c r="AK18" s="23">
        <f>COUNTIFS('AC Members v40'!$B$4:$B$148,$A18,'AC Members v40'!$U$4:$U$148,1)</f>
        <v>0</v>
      </c>
      <c r="AL18" s="67">
        <f>IF(K18=0,"",IF(AND(AJ18&gt;0,AK18&gt;=2,AK18/K18&gt;=0.5),AI18/AJ18,""))</f>
      </c>
      <c r="AM18" s="23" t="inlineStr">
        <is>
          <t>بررسی شده ولی افشا یافت نشد</t>
        </is>
      </c>
      <c r="AN18" s="23" t="inlineStr">
        <is>
          <t>فریدون امیری</t>
        </is>
      </c>
      <c r="AO18" s="23" t="inlineStr">
        <is>
          <t>EV_SRC_NOOR_1404_007_p43</t>
        </is>
      </c>
      <c r="AP18" s="23" t="inlineStr">
        <is>
          <t>رئیس از ۱۴۰۴/۰۸/۲۵؛ رئیس قبلی و حضور افراد ثبت نشده.</t>
        </is>
      </c>
    </row>
    <row r="19" ht="29" customHeight="1" s="76">
      <c r="A19" s="25" t="inlineStr">
        <is>
          <t>فولاد</t>
        </is>
      </c>
      <c r="B19" s="25" t="inlineStr">
        <is>
          <t>SRC_FOLD_1404_002</t>
        </is>
      </c>
      <c r="C19" s="25" t="inlineStr">
        <is>
          <t>FY1404 (…/12/29)</t>
        </is>
      </c>
      <c r="D19" s="25" t="inlineStr">
        <is>
          <t>1404/12/29</t>
        </is>
      </c>
      <c r="E19" s="25" t="inlineStr">
        <is>
          <t>مقطع مبنا برابر ۱۴۰۴/۱۲/۲۹</t>
        </is>
      </c>
      <c r="F19" s="25" t="inlineStr">
        <is>
          <t>تاییدشده</t>
        </is>
      </c>
      <c r="G19" s="25">
        <f>IF(F19="تاییدشده",1,"")</f>
        <v>1</v>
      </c>
      <c r="H19" s="25" t="n"/>
      <c r="I19" s="25" t="inlineStr">
        <is>
          <t>جدول «اعضای کمیته حسابرسی» (۵ ردیف)</t>
        </is>
      </c>
      <c r="J19" s="25" t="inlineStr">
        <is>
          <t>تاییدشده</t>
        </is>
      </c>
      <c r="K19" s="25">
        <f>COUNTIFS('AC Members v40'!$B$4:$B$148,$A19,'AC Members v40'!$D$4:$D$148,"MEMBER")</f>
        <v>5</v>
      </c>
      <c r="L19" s="25">
        <f>COUNTIFS('AC Members v40'!$B$4:$B$148,$A19,'AC Members v40'!$D$4:$D$148,"SECRETARY")</f>
        <v>0</v>
      </c>
      <c r="M19" s="25">
        <f>COUNTIFS('AC Members v40'!$B$4:$B$148,$A19,'AC Members v40'!$D$4:$D$148,"FORMER")</f>
        <v>0</v>
      </c>
      <c r="N19" s="25">
        <f>COUNTIFS('AC Members v40'!$B$4:$B$148,$A19,'AC Members v40'!$D$4:$D$148,"POST_ASOF")</f>
        <v>0</v>
      </c>
      <c r="O19" s="25">
        <f>IF(AND(J19="تاییدشده",K19&gt;0),K19,"")</f>
        <v>5</v>
      </c>
      <c r="P19" s="25">
        <f>IF(AND(ISNUMBER(H19),ISNUMBER(K19)),H19-K19,"")</f>
      </c>
      <c r="Q19" s="25">
        <f>COUNTIFS('AC Members v40'!$B$4:$B$148,$A19,'AC Members v40'!$D$4:$D$148,"MEMBER",'AC Members v40'!$J$4:$J$148,"Y")</f>
        <v>0</v>
      </c>
      <c r="R19" s="25">
        <f>COUNTIFS('AC Members v40'!$B$4:$B$148,$A19,'AC Members v40'!$D$4:$D$148,"MEMBER",'AC Members v40'!$J$4:$J$148,"N")</f>
        <v>0</v>
      </c>
      <c r="S19" s="25">
        <f>COUNTIFS('AC Members v40'!$B$4:$B$148,$A19,'AC Members v40'!$D$4:$D$148,"MEMBER",'AC Members v40'!$J$4:$J$148,"U")</f>
        <v>5</v>
      </c>
      <c r="T19" s="25" t="inlineStr">
        <is>
          <t>بررسی شده ولی افشا یافت نشد</t>
        </is>
      </c>
      <c r="U19" s="68">
        <f>IF(AND(J19="تاییدشده",K19&gt;0,S19=0),Q19/K19,"")</f>
      </c>
      <c r="V19" s="68">
        <f>IF(Q19+R19&gt;0,Q19/(Q19+R19),"")</f>
      </c>
      <c r="W19" s="25">
        <f>COUNTIFS('AC Members v40'!$B$4:$B$148,$A19,'AC Members v40'!$D$4:$D$148,"MEMBER",'AC Members v40'!$N$4:$N$148,1)</f>
        <v>3</v>
      </c>
      <c r="X19" s="25">
        <f>K19-W19</f>
        <v>2</v>
      </c>
      <c r="Y19" s="25">
        <f>COUNTIFS('AC Members v40'!$B$4:$B$148,$A19,'AC Members v40'!$D$4:$D$148,"MEMBER",'AC Members v40'!$L$4:$L$148,"UNK",'AC Members v40'!$N$4:$N$148,0)</f>
        <v>0</v>
      </c>
      <c r="Z19" s="25" t="inlineStr">
        <is>
          <t>تاییدشده</t>
        </is>
      </c>
      <c r="AA19" s="25">
        <f>IF(W19&gt;=1,1,"")</f>
        <v>1</v>
      </c>
      <c r="AB19" s="25" t="str">
        <f>IF(AND(J19="تاییدشده",K19&gt;0,Y19=0),"کامل","ناقص (حد پایین)")</f>
        <v>کامل</v>
      </c>
      <c r="AC19" s="68">
        <f>IF(AND(J19="تاییدشده",K19&gt;0,OR(W19&gt;=1,Y19=0)),W19/K19,"")</f>
        <v>0.6</v>
      </c>
      <c r="AD19" s="25" t="n">
        <v>22</v>
      </c>
      <c r="AE19" s="25" t="inlineStr">
        <is>
          <t>تاییدشده</t>
        </is>
      </c>
      <c r="AF19" s="25">
        <f>IF(AND(ISNUMBER(AD19),OR(AE19="تاییدشده",AE19="تاییدشده با هشدار")),AD19,"")</f>
        <v>22</v>
      </c>
      <c r="AG19" s="25" t="inlineStr">
        <is>
          <t>1404/01/01 تا 1404/12/29</t>
        </is>
      </c>
      <c r="AH19" s="25" t="n">
        <v>12</v>
      </c>
      <c r="AI19" s="25">
        <f>SUMIFS('AC Members v40'!$Q$4:$Q$148,'AC Members v40'!$B$4:$B$148,$A19,'AC Members v40'!$U$4:$U$148,1)</f>
        <v>108</v>
      </c>
      <c r="AJ19" s="25">
        <f>SUMIFS('AC Members v40'!$R$4:$R$148,'AC Members v40'!$B$4:$B$148,$A19,'AC Members v40'!$U$4:$U$148,1)</f>
        <v>110</v>
      </c>
      <c r="AK19" s="25">
        <f>COUNTIFS('AC Members v40'!$B$4:$B$148,$A19,'AC Members v40'!$U$4:$U$148,1)</f>
        <v>5</v>
      </c>
      <c r="AL19" s="68">
        <f>IF(K19=0,"",IF(AND(AJ19&gt;0,AK19&gt;=2,AK19/K19&gt;=0.5),AI19/AJ19,""))</f>
        <v>0.9818181818181818</v>
      </c>
      <c r="AM19" s="25" t="inlineStr">
        <is>
          <t>تاییدشده</t>
        </is>
      </c>
      <c r="AN19" s="25" t="inlineStr">
        <is>
          <t>علی افشین</t>
        </is>
      </c>
      <c r="AO19" s="25" t="inlineStr">
        <is>
          <t>EV_SRC_FOLD_1404_002_p34</t>
        </is>
      </c>
      <c r="AP19" s="25" t="inlineStr">
        <is>
          <t>همه اعضا پیش از ابتدای ۱۴۰۴ عضو شده‌اند → فرصت حضور ۲۲.</t>
        </is>
      </c>
    </row>
    <row r="20" ht="43.5" customHeight="1" s="76">
      <c r="A20" s="23" t="inlineStr">
        <is>
          <t>کچاد</t>
        </is>
      </c>
      <c r="B20" s="23" t="inlineStr">
        <is>
          <t>SRC_KCHD_1404_001</t>
        </is>
      </c>
      <c r="C20" s="23" t="inlineStr">
        <is>
          <t>دوره ۹ ماهه منتهی به 1404/09/30 (1404/01/01 تا 1404/09/30؛ تغییر سال مالی)</t>
        </is>
      </c>
      <c r="D20" s="23" t="inlineStr">
        <is>
          <t>1404/09/30</t>
        </is>
      </c>
      <c r="E20" s="23" t="inlineStr">
        <is>
          <t>پایان دوره شرکت 1404/09/30، با مقطع مشترک ۱۴۰۴/۱۲/۲۹ برابر نیست</t>
        </is>
      </c>
      <c r="F20" s="23" t="inlineStr">
        <is>
          <t>تاییدشده</t>
        </is>
      </c>
      <c r="G20" s="23">
        <f>IF(F20="تاییدشده",1,"")</f>
        <v>1</v>
      </c>
      <c r="H20" s="23" t="n"/>
      <c r="I20" s="23" t="inlineStr">
        <is>
          <t>جدول «اعضای کمیته حسابرسی» (۵ ردیف)</t>
        </is>
      </c>
      <c r="J20" s="23" t="inlineStr">
        <is>
          <t>تاییدشده</t>
        </is>
      </c>
      <c r="K20" s="23">
        <f>COUNTIFS('AC Members v40'!$B$4:$B$148,$A20,'AC Members v40'!$D$4:$D$148,"MEMBER")</f>
        <v>5</v>
      </c>
      <c r="L20" s="23">
        <f>COUNTIFS('AC Members v40'!$B$4:$B$148,$A20,'AC Members v40'!$D$4:$D$148,"SECRETARY")</f>
        <v>0</v>
      </c>
      <c r="M20" s="23">
        <f>COUNTIFS('AC Members v40'!$B$4:$B$148,$A20,'AC Members v40'!$D$4:$D$148,"FORMER")</f>
        <v>0</v>
      </c>
      <c r="N20" s="23">
        <f>COUNTIFS('AC Members v40'!$B$4:$B$148,$A20,'AC Members v40'!$D$4:$D$148,"POST_ASOF")</f>
        <v>0</v>
      </c>
      <c r="O20" s="23">
        <f>IF(AND(J20="تاییدشده",K20&gt;0),K20,"")</f>
        <v>5</v>
      </c>
      <c r="P20" s="23">
        <f>IF(AND(ISNUMBER(H20),ISNUMBER(K20)),H20-K20,"")</f>
      </c>
      <c r="Q20" s="23">
        <f>COUNTIFS('AC Members v40'!$B$4:$B$148,$A20,'AC Members v40'!$D$4:$D$148,"MEMBER",'AC Members v40'!$J$4:$J$148,"Y")</f>
        <v>0</v>
      </c>
      <c r="R20" s="23">
        <f>COUNTIFS('AC Members v40'!$B$4:$B$148,$A20,'AC Members v40'!$D$4:$D$148,"MEMBER",'AC Members v40'!$J$4:$J$148,"N")</f>
        <v>0</v>
      </c>
      <c r="S20" s="23">
        <f>COUNTIFS('AC Members v40'!$B$4:$B$148,$A20,'AC Members v40'!$D$4:$D$148,"MEMBER",'AC Members v40'!$J$4:$J$148,"U")</f>
        <v>5</v>
      </c>
      <c r="T20" s="23" t="inlineStr">
        <is>
          <t>بررسی شده ولی افشا یافت نشد</t>
        </is>
      </c>
      <c r="U20" s="67">
        <f>IF(AND(J20="تاییدشده",K20&gt;0,S20=0),Q20/K20,"")</f>
      </c>
      <c r="V20" s="67">
        <f>IF(Q20+R20&gt;0,Q20/(Q20+R20),"")</f>
      </c>
      <c r="W20" s="23">
        <f>COUNTIFS('AC Members v40'!$B$4:$B$148,$A20,'AC Members v40'!$D$4:$D$148,"MEMBER",'AC Members v40'!$N$4:$N$148,1)</f>
        <v>4</v>
      </c>
      <c r="X20" s="23">
        <f>K20-W20</f>
        <v>1</v>
      </c>
      <c r="Y20" s="23">
        <f>COUNTIFS('AC Members v40'!$B$4:$B$148,$A20,'AC Members v40'!$D$4:$D$148,"MEMBER",'AC Members v40'!$L$4:$L$148,"UNK",'AC Members v40'!$N$4:$N$148,0)</f>
        <v>0</v>
      </c>
      <c r="Z20" s="23" t="inlineStr">
        <is>
          <t>تاییدشده</t>
        </is>
      </c>
      <c r="AA20" s="23">
        <f>IF(W20&gt;=1,1,"")</f>
        <v>1</v>
      </c>
      <c r="AB20" s="23" t="str">
        <f>IF(AND(J20="تاییدشده",K20&gt;0,Y20=0),"کامل","ناقص (حد پایین)")</f>
        <v>کامل</v>
      </c>
      <c r="AC20" s="67">
        <f>IF(AND(J20="تاییدشده",K20&gt;0,OR(W20&gt;=1,Y20=0)),W20/K20,"")</f>
        <v>0.8</v>
      </c>
      <c r="AD20" s="23" t="n">
        <v>19</v>
      </c>
      <c r="AE20" s="23" t="inlineStr">
        <is>
          <t>تاییدشده</t>
        </is>
      </c>
      <c r="AF20" s="23">
        <f>IF(AND(ISNUMBER(AD20),OR(AE20="تاییدشده",AE20="تاییدشده با هشدار")),AD20,"")</f>
        <v>19</v>
      </c>
      <c r="AG20" s="23" t="inlineStr">
        <is>
          <t>1404/01/01 تا 1404/09/30 (۹ ماه؛ ۱۲ ماهه ۱۴۰۴ منتشر نشده)</t>
        </is>
      </c>
      <c r="AH20" s="23" t="n">
        <v>9</v>
      </c>
      <c r="AI20" s="23">
        <f>SUMIFS('AC Members v40'!$Q$4:$Q$148,'AC Members v40'!$B$4:$B$148,$A20,'AC Members v40'!$U$4:$U$148,1)</f>
        <v>57</v>
      </c>
      <c r="AJ20" s="23">
        <f>SUMIFS('AC Members v40'!$R$4:$R$148,'AC Members v40'!$B$4:$B$148,$A20,'AC Members v40'!$U$4:$U$148,1)</f>
        <v>57</v>
      </c>
      <c r="AK20" s="23">
        <f>COUNTIFS('AC Members v40'!$B$4:$B$148,$A20,'AC Members v40'!$U$4:$U$148,1)</f>
        <v>3</v>
      </c>
      <c r="AL20" s="67">
        <f>IF(K20=0,"",IF(AND(AJ20&gt;0,AK20&gt;=2,AK20/K20&gt;=0.5),AI20/AJ20,""))</f>
        <v>1</v>
      </c>
      <c r="AM20" s="23" t="inlineStr">
        <is>
          <t>ناقص</t>
        </is>
      </c>
      <c r="AN20" s="23" t="inlineStr">
        <is>
          <t>مهدی آقاپوربی‌شک</t>
        </is>
      </c>
      <c r="AO20" s="23" t="inlineStr">
        <is>
          <t>EV_SRC_KCHD_1404_001_p143</t>
        </is>
      </c>
      <c r="AP20" s="23" t="inlineStr">
        <is>
          <t>دوره ۹ ماهه انتقالی؛ فاصله با دوره ۱۲ ماهه استاندارد؛ رئیس از ۱۴۰۳/۱۰/۱۱.</t>
        </is>
      </c>
    </row>
    <row r="21" ht="43.5" customHeight="1" s="76">
      <c r="A21" s="25" t="inlineStr">
        <is>
          <t>کگل</t>
        </is>
      </c>
      <c r="B21" s="25" t="inlineStr">
        <is>
          <t>SRC_KGOL_1404_001</t>
        </is>
      </c>
      <c r="C21" s="25" t="inlineStr">
        <is>
          <t>دوره ۹ ماهه منتهی به 1404/09/30 (1404/01/01 تا 1404/09/30؛ تغییر سال مالی)</t>
        </is>
      </c>
      <c r="D21" s="25" t="inlineStr">
        <is>
          <t>1404/09/30</t>
        </is>
      </c>
      <c r="E21" s="25" t="inlineStr">
        <is>
          <t>پایان دوره شرکت 1404/09/30، با مقطع مشترک ۱۴۰۴/۱۲/۲۹ برابر نیست</t>
        </is>
      </c>
      <c r="F21" s="25" t="inlineStr">
        <is>
          <t>تاییدشده</t>
        </is>
      </c>
      <c r="G21" s="25">
        <f>IF(F21="تاییدشده",1,"")</f>
        <v>1</v>
      </c>
      <c r="H21" s="25" t="n"/>
      <c r="I21" s="25" t="inlineStr">
        <is>
          <t>جدول «اعضای کمیته حسابرسی» (ردیف ۲ شامل عضو سابق و عضو جدید)</t>
        </is>
      </c>
      <c r="J21" s="25" t="inlineStr">
        <is>
          <t>تاییدشده</t>
        </is>
      </c>
      <c r="K21" s="25">
        <f>COUNTIFS('AC Members v40'!$B$4:$B$148,$A21,'AC Members v40'!$D$4:$D$148,"MEMBER")</f>
        <v>3</v>
      </c>
      <c r="L21" s="25">
        <f>COUNTIFS('AC Members v40'!$B$4:$B$148,$A21,'AC Members v40'!$D$4:$D$148,"SECRETARY")</f>
        <v>1</v>
      </c>
      <c r="M21" s="25">
        <f>COUNTIFS('AC Members v40'!$B$4:$B$148,$A21,'AC Members v40'!$D$4:$D$148,"FORMER")</f>
        <v>1</v>
      </c>
      <c r="N21" s="25">
        <f>COUNTIFS('AC Members v40'!$B$4:$B$148,$A21,'AC Members v40'!$D$4:$D$148,"POST_ASOF")</f>
        <v>0</v>
      </c>
      <c r="O21" s="25">
        <f>IF(AND(J21="تاییدشده",K21&gt;0),K21,"")</f>
        <v>3</v>
      </c>
      <c r="P21" s="25">
        <f>IF(AND(ISNUMBER(H21),ISNUMBER(K21)),H21-K21,"")</f>
      </c>
      <c r="Q21" s="25">
        <f>COUNTIFS('AC Members v40'!$B$4:$B$148,$A21,'AC Members v40'!$D$4:$D$148,"MEMBER",'AC Members v40'!$J$4:$J$148,"Y")</f>
        <v>0</v>
      </c>
      <c r="R21" s="25">
        <f>COUNTIFS('AC Members v40'!$B$4:$B$148,$A21,'AC Members v40'!$D$4:$D$148,"MEMBER",'AC Members v40'!$J$4:$J$148,"N")</f>
        <v>0</v>
      </c>
      <c r="S21" s="25">
        <f>COUNTIFS('AC Members v40'!$B$4:$B$148,$A21,'AC Members v40'!$D$4:$D$148,"MEMBER",'AC Members v40'!$J$4:$J$148,"U")</f>
        <v>3</v>
      </c>
      <c r="T21" s="25" t="inlineStr">
        <is>
          <t>بررسی شده ولی افشا یافت نشد</t>
        </is>
      </c>
      <c r="U21" s="68">
        <f>IF(AND(J21="تاییدشده",K21&gt;0,S21=0),Q21/K21,"")</f>
      </c>
      <c r="V21" s="68">
        <f>IF(Q21+R21&gt;0,Q21/(Q21+R21),"")</f>
      </c>
      <c r="W21" s="25">
        <f>COUNTIFS('AC Members v40'!$B$4:$B$148,$A21,'AC Members v40'!$D$4:$D$148,"MEMBER",'AC Members v40'!$N$4:$N$148,1)</f>
        <v>2</v>
      </c>
      <c r="X21" s="25">
        <f>K21-W21</f>
        <v>1</v>
      </c>
      <c r="Y21" s="25">
        <f>COUNTIFS('AC Members v40'!$B$4:$B$148,$A21,'AC Members v40'!$D$4:$D$148,"MEMBER",'AC Members v40'!$L$4:$L$148,"UNK",'AC Members v40'!$N$4:$N$148,0)</f>
        <v>0</v>
      </c>
      <c r="Z21" s="25" t="inlineStr">
        <is>
          <t>تاییدشده</t>
        </is>
      </c>
      <c r="AA21" s="25">
        <f>IF(W21&gt;=1,1,"")</f>
        <v>1</v>
      </c>
      <c r="AB21" s="25" t="str">
        <f>IF(AND(J21="تاییدشده",K21&gt;0,Y21=0),"کامل","ناقص (حد پایین)")</f>
        <v>کامل</v>
      </c>
      <c r="AC21" s="68">
        <f>IF(AND(J21="تاییدشده",K21&gt;0,OR(W21&gt;=1,Y21=0)),W21/K21,"")</f>
        <v>0.6666666666666666</v>
      </c>
      <c r="AD21" s="25" t="n"/>
      <c r="AE21" s="25" t="inlineStr">
        <is>
          <t>بررسی شده ولی افشا یافت نشد</t>
        </is>
      </c>
      <c r="AF21" s="25">
        <f>IF(AND(ISNUMBER(AD21),OR(AE21="تاییدشده",AE21="تاییدشده با هشدار")),AD21,"")</f>
      </c>
      <c r="AG21" s="25" t="n"/>
      <c r="AH21" s="25" t="n"/>
      <c r="AI21" s="25">
        <f>SUMIFS('AC Members v40'!$Q$4:$Q$148,'AC Members v40'!$B$4:$B$148,$A21,'AC Members v40'!$U$4:$U$148,1)</f>
        <v>0</v>
      </c>
      <c r="AJ21" s="25">
        <f>SUMIFS('AC Members v40'!$R$4:$R$148,'AC Members v40'!$B$4:$B$148,$A21,'AC Members v40'!$U$4:$U$148,1)</f>
        <v>0</v>
      </c>
      <c r="AK21" s="25">
        <f>COUNTIFS('AC Members v40'!$B$4:$B$148,$A21,'AC Members v40'!$U$4:$U$148,1)</f>
        <v>0</v>
      </c>
      <c r="AL21" s="68">
        <f>IF(K21=0,"",IF(AND(AJ21&gt;0,AK21&gt;=2,AK21/K21&gt;=0.5),AI21/AJ21,""))</f>
      </c>
      <c r="AM21" s="25" t="inlineStr">
        <is>
          <t>ناقص</t>
        </is>
      </c>
      <c r="AN21" s="25" t="inlineStr">
        <is>
          <t>حمیدرضا فولادگر</t>
        </is>
      </c>
      <c r="AO21" s="25" t="inlineStr">
        <is>
          <t>EV_SRC_KGOL_1404_001_p136</t>
        </is>
      </c>
      <c r="AP21" s="25" t="inlineStr">
        <is>
          <t>۹ ماهه انتقالی؛ ۳ عضو فعلی + دبیر در مقطع ۱۴۰۴/۰۹/۳۰.</t>
        </is>
      </c>
    </row>
    <row r="22" ht="29" customHeight="1" s="76">
      <c r="A22" s="23" t="inlineStr">
        <is>
          <t>پارسان</t>
        </is>
      </c>
      <c r="B22" s="23" t="inlineStr">
        <is>
          <t>SRC_PRSN_1404_007</t>
        </is>
      </c>
      <c r="C22" s="23" t="inlineStr">
        <is>
          <t>FYE 1404/06/31 (1403/07/01 تا 1404/06/31)</t>
        </is>
      </c>
      <c r="D22" s="23" t="inlineStr">
        <is>
          <t>1404/06/31</t>
        </is>
      </c>
      <c r="E22" s="23" t="inlineStr">
        <is>
          <t>پایان دوره شرکت 1404/06/31، با مقطع مشترک ۱۴۰۴/۱۲/۲۹ برابر نیست</t>
        </is>
      </c>
      <c r="F22" s="23" t="inlineStr">
        <is>
          <t>تاییدشده</t>
        </is>
      </c>
      <c r="G22" s="23">
        <f>IF(F22="تاییدشده",1,"")</f>
        <v>1</v>
      </c>
      <c r="H22" s="23" t="n"/>
      <c r="I22" s="23" t="inlineStr">
        <is>
          <t>«تعداد جلسات این کمیته طی سال مالی ۱۳ جلسه… اعضای کمیته حسابرسی به شرح زیر» (۴ ردیف)</t>
        </is>
      </c>
      <c r="J22" s="23" t="inlineStr">
        <is>
          <t>تاییدشده</t>
        </is>
      </c>
      <c r="K22" s="23">
        <f>COUNTIFS('AC Members v40'!$B$4:$B$148,$A22,'AC Members v40'!$D$4:$D$148,"MEMBER")</f>
        <v>3</v>
      </c>
      <c r="L22" s="23">
        <f>COUNTIFS('AC Members v40'!$B$4:$B$148,$A22,'AC Members v40'!$D$4:$D$148,"SECRETARY")</f>
        <v>0</v>
      </c>
      <c r="M22" s="23">
        <f>COUNTIFS('AC Members v40'!$B$4:$B$148,$A22,'AC Members v40'!$D$4:$D$148,"FORMER")</f>
        <v>1</v>
      </c>
      <c r="N22" s="23">
        <f>COUNTIFS('AC Members v40'!$B$4:$B$148,$A22,'AC Members v40'!$D$4:$D$148,"POST_ASOF")</f>
        <v>0</v>
      </c>
      <c r="O22" s="23">
        <f>IF(AND(J22="تاییدشده",K22&gt;0),K22,"")</f>
        <v>3</v>
      </c>
      <c r="P22" s="23">
        <f>IF(AND(ISNUMBER(H22),ISNUMBER(K22)),H22-K22,"")</f>
      </c>
      <c r="Q22" s="23">
        <f>COUNTIFS('AC Members v40'!$B$4:$B$148,$A22,'AC Members v40'!$D$4:$D$148,"MEMBER",'AC Members v40'!$J$4:$J$148,"Y")</f>
        <v>2</v>
      </c>
      <c r="R22" s="23">
        <f>COUNTIFS('AC Members v40'!$B$4:$B$148,$A22,'AC Members v40'!$D$4:$D$148,"MEMBER",'AC Members v40'!$J$4:$J$148,"N")</f>
        <v>1</v>
      </c>
      <c r="S22" s="23">
        <f>COUNTIFS('AC Members v40'!$B$4:$B$148,$A22,'AC Members v40'!$D$4:$D$148,"MEMBER",'AC Members v40'!$J$4:$J$148,"U")</f>
        <v>0</v>
      </c>
      <c r="T22" s="23" t="inlineStr">
        <is>
          <t>تاییدشده</t>
        </is>
      </c>
      <c r="U22" s="67">
        <f>IF(AND(J22="تاییدشده",K22&gt;0,S22=0),Q22/K22,"")</f>
        <v>0.6666666666666666</v>
      </c>
      <c r="V22" s="67">
        <f>IF(Q22+R22&gt;0,Q22/(Q22+R22),"")</f>
        <v>0.6666666666666666</v>
      </c>
      <c r="W22" s="23">
        <f>COUNTIFS('AC Members v40'!$B$4:$B$148,$A22,'AC Members v40'!$D$4:$D$148,"MEMBER",'AC Members v40'!$N$4:$N$148,1)</f>
        <v>3</v>
      </c>
      <c r="X22" s="23">
        <f>K22-W22</f>
        <v>0</v>
      </c>
      <c r="Y22" s="23">
        <f>COUNTIFS('AC Members v40'!$B$4:$B$148,$A22,'AC Members v40'!$D$4:$D$148,"MEMBER",'AC Members v40'!$L$4:$L$148,"UNK",'AC Members v40'!$N$4:$N$148,0)</f>
        <v>0</v>
      </c>
      <c r="Z22" s="23" t="inlineStr">
        <is>
          <t>تاییدشده</t>
        </is>
      </c>
      <c r="AA22" s="23">
        <f>IF(W22&gt;=1,1,"")</f>
        <v>1</v>
      </c>
      <c r="AB22" s="23" t="str">
        <f>IF(AND(J22="تاییدشده",K22&gt;0,Y22=0),"کامل","ناقص (حد پایین)")</f>
        <v>کامل</v>
      </c>
      <c r="AC22" s="67">
        <f>IF(AND(J22="تاییدشده",K22&gt;0,OR(W22&gt;=1,Y22=0)),W22/K22,"")</f>
        <v>1</v>
      </c>
      <c r="AD22" s="23" t="n">
        <v>13</v>
      </c>
      <c r="AE22" s="23" t="inlineStr">
        <is>
          <t>تاییدشده</t>
        </is>
      </c>
      <c r="AF22" s="23">
        <f>IF(AND(ISNUMBER(AD22),OR(AE22="تاییدشده",AE22="تاییدشده با هشدار")),AD22,"")</f>
        <v>13</v>
      </c>
      <c r="AG22" s="23" t="inlineStr">
        <is>
          <t>1403/07/01 تا 1404/06/31</t>
        </is>
      </c>
      <c r="AH22" s="23" t="n">
        <v>12</v>
      </c>
      <c r="AI22" s="23">
        <f>SUMIFS('AC Members v40'!$Q$4:$Q$148,'AC Members v40'!$B$4:$B$148,$A22,'AC Members v40'!$U$4:$U$148,1)</f>
        <v>26</v>
      </c>
      <c r="AJ22" s="23">
        <f>SUMIFS('AC Members v40'!$R$4:$R$148,'AC Members v40'!$B$4:$B$148,$A22,'AC Members v40'!$U$4:$U$148,1)</f>
        <v>26</v>
      </c>
      <c r="AK22" s="23">
        <f>COUNTIFS('AC Members v40'!$B$4:$B$148,$A22,'AC Members v40'!$U$4:$U$148,1)</f>
        <v>2</v>
      </c>
      <c r="AL22" s="67">
        <f>IF(K22=0,"",IF(AND(AJ22&gt;0,AK22&gt;=2,AK22/K22&gt;=0.5),AI22/AJ22,""))</f>
        <v>1</v>
      </c>
      <c r="AM22" s="23" t="inlineStr">
        <is>
          <t>ناقص</t>
        </is>
      </c>
      <c r="AN22" s="23" t="inlineStr">
        <is>
          <t>رحیم اسماعیلی دانا</t>
        </is>
      </c>
      <c r="AO22" s="23" t="inlineStr">
        <is>
          <t>EV_SRC_PRSN_1404_007_p42</t>
        </is>
      </c>
      <c r="AP22" s="23" t="inlineStr">
        <is>
          <t>سال مالی ۰۶/۳۱؛ سه عضو فعال در پایان دوره؛ ترکیب در ۱۴۰۴/۱۲/۲۹ از این گزارش مشخص نیست.</t>
        </is>
      </c>
    </row>
    <row r="23" ht="29" customHeight="1" s="76">
      <c r="A23" s="25" t="inlineStr">
        <is>
          <t>اخابر</t>
        </is>
      </c>
      <c r="B23" s="25" t="inlineStr">
        <is>
          <t>SRC_AKHB_1404_001</t>
        </is>
      </c>
      <c r="C23" s="25" t="inlineStr">
        <is>
          <t>FY1404 (…/12/29)</t>
        </is>
      </c>
      <c r="D23" s="25" t="inlineStr">
        <is>
          <t>1404/12/29</t>
        </is>
      </c>
      <c r="E23" s="25" t="inlineStr">
        <is>
          <t>مقطع مبنا برابر ۱۴۰۴/۱۲/۲۹</t>
        </is>
      </c>
      <c r="F23" s="25" t="inlineStr">
        <is>
          <t>تاییدشده</t>
        </is>
      </c>
      <c r="G23" s="25">
        <f>IF(F23="تاییدشده",1,"")</f>
        <v>1</v>
      </c>
      <c r="H23" s="25" t="n"/>
      <c r="I23" s="25" t="inlineStr">
        <is>
          <t>جدول «ترکیب کمیته حسابرسی» (۵ ردیف)</t>
        </is>
      </c>
      <c r="J23" s="25" t="inlineStr">
        <is>
          <t>تاییدشده</t>
        </is>
      </c>
      <c r="K23" s="25">
        <f>COUNTIFS('AC Members v40'!$B$4:$B$148,$A23,'AC Members v40'!$D$4:$D$148,"MEMBER")</f>
        <v>5</v>
      </c>
      <c r="L23" s="25">
        <f>COUNTIFS('AC Members v40'!$B$4:$B$148,$A23,'AC Members v40'!$D$4:$D$148,"SECRETARY")</f>
        <v>0</v>
      </c>
      <c r="M23" s="25">
        <f>COUNTIFS('AC Members v40'!$B$4:$B$148,$A23,'AC Members v40'!$D$4:$D$148,"FORMER")</f>
        <v>0</v>
      </c>
      <c r="N23" s="25">
        <f>COUNTIFS('AC Members v40'!$B$4:$B$148,$A23,'AC Members v40'!$D$4:$D$148,"POST_ASOF")</f>
        <v>0</v>
      </c>
      <c r="O23" s="25">
        <f>IF(AND(J23="تاییدشده",K23&gt;0),K23,"")</f>
        <v>5</v>
      </c>
      <c r="P23" s="25">
        <f>IF(AND(ISNUMBER(H23),ISNUMBER(K23)),H23-K23,"")</f>
      </c>
      <c r="Q23" s="25">
        <f>COUNTIFS('AC Members v40'!$B$4:$B$148,$A23,'AC Members v40'!$D$4:$D$148,"MEMBER",'AC Members v40'!$J$4:$J$148,"Y")</f>
        <v>3</v>
      </c>
      <c r="R23" s="25">
        <f>COUNTIFS('AC Members v40'!$B$4:$B$148,$A23,'AC Members v40'!$D$4:$D$148,"MEMBER",'AC Members v40'!$J$4:$J$148,"N")</f>
        <v>2</v>
      </c>
      <c r="S23" s="25">
        <f>COUNTIFS('AC Members v40'!$B$4:$B$148,$A23,'AC Members v40'!$D$4:$D$148,"MEMBER",'AC Members v40'!$J$4:$J$148,"U")</f>
        <v>0</v>
      </c>
      <c r="T23" s="25" t="inlineStr">
        <is>
          <t>تاییدشده</t>
        </is>
      </c>
      <c r="U23" s="68">
        <f>IF(AND(J23="تاییدشده",K23&gt;0,S23=0),Q23/K23,"")</f>
        <v>0.6</v>
      </c>
      <c r="V23" s="68">
        <f>IF(Q23+R23&gt;0,Q23/(Q23+R23),"")</f>
        <v>0.6</v>
      </c>
      <c r="W23" s="25">
        <f>COUNTIFS('AC Members v40'!$B$4:$B$148,$A23,'AC Members v40'!$D$4:$D$148,"MEMBER",'AC Members v40'!$N$4:$N$148,1)</f>
        <v>3</v>
      </c>
      <c r="X23" s="25">
        <f>K23-W23</f>
        <v>2</v>
      </c>
      <c r="Y23" s="25">
        <f>COUNTIFS('AC Members v40'!$B$4:$B$148,$A23,'AC Members v40'!$D$4:$D$148,"MEMBER",'AC Members v40'!$L$4:$L$148,"UNK",'AC Members v40'!$N$4:$N$148,0)</f>
        <v>0</v>
      </c>
      <c r="Z23" s="25" t="inlineStr">
        <is>
          <t>تاییدشده</t>
        </is>
      </c>
      <c r="AA23" s="25">
        <f>IF(W23&gt;=1,1,"")</f>
        <v>1</v>
      </c>
      <c r="AB23" s="25" t="str">
        <f>IF(AND(J23="تاییدشده",K23&gt;0,Y23=0),"کامل","ناقص (حد پایین)")</f>
        <v>کامل</v>
      </c>
      <c r="AC23" s="68">
        <f>IF(AND(J23="تاییدشده",K23&gt;0,OR(W23&gt;=1,Y23=0)),W23/K23,"")</f>
        <v>0.6</v>
      </c>
      <c r="AD23" s="25" t="n"/>
      <c r="AE23" s="25" t="inlineStr">
        <is>
          <t>بررسی شده ولی افشا یافت نشد</t>
        </is>
      </c>
      <c r="AF23" s="25">
        <f>IF(AND(ISNUMBER(AD23),OR(AE23="تاییدشده",AE23="تاییدشده با هشدار")),AD23,"")</f>
      </c>
      <c r="AG23" s="25" t="n"/>
      <c r="AH23" s="25" t="n"/>
      <c r="AI23" s="25">
        <f>SUMIFS('AC Members v40'!$Q$4:$Q$148,'AC Members v40'!$B$4:$B$148,$A23,'AC Members v40'!$U$4:$U$148,1)</f>
        <v>0</v>
      </c>
      <c r="AJ23" s="25">
        <f>SUMIFS('AC Members v40'!$R$4:$R$148,'AC Members v40'!$B$4:$B$148,$A23,'AC Members v40'!$U$4:$U$148,1)</f>
        <v>0</v>
      </c>
      <c r="AK23" s="25">
        <f>COUNTIFS('AC Members v40'!$B$4:$B$148,$A23,'AC Members v40'!$U$4:$U$148,1)</f>
        <v>0</v>
      </c>
      <c r="AL23" s="68">
        <f>IF(K23=0,"",IF(AND(AJ23&gt;0,AK23&gt;=2,AK23/K23&gt;=0.5),AI23/AJ23,""))</f>
      </c>
      <c r="AM23" s="25" t="inlineStr">
        <is>
          <t>ناقص</t>
        </is>
      </c>
      <c r="AN23" s="25" t="inlineStr">
        <is>
          <t>ابراهیم محمودزاده</t>
        </is>
      </c>
      <c r="AO23" s="25" t="inlineStr">
        <is>
          <t>EV_SRC_AKHB_1404_001_p99</t>
        </is>
      </c>
      <c r="AP23" s="25" t="inlineStr">
        <is>
          <t>تاریخ عضویت اعضا در گزارش نیست؛ جلسات کل کمیته ناموجود؛ استقلال صریح برای هر ۵ نفر.</t>
        </is>
      </c>
    </row>
    <row r="24" ht="29" customHeight="1" s="76">
      <c r="A24" s="23" t="inlineStr">
        <is>
          <t>جم</t>
        </is>
      </c>
      <c r="B24" s="23" t="inlineStr">
        <is>
          <t>SRC_JAM_1404_001</t>
        </is>
      </c>
      <c r="C24" s="23" t="inlineStr">
        <is>
          <t>FY1404 (…/12/29)</t>
        </is>
      </c>
      <c r="D24" s="23" t="inlineStr">
        <is>
          <t>1404/12/29</t>
        </is>
      </c>
      <c r="E24" s="23" t="inlineStr">
        <is>
          <t>مقطع مبنا برابر ۱۴۰۴/۱۲/۲۹</t>
        </is>
      </c>
      <c r="F24" s="23" t="inlineStr">
        <is>
          <t>تاییدشده</t>
        </is>
      </c>
      <c r="G24" s="23">
        <f>IF(F24="تاییدشده",1,"")</f>
        <v>1</v>
      </c>
      <c r="H24" s="23" t="n"/>
      <c r="I24" s="23" t="inlineStr">
        <is>
          <t>کادر «کمیته حسابرسی» با ۶ ردیف (رئیس، دبیر، ۴ عضو)</t>
        </is>
      </c>
      <c r="J24" s="23" t="inlineStr">
        <is>
          <t>تاییدشده</t>
        </is>
      </c>
      <c r="K24" s="23">
        <f>COUNTIFS('AC Members v40'!$B$4:$B$148,$A24,'AC Members v40'!$D$4:$D$148,"MEMBER")</f>
        <v>5</v>
      </c>
      <c r="L24" s="23">
        <f>COUNTIFS('AC Members v40'!$B$4:$B$148,$A24,'AC Members v40'!$D$4:$D$148,"SECRETARY")</f>
        <v>1</v>
      </c>
      <c r="M24" s="23">
        <f>COUNTIFS('AC Members v40'!$B$4:$B$148,$A24,'AC Members v40'!$D$4:$D$148,"FORMER")</f>
        <v>0</v>
      </c>
      <c r="N24" s="23">
        <f>COUNTIFS('AC Members v40'!$B$4:$B$148,$A24,'AC Members v40'!$D$4:$D$148,"POST_ASOF")</f>
        <v>0</v>
      </c>
      <c r="O24" s="23">
        <f>IF(AND(J24="تاییدشده",K24&gt;0),K24,"")</f>
        <v>5</v>
      </c>
      <c r="P24" s="23">
        <f>IF(AND(ISNUMBER(H24),ISNUMBER(K24)),H24-K24,"")</f>
      </c>
      <c r="Q24" s="23">
        <f>COUNTIFS('AC Members v40'!$B$4:$B$148,$A24,'AC Members v40'!$D$4:$D$148,"MEMBER",'AC Members v40'!$J$4:$J$148,"Y")</f>
        <v>0</v>
      </c>
      <c r="R24" s="23">
        <f>COUNTIFS('AC Members v40'!$B$4:$B$148,$A24,'AC Members v40'!$D$4:$D$148,"MEMBER",'AC Members v40'!$J$4:$J$148,"N")</f>
        <v>0</v>
      </c>
      <c r="S24" s="23">
        <f>COUNTIFS('AC Members v40'!$B$4:$B$148,$A24,'AC Members v40'!$D$4:$D$148,"MEMBER",'AC Members v40'!$J$4:$J$148,"U")</f>
        <v>5</v>
      </c>
      <c r="T24" s="23" t="inlineStr">
        <is>
          <t>بررسی شده ولی افشا یافت نشد</t>
        </is>
      </c>
      <c r="U24" s="67">
        <f>IF(AND(J24="تاییدشده",K24&gt;0,S24=0),Q24/K24,"")</f>
      </c>
      <c r="V24" s="67">
        <f>IF(Q24+R24&gt;0,Q24/(Q24+R24),"")</f>
      </c>
      <c r="W24" s="23">
        <f>COUNTIFS('AC Members v40'!$B$4:$B$148,$A24,'AC Members v40'!$D$4:$D$148,"MEMBER",'AC Members v40'!$N$4:$N$148,1)</f>
        <v>1</v>
      </c>
      <c r="X24" s="23">
        <f>K24-W24</f>
        <v>4</v>
      </c>
      <c r="Y24" s="23">
        <f>COUNTIFS('AC Members v40'!$B$4:$B$148,$A24,'AC Members v40'!$D$4:$D$148,"MEMBER",'AC Members v40'!$L$4:$L$148,"UNK",'AC Members v40'!$N$4:$N$148,0)</f>
        <v>4</v>
      </c>
      <c r="Z24" s="23" t="inlineStr">
        <is>
          <t>تاییدشده</t>
        </is>
      </c>
      <c r="AA24" s="23">
        <f>IF(W24&gt;=1,1,"")</f>
        <v>1</v>
      </c>
      <c r="AB24" s="23" t="str">
        <f>IF(AND(J24="تاییدشده",K24&gt;0,Y24=0),"کامل","ناقص (حد پایین)")</f>
        <v>ناقص (حد پایین)</v>
      </c>
      <c r="AC24" s="67">
        <f>IF(AND(J24="تاییدشده",K24&gt;0,OR(W24&gt;=1,Y24=0)),W24/K24,"")</f>
        <v>0.2</v>
      </c>
      <c r="AD24" s="23" t="n"/>
      <c r="AE24" s="23" t="inlineStr">
        <is>
          <t>بررسی شده ولی افشا یافت نشد</t>
        </is>
      </c>
      <c r="AF24" s="23">
        <f>IF(AND(ISNUMBER(AD24),OR(AE24="تاییدشده",AE24="تاییدشده با هشدار")),AD24,"")</f>
      </c>
      <c r="AG24" s="23" t="n"/>
      <c r="AH24" s="23" t="n"/>
      <c r="AI24" s="23">
        <f>SUMIFS('AC Members v40'!$Q$4:$Q$148,'AC Members v40'!$B$4:$B$148,$A24,'AC Members v40'!$U$4:$U$148,1)</f>
        <v>0</v>
      </c>
      <c r="AJ24" s="23">
        <f>SUMIFS('AC Members v40'!$R$4:$R$148,'AC Members v40'!$B$4:$B$148,$A24,'AC Members v40'!$U$4:$U$148,1)</f>
        <v>0</v>
      </c>
      <c r="AK24" s="23">
        <f>COUNTIFS('AC Members v40'!$B$4:$B$148,$A24,'AC Members v40'!$U$4:$U$148,1)</f>
        <v>0</v>
      </c>
      <c r="AL24" s="67">
        <f>IF(K24=0,"",IF(AND(AJ24&gt;0,AK24&gt;=2,AK24/K24&gt;=0.5),AI24/AJ24,""))</f>
      </c>
      <c r="AM24" s="23" t="inlineStr">
        <is>
          <t>بررسی شده ولی افشا یافت نشد</t>
        </is>
      </c>
      <c r="AN24" s="23" t="inlineStr">
        <is>
          <t>محمدسجاد سیاهکارزاده</t>
        </is>
      </c>
      <c r="AO24" s="23" t="inlineStr">
        <is>
          <t>EV_SRC_JAM_1404_001_p62</t>
        </is>
      </c>
      <c r="AP24" s="23" t="inlineStr">
        <is>
          <t>فقط نام و سمت؛ تحصیل، تاریخ، جلسات، حضور و استقلال گزارش نشده.</t>
        </is>
      </c>
    </row>
    <row r="25" ht="29" customHeight="1" s="76">
      <c r="A25" s="25" t="inlineStr">
        <is>
          <t>ومعادن</t>
        </is>
      </c>
      <c r="B25" s="25" t="inlineStr">
        <is>
          <t>SRC_VMDN_1404_001</t>
        </is>
      </c>
      <c r="C25" s="25" t="inlineStr">
        <is>
          <t>FY1404 (…/12/29)</t>
        </is>
      </c>
      <c r="D25" s="25" t="inlineStr">
        <is>
          <t>1404/12/29</t>
        </is>
      </c>
      <c r="E25" s="25" t="inlineStr">
        <is>
          <t>مقطع مبنا برابر ۱۴۰۴/۱۲/۲۹</t>
        </is>
      </c>
      <c r="F25" s="25" t="inlineStr">
        <is>
          <t>تاییدشده</t>
        </is>
      </c>
      <c r="G25" s="25">
        <f>IF(F25="تاییدشده",1,"")</f>
        <v>1</v>
      </c>
      <c r="H25" s="25" t="n"/>
      <c r="I25" s="25" t="inlineStr">
        <is>
          <t>جدول ۳۳ اعضای کمیته حسابرسی شرکت (۶ ردیف شامل دبیر)</t>
        </is>
      </c>
      <c r="J25" s="25" t="inlineStr">
        <is>
          <t>تاییدشده</t>
        </is>
      </c>
      <c r="K25" s="25">
        <f>COUNTIFS('AC Members v40'!$B$4:$B$148,$A25,'AC Members v40'!$D$4:$D$148,"MEMBER")</f>
        <v>5</v>
      </c>
      <c r="L25" s="25">
        <f>COUNTIFS('AC Members v40'!$B$4:$B$148,$A25,'AC Members v40'!$D$4:$D$148,"SECRETARY")</f>
        <v>1</v>
      </c>
      <c r="M25" s="25">
        <f>COUNTIFS('AC Members v40'!$B$4:$B$148,$A25,'AC Members v40'!$D$4:$D$148,"FORMER")</f>
        <v>0</v>
      </c>
      <c r="N25" s="25">
        <f>COUNTIFS('AC Members v40'!$B$4:$B$148,$A25,'AC Members v40'!$D$4:$D$148,"POST_ASOF")</f>
        <v>0</v>
      </c>
      <c r="O25" s="25">
        <f>IF(AND(J25="تاییدشده",K25&gt;0),K25,"")</f>
        <v>5</v>
      </c>
      <c r="P25" s="25">
        <f>IF(AND(ISNUMBER(H25),ISNUMBER(K25)),H25-K25,"")</f>
      </c>
      <c r="Q25" s="25">
        <f>COUNTIFS('AC Members v40'!$B$4:$B$148,$A25,'AC Members v40'!$D$4:$D$148,"MEMBER",'AC Members v40'!$J$4:$J$148,"Y")</f>
        <v>0</v>
      </c>
      <c r="R25" s="25">
        <f>COUNTIFS('AC Members v40'!$B$4:$B$148,$A25,'AC Members v40'!$D$4:$D$148,"MEMBER",'AC Members v40'!$J$4:$J$148,"N")</f>
        <v>0</v>
      </c>
      <c r="S25" s="25">
        <f>COUNTIFS('AC Members v40'!$B$4:$B$148,$A25,'AC Members v40'!$D$4:$D$148,"MEMBER",'AC Members v40'!$J$4:$J$148,"U")</f>
        <v>5</v>
      </c>
      <c r="T25" s="25" t="inlineStr">
        <is>
          <t>بررسی شده ولی افشا یافت نشد</t>
        </is>
      </c>
      <c r="U25" s="68">
        <f>IF(AND(J25="تاییدشده",K25&gt;0,S25=0),Q25/K25,"")</f>
      </c>
      <c r="V25" s="68">
        <f>IF(Q25+R25&gt;0,Q25/(Q25+R25),"")</f>
      </c>
      <c r="W25" s="25">
        <f>COUNTIFS('AC Members v40'!$B$4:$B$148,$A25,'AC Members v40'!$D$4:$D$148,"MEMBER",'AC Members v40'!$N$4:$N$148,1)</f>
        <v>4</v>
      </c>
      <c r="X25" s="25">
        <f>K25-W25</f>
        <v>1</v>
      </c>
      <c r="Y25" s="25">
        <f>COUNTIFS('AC Members v40'!$B$4:$B$148,$A25,'AC Members v40'!$D$4:$D$148,"MEMBER",'AC Members v40'!$L$4:$L$148,"UNK",'AC Members v40'!$N$4:$N$148,0)</f>
        <v>1</v>
      </c>
      <c r="Z25" s="25" t="inlineStr">
        <is>
          <t>تاییدشده</t>
        </is>
      </c>
      <c r="AA25" s="25">
        <f>IF(W25&gt;=1,1,"")</f>
        <v>1</v>
      </c>
      <c r="AB25" s="25" t="str">
        <f>IF(AND(J25="تاییدشده",K25&gt;0,Y25=0),"کامل","ناقص (حد پایین)")</f>
        <v>ناقص (حد پایین)</v>
      </c>
      <c r="AC25" s="68">
        <f>IF(AND(J25="تاییدشده",K25&gt;0,OR(W25&gt;=1,Y25=0)),W25/K25,"")</f>
        <v>0.8</v>
      </c>
      <c r="AD25" s="25" t="n">
        <v>10</v>
      </c>
      <c r="AE25" s="25" t="inlineStr">
        <is>
          <t>تاییدشده</t>
        </is>
      </c>
      <c r="AF25" s="25">
        <f>IF(AND(ISNUMBER(AD25),OR(AE25="تاییدشده",AE25="تاییدشده با هشدار")),AD25,"")</f>
        <v>10</v>
      </c>
      <c r="AG25" s="25" t="inlineStr">
        <is>
          <t>1404/01/01 تا 1404/12/29</t>
        </is>
      </c>
      <c r="AH25" s="25" t="n">
        <v>12</v>
      </c>
      <c r="AI25" s="25">
        <f>SUMIFS('AC Members v40'!$Q$4:$Q$148,'AC Members v40'!$B$4:$B$148,$A25,'AC Members v40'!$U$4:$U$148,1)</f>
        <v>50</v>
      </c>
      <c r="AJ25" s="25">
        <f>SUMIFS('AC Members v40'!$R$4:$R$148,'AC Members v40'!$B$4:$B$148,$A25,'AC Members v40'!$U$4:$U$148,1)</f>
        <v>50</v>
      </c>
      <c r="AK25" s="25">
        <f>COUNTIFS('AC Members v40'!$B$4:$B$148,$A25,'AC Members v40'!$U$4:$U$148,1)</f>
        <v>5</v>
      </c>
      <c r="AL25" s="68">
        <f>IF(K25=0,"",IF(AND(AJ25&gt;0,AK25&gt;=2,AK25/K25&gt;=0.5),AI25/AJ25,""))</f>
        <v>1</v>
      </c>
      <c r="AM25" s="25" t="inlineStr">
        <is>
          <t>تاییدشده</t>
        </is>
      </c>
      <c r="AN25" s="25" t="inlineStr">
        <is>
          <t>محمدرضا درخشنده</t>
        </is>
      </c>
      <c r="AO25" s="25" t="inlineStr">
        <is>
          <t>EV_SRC_VMDN_1404_001_p44</t>
        </is>
      </c>
      <c r="AP25" s="25" t="inlineStr">
        <is>
          <t>۵ عضو + دبیر؛ همه اعضا پیش از ابتدای ۱۴۰۴ عضو بوده‌اند (فرصت ۱۰).</t>
        </is>
      </c>
    </row>
    <row r="26" ht="43.5" customHeight="1" s="76">
      <c r="A26" s="23" t="inlineStr">
        <is>
          <t>وامید</t>
        </is>
      </c>
      <c r="B26" s="23" t="inlineStr">
        <is>
          <t>SRC_VAMD_1404_001</t>
        </is>
      </c>
      <c r="C26" s="23" t="inlineStr">
        <is>
          <t>FYE 1404/10/30 (1403/11/01 تا 1404/10/30)</t>
        </is>
      </c>
      <c r="D26" s="23" t="inlineStr">
        <is>
          <t>1404/10/30</t>
        </is>
      </c>
      <c r="E26" s="23" t="inlineStr">
        <is>
          <t>پایان دوره شرکت 1404/10/30، با مقطع مشترک ۱۴۰۴/۱۲/۲۹ برابر نیست</t>
        </is>
      </c>
      <c r="F26" s="23" t="inlineStr">
        <is>
          <t>تاییدشده</t>
        </is>
      </c>
      <c r="G26" s="23">
        <f>IF(F26="تاییدشده",1,"")</f>
        <v>1</v>
      </c>
      <c r="H26" s="23" t="n">
        <v>5</v>
      </c>
      <c r="I26" s="23" t="inlineStr">
        <is>
          <t>«کمیته مزبور دارای ۵ عضو است… یک نفر از اعضای غیرموظف هیئت‌مدیره و ۳ نفر عضو مستقل و یک نفر عضو غیرمستقل»</t>
        </is>
      </c>
      <c r="J26" s="23" t="inlineStr">
        <is>
          <t>تاییدشده</t>
        </is>
      </c>
      <c r="K26" s="23">
        <f>COUNTIFS('AC Members v40'!$B$4:$B$148,$A26,'AC Members v40'!$D$4:$D$148,"MEMBER")</f>
        <v>5</v>
      </c>
      <c r="L26" s="23">
        <f>COUNTIFS('AC Members v40'!$B$4:$B$148,$A26,'AC Members v40'!$D$4:$D$148,"SECRETARY")</f>
        <v>0</v>
      </c>
      <c r="M26" s="23">
        <f>COUNTIFS('AC Members v40'!$B$4:$B$148,$A26,'AC Members v40'!$D$4:$D$148,"FORMER")</f>
        <v>0</v>
      </c>
      <c r="N26" s="23">
        <f>COUNTIFS('AC Members v40'!$B$4:$B$148,$A26,'AC Members v40'!$D$4:$D$148,"POST_ASOF")</f>
        <v>0</v>
      </c>
      <c r="O26" s="23">
        <f>IF(AND(J26="تاییدشده",K26&gt;0),K26,"")</f>
        <v>5</v>
      </c>
      <c r="P26" s="23">
        <f>IF(AND(ISNUMBER(H26),ISNUMBER(K26)),H26-K26,"")</f>
        <v>0</v>
      </c>
      <c r="Q26" s="23">
        <f>COUNTIFS('AC Members v40'!$B$4:$B$148,$A26,'AC Members v40'!$D$4:$D$148,"MEMBER",'AC Members v40'!$J$4:$J$148,"Y")</f>
        <v>3</v>
      </c>
      <c r="R26" s="23">
        <f>COUNTIFS('AC Members v40'!$B$4:$B$148,$A26,'AC Members v40'!$D$4:$D$148,"MEMBER",'AC Members v40'!$J$4:$J$148,"N")</f>
        <v>2</v>
      </c>
      <c r="S26" s="23">
        <f>COUNTIFS('AC Members v40'!$B$4:$B$148,$A26,'AC Members v40'!$D$4:$D$148,"MEMBER",'AC Members v40'!$J$4:$J$148,"U")</f>
        <v>0</v>
      </c>
      <c r="T26" s="23" t="inlineStr">
        <is>
          <t>تاییدشده</t>
        </is>
      </c>
      <c r="U26" s="67">
        <f>IF(AND(J26="تاییدشده",K26&gt;0,S26=0),Q26/K26,"")</f>
        <v>0.6</v>
      </c>
      <c r="V26" s="67">
        <f>IF(Q26+R26&gt;0,Q26/(Q26+R26),"")</f>
        <v>0.6</v>
      </c>
      <c r="W26" s="23">
        <f>COUNTIFS('AC Members v40'!$B$4:$B$148,$A26,'AC Members v40'!$D$4:$D$148,"MEMBER",'AC Members v40'!$N$4:$N$148,1)</f>
        <v>5</v>
      </c>
      <c r="X26" s="23">
        <f>K26-W26</f>
        <v>0</v>
      </c>
      <c r="Y26" s="23">
        <f>COUNTIFS('AC Members v40'!$B$4:$B$148,$A26,'AC Members v40'!$D$4:$D$148,"MEMBER",'AC Members v40'!$L$4:$L$148,"UNK",'AC Members v40'!$N$4:$N$148,0)</f>
        <v>0</v>
      </c>
      <c r="Z26" s="23" t="inlineStr">
        <is>
          <t>تاییدشده</t>
        </is>
      </c>
      <c r="AA26" s="23">
        <f>IF(W26&gt;=1,1,"")</f>
        <v>1</v>
      </c>
      <c r="AB26" s="23" t="str">
        <f>IF(AND(J26="تاییدشده",K26&gt;0,Y26=0),"کامل","ناقص (حد پایین)")</f>
        <v>کامل</v>
      </c>
      <c r="AC26" s="67">
        <f>IF(AND(J26="تاییدشده",K26&gt;0,OR(W26&gt;=1,Y26=0)),W26/K26,"")</f>
        <v>1</v>
      </c>
      <c r="AD26" s="23" t="n">
        <v>19</v>
      </c>
      <c r="AE26" s="23" t="inlineStr">
        <is>
          <t>تاییدشده</t>
        </is>
      </c>
      <c r="AF26" s="23">
        <f>IF(AND(ISNUMBER(AD26),OR(AE26="تاییدشده",AE26="تاییدشده با هشدار")),AD26,"")</f>
        <v>19</v>
      </c>
      <c r="AG26" s="23" t="inlineStr">
        <is>
          <t>1403/11/01 تا 1404/10/30</t>
        </is>
      </c>
      <c r="AH26" s="23" t="n">
        <v>12</v>
      </c>
      <c r="AI26" s="23">
        <f>SUMIFS('AC Members v40'!$Q$4:$Q$148,'AC Members v40'!$B$4:$B$148,$A26,'AC Members v40'!$U$4:$U$148,1)</f>
        <v>95</v>
      </c>
      <c r="AJ26" s="23">
        <f>SUMIFS('AC Members v40'!$R$4:$R$148,'AC Members v40'!$B$4:$B$148,$A26,'AC Members v40'!$U$4:$U$148,1)</f>
        <v>95</v>
      </c>
      <c r="AK26" s="23">
        <f>COUNTIFS('AC Members v40'!$B$4:$B$148,$A26,'AC Members v40'!$U$4:$U$148,1)</f>
        <v>5</v>
      </c>
      <c r="AL26" s="67">
        <f>IF(K26=0,"",IF(AND(AJ26&gt;0,AK26&gt;=2,AK26/K26&gt;=0.5),AI26/AJ26,""))</f>
        <v>1</v>
      </c>
      <c r="AM26" s="23" t="inlineStr">
        <is>
          <t>تاییدشده</t>
        </is>
      </c>
      <c r="AN26" s="23" t="inlineStr">
        <is>
          <t>سیدمصطفی سیدهاشمی</t>
        </is>
      </c>
      <c r="AO26" s="23" t="inlineStr">
        <is>
          <t>EV_SRC_VAMD_1404_001_p73</t>
        </is>
      </c>
      <c r="AP26" s="23" t="inlineStr">
        <is>
          <t>استقلال و تخصص مالی صریح؛ تاریخ عضویت جدول ۴۰؛ همه پیش از شروع دوره مالی.</t>
        </is>
      </c>
    </row>
    <row r="27" ht="43.5" customHeight="1" s="76">
      <c r="A27" s="25" t="inlineStr">
        <is>
          <t>خساپا</t>
        </is>
      </c>
      <c r="B27" s="25" t="inlineStr">
        <is>
          <t>SRC_KHSP_1404_001</t>
        </is>
      </c>
      <c r="C27" s="25" t="inlineStr">
        <is>
          <t>FY1404 (…/12/29)</t>
        </is>
      </c>
      <c r="D27" s="25" t="inlineStr">
        <is>
          <t>1404/12/29</t>
        </is>
      </c>
      <c r="E27" s="25" t="inlineStr">
        <is>
          <t>مقطع مبنا برابر ۱۴۰۴/۱۲/۲۹</t>
        </is>
      </c>
      <c r="F27" s="25" t="inlineStr">
        <is>
          <t>تاییدشده</t>
        </is>
      </c>
      <c r="G27" s="25">
        <f>IF(F27="تاییدشده",1,"")</f>
        <v>1</v>
      </c>
      <c r="H27" s="25" t="n">
        <v>3</v>
      </c>
      <c r="I27" s="25" t="inlineStr">
        <is>
          <t>«کمیته… براساس الگوی ۳ نفره تشکیل … ترکیب اعضا طبق بند ۴ صورتجلسه ۸۰۲ هیئت‌مدیره مورخ ۱۴۰۴/۰۲/۲۷»</t>
        </is>
      </c>
      <c r="J27" s="25" t="inlineStr">
        <is>
          <t>تاییدشده</t>
        </is>
      </c>
      <c r="K27" s="25">
        <f>COUNTIFS('AC Members v40'!$B$4:$B$148,$A27,'AC Members v40'!$D$4:$D$148,"MEMBER")</f>
        <v>3</v>
      </c>
      <c r="L27" s="25">
        <f>COUNTIFS('AC Members v40'!$B$4:$B$148,$A27,'AC Members v40'!$D$4:$D$148,"SECRETARY")</f>
        <v>0</v>
      </c>
      <c r="M27" s="25">
        <f>COUNTIFS('AC Members v40'!$B$4:$B$148,$A27,'AC Members v40'!$D$4:$D$148,"FORMER")</f>
        <v>0</v>
      </c>
      <c r="N27" s="25">
        <f>COUNTIFS('AC Members v40'!$B$4:$B$148,$A27,'AC Members v40'!$D$4:$D$148,"POST_ASOF")</f>
        <v>0</v>
      </c>
      <c r="O27" s="25">
        <f>IF(AND(J27="تاییدشده",K27&gt;0),K27,"")</f>
        <v>3</v>
      </c>
      <c r="P27" s="25">
        <f>IF(AND(ISNUMBER(H27),ISNUMBER(K27)),H27-K27,"")</f>
        <v>0</v>
      </c>
      <c r="Q27" s="25">
        <f>COUNTIFS('AC Members v40'!$B$4:$B$148,$A27,'AC Members v40'!$D$4:$D$148,"MEMBER",'AC Members v40'!$J$4:$J$148,"Y")</f>
        <v>2</v>
      </c>
      <c r="R27" s="25">
        <f>COUNTIFS('AC Members v40'!$B$4:$B$148,$A27,'AC Members v40'!$D$4:$D$148,"MEMBER",'AC Members v40'!$J$4:$J$148,"N")</f>
        <v>0</v>
      </c>
      <c r="S27" s="25">
        <f>COUNTIFS('AC Members v40'!$B$4:$B$148,$A27,'AC Members v40'!$D$4:$D$148,"MEMBER",'AC Members v40'!$J$4:$J$148,"U")</f>
        <v>1</v>
      </c>
      <c r="T27" s="25" t="inlineStr">
        <is>
          <t>ناقص</t>
        </is>
      </c>
      <c r="U27" s="68">
        <f>IF(AND(J27="تاییدشده",K27&gt;0,S27=0),Q27/K27,"")</f>
      </c>
      <c r="V27" s="68">
        <f>IF(Q27+R27&gt;0,Q27/(Q27+R27),"")</f>
        <v>1</v>
      </c>
      <c r="W27" s="25">
        <f>COUNTIFS('AC Members v40'!$B$4:$B$148,$A27,'AC Members v40'!$D$4:$D$148,"MEMBER",'AC Members v40'!$N$4:$N$148,1)</f>
        <v>0</v>
      </c>
      <c r="X27" s="25">
        <f>K27-W27</f>
        <v>3</v>
      </c>
      <c r="Y27" s="25">
        <f>COUNTIFS('AC Members v40'!$B$4:$B$148,$A27,'AC Members v40'!$D$4:$D$148,"MEMBER",'AC Members v40'!$L$4:$L$148,"UNK",'AC Members v40'!$N$4:$N$148,0)</f>
        <v>3</v>
      </c>
      <c r="Z27" s="25" t="inlineStr">
        <is>
          <t>بررسی شده ولی افشا یافت نشد</t>
        </is>
      </c>
      <c r="AA27" s="25">
        <f>IF(W27&gt;=1,1,"")</f>
      </c>
      <c r="AB27" s="25" t="str">
        <f>IF(AND(J27="تاییدشده",K27&gt;0,Y27=0),"کامل","ناقص (حد پایین)")</f>
        <v>ناقص (حد پایین)</v>
      </c>
      <c r="AC27" s="68">
        <f>IF(AND(J27="تاییدشده",K27&gt;0,OR(W27&gt;=1,Y27=0)),W27/K27,"")</f>
      </c>
      <c r="AD27" s="25" t="n">
        <v>18</v>
      </c>
      <c r="AE27" s="25" t="inlineStr">
        <is>
          <t>تاییدشده</t>
        </is>
      </c>
      <c r="AF27" s="25">
        <f>IF(AND(ISNUMBER(AD27),OR(AE27="تاییدشده",AE27="تاییدشده با هشدار")),AD27,"")</f>
        <v>18</v>
      </c>
      <c r="AG27" s="25" t="inlineStr">
        <is>
          <t>1404/01/01 تا 1404/12/29</t>
        </is>
      </c>
      <c r="AH27" s="25" t="n">
        <v>12</v>
      </c>
      <c r="AI27" s="25">
        <f>SUMIFS('AC Members v40'!$Q$4:$Q$148,'AC Members v40'!$B$4:$B$148,$A27,'AC Members v40'!$U$4:$U$148,1)</f>
        <v>0</v>
      </c>
      <c r="AJ27" s="25">
        <f>SUMIFS('AC Members v40'!$R$4:$R$148,'AC Members v40'!$B$4:$B$148,$A27,'AC Members v40'!$U$4:$U$148,1)</f>
        <v>0</v>
      </c>
      <c r="AK27" s="25">
        <f>COUNTIFS('AC Members v40'!$B$4:$B$148,$A27,'AC Members v40'!$U$4:$U$148,1)</f>
        <v>0</v>
      </c>
      <c r="AL27" s="68">
        <f>IF(K27=0,"",IF(AND(AJ27&gt;0,AK27&gt;=2,AK27/K27&gt;=0.5),AI27/AJ27,""))</f>
      </c>
      <c r="AM27" s="25" t="inlineStr">
        <is>
          <t>بررسی شده ولی افشا یافت نشد</t>
        </is>
      </c>
      <c r="AN27" s="25" t="inlineStr">
        <is>
          <t>کورش پرویزیان</t>
        </is>
      </c>
      <c r="AO27" s="25" t="inlineStr">
        <is>
          <t>EV_SRC_KHSP_1404_001_p49</t>
        </is>
      </c>
      <c r="AP27" s="25" t="inlineStr">
        <is>
          <t>تاریخ ۱۴۰۴/۰۲/۲۷ تاریخ تعیین ترکیب (جلسه هیئت‌مدیره)؛ تاریخ شروع دقیق عضویت ذکر نشده؛ پیش از آن ترکیب قبلی ثبت نشده؛ حضور و تحصیلات ندارد.</t>
        </is>
      </c>
    </row>
    <row r="28" ht="29" customHeight="1" s="76">
      <c r="A28" s="23" t="inlineStr">
        <is>
          <t>همراه</t>
        </is>
      </c>
      <c r="B28" s="23" t="inlineStr">
        <is>
          <t>SRC_HMRH_1404_001</t>
        </is>
      </c>
      <c r="C28" s="23" t="inlineStr">
        <is>
          <t>FY1404 (…/12/29)</t>
        </is>
      </c>
      <c r="D28" s="23" t="inlineStr">
        <is>
          <t>1404/12/29</t>
        </is>
      </c>
      <c r="E28" s="23" t="inlineStr">
        <is>
          <t>مقطع مبنا برابر ۱۴۰۴/۱۲/۲۹</t>
        </is>
      </c>
      <c r="F28" s="23" t="inlineStr">
        <is>
          <t>تاییدشده</t>
        </is>
      </c>
      <c r="G28" s="23">
        <f>IF(F28="تاییدشده",1,"")</f>
        <v>1</v>
      </c>
      <c r="H28" s="23" t="n"/>
      <c r="I28" s="23" t="inlineStr">
        <is>
          <t>جدول «کمیته حسابرسی» (۵ ردیف)</t>
        </is>
      </c>
      <c r="J28" s="23" t="inlineStr">
        <is>
          <t>تاییدشده</t>
        </is>
      </c>
      <c r="K28" s="23">
        <f>COUNTIFS('AC Members v40'!$B$4:$B$148,$A28,'AC Members v40'!$D$4:$D$148,"MEMBER")</f>
        <v>5</v>
      </c>
      <c r="L28" s="23">
        <f>COUNTIFS('AC Members v40'!$B$4:$B$148,$A28,'AC Members v40'!$D$4:$D$148,"SECRETARY")</f>
        <v>0</v>
      </c>
      <c r="M28" s="23">
        <f>COUNTIFS('AC Members v40'!$B$4:$B$148,$A28,'AC Members v40'!$D$4:$D$148,"FORMER")</f>
        <v>0</v>
      </c>
      <c r="N28" s="23">
        <f>COUNTIFS('AC Members v40'!$B$4:$B$148,$A28,'AC Members v40'!$D$4:$D$148,"POST_ASOF")</f>
        <v>0</v>
      </c>
      <c r="O28" s="23">
        <f>IF(AND(J28="تاییدشده",K28&gt;0),K28,"")</f>
        <v>5</v>
      </c>
      <c r="P28" s="23">
        <f>IF(AND(ISNUMBER(H28),ISNUMBER(K28)),H28-K28,"")</f>
      </c>
      <c r="Q28" s="23">
        <f>COUNTIFS('AC Members v40'!$B$4:$B$148,$A28,'AC Members v40'!$D$4:$D$148,"MEMBER",'AC Members v40'!$J$4:$J$148,"Y")</f>
        <v>3</v>
      </c>
      <c r="R28" s="23">
        <f>COUNTIFS('AC Members v40'!$B$4:$B$148,$A28,'AC Members v40'!$D$4:$D$148,"MEMBER",'AC Members v40'!$J$4:$J$148,"N")</f>
        <v>0</v>
      </c>
      <c r="S28" s="23">
        <f>COUNTIFS('AC Members v40'!$B$4:$B$148,$A28,'AC Members v40'!$D$4:$D$148,"MEMBER",'AC Members v40'!$J$4:$J$148,"U")</f>
        <v>2</v>
      </c>
      <c r="T28" s="23" t="inlineStr">
        <is>
          <t>ناقص</t>
        </is>
      </c>
      <c r="U28" s="67">
        <f>IF(AND(J28="تاییدشده",K28&gt;0,S28=0),Q28/K28,"")</f>
      </c>
      <c r="V28" s="67">
        <f>IF(Q28+R28&gt;0,Q28/(Q28+R28),"")</f>
        <v>1</v>
      </c>
      <c r="W28" s="23">
        <f>COUNTIFS('AC Members v40'!$B$4:$B$148,$A28,'AC Members v40'!$D$4:$D$148,"MEMBER",'AC Members v40'!$N$4:$N$148,1)</f>
        <v>4</v>
      </c>
      <c r="X28" s="23">
        <f>K28-W28</f>
        <v>1</v>
      </c>
      <c r="Y28" s="23">
        <f>COUNTIFS('AC Members v40'!$B$4:$B$148,$A28,'AC Members v40'!$D$4:$D$148,"MEMBER",'AC Members v40'!$L$4:$L$148,"UNK",'AC Members v40'!$N$4:$N$148,0)</f>
        <v>0</v>
      </c>
      <c r="Z28" s="23" t="inlineStr">
        <is>
          <t>تاییدشده</t>
        </is>
      </c>
      <c r="AA28" s="23">
        <f>IF(W28&gt;=1,1,"")</f>
        <v>1</v>
      </c>
      <c r="AB28" s="23" t="str">
        <f>IF(AND(J28="تاییدشده",K28&gt;0,Y28=0),"کامل","ناقص (حد پایین)")</f>
        <v>کامل</v>
      </c>
      <c r="AC28" s="67">
        <f>IF(AND(J28="تاییدشده",K28&gt;0,OR(W28&gt;=1,Y28=0)),W28/K28,"")</f>
        <v>0.8</v>
      </c>
      <c r="AD28" s="23" t="n">
        <v>20</v>
      </c>
      <c r="AE28" s="23" t="inlineStr">
        <is>
          <t>تاییدشده</t>
        </is>
      </c>
      <c r="AF28" s="23">
        <f>IF(AND(ISNUMBER(AD28),OR(AE28="تاییدشده",AE28="تاییدشده با هشدار")),AD28,"")</f>
        <v>20</v>
      </c>
      <c r="AG28" s="23" t="inlineStr">
        <is>
          <t>1404/01/01 تا 1404/12/29</t>
        </is>
      </c>
      <c r="AH28" s="23" t="n">
        <v>12</v>
      </c>
      <c r="AI28" s="23">
        <f>SUMIFS('AC Members v40'!$Q$4:$Q$148,'AC Members v40'!$B$4:$B$148,$A28,'AC Members v40'!$U$4:$U$148,1)</f>
        <v>80</v>
      </c>
      <c r="AJ28" s="23">
        <f>SUMIFS('AC Members v40'!$R$4:$R$148,'AC Members v40'!$B$4:$B$148,$A28,'AC Members v40'!$U$4:$U$148,1)</f>
        <v>80</v>
      </c>
      <c r="AK28" s="23">
        <f>COUNTIFS('AC Members v40'!$B$4:$B$148,$A28,'AC Members v40'!$U$4:$U$148,1)</f>
        <v>4</v>
      </c>
      <c r="AL28" s="67">
        <f>IF(K28=0,"",IF(AND(AJ28&gt;0,AK28&gt;=2,AK28/K28&gt;=0.5),AI28/AJ28,""))</f>
        <v>1</v>
      </c>
      <c r="AM28" s="23" t="inlineStr">
        <is>
          <t>ناقص</t>
        </is>
      </c>
      <c r="AN28" s="23" t="inlineStr">
        <is>
          <t>مشخص نشده</t>
        </is>
      </c>
      <c r="AO28" s="23" t="inlineStr">
        <is>
          <t>EV_SRC_HMRH_1404_001_p29</t>
        </is>
      </c>
      <c r="AP28" s="23" t="inlineStr">
        <is>
          <t>فقط سال عضویت؛ رئیس کمیته مشخص نشده؛ «تبصره ۶ ماده ۱۴ رعایت شده».</t>
        </is>
      </c>
    </row>
    <row r="29" ht="29" customHeight="1" s="76">
      <c r="A29" s="25" t="inlineStr">
        <is>
          <t>وبملت</t>
        </is>
      </c>
      <c r="B29" s="25" t="inlineStr">
        <is>
          <t>SRC_MELT_1404_002</t>
        </is>
      </c>
      <c r="C29" s="25" t="inlineStr">
        <is>
          <t>FY1404 (…/12/29)</t>
        </is>
      </c>
      <c r="D29" s="25" t="inlineStr">
        <is>
          <t>1404/12/29</t>
        </is>
      </c>
      <c r="E29" s="25" t="inlineStr">
        <is>
          <t>مقطع مبنا برابر ۱۴۰۴/۱۲/۲۹</t>
        </is>
      </c>
      <c r="F29" s="25" t="inlineStr">
        <is>
          <t>تاییدشده</t>
        </is>
      </c>
      <c r="G29" s="25">
        <f>IF(F29="تاییدشده",1,"")</f>
        <v>1</v>
      </c>
      <c r="H29" s="25" t="n"/>
      <c r="I29" s="25" t="inlineStr">
        <is>
          <t>«الف- اعضای کمیته حسابرسی» ۵ کارت (۴ عضو + دبیر)</t>
        </is>
      </c>
      <c r="J29" s="25" t="inlineStr">
        <is>
          <t>تاییدشده</t>
        </is>
      </c>
      <c r="K29" s="25">
        <f>COUNTIFS('AC Members v40'!$B$4:$B$148,$A29,'AC Members v40'!$D$4:$D$148,"MEMBER")</f>
        <v>4</v>
      </c>
      <c r="L29" s="25">
        <f>COUNTIFS('AC Members v40'!$B$4:$B$148,$A29,'AC Members v40'!$D$4:$D$148,"SECRETARY")</f>
        <v>1</v>
      </c>
      <c r="M29" s="25">
        <f>COUNTIFS('AC Members v40'!$B$4:$B$148,$A29,'AC Members v40'!$D$4:$D$148,"FORMER")</f>
        <v>0</v>
      </c>
      <c r="N29" s="25">
        <f>COUNTIFS('AC Members v40'!$B$4:$B$148,$A29,'AC Members v40'!$D$4:$D$148,"POST_ASOF")</f>
        <v>0</v>
      </c>
      <c r="O29" s="25">
        <f>IF(AND(J29="تاییدشده",K29&gt;0),K29,"")</f>
        <v>4</v>
      </c>
      <c r="P29" s="25">
        <f>IF(AND(ISNUMBER(H29),ISNUMBER(K29)),H29-K29,"")</f>
      </c>
      <c r="Q29" s="25">
        <f>COUNTIFS('AC Members v40'!$B$4:$B$148,$A29,'AC Members v40'!$D$4:$D$148,"MEMBER",'AC Members v40'!$J$4:$J$148,"Y")</f>
        <v>0</v>
      </c>
      <c r="R29" s="25">
        <f>COUNTIFS('AC Members v40'!$B$4:$B$148,$A29,'AC Members v40'!$D$4:$D$148,"MEMBER",'AC Members v40'!$J$4:$J$148,"N")</f>
        <v>0</v>
      </c>
      <c r="S29" s="25">
        <f>COUNTIFS('AC Members v40'!$B$4:$B$148,$A29,'AC Members v40'!$D$4:$D$148,"MEMBER",'AC Members v40'!$J$4:$J$148,"U")</f>
        <v>4</v>
      </c>
      <c r="T29" s="25" t="inlineStr">
        <is>
          <t>بررسی شده ولی افشا یافت نشد</t>
        </is>
      </c>
      <c r="U29" s="68">
        <f>IF(AND(J29="تاییدشده",K29&gt;0,S29=0),Q29/K29,"")</f>
      </c>
      <c r="V29" s="68">
        <f>IF(Q29+R29&gt;0,Q29/(Q29+R29),"")</f>
      </c>
      <c r="W29" s="25">
        <f>COUNTIFS('AC Members v40'!$B$4:$B$148,$A29,'AC Members v40'!$D$4:$D$148,"MEMBER",'AC Members v40'!$N$4:$N$148,1)</f>
        <v>4</v>
      </c>
      <c r="X29" s="25">
        <f>K29-W29</f>
        <v>0</v>
      </c>
      <c r="Y29" s="25">
        <f>COUNTIFS('AC Members v40'!$B$4:$B$148,$A29,'AC Members v40'!$D$4:$D$148,"MEMBER",'AC Members v40'!$L$4:$L$148,"UNK",'AC Members v40'!$N$4:$N$148,0)</f>
        <v>0</v>
      </c>
      <c r="Z29" s="25" t="inlineStr">
        <is>
          <t>تاییدشده</t>
        </is>
      </c>
      <c r="AA29" s="25">
        <f>IF(W29&gt;=1,1,"")</f>
        <v>1</v>
      </c>
      <c r="AB29" s="25" t="str">
        <f>IF(AND(J29="تاییدشده",K29&gt;0,Y29=0),"کامل","ناقص (حد پایین)")</f>
        <v>کامل</v>
      </c>
      <c r="AC29" s="68">
        <f>IF(AND(J29="تاییدشده",K29&gt;0,OR(W29&gt;=1,Y29=0)),W29/K29,"")</f>
        <v>1</v>
      </c>
      <c r="AD29" s="25" t="n">
        <v>37</v>
      </c>
      <c r="AE29" s="25" t="inlineStr">
        <is>
          <t>تاییدشده</t>
        </is>
      </c>
      <c r="AF29" s="25">
        <f>IF(AND(ISNUMBER(AD29),OR(AE29="تاییدشده",AE29="تاییدشده با هشدار")),AD29,"")</f>
        <v>37</v>
      </c>
      <c r="AG29" s="25" t="inlineStr">
        <is>
          <t>1404/01/01 تا 1404/12/29</t>
        </is>
      </c>
      <c r="AH29" s="25" t="n">
        <v>12</v>
      </c>
      <c r="AI29" s="25">
        <f>SUMIFS('AC Members v40'!$Q$4:$Q$148,'AC Members v40'!$B$4:$B$148,$A29,'AC Members v40'!$U$4:$U$148,1)</f>
        <v>106</v>
      </c>
      <c r="AJ29" s="25">
        <f>SUMIFS('AC Members v40'!$R$4:$R$148,'AC Members v40'!$B$4:$B$148,$A29,'AC Members v40'!$U$4:$U$148,1)</f>
        <v>111</v>
      </c>
      <c r="AK29" s="25">
        <f>COUNTIFS('AC Members v40'!$B$4:$B$148,$A29,'AC Members v40'!$U$4:$U$148,1)</f>
        <v>3</v>
      </c>
      <c r="AL29" s="68">
        <f>IF(K29=0,"",IF(AND(AJ29&gt;0,AK29&gt;=2,AK29/K29&gt;=0.5),AI29/AJ29,""))</f>
        <v>0.954954954954955</v>
      </c>
      <c r="AM29" s="25" t="inlineStr">
        <is>
          <t>ناقص</t>
        </is>
      </c>
      <c r="AN29" s="25" t="inlineStr">
        <is>
          <t>سیدکاظم چاووشی</t>
        </is>
      </c>
      <c r="AO29" s="25" t="inlineStr">
        <is>
          <t>EV_SRC_MELT_1404_002_p53</t>
        </is>
      </c>
      <c r="AP29" s="25" t="inlineStr">
        <is>
          <t>تاریخ‌های عضویت صریح؛ حضور ۳۷ جلسه سالانه؛ ۴ عضو + دبیر.</t>
        </is>
      </c>
    </row>
    <row r="30" ht="43.5" customHeight="1" s="76">
      <c r="A30" s="23" t="inlineStr">
        <is>
          <t>وبصادر</t>
        </is>
      </c>
      <c r="B30" s="23" t="inlineStr">
        <is>
          <t>SRC_VBSD_1404_001</t>
        </is>
      </c>
      <c r="C30" s="23" t="inlineStr">
        <is>
          <t>FY1404 (…/12/29)</t>
        </is>
      </c>
      <c r="D30" s="23" t="inlineStr">
        <is>
          <t>1404/12/29</t>
        </is>
      </c>
      <c r="E30" s="23" t="inlineStr">
        <is>
          <t>مقطع مبنا برابر ۱۴۰۴/۱۲/۲۹</t>
        </is>
      </c>
      <c r="F30" s="23" t="inlineStr">
        <is>
          <t>تاییدشده</t>
        </is>
      </c>
      <c r="G30" s="23">
        <f>IF(F30="تاییدشده",1,"")</f>
        <v>1</v>
      </c>
      <c r="H30" s="23" t="n">
        <v>6</v>
      </c>
      <c r="I30" s="23" t="inlineStr">
        <is>
          <t>«تعداد اعضای کمیته ۶ عضو، مشتمل بر عضو هیئت‌مدیره به‌عنوان رئیس کمیته و چهار عضو مستقل خبره… و دبیر کمیته»</t>
        </is>
      </c>
      <c r="J30" s="23" t="inlineStr">
        <is>
          <t>تاییدشده</t>
        </is>
      </c>
      <c r="K30" s="23">
        <f>COUNTIFS('AC Members v40'!$B$4:$B$148,$A30,'AC Members v40'!$D$4:$D$148,"MEMBER")</f>
        <v>5</v>
      </c>
      <c r="L30" s="23">
        <f>COUNTIFS('AC Members v40'!$B$4:$B$148,$A30,'AC Members v40'!$D$4:$D$148,"SECRETARY")</f>
        <v>1</v>
      </c>
      <c r="M30" s="23">
        <f>COUNTIFS('AC Members v40'!$B$4:$B$148,$A30,'AC Members v40'!$D$4:$D$148,"FORMER")</f>
        <v>0</v>
      </c>
      <c r="N30" s="23">
        <f>COUNTIFS('AC Members v40'!$B$4:$B$148,$A30,'AC Members v40'!$D$4:$D$148,"POST_ASOF")</f>
        <v>0</v>
      </c>
      <c r="O30" s="23">
        <f>IF(AND(J30="تاییدشده",K30&gt;0),K30,"")</f>
        <v>5</v>
      </c>
      <c r="P30" s="23">
        <f>IF(AND(ISNUMBER(H30),ISNUMBER(K30)),H30-K30,"")</f>
        <v>1</v>
      </c>
      <c r="Q30" s="23">
        <f>COUNTIFS('AC Members v40'!$B$4:$B$148,$A30,'AC Members v40'!$D$4:$D$148,"MEMBER",'AC Members v40'!$J$4:$J$148,"Y")</f>
        <v>4</v>
      </c>
      <c r="R30" s="23">
        <f>COUNTIFS('AC Members v40'!$B$4:$B$148,$A30,'AC Members v40'!$D$4:$D$148,"MEMBER",'AC Members v40'!$J$4:$J$148,"N")</f>
        <v>0</v>
      </c>
      <c r="S30" s="23">
        <f>COUNTIFS('AC Members v40'!$B$4:$B$148,$A30,'AC Members v40'!$D$4:$D$148,"MEMBER",'AC Members v40'!$J$4:$J$148,"U")</f>
        <v>1</v>
      </c>
      <c r="T30" s="23" t="inlineStr">
        <is>
          <t>ناقص</t>
        </is>
      </c>
      <c r="U30" s="67">
        <f>IF(AND(J30="تاییدشده",K30&gt;0,S30=0),Q30/K30,"")</f>
      </c>
      <c r="V30" s="67">
        <f>IF(Q30+R30&gt;0,Q30/(Q30+R30),"")</f>
        <v>1</v>
      </c>
      <c r="W30" s="23">
        <f>COUNTIFS('AC Members v40'!$B$4:$B$148,$A30,'AC Members v40'!$D$4:$D$148,"MEMBER",'AC Members v40'!$N$4:$N$148,1)</f>
        <v>4</v>
      </c>
      <c r="X30" s="23">
        <f>K30-W30</f>
        <v>1</v>
      </c>
      <c r="Y30" s="23">
        <f>COUNTIFS('AC Members v40'!$B$4:$B$148,$A30,'AC Members v40'!$D$4:$D$148,"MEMBER",'AC Members v40'!$L$4:$L$148,"UNK",'AC Members v40'!$N$4:$N$148,0)</f>
        <v>0</v>
      </c>
      <c r="Z30" s="23" t="inlineStr">
        <is>
          <t>تاییدشده</t>
        </is>
      </c>
      <c r="AA30" s="23">
        <f>IF(W30&gt;=1,1,"")</f>
        <v>1</v>
      </c>
      <c r="AB30" s="23" t="str">
        <f>IF(AND(J30="تاییدشده",K30&gt;0,Y30=0),"کامل","ناقص (حد پایین)")</f>
        <v>کامل</v>
      </c>
      <c r="AC30" s="67">
        <f>IF(AND(J30="تاییدشده",K30&gt;0,OR(W30&gt;=1,Y30=0)),W30/K30,"")</f>
        <v>0.8</v>
      </c>
      <c r="AD30" s="23" t="n">
        <v>22</v>
      </c>
      <c r="AE30" s="23" t="inlineStr">
        <is>
          <t>تاییدشده</t>
        </is>
      </c>
      <c r="AF30" s="23">
        <f>IF(AND(ISNUMBER(AD30),OR(AE30="تاییدشده",AE30="تاییدشده با هشدار")),AD30,"")</f>
        <v>22</v>
      </c>
      <c r="AG30" s="23" t="inlineStr">
        <is>
          <t>1404/01/01 تا 1404/12/29</t>
        </is>
      </c>
      <c r="AH30" s="23" t="n">
        <v>12</v>
      </c>
      <c r="AI30" s="23">
        <f>SUMIFS('AC Members v40'!$Q$4:$Q$148,'AC Members v40'!$B$4:$B$148,$A30,'AC Members v40'!$U$4:$U$148,1)</f>
        <v>66</v>
      </c>
      <c r="AJ30" s="23">
        <f>SUMIFS('AC Members v40'!$R$4:$R$148,'AC Members v40'!$B$4:$B$148,$A30,'AC Members v40'!$U$4:$U$148,1)</f>
        <v>66</v>
      </c>
      <c r="AK30" s="23">
        <f>COUNTIFS('AC Members v40'!$B$4:$B$148,$A30,'AC Members v40'!$U$4:$U$148,1)</f>
        <v>3</v>
      </c>
      <c r="AL30" s="67">
        <f>IF(K30=0,"",IF(AND(AJ30&gt;0,AK30&gt;=2,AK30/K30&gt;=0.5),AI30/AJ30,""))</f>
        <v>1</v>
      </c>
      <c r="AM30" s="23" t="inlineStr">
        <is>
          <t>ناقص</t>
        </is>
      </c>
      <c r="AN30" s="23" t="inlineStr">
        <is>
          <t>محمد وطن‌پور</t>
        </is>
      </c>
      <c r="AO30" s="23" t="inlineStr">
        <is>
          <t>EV_SRC_VBSD_1404_001_p49</t>
        </is>
      </c>
      <c r="AP30" s="23" t="inlineStr">
        <is>
          <t>۵ عضو + دبیر؛ تاریخ شروع فقط برای دو عضو؛ فرصت حضور اعضای میانه‌سال نامشخص.</t>
        </is>
      </c>
    </row>
    <row r="31" ht="58" customHeight="1" s="76">
      <c r="A31" s="25" t="inlineStr">
        <is>
          <t>وپاسار</t>
        </is>
      </c>
      <c r="B31" s="25" t="inlineStr">
        <is>
          <t>SRC_VPSR_1404_ICR(1526305)</t>
        </is>
      </c>
      <c r="C31" s="25" t="inlineStr">
        <is>
          <t>دوره ۱۲ ماهه منتهی به 1404/12/29</t>
        </is>
      </c>
      <c r="D31" s="25" t="inlineStr">
        <is>
          <t>1404/12/29</t>
        </is>
      </c>
      <c r="E31" s="25" t="inlineStr">
        <is>
          <t>مقطع مبنا برابر ۱۴۰۴/۱۲/۲۹</t>
        </is>
      </c>
      <c r="F31" s="25" t="inlineStr">
        <is>
          <t>منبع در دسترس نبود</t>
        </is>
      </c>
      <c r="G31" s="25">
        <f>IF(F31="تاییدشده",1,"")</f>
      </c>
      <c r="H31" s="25" t="n"/>
      <c r="I31" s="25" t="inlineStr">
        <is>
          <t>گزارش کنترل‌های داخلی: «عدم توافق با اهمیت بین کمیته حسابرسی و هیئت‌مدیره وجود ندارد» (جمله قالبی)؛ گزارش FY1403: فقط «کارگروه حسابرسی داخلی» در فهرست کارگروه‌ها</t>
        </is>
      </c>
      <c r="J31" s="25" t="inlineStr">
        <is>
          <t>منبع در دسترس نبود</t>
        </is>
      </c>
      <c r="K31" s="25">
        <f>COUNTIFS('AC Members v40'!$B$4:$B$148,$A31,'AC Members v40'!$D$4:$D$148,"MEMBER")</f>
        <v>0</v>
      </c>
      <c r="L31" s="25">
        <f>COUNTIFS('AC Members v40'!$B$4:$B$148,$A31,'AC Members v40'!$D$4:$D$148,"SECRETARY")</f>
        <v>0</v>
      </c>
      <c r="M31" s="25">
        <f>COUNTIFS('AC Members v40'!$B$4:$B$148,$A31,'AC Members v40'!$D$4:$D$148,"FORMER")</f>
        <v>0</v>
      </c>
      <c r="N31" s="25">
        <f>COUNTIFS('AC Members v40'!$B$4:$B$148,$A31,'AC Members v40'!$D$4:$D$148,"POST_ASOF")</f>
        <v>0</v>
      </c>
      <c r="O31" s="25">
        <f>IF(AND(J31="تاییدشده",K31&gt;0),K31,"")</f>
      </c>
      <c r="P31" s="25">
        <f>IF(AND(ISNUMBER(H31),ISNUMBER(K31)),H31-K31,"")</f>
      </c>
      <c r="Q31" s="25">
        <f>COUNTIFS('AC Members v40'!$B$4:$B$148,$A31,'AC Members v40'!$D$4:$D$148,"MEMBER",'AC Members v40'!$J$4:$J$148,"Y")</f>
        <v>0</v>
      </c>
      <c r="R31" s="25">
        <f>COUNTIFS('AC Members v40'!$B$4:$B$148,$A31,'AC Members v40'!$D$4:$D$148,"MEMBER",'AC Members v40'!$J$4:$J$148,"N")</f>
        <v>0</v>
      </c>
      <c r="S31" s="25">
        <f>COUNTIFS('AC Members v40'!$B$4:$B$148,$A31,'AC Members v40'!$D$4:$D$148,"MEMBER",'AC Members v40'!$J$4:$J$148,"U")</f>
        <v>0</v>
      </c>
      <c r="T31" s="25" t="inlineStr">
        <is>
          <t>منبع در دسترس نبود</t>
        </is>
      </c>
      <c r="U31" s="68">
        <f>IF(AND(J31="تاییدشده",K31&gt;0,S31=0),Q31/K31,"")</f>
      </c>
      <c r="V31" s="68">
        <f>IF(Q31+R31&gt;0,Q31/(Q31+R31),"")</f>
      </c>
      <c r="W31" s="25">
        <f>COUNTIFS('AC Members v40'!$B$4:$B$148,$A31,'AC Members v40'!$D$4:$D$148,"MEMBER",'AC Members v40'!$N$4:$N$148,1)</f>
        <v>0</v>
      </c>
      <c r="X31" s="25">
        <f>K31-W31</f>
        <v>0</v>
      </c>
      <c r="Y31" s="25">
        <f>COUNTIFS('AC Members v40'!$B$4:$B$148,$A31,'AC Members v40'!$D$4:$D$148,"MEMBER",'AC Members v40'!$L$4:$L$148,"UNK",'AC Members v40'!$N$4:$N$148,0)</f>
        <v>0</v>
      </c>
      <c r="Z31" s="25" t="inlineStr">
        <is>
          <t>منبع در دسترس نبود</t>
        </is>
      </c>
      <c r="AA31" s="25">
        <f>IF(W31&gt;=1,1,"")</f>
      </c>
      <c r="AB31" s="25" t="str">
        <f>IF(AND(J31="تاییدشده",K31&gt;0,Y31=0),"کامل","ناقص (حد پایین)")</f>
        <v>ناقص (حد پایین)</v>
      </c>
      <c r="AC31" s="68">
        <f>IF(AND(J31="تاییدشده",K31&gt;0,OR(W31&gt;=1,Y31=0)),W31/K31,"")</f>
      </c>
      <c r="AD31" s="25" t="n"/>
      <c r="AE31" s="25" t="inlineStr">
        <is>
          <t>منبع در دسترس نبود</t>
        </is>
      </c>
      <c r="AF31" s="25">
        <f>IF(AND(ISNUMBER(AD31),OR(AE31="تاییدشده",AE31="تاییدشده با هشدار")),AD31,"")</f>
      </c>
      <c r="AG31" s="25" t="n"/>
      <c r="AH31" s="25" t="n"/>
      <c r="AI31" s="25">
        <f>SUMIFS('AC Members v40'!$Q$4:$Q$148,'AC Members v40'!$B$4:$B$148,$A31,'AC Members v40'!$U$4:$U$148,1)</f>
        <v>0</v>
      </c>
      <c r="AJ31" s="25">
        <f>SUMIFS('AC Members v40'!$R$4:$R$148,'AC Members v40'!$B$4:$B$148,$A31,'AC Members v40'!$U$4:$U$148,1)</f>
        <v>0</v>
      </c>
      <c r="AK31" s="25">
        <f>COUNTIFS('AC Members v40'!$B$4:$B$148,$A31,'AC Members v40'!$U$4:$U$148,1)</f>
        <v>0</v>
      </c>
      <c r="AL31" s="68">
        <f>IF(K31=0,"",IF(AND(AJ31&gt;0,AK31&gt;=2,AK31/K31&gt;=0.5),AI31/AJ31,""))</f>
      </c>
      <c r="AM31" s="25" t="inlineStr">
        <is>
          <t>منبع در دسترس نبود</t>
        </is>
      </c>
      <c r="AN31" s="25" t="n"/>
      <c r="AO31" s="25" t="inlineStr">
        <is>
          <t>EV_SRC_VPSR_1404_ICR1526305_p1</t>
        </is>
      </c>
      <c r="AP31" s="25" t="inlineStr">
        <is>
          <t>وجود کمیته حسابرسی با افشای صریح تایید نشد: جمله قالبی ICR کافی نیست و FY1403 فقط «کارگروه حسابرسی داخلی» دارد. اطلاعیه ICR هیئت‌مدیره را ۷ نفر نشان می‌دهد (خارج از دامنه این مرحله).</t>
        </is>
      </c>
    </row>
    <row r="32" ht="43.5" customHeight="1" s="76">
      <c r="A32" s="23" t="inlineStr">
        <is>
          <t>حکشتی</t>
        </is>
      </c>
      <c r="B32" s="23" t="inlineStr">
        <is>
          <t>SRC_HKSH_1404_002</t>
        </is>
      </c>
      <c r="C32" s="23" t="inlineStr">
        <is>
          <t>FYE 1404/03/31 (1403/04/01 تا 1404/03/31)</t>
        </is>
      </c>
      <c r="D32" s="23" t="inlineStr">
        <is>
          <t>1404/03/31</t>
        </is>
      </c>
      <c r="E32" s="23" t="inlineStr">
        <is>
          <t>پایان دوره شرکت 1404/03/31، با مقطع مشترک ۱۴۰۴/۱۲/۲۹ برابر نیست</t>
        </is>
      </c>
      <c r="F32" s="23" t="inlineStr">
        <is>
          <t>تاییدشده</t>
        </is>
      </c>
      <c r="G32" s="23">
        <f>IF(F32="تاییدشده",1,"")</f>
        <v>1</v>
      </c>
      <c r="H32" s="23" t="n"/>
      <c r="I32" s="23" t="inlineStr">
        <is>
          <t>جدول «کمیته حسابرسی» ۵ ردیف بدون نام + دبیر</t>
        </is>
      </c>
      <c r="J32" s="23" t="inlineStr">
        <is>
          <t>ناقص</t>
        </is>
      </c>
      <c r="K32" s="23">
        <f>COUNTIFS('AC Members v40'!$B$4:$B$148,$A32,'AC Members v40'!$D$4:$D$148,"MEMBER")</f>
        <v>5</v>
      </c>
      <c r="L32" s="23">
        <f>COUNTIFS('AC Members v40'!$B$4:$B$148,$A32,'AC Members v40'!$D$4:$D$148,"SECRETARY")</f>
        <v>1</v>
      </c>
      <c r="M32" s="23">
        <f>COUNTIFS('AC Members v40'!$B$4:$B$148,$A32,'AC Members v40'!$D$4:$D$148,"FORMER")</f>
        <v>0</v>
      </c>
      <c r="N32" s="23">
        <f>COUNTIFS('AC Members v40'!$B$4:$B$148,$A32,'AC Members v40'!$D$4:$D$148,"POST_ASOF")</f>
        <v>0</v>
      </c>
      <c r="O32" s="23">
        <f>IF(AND(J32="تاییدشده",K32&gt;0),K32,"")</f>
      </c>
      <c r="P32" s="23">
        <f>IF(AND(ISNUMBER(H32),ISNUMBER(K32)),H32-K32,"")</f>
      </c>
      <c r="Q32" s="23">
        <f>COUNTIFS('AC Members v40'!$B$4:$B$148,$A32,'AC Members v40'!$D$4:$D$148,"MEMBER",'AC Members v40'!$J$4:$J$148,"Y")</f>
        <v>0</v>
      </c>
      <c r="R32" s="23">
        <f>COUNTIFS('AC Members v40'!$B$4:$B$148,$A32,'AC Members v40'!$D$4:$D$148,"MEMBER",'AC Members v40'!$J$4:$J$148,"N")</f>
        <v>0</v>
      </c>
      <c r="S32" s="23">
        <f>COUNTIFS('AC Members v40'!$B$4:$B$148,$A32,'AC Members v40'!$D$4:$D$148,"MEMBER",'AC Members v40'!$J$4:$J$148,"U")</f>
        <v>5</v>
      </c>
      <c r="T32" s="23" t="inlineStr">
        <is>
          <t>بررسی شده ولی افشا یافت نشد</t>
        </is>
      </c>
      <c r="U32" s="67">
        <f>IF(AND(J32="تاییدشده",K32&gt;0,S32=0),Q32/K32,"")</f>
      </c>
      <c r="V32" s="67">
        <f>IF(Q32+R32&gt;0,Q32/(Q32+R32),"")</f>
      </c>
      <c r="W32" s="23">
        <f>COUNTIFS('AC Members v40'!$B$4:$B$148,$A32,'AC Members v40'!$D$4:$D$148,"MEMBER",'AC Members v40'!$N$4:$N$148,1)</f>
        <v>0</v>
      </c>
      <c r="X32" s="23">
        <f>K32-W32</f>
        <v>5</v>
      </c>
      <c r="Y32" s="23">
        <f>COUNTIFS('AC Members v40'!$B$4:$B$148,$A32,'AC Members v40'!$D$4:$D$148,"MEMBER",'AC Members v40'!$L$4:$L$148,"UNK",'AC Members v40'!$N$4:$N$148,0)</f>
        <v>5</v>
      </c>
      <c r="Z32" s="23" t="inlineStr">
        <is>
          <t>ناقص</t>
        </is>
      </c>
      <c r="AA32" s="23">
        <f>IF(W32&gt;=1,1,"")</f>
      </c>
      <c r="AB32" s="23" t="str">
        <f>IF(AND(J32="تاییدشده",K32&gt;0,Y32=0),"کامل","ناقص (حد پایین)")</f>
        <v>ناقص (حد پایین)</v>
      </c>
      <c r="AC32" s="67">
        <f>IF(AND(J32="تاییدشده",K32&gt;0,OR(W32&gt;=1,Y32=0)),W32/K32,"")</f>
      </c>
      <c r="AD32" s="23" t="n"/>
      <c r="AE32" s="23" t="inlineStr">
        <is>
          <t>بررسی شده ولی افشا یافت نشد</t>
        </is>
      </c>
      <c r="AF32" s="23">
        <f>IF(AND(ISNUMBER(AD32),OR(AE32="تاییدشده",AE32="تاییدشده با هشدار")),AD32,"")</f>
      </c>
      <c r="AG32" s="23" t="n"/>
      <c r="AH32" s="23" t="n"/>
      <c r="AI32" s="23">
        <f>SUMIFS('AC Members v40'!$Q$4:$Q$148,'AC Members v40'!$B$4:$B$148,$A32,'AC Members v40'!$U$4:$U$148,1)</f>
        <v>0</v>
      </c>
      <c r="AJ32" s="23">
        <f>SUMIFS('AC Members v40'!$R$4:$R$148,'AC Members v40'!$B$4:$B$148,$A32,'AC Members v40'!$U$4:$U$148,1)</f>
        <v>0</v>
      </c>
      <c r="AK32" s="23">
        <f>COUNTIFS('AC Members v40'!$B$4:$B$148,$A32,'AC Members v40'!$U$4:$U$148,1)</f>
        <v>0</v>
      </c>
      <c r="AL32" s="67">
        <f>IF(K32=0,"",IF(AND(AJ32&gt;0,AK32&gt;=2,AK32/K32&gt;=0.5),AI32/AJ32,""))</f>
      </c>
      <c r="AM32" s="23" t="inlineStr">
        <is>
          <t>ناقص</t>
        </is>
      </c>
      <c r="AN32" s="23" t="inlineStr">
        <is>
          <t>نام ثبت نشده</t>
        </is>
      </c>
      <c r="AO32" s="23" t="inlineStr">
        <is>
          <t>EV_SRC_HKSH_1404_002_p89</t>
        </is>
      </c>
      <c r="AP32" s="23" t="inlineStr">
        <is>
          <t>وجود کمیته برای نخستین بار با سند تایید شد؛ ۵ ردیف بدون نام؛ اعضا و استقلال/تخصص قابل کدگذاری نیست؛ نام‌ها نیازمند منبع دیگر (جدول با نام یا ثبت شرکت).</t>
        </is>
      </c>
    </row>
    <row r="33" ht="29" customHeight="1" s="76">
      <c r="A33" s="25" t="inlineStr">
        <is>
          <t>شپدیس</t>
        </is>
      </c>
      <c r="B33" s="25" t="inlineStr">
        <is>
          <t>SRC_SHPD_1404_001</t>
        </is>
      </c>
      <c r="C33" s="25" t="inlineStr">
        <is>
          <t>FYE 1404/06/31 (1403/07/01 تا 1404/06/31)</t>
        </is>
      </c>
      <c r="D33" s="25" t="inlineStr">
        <is>
          <t>1404/06/31</t>
        </is>
      </c>
      <c r="E33" s="25" t="inlineStr">
        <is>
          <t>پایان دوره شرکت 1404/06/31، با مقطع مشترک ۱۴۰۴/۱۲/۲۹ برابر نیست</t>
        </is>
      </c>
      <c r="F33" s="25" t="inlineStr">
        <is>
          <t>تاییدشده</t>
        </is>
      </c>
      <c r="G33" s="25">
        <f>IF(F33="تاییدشده",1,"")</f>
        <v>1</v>
      </c>
      <c r="H33" s="25" t="n"/>
      <c r="I33" s="25" t="inlineStr">
        <is>
          <t>«مشخصات اعضای کمیته حسابرسی» جدول ۴ ردیف (شامل دبیر)؛ کمیته از ۱۳۹۱/۰۷/۱۶ ایجاد شده</t>
        </is>
      </c>
      <c r="J33" s="25" t="inlineStr">
        <is>
          <t>تاییدشده</t>
        </is>
      </c>
      <c r="K33" s="25">
        <f>COUNTIFS('AC Members v40'!$B$4:$B$148,$A33,'AC Members v40'!$D$4:$D$148,"MEMBER")</f>
        <v>3</v>
      </c>
      <c r="L33" s="25">
        <f>COUNTIFS('AC Members v40'!$B$4:$B$148,$A33,'AC Members v40'!$D$4:$D$148,"SECRETARY")</f>
        <v>1</v>
      </c>
      <c r="M33" s="25">
        <f>COUNTIFS('AC Members v40'!$B$4:$B$148,$A33,'AC Members v40'!$D$4:$D$148,"FORMER")</f>
        <v>0</v>
      </c>
      <c r="N33" s="25">
        <f>COUNTIFS('AC Members v40'!$B$4:$B$148,$A33,'AC Members v40'!$D$4:$D$148,"POST_ASOF")</f>
        <v>0</v>
      </c>
      <c r="O33" s="25">
        <f>IF(AND(J33="تاییدشده",K33&gt;0),K33,"")</f>
        <v>3</v>
      </c>
      <c r="P33" s="25">
        <f>IF(AND(ISNUMBER(H33),ISNUMBER(K33)),H33-K33,"")</f>
      </c>
      <c r="Q33" s="25">
        <f>COUNTIFS('AC Members v40'!$B$4:$B$148,$A33,'AC Members v40'!$D$4:$D$148,"MEMBER",'AC Members v40'!$J$4:$J$148,"Y")</f>
        <v>0</v>
      </c>
      <c r="R33" s="25">
        <f>COUNTIFS('AC Members v40'!$B$4:$B$148,$A33,'AC Members v40'!$D$4:$D$148,"MEMBER",'AC Members v40'!$J$4:$J$148,"N")</f>
        <v>0</v>
      </c>
      <c r="S33" s="25">
        <f>COUNTIFS('AC Members v40'!$B$4:$B$148,$A33,'AC Members v40'!$D$4:$D$148,"MEMBER",'AC Members v40'!$J$4:$J$148,"U")</f>
        <v>3</v>
      </c>
      <c r="T33" s="25" t="inlineStr">
        <is>
          <t>بررسی شده ولی افشا یافت نشد</t>
        </is>
      </c>
      <c r="U33" s="68">
        <f>IF(AND(J33="تاییدشده",K33&gt;0,S33=0),Q33/K33,"")</f>
      </c>
      <c r="V33" s="68">
        <f>IF(Q33+R33&gt;0,Q33/(Q33+R33),"")</f>
      </c>
      <c r="W33" s="25">
        <f>COUNTIFS('AC Members v40'!$B$4:$B$148,$A33,'AC Members v40'!$D$4:$D$148,"MEMBER",'AC Members v40'!$N$4:$N$148,1)</f>
        <v>2</v>
      </c>
      <c r="X33" s="25">
        <f>K33-W33</f>
        <v>1</v>
      </c>
      <c r="Y33" s="25">
        <f>COUNTIFS('AC Members v40'!$B$4:$B$148,$A33,'AC Members v40'!$D$4:$D$148,"MEMBER",'AC Members v40'!$L$4:$L$148,"UNK",'AC Members v40'!$N$4:$N$148,0)</f>
        <v>0</v>
      </c>
      <c r="Z33" s="25" t="inlineStr">
        <is>
          <t>تاییدشده</t>
        </is>
      </c>
      <c r="AA33" s="25">
        <f>IF(W33&gt;=1,1,"")</f>
        <v>1</v>
      </c>
      <c r="AB33" s="25" t="str">
        <f>IF(AND(J33="تاییدشده",K33&gt;0,Y33=0),"کامل","ناقص (حد پایین)")</f>
        <v>کامل</v>
      </c>
      <c r="AC33" s="68">
        <f>IF(AND(J33="تاییدشده",K33&gt;0,OR(W33&gt;=1,Y33=0)),W33/K33,"")</f>
        <v>0.6666666666666666</v>
      </c>
      <c r="AD33" s="25" t="n">
        <v>8</v>
      </c>
      <c r="AE33" s="25" t="inlineStr">
        <is>
          <t>تاییدشده</t>
        </is>
      </c>
      <c r="AF33" s="25">
        <f>IF(AND(ISNUMBER(AD33),OR(AE33="تاییدشده",AE33="تاییدشده با هشدار")),AD33,"")</f>
        <v>8</v>
      </c>
      <c r="AG33" s="25" t="inlineStr">
        <is>
          <t>1403/07/01 تا 1404/06/31</t>
        </is>
      </c>
      <c r="AH33" s="25" t="n">
        <v>12</v>
      </c>
      <c r="AI33" s="25">
        <f>SUMIFS('AC Members v40'!$Q$4:$Q$148,'AC Members v40'!$B$4:$B$148,$A33,'AC Members v40'!$U$4:$U$148,1)</f>
        <v>0</v>
      </c>
      <c r="AJ33" s="25">
        <f>SUMIFS('AC Members v40'!$R$4:$R$148,'AC Members v40'!$B$4:$B$148,$A33,'AC Members v40'!$U$4:$U$148,1)</f>
        <v>0</v>
      </c>
      <c r="AK33" s="25">
        <f>COUNTIFS('AC Members v40'!$B$4:$B$148,$A33,'AC Members v40'!$U$4:$U$148,1)</f>
        <v>0</v>
      </c>
      <c r="AL33" s="68">
        <f>IF(K33=0,"",IF(AND(AJ33&gt;0,AK33&gt;=2,AK33/K33&gt;=0.5),AI33/AJ33,""))</f>
      </c>
      <c r="AM33" s="25" t="inlineStr">
        <is>
          <t>بررسی شده ولی افشا یافت نشد</t>
        </is>
      </c>
      <c r="AN33" s="25" t="inlineStr">
        <is>
          <t>هوشنگ گودرزی</t>
        </is>
      </c>
      <c r="AO33" s="25" t="inlineStr">
        <is>
          <t>EV_SRC_SHPD_1404_001_p23</t>
        </is>
      </c>
      <c r="AP33" s="25" t="inlineStr">
        <is>
          <t>حضور فردی ندارد؛ ترکیب پایان ۱۴۰۴/۰۶/۳۱؛ رئیس از ۱۴۰۳/۱۲/۱۲.</t>
        </is>
      </c>
    </row>
  </sheetData>
  <mergeCells count="2">
    <mergeCell ref="A2:AP2"/>
    <mergeCell ref="A1:AP1"/>
  </mergeCells>
  <pageMargins left="0.75" right="0.75" top="1" bottom="1" header="0.5" footer="0.5"/>
</worksheet>
</file>

<file path=xl/worksheets/sheet72.xml><?xml version="1.0" encoding="utf-8"?>
<worksheet xmlns="http://schemas.openxmlformats.org/spreadsheetml/2006/main">
  <sheetPr>
    <tabColor rgb="FF548235"/>
    <outlinePr summaryBelow="1" summaryRight="1"/>
    <pageSetUpPr/>
  </sheetPr>
  <dimension ref="A1:N4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6" customWidth="1" style="76" min="1" max="1"/>
    <col width="24" customWidth="1" style="76" min="2" max="2"/>
    <col width="10" customWidth="1" style="76" min="3" max="3"/>
    <col width="38" customWidth="1" style="76" min="4" max="4"/>
    <col width="12" customWidth="1" style="76" min="5" max="5"/>
    <col width="16" customWidth="1" style="76" min="6" max="6"/>
    <col width="28" customWidth="1" style="76" min="7" max="7"/>
    <col width="8" customWidth="1" style="76" min="8" max="8"/>
    <col width="12" customWidth="1" style="76" min="9" max="9"/>
    <col width="44" customWidth="1" style="76" min="10" max="10"/>
    <col width="40" customWidth="1" style="76" min="11" max="11"/>
    <col width="34" customWidth="1" style="76" min="12" max="12"/>
    <col width="44" customWidth="1" style="76" min="13" max="13"/>
    <col width="12" customWidth="1" style="76" min="14" max="14"/>
  </cols>
  <sheetData>
    <row r="1" ht="30" customHeight="1" s="76">
      <c r="A1" s="87" t="inlineStr">
        <is>
          <t>رجیستری منابع کمیته حسابرسی v40</t>
        </is>
      </c>
    </row>
    <row r="2" ht="22" customHeight="1" s="76">
      <c r="A2" s="85" t="inlineStr">
        <is>
          <t>هر ردیف یک صفحه شاهد است. تاریخ انتشار با مقطع داده یکی نیست؛ پرچم افشای پس از مقطع بر پایه ۱۴۰۴/۱۲/۲۹ است و درباره گزارش های منتشر شده پس از آن، داده فقط با صراحت درباره مقطع خودش استفاده شده است.</t>
        </is>
      </c>
    </row>
    <row r="3" ht="30" customHeight="1" s="76">
      <c r="A3" s="24" t="inlineStr">
        <is>
          <t>شناسه شاهد</t>
        </is>
      </c>
      <c r="B3" s="24" t="inlineStr">
        <is>
          <t>شناسه منبع</t>
        </is>
      </c>
      <c r="C3" s="24" t="inlineStr">
        <is>
          <t>شرکت</t>
        </is>
      </c>
      <c r="D3" s="24" t="inlineStr">
        <is>
          <t>عنوان سند</t>
        </is>
      </c>
      <c r="E3" s="24" t="inlineStr">
        <is>
          <t>شماره ردیابی کدال</t>
        </is>
      </c>
      <c r="F3" s="24" t="inlineStr">
        <is>
          <t>تاریخ انتشار</t>
        </is>
      </c>
      <c r="G3" s="24" t="inlineStr">
        <is>
          <t>دوره مربوط</t>
        </is>
      </c>
      <c r="H3" s="24" t="inlineStr">
        <is>
          <t>شماره صفحه فایل</t>
        </is>
      </c>
      <c r="I3" s="24" t="inlineStr">
        <is>
          <t>شماره چاپی صفحه</t>
        </is>
      </c>
      <c r="J3" s="24" t="inlineStr">
        <is>
          <t>نشانی منبع</t>
        </is>
      </c>
      <c r="K3" s="24" t="inlineStr">
        <is>
          <t>مسیر نسخه محلی</t>
        </is>
      </c>
      <c r="L3" s="24" t="inlineStr">
        <is>
          <t>فایل شاهد در بسته</t>
        </is>
      </c>
      <c r="M3" s="24" t="inlineStr">
        <is>
          <t>خلاصه شاهد</t>
        </is>
      </c>
      <c r="N3" s="24" t="inlineStr">
        <is>
          <t>پرچم افشای پس از مقطع</t>
        </is>
      </c>
    </row>
    <row r="4" ht="29" customHeight="1" s="76">
      <c r="A4" s="23" t="inlineStr">
        <is>
          <t>EV_SRC_FMLI_1404_001_p36</t>
        </is>
      </c>
      <c r="B4" s="23" t="inlineStr">
        <is>
          <t>SRC_FMLI_1404_001</t>
        </is>
      </c>
      <c r="C4" s="23" t="inlineStr">
        <is>
          <t>فملی</t>
        </is>
      </c>
      <c r="D4" s="23" t="inlineStr">
        <is>
          <t>گزارش فعالیت هیئت مدیره دوره ۱۲ ماهه منتهی به ۱۴۰۴/۱۲/۲۹</t>
        </is>
      </c>
      <c r="E4" s="23" t="inlineStr">
        <is>
          <t>1566308</t>
        </is>
      </c>
      <c r="F4" s="23" t="inlineStr">
        <is>
          <t>1405/04/21 16:30</t>
        </is>
      </c>
      <c r="G4" s="23" t="inlineStr">
        <is>
          <t>FY1404 (…/12/29)</t>
        </is>
      </c>
      <c r="H4" s="23" t="n">
        <v>36</v>
      </c>
      <c r="I4" s="23" t="n">
        <v>31</v>
      </c>
      <c r="J4" s="23" t="inlineStr">
        <is>
          <t>https://www.codal.ir/Reports/Attachment.aspx?LetterSerial=qFAlYPrWWU4mR2wbOXOOObOOOsiA%3d%3d</t>
        </is>
      </c>
      <c r="K4" s="23" t="inlineStr">
        <is>
          <t>sources/codal/فملی/1404/original/SRC_FMLI_1404_001_attachment_1.pdf</t>
        </is>
      </c>
      <c r="L4" s="23" t="inlineStr">
        <is>
          <t>evidence/pages/EV_SRC_FMLI_1404_001_p36.png</t>
        </is>
      </c>
      <c r="M4" s="23" t="inlineStr">
        <is>
          <t>کمیته از پنج عضو (با اکثریت مستقل و دارای تخصص مالی) تشکیل شده است</t>
        </is>
      </c>
      <c r="N4" s="23" t="inlineStr">
        <is>
          <t>بله</t>
        </is>
      </c>
    </row>
    <row r="5" ht="43.5" customHeight="1" s="76">
      <c r="A5" s="25" t="inlineStr">
        <is>
          <t>EV_SRC_TPIK_1404_002_p82</t>
        </is>
      </c>
      <c r="B5" s="25" t="inlineStr">
        <is>
          <t>SRC_TPIK_1404_002</t>
        </is>
      </c>
      <c r="C5" s="25" t="inlineStr">
        <is>
          <t>تاپیکو</t>
        </is>
      </c>
      <c r="D5" s="25" t="inlineStr">
        <is>
          <t>گزارش فعالیت هیئت مدیره دوره ۱۲ ماهه منتهی به ۱۴۰۴/۰۲/۳۱</t>
        </is>
      </c>
      <c r="E5" s="25" t="inlineStr">
        <is>
          <t>1394922</t>
        </is>
      </c>
      <c r="F5" s="25" t="inlineStr">
        <is>
          <t>1404/06/25 20:05</t>
        </is>
      </c>
      <c r="G5" s="25" t="inlineStr">
        <is>
          <t>FYE 1404/02/31 (1403/03/01 تا 1404/02/31)</t>
        </is>
      </c>
      <c r="H5" s="25" t="n">
        <v>82</v>
      </c>
      <c r="I5" s="25" t="n">
        <v>82</v>
      </c>
      <c r="J5" s="25" t="inlineStr">
        <is>
          <t>https://www.codal.ir/Reports/Attachment.aspx?LetterSerial=BuFOOObOOOo6jufQQQaQQQ5kvXlvOOObOOOry5cw%3d%3d</t>
        </is>
      </c>
      <c r="K5" s="25" t="inlineStr">
        <is>
          <t>sources/codal/تاپیکو/1404/original/SRC_TPIK_1404_002_attachment_1.pdf</t>
        </is>
      </c>
      <c r="L5" s="25" t="inlineStr">
        <is>
          <t>evidence/pages/EV_SRC_TPIK_1404_002_p82.png</t>
        </is>
      </c>
      <c r="M5" s="25" t="n"/>
      <c r="N5" s="25" t="inlineStr">
        <is>
          <t>خیر</t>
        </is>
      </c>
    </row>
    <row r="6" ht="43.5" customHeight="1" s="76">
      <c r="A6" s="23" t="inlineStr">
        <is>
          <t>EV_SRC_TPIK_1404_002_p83</t>
        </is>
      </c>
      <c r="B6" s="23" t="inlineStr">
        <is>
          <t>SRC_TPIK_1404_002</t>
        </is>
      </c>
      <c r="C6" s="23" t="inlineStr">
        <is>
          <t>تاپیکو</t>
        </is>
      </c>
      <c r="D6" s="23" t="inlineStr">
        <is>
          <t>گزارش فعالیت هیئت مدیره دوره ۱۲ ماهه منتهی به ۱۴۰۴/۰۲/۳۱</t>
        </is>
      </c>
      <c r="E6" s="23" t="inlineStr">
        <is>
          <t>1394922</t>
        </is>
      </c>
      <c r="F6" s="23" t="inlineStr">
        <is>
          <t>1404/06/25 20:05</t>
        </is>
      </c>
      <c r="G6" s="23" t="inlineStr">
        <is>
          <t>FYE 1404/02/31 (1403/03/01 تا 1404/02/31)</t>
        </is>
      </c>
      <c r="H6" s="23" t="n">
        <v>83</v>
      </c>
      <c r="I6" s="23" t="inlineStr">
        <is>
          <t>برابر شماره فایل یا نامشخص</t>
        </is>
      </c>
      <c r="J6" s="23" t="inlineStr">
        <is>
          <t>https://www.codal.ir/Reports/Attachment.aspx?LetterSerial=BuFOOObOOOo6jufQQQaQQQ5kvXlvOOObOOOry5cw%3d%3d</t>
        </is>
      </c>
      <c r="K6" s="23" t="inlineStr">
        <is>
          <t>sources/codal/تاپیکو/1404/original/SRC_TPIK_1404_002_attachment_1.pdf</t>
        </is>
      </c>
      <c r="L6" s="23" t="inlineStr">
        <is>
          <t>evidence/pages/EV_SRC_TPIK_1404_002_p83.png</t>
        </is>
      </c>
      <c r="M6" s="23" t="inlineStr">
        <is>
          <t>صفحه کمکی (جلسات، حضور، پیوست یا تکمیل جدول)</t>
        </is>
      </c>
      <c r="N6" s="23" t="inlineStr">
        <is>
          <t>خیر</t>
        </is>
      </c>
    </row>
    <row r="7" ht="58" customHeight="1" s="76">
      <c r="A7" s="25" t="inlineStr">
        <is>
          <t>EV_SRC_FARS_1404_001_p42</t>
        </is>
      </c>
      <c r="B7" s="25" t="inlineStr">
        <is>
          <t>SRC_FARS_1404_001</t>
        </is>
      </c>
      <c r="C7" s="25" t="inlineStr">
        <is>
          <t>فارس</t>
        </is>
      </c>
      <c r="D7" s="25" t="inlineStr">
        <is>
          <t>گزارش فعالیت هیئت مدیره دوره ۱۲ ماهه منتهی به ۱۴۰۴/۰۳/۳۱</t>
        </is>
      </c>
      <c r="E7" s="25" t="inlineStr">
        <is>
          <t>1416214</t>
        </is>
      </c>
      <c r="F7" s="25" t="inlineStr">
        <is>
          <t>1404/07/23 19:45</t>
        </is>
      </c>
      <c r="G7" s="25" t="inlineStr">
        <is>
          <t>FYE 1404/03/31 (1403/04/01 تا 1404/03/31)</t>
        </is>
      </c>
      <c r="H7" s="25" t="n">
        <v>42</v>
      </c>
      <c r="I7" s="25" t="n">
        <v>41</v>
      </c>
      <c r="J7" s="25" t="inlineStr">
        <is>
          <t>https://www.codal.ir/Reports/Attachment.aspx?LetterSerial=R1q7jKYS7pe0ND5SbFC8MQ%3d%3d</t>
        </is>
      </c>
      <c r="K7" s="25" t="inlineStr">
        <is>
          <t>sources/codal/فارس/1404/original/SRC_FARS_1404_001_attachment_1.pdf</t>
        </is>
      </c>
      <c r="L7" s="25" t="inlineStr">
        <is>
          <t>evidence/pages/EV_SRC_FARS_1404_001_p42.png</t>
        </is>
      </c>
      <c r="M7" s="25" t="inlineStr">
        <is>
          <t>به موجب مصوبه ۴۲۸ مورخ ۱۴۰۳/۰۵/۲۹ هیئت‌مدیره، اعضای کمیته از ۵ نفر به ۳ نفر (یک عضو مستقل هیئت‌مدیره و دو عضو مستقل خارج از شرکت) تغییر یافت</t>
        </is>
      </c>
      <c r="N7" s="25" t="inlineStr">
        <is>
          <t>خیر</t>
        </is>
      </c>
    </row>
    <row r="8" ht="43.5" customHeight="1" s="76">
      <c r="A8" s="23" t="inlineStr">
        <is>
          <t>EV_SRC_IKCO_1404_001_p54</t>
        </is>
      </c>
      <c r="B8" s="23" t="inlineStr">
        <is>
          <t>SRC_IKCO_1404_001</t>
        </is>
      </c>
      <c r="C8" s="23" t="inlineStr">
        <is>
          <t>خودرو</t>
        </is>
      </c>
      <c r="D8" s="23" t="inlineStr">
        <is>
          <t>گزارش فعالیت و وضع عمومی شرکت سال مالی منتهی به ۱۴۰۴/۱۲/۲۹ (فایل محلی؛ ردیابی کدال در manifest ثبت نشده)</t>
        </is>
      </c>
      <c r="E8" s="23" t="inlineStr">
        <is>
          <t>ثبت نشده</t>
        </is>
      </c>
      <c r="F8" s="23" t="inlineStr">
        <is>
          <t>ثبت نشده</t>
        </is>
      </c>
      <c r="G8" s="23" t="inlineStr">
        <is>
          <t>FY1404 (…/12/29)</t>
        </is>
      </c>
      <c r="H8" s="23" t="n">
        <v>54</v>
      </c>
      <c r="I8" s="23" t="n">
        <v>54</v>
      </c>
      <c r="J8" s="23" t="inlineStr">
        <is>
          <t>ثبت نشده</t>
        </is>
      </c>
      <c r="K8" s="23" t="inlineStr">
        <is>
          <t>sources/codal/خودرو/1404/original/SRC_IKCO_1404_001_original.pdf</t>
        </is>
      </c>
      <c r="L8" s="23" t="inlineStr">
        <is>
          <t>evidence/pages/EV_SRC_IKCO_1404_001_p54.png</t>
        </is>
      </c>
      <c r="M8" s="23" t="inlineStr">
        <is>
          <t>جدول «اعضای کمیته حسابرسی» (۳ ردیف)</t>
        </is>
      </c>
      <c r="N8" s="23" t="inlineStr">
        <is>
          <t>بله</t>
        </is>
      </c>
    </row>
    <row r="9" ht="29" customHeight="1" s="76">
      <c r="A9" s="25" t="inlineStr">
        <is>
          <t>EV_SRC_ZGRS_1404_001_p27</t>
        </is>
      </c>
      <c r="B9" s="25" t="inlineStr">
        <is>
          <t>SRC_ZGRS_1404_001</t>
        </is>
      </c>
      <c r="C9" s="25" t="inlineStr">
        <is>
          <t>زاگرس</t>
        </is>
      </c>
      <c r="D9" s="25" t="inlineStr">
        <is>
          <t>گزارش فعالیت هیئت مدیره دوره ۱۲ ماهه منتهی به ۱۴۰۴/۱۲/۲۹</t>
        </is>
      </c>
      <c r="E9" s="25" t="inlineStr">
        <is>
          <t>1565632</t>
        </is>
      </c>
      <c r="F9" s="25" t="inlineStr">
        <is>
          <t>1405/04/21 14:07</t>
        </is>
      </c>
      <c r="G9" s="25" t="inlineStr">
        <is>
          <t>FY1404 (…/12/29)</t>
        </is>
      </c>
      <c r="H9" s="25" t="n">
        <v>27</v>
      </c>
      <c r="I9" s="25" t="n">
        <v>26</v>
      </c>
      <c r="J9" s="25" t="inlineStr">
        <is>
          <t>https://www.codal.ir/Reports/Attachment.aspx?LetterSerial=zY6COOObOOOcgr0C4s0ZIhRMGryg%3d%3d</t>
        </is>
      </c>
      <c r="K9" s="25" t="inlineStr">
        <is>
          <t>sources/codal/زاگرس/1404/original/SRC_ZGRS_1404_001_attachment_1.pdf</t>
        </is>
      </c>
      <c r="L9" s="25" t="inlineStr">
        <is>
          <t>evidence/pages/EV_SRC_ZGRS_1404_001_p27.png</t>
        </is>
      </c>
      <c r="M9" s="25" t="inlineStr">
        <is>
          <t>«مشخصات و سوابق کمیته حسابرسی» (۵ نفر)؛ بدون عدد اعلام‌شده</t>
        </is>
      </c>
      <c r="N9" s="25" t="inlineStr">
        <is>
          <t>بله</t>
        </is>
      </c>
    </row>
    <row r="10" ht="43.5" customHeight="1" s="76">
      <c r="A10" s="23" t="inlineStr">
        <is>
          <t>EV_SRC_ZGRS_1404_001_p29</t>
        </is>
      </c>
      <c r="B10" s="23" t="inlineStr">
        <is>
          <t>SRC_ZGRS_1404_001</t>
        </is>
      </c>
      <c r="C10" s="23" t="inlineStr">
        <is>
          <t>زاگرس</t>
        </is>
      </c>
      <c r="D10" s="23" t="inlineStr">
        <is>
          <t>گزارش فعالیت هیئت مدیره دوره ۱۲ ماهه منتهی به ۱۴۰۴/۱۲/۲۹</t>
        </is>
      </c>
      <c r="E10" s="23" t="inlineStr">
        <is>
          <t>1565632</t>
        </is>
      </c>
      <c r="F10" s="23" t="inlineStr">
        <is>
          <t>1405/04/21 14:07</t>
        </is>
      </c>
      <c r="G10" s="23" t="inlineStr">
        <is>
          <t>FY1404 (…/12/29)</t>
        </is>
      </c>
      <c r="H10" s="23" t="n">
        <v>29</v>
      </c>
      <c r="I10" s="23" t="inlineStr">
        <is>
          <t>برابر شماره فایل یا نامشخص</t>
        </is>
      </c>
      <c r="J10" s="23" t="inlineStr">
        <is>
          <t>https://www.codal.ir/Reports/Attachment.aspx?LetterSerial=zY6COOObOOOcgr0C4s0ZIhRMGryg%3d%3d</t>
        </is>
      </c>
      <c r="K10" s="23" t="inlineStr">
        <is>
          <t>sources/codal/زاگرس/1404/original/SRC_ZGRS_1404_001_attachment_1.pdf</t>
        </is>
      </c>
      <c r="L10" s="23" t="inlineStr">
        <is>
          <t>evidence/pages/EV_SRC_ZGRS_1404_001_p29.png</t>
        </is>
      </c>
      <c r="M10" s="23" t="inlineStr">
        <is>
          <t>صفحه کمکی (جلسات، حضور، پیوست یا تکمیل جدول)</t>
        </is>
      </c>
      <c r="N10" s="23" t="inlineStr">
        <is>
          <t>بله</t>
        </is>
      </c>
    </row>
    <row r="11" ht="29" customHeight="1" s="76">
      <c r="A11" s="25" t="inlineStr">
        <is>
          <t>EV_SRC_SHBN_1404_001_p56</t>
        </is>
      </c>
      <c r="B11" s="25" t="inlineStr">
        <is>
          <t>SRC_SHBN_1404_001</t>
        </is>
      </c>
      <c r="C11" s="25" t="inlineStr">
        <is>
          <t>شبندر</t>
        </is>
      </c>
      <c r="D11" s="25" t="inlineStr">
        <is>
          <t>گزارش فعالیت هیئت مدیره دوره ۱۲ ماهه منتهی به ۱۴۰۴/۱۲/۲۹</t>
        </is>
      </c>
      <c r="E11" s="25" t="inlineStr">
        <is>
          <t>1564208</t>
        </is>
      </c>
      <c r="F11" s="25" t="inlineStr">
        <is>
          <t>1405/04/24 18:34</t>
        </is>
      </c>
      <c r="G11" s="25" t="inlineStr">
        <is>
          <t>FY1404 (…/12/29)</t>
        </is>
      </c>
      <c r="H11" s="25" t="n">
        <v>56</v>
      </c>
      <c r="I11" s="25" t="n">
        <v>56</v>
      </c>
      <c r="J11" s="25" t="inlineStr">
        <is>
          <t>https://www.codal.ir/Reports/Attachment.aspx?LetterSerial=N3GCfd3RcquN31sqdSRQQQaQQQug%3d%3d</t>
        </is>
      </c>
      <c r="K11" s="25" t="inlineStr">
        <is>
          <t>sources/codal/شبندر/1404/original/SRC_SHBN_1404_001_attachment_1.pdf</t>
        </is>
      </c>
      <c r="L11" s="25" t="inlineStr">
        <is>
          <t>evidence/pages/EV_SRC_SHBN_1404_001_p56.png</t>
        </is>
      </c>
      <c r="M11" s="25" t="inlineStr">
        <is>
          <t>جدول ۴ تا ۲ تا ۱ اطلاعات اعضای کمیته حسابرسی (۵ ردیف)</t>
        </is>
      </c>
      <c r="N11" s="25" t="inlineStr">
        <is>
          <t>بله</t>
        </is>
      </c>
    </row>
    <row r="12" ht="43.5" customHeight="1" s="76">
      <c r="A12" s="23" t="inlineStr">
        <is>
          <t>EV_SRC_SHBN_1404_001_p57</t>
        </is>
      </c>
      <c r="B12" s="23" t="inlineStr">
        <is>
          <t>SRC_SHBN_1404_001</t>
        </is>
      </c>
      <c r="C12" s="23" t="inlineStr">
        <is>
          <t>شبندر</t>
        </is>
      </c>
      <c r="D12" s="23" t="inlineStr">
        <is>
          <t>گزارش فعالیت هیئت مدیره دوره ۱۲ ماهه منتهی به ۱۴۰۴/۱۲/۲۹</t>
        </is>
      </c>
      <c r="E12" s="23" t="inlineStr">
        <is>
          <t>1564208</t>
        </is>
      </c>
      <c r="F12" s="23" t="inlineStr">
        <is>
          <t>1405/04/24 18:34</t>
        </is>
      </c>
      <c r="G12" s="23" t="inlineStr">
        <is>
          <t>FY1404 (…/12/29)</t>
        </is>
      </c>
      <c r="H12" s="23" t="n">
        <v>57</v>
      </c>
      <c r="I12" s="23" t="inlineStr">
        <is>
          <t>برابر شماره فایل یا نامشخص</t>
        </is>
      </c>
      <c r="J12" s="23" t="inlineStr">
        <is>
          <t>https://www.codal.ir/Reports/Attachment.aspx?LetterSerial=N3GCfd3RcquN31sqdSRQQQaQQQug%3d%3d</t>
        </is>
      </c>
      <c r="K12" s="23" t="inlineStr">
        <is>
          <t>sources/codal/شبندر/1404/original/SRC_SHBN_1404_001_attachment_1.pdf</t>
        </is>
      </c>
      <c r="L12" s="23" t="inlineStr">
        <is>
          <t>evidence/pages/EV_SRC_SHBN_1404_001_p57.png</t>
        </is>
      </c>
      <c r="M12" s="23" t="inlineStr">
        <is>
          <t>صفحه کمکی (جلسات، حضور، پیوست یا تکمیل جدول)</t>
        </is>
      </c>
      <c r="N12" s="23" t="inlineStr">
        <is>
          <t>بله</t>
        </is>
      </c>
    </row>
    <row r="13" ht="43.5" customHeight="1" s="76">
      <c r="A13" s="25" t="inlineStr">
        <is>
          <t>EV_SRC_SHBN_1404_001_p59</t>
        </is>
      </c>
      <c r="B13" s="25" t="inlineStr">
        <is>
          <t>SRC_SHBN_1404_001</t>
        </is>
      </c>
      <c r="C13" s="25" t="inlineStr">
        <is>
          <t>شبندر</t>
        </is>
      </c>
      <c r="D13" s="25" t="inlineStr">
        <is>
          <t>گزارش فعالیت هیئت مدیره دوره ۱۲ ماهه منتهی به ۱۴۰۴/۱۲/۲۹</t>
        </is>
      </c>
      <c r="E13" s="25" t="inlineStr">
        <is>
          <t>1564208</t>
        </is>
      </c>
      <c r="F13" s="25" t="inlineStr">
        <is>
          <t>1405/04/24 18:34</t>
        </is>
      </c>
      <c r="G13" s="25" t="inlineStr">
        <is>
          <t>FY1404 (…/12/29)</t>
        </is>
      </c>
      <c r="H13" s="25" t="n">
        <v>59</v>
      </c>
      <c r="I13" s="25" t="inlineStr">
        <is>
          <t>برابر شماره فایل یا نامشخص</t>
        </is>
      </c>
      <c r="J13" s="25" t="inlineStr">
        <is>
          <t>https://www.codal.ir/Reports/Attachment.aspx?LetterSerial=N3GCfd3RcquN31sqdSRQQQaQQQug%3d%3d</t>
        </is>
      </c>
      <c r="K13" s="25" t="inlineStr">
        <is>
          <t>sources/codal/شبندر/1404/original/SRC_SHBN_1404_001_attachment_1.pdf</t>
        </is>
      </c>
      <c r="L13" s="25" t="inlineStr">
        <is>
          <t>evidence/pages/EV_SRC_SHBN_1404_001_p59.png</t>
        </is>
      </c>
      <c r="M13" s="25" t="inlineStr">
        <is>
          <t>صفحه کمکی (جلسات، حضور، پیوست یا تکمیل جدول)</t>
        </is>
      </c>
      <c r="N13" s="25" t="inlineStr">
        <is>
          <t>بله</t>
        </is>
      </c>
    </row>
    <row r="14" ht="29" customHeight="1" s="76">
      <c r="A14" s="23" t="inlineStr">
        <is>
          <t>EV_SRC_PARS_1404_001_p36</t>
        </is>
      </c>
      <c r="B14" s="23" t="inlineStr">
        <is>
          <t>SRC_PARS_1404_001</t>
        </is>
      </c>
      <c r="C14" s="23" t="inlineStr">
        <is>
          <t>پارس</t>
        </is>
      </c>
      <c r="D14" s="23" t="inlineStr">
        <is>
          <t>گزارش فعالیت هیئت مدیره دوره ۱۲ ماهه منتهی به ۱۴۰۴/۱۲/۲۹</t>
        </is>
      </c>
      <c r="E14" s="23" t="inlineStr">
        <is>
          <t>1559697</t>
        </is>
      </c>
      <c r="F14" s="23" t="inlineStr">
        <is>
          <t>1405/04/09 16:05</t>
        </is>
      </c>
      <c r="G14" s="23" t="inlineStr">
        <is>
          <t>FY1404 (…/12/29)</t>
        </is>
      </c>
      <c r="H14" s="23" t="n">
        <v>36</v>
      </c>
      <c r="I14" s="23" t="n">
        <v>36</v>
      </c>
      <c r="J14" s="23" t="inlineStr">
        <is>
          <t>https://www.codal.ir/Reports/Attachment.aspx?LetterSerial=cdWaWGqftXF7vQrdXi5MJw%3d%3d</t>
        </is>
      </c>
      <c r="K14" s="23" t="inlineStr">
        <is>
          <t>sources/codal/پارس/1404/original/SRC_PARS_1404_001_attachment_1.pdf</t>
        </is>
      </c>
      <c r="L14" s="23" t="inlineStr">
        <is>
          <t>evidence/pages/EV_SRC_PARS_1404_001_p36.png</t>
        </is>
      </c>
      <c r="M14" s="23" t="inlineStr">
        <is>
          <t>«اطلاعات اعضای کمیته حسابرسی» (۵ ردیف)</t>
        </is>
      </c>
      <c r="N14" s="23" t="inlineStr">
        <is>
          <t>بله</t>
        </is>
      </c>
    </row>
    <row r="15" ht="29" customHeight="1" s="76">
      <c r="A15" s="25" t="inlineStr">
        <is>
          <t>EV_SRC_SHTR_1404_002_p17</t>
        </is>
      </c>
      <c r="B15" s="25" t="inlineStr">
        <is>
          <t>SRC_SHTR_1404_002</t>
        </is>
      </c>
      <c r="C15" s="25" t="inlineStr">
        <is>
          <t>شتران</t>
        </is>
      </c>
      <c r="D15" s="25" t="inlineStr">
        <is>
          <t>گزارش فعالیت هیئت مدیره دوره ۱۲ ماهه منتهی به ۱۴۰۴/۱۲/۲۹</t>
        </is>
      </c>
      <c r="E15" s="25" t="inlineStr">
        <is>
          <t>1575311</t>
        </is>
      </c>
      <c r="F15" s="25" t="inlineStr">
        <is>
          <t>1405/05/03 17:49</t>
        </is>
      </c>
      <c r="G15" s="25" t="inlineStr">
        <is>
          <t>FY1404 (…/12/29)</t>
        </is>
      </c>
      <c r="H15" s="25" t="n">
        <v>17</v>
      </c>
      <c r="I15" s="25" t="n">
        <v>15</v>
      </c>
      <c r="J15" s="25" t="inlineStr">
        <is>
          <t>https://www.codal.ir/Reports/Attachment.aspx?LetterSerial=F0veQQQaQQQX4tai7nAftHYyrDhg%3d%3d</t>
        </is>
      </c>
      <c r="K15" s="25" t="inlineStr">
        <is>
          <t>sources/codal/شتران/1404/original/SRC_SHTR_1404_001_original.pdf</t>
        </is>
      </c>
      <c r="L15" s="25" t="inlineStr">
        <is>
          <t>evidence/pages/EV_SRC_SHTR_1404_002_p17.png</t>
        </is>
      </c>
      <c r="M15" s="25" t="inlineStr">
        <is>
          <t>جدول «اعضای کمیته حسابرسی» (۴ ردیف شامل دبیر)</t>
        </is>
      </c>
      <c r="N15" s="25" t="inlineStr">
        <is>
          <t>بله</t>
        </is>
      </c>
    </row>
    <row r="16" ht="29" customHeight="1" s="76">
      <c r="A16" s="23" t="inlineStr">
        <is>
          <t>EV_SRC_VTEJ_1404_001_p52</t>
        </is>
      </c>
      <c r="B16" s="23" t="inlineStr">
        <is>
          <t>SRC_VTEJ_1404_001</t>
        </is>
      </c>
      <c r="C16" s="23" t="inlineStr">
        <is>
          <t>وتجارت</t>
        </is>
      </c>
      <c r="D16" s="23" t="inlineStr">
        <is>
          <t>گزارش فعالیت هیئت مدیره دوره ۱۲ ماهه منتهی به ۱۴۰۴/۱۲/۲۹</t>
        </is>
      </c>
      <c r="E16" s="23" t="inlineStr">
        <is>
          <t>1573032</t>
        </is>
      </c>
      <c r="F16" s="23" t="inlineStr">
        <is>
          <t>1405/04/31 10:07</t>
        </is>
      </c>
      <c r="G16" s="23" t="inlineStr">
        <is>
          <t>FY1404 (…/12/29)؛ جدول «در تاریخ ۱۴۰۴/۱۲/۲۹»</t>
        </is>
      </c>
      <c r="H16" s="23" t="n">
        <v>52</v>
      </c>
      <c r="I16" s="23" t="n">
        <v>51</v>
      </c>
      <c r="J16" s="23" t="inlineStr">
        <is>
          <t>https://www.codal.ir/Reports/Attachment.aspx?LetterSerial=VZhrioZj31aPiJoRufitSg%3d%3d</t>
        </is>
      </c>
      <c r="K16" s="23" t="inlineStr">
        <is>
          <t>sources/codal/وتجارت/1404/original/SRC_VTEJ_1404_001_original.pdf</t>
        </is>
      </c>
      <c r="L16" s="23" t="inlineStr">
        <is>
          <t>evidence/pages/EV_SRC_VTEJ_1404_001_p52.png</t>
        </is>
      </c>
      <c r="M16" s="23" t="inlineStr">
        <is>
          <t>«۴ تا ۲-اطلاعات مربوط به کمیته‌های تخصصی در تاریخ ۱۴۰۴/۱۲/۲۹ کمیته حسابرسی» (۵ ردیف)</t>
        </is>
      </c>
      <c r="N16" s="23" t="inlineStr">
        <is>
          <t>بله</t>
        </is>
      </c>
    </row>
    <row r="17" ht="29" customHeight="1" s="76">
      <c r="A17" s="25" t="inlineStr">
        <is>
          <t>EV_SRC_RMPN_1404_001_p38</t>
        </is>
      </c>
      <c r="B17" s="25" t="inlineStr">
        <is>
          <t>SRC_RMPN_1404_001</t>
        </is>
      </c>
      <c r="C17" s="25" t="inlineStr">
        <is>
          <t>رمپنا</t>
        </is>
      </c>
      <c r="D17" s="25" t="inlineStr">
        <is>
          <t>گزارش فعالیت هیئت مدیره دوره ۱۲ ماهه منتهی به ۱۴۰۴/۱۲/۲۹(اصلاحیه)</t>
        </is>
      </c>
      <c r="E17" s="25" t="inlineStr">
        <is>
          <t>1589141</t>
        </is>
      </c>
      <c r="F17" s="25" t="inlineStr">
        <is>
          <t>1405/06/02 17:03</t>
        </is>
      </c>
      <c r="G17" s="25" t="inlineStr">
        <is>
          <t>FY1404 (…/12/29)؛ اصلاحیه اسکن‌شده</t>
        </is>
      </c>
      <c r="H17" s="25" t="n">
        <v>38</v>
      </c>
      <c r="I17" s="25" t="n">
        <v>38</v>
      </c>
      <c r="J17" s="25" t="inlineStr">
        <is>
          <t>https://www.codal.ir/Reports/Attachment.aspx?LetterSerial=ZPTwXsha10FqOu4gKDQQQaQQQ3Ow%3d%3d</t>
        </is>
      </c>
      <c r="K17" s="25" t="inlineStr">
        <is>
          <t>sources/codal/رمپنا/1404/original/SRC_RMPN_1404_001_attachment_1.pdf</t>
        </is>
      </c>
      <c r="L17" s="25" t="inlineStr">
        <is>
          <t>evidence/pages/EV_SRC_RMPN_1404_001_p38.png</t>
        </is>
      </c>
      <c r="M17" s="25" t="inlineStr">
        <is>
          <t>متن: «تعداد جلسات ۱۸ که ۹ جلسه آن با حضور اعضای جدید در شش‌ماهه دوم برگزار شده؛ جدول ۹ جلسه»</t>
        </is>
      </c>
      <c r="N17" s="25" t="inlineStr">
        <is>
          <t>بله</t>
        </is>
      </c>
    </row>
    <row r="18" ht="29" customHeight="1" s="76">
      <c r="A18" s="23" t="inlineStr">
        <is>
          <t>EV_SRC_FKHZ_1404_001_p34</t>
        </is>
      </c>
      <c r="B18" s="23" t="inlineStr">
        <is>
          <t>SRC_FKHZ_1404_001</t>
        </is>
      </c>
      <c r="C18" s="23" t="inlineStr">
        <is>
          <t>فخوز</t>
        </is>
      </c>
      <c r="D18" s="23" t="inlineStr">
        <is>
          <t>گزارش فعالیت هیئت مدیره دوره ۱۲ ماهه منتهی به ۱۴۰۴/۱۲/۲۹</t>
        </is>
      </c>
      <c r="E18" s="23" t="inlineStr">
        <is>
          <t>1585806</t>
        </is>
      </c>
      <c r="F18" s="23" t="inlineStr">
        <is>
          <t>1405/05/26 19:59</t>
        </is>
      </c>
      <c r="G18" s="23" t="inlineStr">
        <is>
          <t>FY1404 (…/12/29)</t>
        </is>
      </c>
      <c r="H18" s="23" t="n">
        <v>34</v>
      </c>
      <c r="I18" s="23" t="n">
        <v>30</v>
      </c>
      <c r="J18" s="23" t="inlineStr">
        <is>
          <t>https://www.codal.ir/Reports/Attachment.aspx?LetterSerial=5ZWyvKDK0MJDzka9EiaU0g%3d%3d</t>
        </is>
      </c>
      <c r="K18" s="23" t="inlineStr">
        <is>
          <t>sources/codal/فخوز/1404/original/SRC_FKHZ_1404_001_attachment_1.pdf</t>
        </is>
      </c>
      <c r="L18" s="23" t="inlineStr">
        <is>
          <t>evidence/pages/EV_SRC_FKHZ_1404_001_p34.png</t>
        </is>
      </c>
      <c r="M18" s="23" t="inlineStr">
        <is>
          <t>جدول «اعضای کمیته حسابرسی» (۳ ردیف)</t>
        </is>
      </c>
      <c r="N18" s="23" t="inlineStr">
        <is>
          <t>بله</t>
        </is>
      </c>
    </row>
    <row r="19" ht="43.5" customHeight="1" s="76">
      <c r="A19" s="25" t="inlineStr">
        <is>
          <t>EV_SRC_FKHZ_1404_001_p35</t>
        </is>
      </c>
      <c r="B19" s="25" t="inlineStr">
        <is>
          <t>SRC_FKHZ_1404_001</t>
        </is>
      </c>
      <c r="C19" s="25" t="inlineStr">
        <is>
          <t>فخوز</t>
        </is>
      </c>
      <c r="D19" s="25" t="inlineStr">
        <is>
          <t>گزارش فعالیت هیئت مدیره دوره ۱۲ ماهه منتهی به ۱۴۰۴/۱۲/۲۹</t>
        </is>
      </c>
      <c r="E19" s="25" t="inlineStr">
        <is>
          <t>1585806</t>
        </is>
      </c>
      <c r="F19" s="25" t="inlineStr">
        <is>
          <t>1405/05/26 19:59</t>
        </is>
      </c>
      <c r="G19" s="25" t="inlineStr">
        <is>
          <t>FY1404 (…/12/29)</t>
        </is>
      </c>
      <c r="H19" s="25" t="n">
        <v>35</v>
      </c>
      <c r="I19" s="25" t="inlineStr">
        <is>
          <t>برابر شماره فایل یا نامشخص</t>
        </is>
      </c>
      <c r="J19" s="25" t="inlineStr">
        <is>
          <t>https://www.codal.ir/Reports/Attachment.aspx?LetterSerial=5ZWyvKDK0MJDzka9EiaU0g%3d%3d</t>
        </is>
      </c>
      <c r="K19" s="25" t="inlineStr">
        <is>
          <t>sources/codal/فخوز/1404/original/SRC_FKHZ_1404_001_attachment_1.pdf</t>
        </is>
      </c>
      <c r="L19" s="25" t="inlineStr">
        <is>
          <t>evidence/pages/EV_SRC_FKHZ_1404_001_p35.png</t>
        </is>
      </c>
      <c r="M19" s="25" t="inlineStr">
        <is>
          <t>صفحه کمکی (جلسات، حضور، پیوست یا تکمیل جدول)</t>
        </is>
      </c>
      <c r="N19" s="25" t="inlineStr">
        <is>
          <t>بله</t>
        </is>
      </c>
    </row>
    <row r="20" ht="29" customHeight="1" s="76">
      <c r="A20" s="23" t="inlineStr">
        <is>
          <t>EV_SRC_SHST_1404_001_p30</t>
        </is>
      </c>
      <c r="B20" s="23" t="inlineStr">
        <is>
          <t>SRC_SHST_1404_001</t>
        </is>
      </c>
      <c r="C20" s="23" t="inlineStr">
        <is>
          <t>شستا</t>
        </is>
      </c>
      <c r="D20" s="23" t="inlineStr">
        <is>
          <t>گزارش فعالیت هیئت مدیره دوره ۱۲ ماهه منتهی به ۱۴۰۴/۰۳/۳۱</t>
        </is>
      </c>
      <c r="E20" s="23" t="inlineStr">
        <is>
          <t>1417590</t>
        </is>
      </c>
      <c r="F20" s="23" t="inlineStr">
        <is>
          <t>1404/07/20 19:55</t>
        </is>
      </c>
      <c r="G20" s="23" t="inlineStr">
        <is>
          <t>FYE 1404/03/31 (1403/04/01 تا 1404/03/31)</t>
        </is>
      </c>
      <c r="H20" s="23" t="n">
        <v>30</v>
      </c>
      <c r="I20" s="23" t="n">
        <v>30</v>
      </c>
      <c r="J20" s="23" t="inlineStr">
        <is>
          <t>https://www.codal.ir/Reports/Attachment.aspx?LetterSerial=TEl3hTcY7RdDCFEpY1ehSg%3d%3d</t>
        </is>
      </c>
      <c r="K20" s="23" t="inlineStr">
        <is>
          <t>sources/codal/شستا/1404/original/SRC_SHST_1404_001_attachment_1.pdf</t>
        </is>
      </c>
      <c r="L20" s="23" t="inlineStr">
        <is>
          <t>evidence/pages/EV_SRC_SHST_1404_001_p30.png</t>
        </is>
      </c>
      <c r="M20" s="23" t="inlineStr">
        <is>
          <t>«اعضای کمیته حسابرسی شستا برای دوره مالی منتهی به ۱۴۰۴/۰۳/۳۱ به شرح جدول» (۴ ردیف)</t>
        </is>
      </c>
      <c r="N20" s="23" t="inlineStr">
        <is>
          <t>خیر</t>
        </is>
      </c>
    </row>
    <row r="21" ht="29" customHeight="1" s="76">
      <c r="A21" s="25" t="inlineStr">
        <is>
          <t>EV_SRC_SHPN_1404_001_p79</t>
        </is>
      </c>
      <c r="B21" s="25" t="inlineStr">
        <is>
          <t>SRC_SHPN_1404_001</t>
        </is>
      </c>
      <c r="C21" s="25" t="inlineStr">
        <is>
          <t>شپنا</t>
        </is>
      </c>
      <c r="D21" s="25" t="inlineStr">
        <is>
          <t>گزارش فعالیت هیئت مدیره دوره ۱۲ ماهه منتهی به ۱۴۰۴/۱۲/۲۹</t>
        </is>
      </c>
      <c r="E21" s="25" t="inlineStr">
        <is>
          <t>1565408</t>
        </is>
      </c>
      <c r="F21" s="25" t="inlineStr">
        <is>
          <t>1405/04/21 09:15</t>
        </is>
      </c>
      <c r="G21" s="25" t="inlineStr">
        <is>
          <t>FY1404 (…/12/29)</t>
        </is>
      </c>
      <c r="H21" s="25" t="n">
        <v>79</v>
      </c>
      <c r="I21" s="25" t="n">
        <v>80</v>
      </c>
      <c r="J21" s="25" t="inlineStr">
        <is>
          <t>https://www.codal.ir/Reports/Attachment.aspx?LetterSerial=WBnwPdhi1lTe8pRlgN6wYw%3d%3d</t>
        </is>
      </c>
      <c r="K21" s="25" t="inlineStr">
        <is>
          <t>sources/codal/شپنا/1404/original/SRC_SHPN_1404_001_attachment_1.pdf</t>
        </is>
      </c>
      <c r="L21" s="25" t="inlineStr">
        <is>
          <t>evidence/pages/EV_SRC_SHPN_1404_001_p79.png</t>
        </is>
      </c>
      <c r="M21" s="25" t="inlineStr">
        <is>
          <t>«مشخصات اعضای کمیته حسابرسی» (۵ ردیف)</t>
        </is>
      </c>
      <c r="N21" s="25" t="inlineStr">
        <is>
          <t>بله</t>
        </is>
      </c>
    </row>
    <row r="22" ht="43.5" customHeight="1" s="76">
      <c r="A22" s="23" t="inlineStr">
        <is>
          <t>EV_SRC_SHPN_1404_001_p80</t>
        </is>
      </c>
      <c r="B22" s="23" t="inlineStr">
        <is>
          <t>SRC_SHPN_1404_001</t>
        </is>
      </c>
      <c r="C22" s="23" t="inlineStr">
        <is>
          <t>شپنا</t>
        </is>
      </c>
      <c r="D22" s="23" t="inlineStr">
        <is>
          <t>گزارش فعالیت هیئت مدیره دوره ۱۲ ماهه منتهی به ۱۴۰۴/۱۲/۲۹</t>
        </is>
      </c>
      <c r="E22" s="23" t="inlineStr">
        <is>
          <t>1565408</t>
        </is>
      </c>
      <c r="F22" s="23" t="inlineStr">
        <is>
          <t>1405/04/21 09:15</t>
        </is>
      </c>
      <c r="G22" s="23" t="inlineStr">
        <is>
          <t>FY1404 (…/12/29)</t>
        </is>
      </c>
      <c r="H22" s="23" t="n">
        <v>80</v>
      </c>
      <c r="I22" s="23" t="inlineStr">
        <is>
          <t>برابر شماره فایل یا نامشخص</t>
        </is>
      </c>
      <c r="J22" s="23" t="inlineStr">
        <is>
          <t>https://www.codal.ir/Reports/Attachment.aspx?LetterSerial=WBnwPdhi1lTe8pRlgN6wYw%3d%3d</t>
        </is>
      </c>
      <c r="K22" s="23" t="inlineStr">
        <is>
          <t>sources/codal/شپنا/1404/original/SRC_SHPN_1404_001_attachment_1.pdf</t>
        </is>
      </c>
      <c r="L22" s="23" t="inlineStr">
        <is>
          <t>evidence/pages/EV_SRC_SHPN_1404_001_p80.png</t>
        </is>
      </c>
      <c r="M22" s="23" t="inlineStr">
        <is>
          <t>صفحه کمکی (جلسات، حضور، پیوست یا تکمیل جدول)</t>
        </is>
      </c>
      <c r="N22" s="23" t="inlineStr">
        <is>
          <t>بله</t>
        </is>
      </c>
    </row>
    <row r="23" ht="43.5" customHeight="1" s="76">
      <c r="A23" s="25" t="inlineStr">
        <is>
          <t>EV_SRC_SHPN_1404_001_p83</t>
        </is>
      </c>
      <c r="B23" s="25" t="inlineStr">
        <is>
          <t>SRC_SHPN_1404_001</t>
        </is>
      </c>
      <c r="C23" s="25" t="inlineStr">
        <is>
          <t>شپنا</t>
        </is>
      </c>
      <c r="D23" s="25" t="inlineStr">
        <is>
          <t>گزارش فعالیت هیئت مدیره دوره ۱۲ ماهه منتهی به ۱۴۰۴/۱۲/۲۹</t>
        </is>
      </c>
      <c r="E23" s="25" t="inlineStr">
        <is>
          <t>1565408</t>
        </is>
      </c>
      <c r="F23" s="25" t="inlineStr">
        <is>
          <t>1405/04/21 09:15</t>
        </is>
      </c>
      <c r="G23" s="25" t="inlineStr">
        <is>
          <t>FY1404 (…/12/29)</t>
        </is>
      </c>
      <c r="H23" s="25" t="n">
        <v>83</v>
      </c>
      <c r="I23" s="25" t="inlineStr">
        <is>
          <t>برابر شماره فایل یا نامشخص</t>
        </is>
      </c>
      <c r="J23" s="25" t="inlineStr">
        <is>
          <t>https://www.codal.ir/Reports/Attachment.aspx?LetterSerial=WBnwPdhi1lTe8pRlgN6wYw%3d%3d</t>
        </is>
      </c>
      <c r="K23" s="25" t="inlineStr">
        <is>
          <t>sources/codal/شپنا/1404/original/SRC_SHPN_1404_001_attachment_1.pdf</t>
        </is>
      </c>
      <c r="L23" s="25" t="inlineStr">
        <is>
          <t>evidence/pages/EV_SRC_SHPN_1404_001_p83.png</t>
        </is>
      </c>
      <c r="M23" s="25" t="inlineStr">
        <is>
          <t>صفحه کمکی (جلسات، حضور، پیوست یا تکمیل جدول)</t>
        </is>
      </c>
      <c r="N23" s="25" t="inlineStr">
        <is>
          <t>بله</t>
        </is>
      </c>
    </row>
    <row r="24" ht="29" customHeight="1" s="76">
      <c r="A24" s="23" t="inlineStr">
        <is>
          <t>EV_SRC_VGHD_1404_001_p34</t>
        </is>
      </c>
      <c r="B24" s="23" t="inlineStr">
        <is>
          <t>SRC_VGHD_1404_001</t>
        </is>
      </c>
      <c r="C24" s="23" t="inlineStr">
        <is>
          <t>وغدیر</t>
        </is>
      </c>
      <c r="D24" s="23" t="inlineStr">
        <is>
          <t>گزارش فعالیت هیئت مدیره دوره ۱۲ ماهه منتهی به ۱۴۰۴/۰۹/۳۰</t>
        </is>
      </c>
      <c r="E24" s="23" t="inlineStr">
        <is>
          <t>1489172</t>
        </is>
      </c>
      <c r="F24" s="23" t="inlineStr">
        <is>
          <t>1404/11/27 18:56</t>
        </is>
      </c>
      <c r="G24" s="23" t="inlineStr">
        <is>
          <t>FYE 1404/09/30 (1403/10/01 تا 1404/09/30)</t>
        </is>
      </c>
      <c r="H24" s="23" t="n">
        <v>34</v>
      </c>
      <c r="I24" s="23" t="n">
        <v>31</v>
      </c>
      <c r="J24" s="23" t="inlineStr">
        <is>
          <t>https://www.codal.ir/Reports/Attachment.aspx?LetterSerial=t59jEJeZqIV2QQQaQQQEqa1HjS8A%3d%3d</t>
        </is>
      </c>
      <c r="K24" s="23" t="inlineStr">
        <is>
          <t>sources/codal/وغدیر/1404/original/SRC_VGHD_1404_001_attachment_1.pdf</t>
        </is>
      </c>
      <c r="L24" s="23" t="inlineStr">
        <is>
          <t>evidence/pages/EV_SRC_VGHD_1404_001_p34.png</t>
        </is>
      </c>
      <c r="M24" s="23" t="inlineStr">
        <is>
          <t>جدول «اعضای کمیته حسابرسی» (۵ ردیف)</t>
        </is>
      </c>
      <c r="N24" s="23" t="inlineStr">
        <is>
          <t>خیر</t>
        </is>
      </c>
    </row>
    <row r="25" ht="43.5" customHeight="1" s="76">
      <c r="A25" s="25" t="inlineStr">
        <is>
          <t>EV_SRC_VGHD_1404_001_p38</t>
        </is>
      </c>
      <c r="B25" s="25" t="inlineStr">
        <is>
          <t>SRC_VGHD_1404_001</t>
        </is>
      </c>
      <c r="C25" s="25" t="inlineStr">
        <is>
          <t>وغدیر</t>
        </is>
      </c>
      <c r="D25" s="25" t="inlineStr">
        <is>
          <t>گزارش فعالیت هیئت مدیره دوره ۱۲ ماهه منتهی به ۱۴۰۴/۰۹/۳۰</t>
        </is>
      </c>
      <c r="E25" s="25" t="inlineStr">
        <is>
          <t>1489172</t>
        </is>
      </c>
      <c r="F25" s="25" t="inlineStr">
        <is>
          <t>1404/11/27 18:56</t>
        </is>
      </c>
      <c r="G25" s="25" t="inlineStr">
        <is>
          <t>FYE 1404/09/30 (1403/10/01 تا 1404/09/30)</t>
        </is>
      </c>
      <c r="H25" s="25" t="n">
        <v>38</v>
      </c>
      <c r="I25" s="25" t="inlineStr">
        <is>
          <t>برابر شماره فایل یا نامشخص</t>
        </is>
      </c>
      <c r="J25" s="25" t="inlineStr">
        <is>
          <t>https://www.codal.ir/Reports/Attachment.aspx?LetterSerial=t59jEJeZqIV2QQQaQQQEqa1HjS8A%3d%3d</t>
        </is>
      </c>
      <c r="K25" s="25" t="inlineStr">
        <is>
          <t>sources/codal/وغدیر/1404/original/SRC_VGHD_1404_001_attachment_1.pdf</t>
        </is>
      </c>
      <c r="L25" s="25" t="inlineStr">
        <is>
          <t>evidence/pages/EV_SRC_VGHD_1404_001_p38.png</t>
        </is>
      </c>
      <c r="M25" s="25" t="inlineStr">
        <is>
          <t>صفحه کمکی (جلسات، حضور، پیوست یا تکمیل جدول)</t>
        </is>
      </c>
      <c r="N25" s="25" t="inlineStr">
        <is>
          <t>خیر</t>
        </is>
      </c>
    </row>
    <row r="26" ht="29" customHeight="1" s="76">
      <c r="A26" s="23" t="inlineStr">
        <is>
          <t>EV_SRC_NOOR_1404_007_p43</t>
        </is>
      </c>
      <c r="B26" s="23" t="inlineStr">
        <is>
          <t>SRC_NOOR_1404_007</t>
        </is>
      </c>
      <c r="C26" s="23" t="inlineStr">
        <is>
          <t>نوری</t>
        </is>
      </c>
      <c r="D26" s="23" t="inlineStr">
        <is>
          <t>گزارش فعالیت هیئت مدیره دوره ۱۲ ماهه منتهی به ۱۴۰۴/۱۲/۲۹</t>
        </is>
      </c>
      <c r="E26" s="23" t="inlineStr">
        <is>
          <t>1561297</t>
        </is>
      </c>
      <c r="F26" s="23" t="inlineStr">
        <is>
          <t>1405/04/20 11:20</t>
        </is>
      </c>
      <c r="G26" s="23" t="inlineStr">
        <is>
          <t>FY1404 (…/12/29)</t>
        </is>
      </c>
      <c r="H26" s="23" t="n">
        <v>43</v>
      </c>
      <c r="I26" s="23" t="n">
        <v>43</v>
      </c>
      <c r="J26" s="23" t="inlineStr">
        <is>
          <t>https://www.codal.ir/Reports/Attachment.aspx?LetterSerial=lWuukNFzDitnWL7VD4weCA%3d%3d</t>
        </is>
      </c>
      <c r="K26" s="23" t="inlineStr">
        <is>
          <t>sources/codal/نوری/1404/original/SRC_NOOR_1404_007_attachment_1.pdf</t>
        </is>
      </c>
      <c r="L26" s="23" t="inlineStr">
        <is>
          <t>evidence/pages/EV_SRC_NOOR_1404_007_p43.png</t>
        </is>
      </c>
      <c r="M26" s="23" t="inlineStr">
        <is>
          <t>جدول اعضای کمیته حسابرسی (۳ ردیف)</t>
        </is>
      </c>
      <c r="N26" s="23" t="inlineStr">
        <is>
          <t>بله</t>
        </is>
      </c>
    </row>
    <row r="27" ht="29" customHeight="1" s="76">
      <c r="A27" s="25" t="inlineStr">
        <is>
          <t>EV_SRC_FOLD_1404_002_p34</t>
        </is>
      </c>
      <c r="B27" s="25" t="inlineStr">
        <is>
          <t>SRC_FOLD_1404_002</t>
        </is>
      </c>
      <c r="C27" s="25" t="inlineStr">
        <is>
          <t>فولاد</t>
        </is>
      </c>
      <c r="D27" s="25" t="inlineStr">
        <is>
          <t>گزارش فعالیت هیئت مدیره دوره ۱۲ ماهه منتهی به ۱۴۰۴/۱۲/۲۹</t>
        </is>
      </c>
      <c r="E27" s="25" t="inlineStr">
        <is>
          <t>1579311</t>
        </is>
      </c>
      <c r="F27" s="25" t="inlineStr">
        <is>
          <t>1405/05/09 09:46</t>
        </is>
      </c>
      <c r="G27" s="25" t="inlineStr">
        <is>
          <t>FY1404 (…/12/29)</t>
        </is>
      </c>
      <c r="H27" s="25" t="n">
        <v>34</v>
      </c>
      <c r="I27" s="25" t="n">
        <v>33</v>
      </c>
      <c r="J27" s="25" t="inlineStr">
        <is>
          <t>https://www.codal.ir/Reports/Attachment.aspx?LetterSerial=DjTPnm9Pa79X4Gv1Zp8FQQQaQQQQ%3d%3d</t>
        </is>
      </c>
      <c r="K27" s="25" t="inlineStr">
        <is>
          <t>sources/codal/فولاد/1404/original/SRC_FOLD_1404_001_original.pdf</t>
        </is>
      </c>
      <c r="L27" s="25" t="inlineStr">
        <is>
          <t>evidence/pages/EV_SRC_FOLD_1404_002_p34.png</t>
        </is>
      </c>
      <c r="M27" s="25" t="inlineStr">
        <is>
          <t>جدول «اعضای کمیته حسابرسی» (۵ ردیف)</t>
        </is>
      </c>
      <c r="N27" s="25" t="inlineStr">
        <is>
          <t>بله</t>
        </is>
      </c>
    </row>
    <row r="28" ht="43.5" customHeight="1" s="76">
      <c r="A28" s="23" t="inlineStr">
        <is>
          <t>EV_SRC_KCHD_1404_001_p143</t>
        </is>
      </c>
      <c r="B28" s="23" t="inlineStr">
        <is>
          <t>SRC_KCHD_1404_001</t>
        </is>
      </c>
      <c r="C28" s="23" t="inlineStr">
        <is>
          <t>کچاد</t>
        </is>
      </c>
      <c r="D28" s="23" t="inlineStr">
        <is>
          <t>گزارش فعالیت هیئت مدیره دوره ۹ ماهه منتهی به ۱۴۰۴/۰۹/۳۰</t>
        </is>
      </c>
      <c r="E28" s="23" t="inlineStr">
        <is>
          <t>1525630</t>
        </is>
      </c>
      <c r="F28" s="23" t="inlineStr">
        <is>
          <t>1405/02/26 15:36</t>
        </is>
      </c>
      <c r="G28" s="23" t="inlineStr">
        <is>
          <t>دوره ۹ ماهه منتهی به 1404/09/30 (1404/01/01 تا 1404/09/30؛ تغییر سال مالی)</t>
        </is>
      </c>
      <c r="H28" s="23" t="n">
        <v>143</v>
      </c>
      <c r="I28" s="23" t="n">
        <v>142</v>
      </c>
      <c r="J28" s="23" t="inlineStr">
        <is>
          <t>https://www.codal.ir/Reports/Attachment.aspx?LetterSerial=DHJOOObOOOqc3jnsfP3yy4jiGz1w%3d%3d</t>
        </is>
      </c>
      <c r="K28" s="23" t="inlineStr">
        <is>
          <t>sources/codal/کچاد/1404/original/SRC_KCHD_1404_001_attachment_1.pdf</t>
        </is>
      </c>
      <c r="L28" s="23" t="inlineStr">
        <is>
          <t>evidence/pages/EV_SRC_KCHD_1404_001_p143.png</t>
        </is>
      </c>
      <c r="M28" s="23" t="inlineStr">
        <is>
          <t>جدول «اعضای کمیته حسابرسی» (۵ ردیف)</t>
        </is>
      </c>
      <c r="N28" s="23" t="inlineStr">
        <is>
          <t>بله</t>
        </is>
      </c>
    </row>
    <row r="29" ht="43.5" customHeight="1" s="76">
      <c r="A29" s="25" t="inlineStr">
        <is>
          <t>EV_SRC_KGOL_1404_001_p136</t>
        </is>
      </c>
      <c r="B29" s="25" t="inlineStr">
        <is>
          <t>SRC_KGOL_1404_001</t>
        </is>
      </c>
      <c r="C29" s="25" t="inlineStr">
        <is>
          <t>کگل</t>
        </is>
      </c>
      <c r="D29" s="25" t="inlineStr">
        <is>
          <t>گزارش فعالیت هیئت مدیره دوره ۹ ماهه منتهی به ۱۴۰۴/۰۹/۳۰</t>
        </is>
      </c>
      <c r="E29" s="25" t="inlineStr">
        <is>
          <t>1525656</t>
        </is>
      </c>
      <c r="F29" s="25" t="inlineStr">
        <is>
          <t>1405/02/28 17:26</t>
        </is>
      </c>
      <c r="G29" s="25" t="inlineStr">
        <is>
          <t>دوره ۹ ماهه منتهی به 1404/09/30 (1404/01/01 تا 1404/09/30؛ تغییر سال مالی)</t>
        </is>
      </c>
      <c r="H29" s="25" t="n">
        <v>136</v>
      </c>
      <c r="I29" s="25" t="n">
        <v>135</v>
      </c>
      <c r="J29" s="25" t="inlineStr">
        <is>
          <t>https://www.codal.ir/Reports/Attachment.aspx?LetterSerial=GJchxNzFayYlVOX4LPTQQQaQQQJA%3d%3d</t>
        </is>
      </c>
      <c r="K29" s="25" t="inlineStr">
        <is>
          <t>sources/codal/کگل/1404/original/SRC_KGOL_1404_001_attachment_1.pdf</t>
        </is>
      </c>
      <c r="L29" s="25" t="inlineStr">
        <is>
          <t>evidence/pages/EV_SRC_KGOL_1404_001_p136.png</t>
        </is>
      </c>
      <c r="M29" s="25" t="inlineStr">
        <is>
          <t>جدول «اعضای کمیته حسابرسی» (ردیف ۲ شامل عضو سابق و عضو جدید)</t>
        </is>
      </c>
      <c r="N29" s="25" t="inlineStr">
        <is>
          <t>بله</t>
        </is>
      </c>
    </row>
    <row r="30" ht="29" customHeight="1" s="76">
      <c r="A30" s="23" t="inlineStr">
        <is>
          <t>EV_SRC_PRSN_1404_007_p42</t>
        </is>
      </c>
      <c r="B30" s="23" t="inlineStr">
        <is>
          <t>SRC_PRSN_1404_007</t>
        </is>
      </c>
      <c r="C30" s="23" t="inlineStr">
        <is>
          <t>پارسان</t>
        </is>
      </c>
      <c r="D30" s="23" t="inlineStr">
        <is>
          <t>گزارش فعالیت هیئت مدیره دوره ۱۲ ماهه منتهی به ۱۴۰۴/۰۶/۳۱</t>
        </is>
      </c>
      <c r="E30" s="23" t="inlineStr">
        <is>
          <t>1467768</t>
        </is>
      </c>
      <c r="F30" s="23" t="inlineStr">
        <is>
          <t>1404/10/11 16:28</t>
        </is>
      </c>
      <c r="G30" s="23" t="inlineStr">
        <is>
          <t>FYE 1404/06/31 (1403/07/01 تا 1404/06/31)</t>
        </is>
      </c>
      <c r="H30" s="23" t="n">
        <v>42</v>
      </c>
      <c r="I30" s="23" t="n">
        <v>42</v>
      </c>
      <c r="J30" s="23" t="inlineStr">
        <is>
          <t>https://www.codal.ir/Reports/Attachment.aspx?LetterSerial=L6jPydiKkSCQR9kVCKMgkg%3d%3d</t>
        </is>
      </c>
      <c r="K30" s="23" t="inlineStr">
        <is>
          <t>sources/codal/پارسان/1404/original/SRC_PRSN_1404_007_attachment_1.pdf</t>
        </is>
      </c>
      <c r="L30" s="23" t="inlineStr">
        <is>
          <t>evidence/pages/EV_SRC_PRSN_1404_007_p42.png</t>
        </is>
      </c>
      <c r="M30" s="23" t="inlineStr">
        <is>
          <t>«تعداد جلسات این کمیته طی سال مالی ۱۳ جلسه… اعضای کمیته حسابرسی به شرح زیر» (۴ ردیف)</t>
        </is>
      </c>
      <c r="N30" s="23" t="inlineStr">
        <is>
          <t>خیر</t>
        </is>
      </c>
    </row>
    <row r="31" ht="43.5" customHeight="1" s="76">
      <c r="A31" s="25" t="inlineStr">
        <is>
          <t>EV_SRC_AKHB_1404_001_p95</t>
        </is>
      </c>
      <c r="B31" s="25" t="inlineStr">
        <is>
          <t>SRC_AKHB_1404_001</t>
        </is>
      </c>
      <c r="C31" s="25" t="inlineStr">
        <is>
          <t>اخابر</t>
        </is>
      </c>
      <c r="D31" s="25" t="inlineStr">
        <is>
          <t>گزارش فعالیت هیئت مدیره دوره ۱۲ ماهه منتهی به ۱۴۰۴/۱۲/۲۹</t>
        </is>
      </c>
      <c r="E31" s="25" t="inlineStr">
        <is>
          <t>1556542</t>
        </is>
      </c>
      <c r="F31" s="25" t="inlineStr">
        <is>
          <t>1405/04/12 17:54</t>
        </is>
      </c>
      <c r="G31" s="25" t="inlineStr">
        <is>
          <t>FY1404 (…/12/29)</t>
        </is>
      </c>
      <c r="H31" s="25" t="n">
        <v>95</v>
      </c>
      <c r="I31" s="25" t="inlineStr">
        <is>
          <t>برابر شماره فایل یا نامشخص</t>
        </is>
      </c>
      <c r="J31" s="25" t="inlineStr">
        <is>
          <t>https://www.codal.ir/Reports/Attachment.aspx?LetterSerial=q3EF5HWBdE3Wa0MdSn8GbQ%3d%3d</t>
        </is>
      </c>
      <c r="K31" s="25" t="inlineStr">
        <is>
          <t>sources/codal/اخابر/1404/original/SRC_AKHB_1404_001_attachment_1.pdf</t>
        </is>
      </c>
      <c r="L31" s="25" t="inlineStr">
        <is>
          <t>evidence/pages/EV_SRC_AKHB_1404_001_p95.png</t>
        </is>
      </c>
      <c r="M31" s="25" t="inlineStr">
        <is>
          <t>صفحه کمکی (جلسات، حضور، پیوست یا تکمیل جدول)</t>
        </is>
      </c>
      <c r="N31" s="25" t="inlineStr">
        <is>
          <t>بله</t>
        </is>
      </c>
    </row>
    <row r="32" ht="29" customHeight="1" s="76">
      <c r="A32" s="23" t="inlineStr">
        <is>
          <t>EV_SRC_AKHB_1404_001_p99</t>
        </is>
      </c>
      <c r="B32" s="23" t="inlineStr">
        <is>
          <t>SRC_AKHB_1404_001</t>
        </is>
      </c>
      <c r="C32" s="23" t="inlineStr">
        <is>
          <t>اخابر</t>
        </is>
      </c>
      <c r="D32" s="23" t="inlineStr">
        <is>
          <t>گزارش فعالیت هیئت مدیره دوره ۱۲ ماهه منتهی به ۱۴۰۴/۱۲/۲۹</t>
        </is>
      </c>
      <c r="E32" s="23" t="inlineStr">
        <is>
          <t>1556542</t>
        </is>
      </c>
      <c r="F32" s="23" t="inlineStr">
        <is>
          <t>1405/04/12 17:54</t>
        </is>
      </c>
      <c r="G32" s="23" t="inlineStr">
        <is>
          <t>FY1404 (…/12/29)</t>
        </is>
      </c>
      <c r="H32" s="23" t="n">
        <v>99</v>
      </c>
      <c r="I32" s="23" t="n">
        <v>99</v>
      </c>
      <c r="J32" s="23" t="inlineStr">
        <is>
          <t>https://www.codal.ir/Reports/Attachment.aspx?LetterSerial=q3EF5HWBdE3Wa0MdSn8GbQ%3d%3d</t>
        </is>
      </c>
      <c r="K32" s="23" t="inlineStr">
        <is>
          <t>sources/codal/اخابر/1404/original/SRC_AKHB_1404_001_attachment_1.pdf</t>
        </is>
      </c>
      <c r="L32" s="23" t="inlineStr">
        <is>
          <t>evidence/pages/EV_SRC_AKHB_1404_001_p99.png</t>
        </is>
      </c>
      <c r="M32" s="23" t="inlineStr">
        <is>
          <t>جدول «ترکیب کمیته حسابرسی» (۵ ردیف)</t>
        </is>
      </c>
      <c r="N32" s="23" t="inlineStr">
        <is>
          <t>بله</t>
        </is>
      </c>
    </row>
    <row r="33" ht="29" customHeight="1" s="76">
      <c r="A33" s="25" t="inlineStr">
        <is>
          <t>EV_SRC_JAM_1404_001_p62</t>
        </is>
      </c>
      <c r="B33" s="25" t="inlineStr">
        <is>
          <t>SRC_JAM_1404_001</t>
        </is>
      </c>
      <c r="C33" s="25" t="inlineStr">
        <is>
          <t>جم</t>
        </is>
      </c>
      <c r="D33" s="25" t="inlineStr">
        <is>
          <t>گزارش فعالیت هیئت مدیره دوره ۱۲ ماهه منتهی به ۱۴۰۴/۱۲/۲۹</t>
        </is>
      </c>
      <c r="E33" s="25" t="inlineStr">
        <is>
          <t>1564049</t>
        </is>
      </c>
      <c r="F33" s="25" t="inlineStr">
        <is>
          <t>1405/04/18 21:55</t>
        </is>
      </c>
      <c r="G33" s="25" t="inlineStr">
        <is>
          <t>FY1404 (…/12/29)</t>
        </is>
      </c>
      <c r="H33" s="25" t="n">
        <v>62</v>
      </c>
      <c r="I33" s="25" t="n">
        <v>62</v>
      </c>
      <c r="J33" s="25" t="inlineStr">
        <is>
          <t>https://www.codal.ir/Reports/Attachment.aspx?LetterSerial=CgOXSpDZ3Vj2G0QQQaQQQHLu6OZQ%3d%3d</t>
        </is>
      </c>
      <c r="K33" s="25" t="inlineStr">
        <is>
          <t>sources/codal/جم/1404/original/SRC_JAM_1404_001_attachment_1.pdf</t>
        </is>
      </c>
      <c r="L33" s="25" t="inlineStr">
        <is>
          <t>evidence/pages/EV_SRC_JAM_1404_001_p62.png</t>
        </is>
      </c>
      <c r="M33" s="25" t="inlineStr">
        <is>
          <t>کادر «کمیته حسابرسی» با ۶ ردیف (رئیس، دبیر، ۴ عضو)</t>
        </is>
      </c>
      <c r="N33" s="25" t="inlineStr">
        <is>
          <t>بله</t>
        </is>
      </c>
    </row>
    <row r="34" ht="29" customHeight="1" s="76">
      <c r="A34" s="23" t="inlineStr">
        <is>
          <t>EV_SRC_VMDN_1404_001_p44</t>
        </is>
      </c>
      <c r="B34" s="23" t="inlineStr">
        <is>
          <t>SRC_VMDN_1404_001</t>
        </is>
      </c>
      <c r="C34" s="23" t="inlineStr">
        <is>
          <t>ومعادن</t>
        </is>
      </c>
      <c r="D34" s="23" t="inlineStr">
        <is>
          <t>گزارش فعالیت هیئت مدیره دوره ۱۲ ماهه منتهی به ۱۴۰۴/۱۲/۲۹</t>
        </is>
      </c>
      <c r="E34" s="23" t="inlineStr">
        <is>
          <t>1563796</t>
        </is>
      </c>
      <c r="F34" s="23" t="inlineStr">
        <is>
          <t>1405/04/17 21:16</t>
        </is>
      </c>
      <c r="G34" s="23" t="inlineStr">
        <is>
          <t>FY1404 (…/12/29)</t>
        </is>
      </c>
      <c r="H34" s="23" t="n">
        <v>44</v>
      </c>
      <c r="I34" s="23" t="n">
        <v>43</v>
      </c>
      <c r="J34" s="23" t="inlineStr">
        <is>
          <t>https://www.codal.ir/Reports/Attachment.aspx?LetterSerial=bRnwYafN0uOG5s7eZOOObOOObCPw%3d%3d</t>
        </is>
      </c>
      <c r="K34" s="23" t="inlineStr">
        <is>
          <t>sources/codal/ومعادن/1404/original/SRC_VMDN_1404_001_attachment_1.pdf</t>
        </is>
      </c>
      <c r="L34" s="23" t="inlineStr">
        <is>
          <t>evidence/pages/EV_SRC_VMDN_1404_001_p44.png</t>
        </is>
      </c>
      <c r="M34" s="23" t="inlineStr">
        <is>
          <t>جدول ۳۳ اعضای کمیته حسابرسی شرکت (۶ ردیف شامل دبیر)</t>
        </is>
      </c>
      <c r="N34" s="23" t="inlineStr">
        <is>
          <t>بله</t>
        </is>
      </c>
    </row>
    <row r="35" ht="43.5" customHeight="1" s="76">
      <c r="A35" s="25" t="inlineStr">
        <is>
          <t>EV_SRC_VMDN_1404_001_p45</t>
        </is>
      </c>
      <c r="B35" s="25" t="inlineStr">
        <is>
          <t>SRC_VMDN_1404_001</t>
        </is>
      </c>
      <c r="C35" s="25" t="inlineStr">
        <is>
          <t>ومعادن</t>
        </is>
      </c>
      <c r="D35" s="25" t="inlineStr">
        <is>
          <t>گزارش فعالیت هیئت مدیره دوره ۱۲ ماهه منتهی به ۱۴۰۴/۱۲/۲۹</t>
        </is>
      </c>
      <c r="E35" s="25" t="inlineStr">
        <is>
          <t>1563796</t>
        </is>
      </c>
      <c r="F35" s="25" t="inlineStr">
        <is>
          <t>1405/04/17 21:16</t>
        </is>
      </c>
      <c r="G35" s="25" t="inlineStr">
        <is>
          <t>FY1404 (…/12/29)</t>
        </is>
      </c>
      <c r="H35" s="25" t="n">
        <v>45</v>
      </c>
      <c r="I35" s="25" t="inlineStr">
        <is>
          <t>برابر شماره فایل یا نامشخص</t>
        </is>
      </c>
      <c r="J35" s="25" t="inlineStr">
        <is>
          <t>https://www.codal.ir/Reports/Attachment.aspx?LetterSerial=bRnwYafN0uOG5s7eZOOObOOObCPw%3d%3d</t>
        </is>
      </c>
      <c r="K35" s="25" t="inlineStr">
        <is>
          <t>sources/codal/ومعادن/1404/original/SRC_VMDN_1404_001_attachment_1.pdf</t>
        </is>
      </c>
      <c r="L35" s="25" t="inlineStr">
        <is>
          <t>evidence/pages/EV_SRC_VMDN_1404_001_p45.png</t>
        </is>
      </c>
      <c r="M35" s="25" t="inlineStr">
        <is>
          <t>صفحه کمکی (جلسات، حضور، پیوست یا تکمیل جدول)</t>
        </is>
      </c>
      <c r="N35" s="25" t="inlineStr">
        <is>
          <t>بله</t>
        </is>
      </c>
    </row>
    <row r="36" ht="43.5" customHeight="1" s="76">
      <c r="A36" s="23" t="inlineStr">
        <is>
          <t>EV_SRC_VAMD_1404_001_p73</t>
        </is>
      </c>
      <c r="B36" s="23" t="inlineStr">
        <is>
          <t>SRC_VAMD_1404_001</t>
        </is>
      </c>
      <c r="C36" s="23" t="inlineStr">
        <is>
          <t>وامید</t>
        </is>
      </c>
      <c r="D36" s="23" t="inlineStr">
        <is>
          <t>گزارش فعالیت هیئت مدیره دوره ۱۲ ماهه منتهی به ۱۴۰۴/۱۰/۳۰</t>
        </is>
      </c>
      <c r="E36" s="23" t="inlineStr">
        <is>
          <t>1542189</t>
        </is>
      </c>
      <c r="F36" s="23" t="inlineStr">
        <is>
          <t>1405/04/01 14:28</t>
        </is>
      </c>
      <c r="G36" s="23" t="inlineStr">
        <is>
          <t>FYE 1404/10/30 (1403/11/01 تا 1404/10/30)</t>
        </is>
      </c>
      <c r="H36" s="23" t="n">
        <v>73</v>
      </c>
      <c r="I36" s="23" t="n">
        <v>71</v>
      </c>
      <c r="J36" s="23" t="inlineStr">
        <is>
          <t>https://www.codal.ir/Reports/Attachment.aspx?LetterSerial=L3pmVuuRgm42MhLxuM1ElQ%3d%3d</t>
        </is>
      </c>
      <c r="K36" s="23" t="inlineStr">
        <is>
          <t>sources/codal/وامید/1404/original/SRC_VAMD_1404_001_attachment_1.pdf</t>
        </is>
      </c>
      <c r="L36" s="23" t="inlineStr">
        <is>
          <t>evidence/pages/EV_SRC_VAMD_1404_001_p73.png</t>
        </is>
      </c>
      <c r="M36" s="23" t="inlineStr">
        <is>
          <t>«کمیته مزبور دارای ۵ عضو است… یک نفر از اعضای غیرموظف هیئت‌مدیره و ۳ نفر عضو مستقل و یک نفر عضو غیرمستقل»</t>
        </is>
      </c>
      <c r="N36" s="23" t="inlineStr">
        <is>
          <t>بله</t>
        </is>
      </c>
    </row>
    <row r="37" ht="43.5" customHeight="1" s="76">
      <c r="A37" s="25" t="inlineStr">
        <is>
          <t>EV_SRC_KHSP_1404_001_p49</t>
        </is>
      </c>
      <c r="B37" s="25" t="inlineStr">
        <is>
          <t>SRC_KHSP_1404_001</t>
        </is>
      </c>
      <c r="C37" s="25" t="inlineStr">
        <is>
          <t>خساپا</t>
        </is>
      </c>
      <c r="D37" s="25" t="inlineStr">
        <is>
          <t>گزارش فعالیت هیئت مدیره دوره ۱۲ ماهه منتهی به ۱۴۰۴/۱۲/۲۹</t>
        </is>
      </c>
      <c r="E37" s="25" t="inlineStr">
        <is>
          <t>1573029</t>
        </is>
      </c>
      <c r="F37" s="25" t="inlineStr">
        <is>
          <t>1405/04/31 06:18</t>
        </is>
      </c>
      <c r="G37" s="25" t="inlineStr">
        <is>
          <t>FY1404 (…/12/29)</t>
        </is>
      </c>
      <c r="H37" s="25" t="n">
        <v>49</v>
      </c>
      <c r="I37" s="25" t="n">
        <v>96</v>
      </c>
      <c r="J37" s="25" t="inlineStr">
        <is>
          <t>https://www.codal.ir/Reports/Attachment.aspx?LetterSerial=60kT03yuLOHH5WA9uPOCeA%3d%3d</t>
        </is>
      </c>
      <c r="K37" s="25" t="inlineStr">
        <is>
          <t>sources/codal/خساپا/1404/original/SRC_KHSP_1404_001_attachment_1.pdf</t>
        </is>
      </c>
      <c r="L37" s="25" t="inlineStr">
        <is>
          <t>evidence/pages/EV_SRC_KHSP_1404_001_p49.png</t>
        </is>
      </c>
      <c r="M37" s="25" t="inlineStr">
        <is>
          <t>«کمیته… براساس الگوی ۳ نفره تشکیل … ترکیب اعضا طبق بند ۴ صورتجلسه ۸۰۲ هیئت‌مدیره مورخ ۱۴۰۴/۰۲/۲۷»</t>
        </is>
      </c>
      <c r="N37" s="25" t="inlineStr">
        <is>
          <t>بله</t>
        </is>
      </c>
    </row>
    <row r="38" ht="29" customHeight="1" s="76">
      <c r="A38" s="23" t="inlineStr">
        <is>
          <t>EV_SRC_HMRH_1404_001_p29</t>
        </is>
      </c>
      <c r="B38" s="23" t="inlineStr">
        <is>
          <t>SRC_HMRH_1404_001</t>
        </is>
      </c>
      <c r="C38" s="23" t="inlineStr">
        <is>
          <t>همراه</t>
        </is>
      </c>
      <c r="D38" s="23" t="inlineStr">
        <is>
          <t>گزارش فعالیت هیئت مدیره دوره ۱۲ ماهه منتهی به ۱۴۰۴/۱۲/۲۹</t>
        </is>
      </c>
      <c r="E38" s="23" t="inlineStr">
        <is>
          <t>1546925</t>
        </is>
      </c>
      <c r="F38" s="23" t="inlineStr">
        <is>
          <t>1405/03/17 22:38</t>
        </is>
      </c>
      <c r="G38" s="23" t="inlineStr">
        <is>
          <t>FY1404 (…/12/29)</t>
        </is>
      </c>
      <c r="H38" s="23" t="n">
        <v>29</v>
      </c>
      <c r="I38" s="23" t="n">
        <v>28</v>
      </c>
      <c r="J38" s="23" t="inlineStr">
        <is>
          <t>https://www.codal.ir/Reports/Attachment.aspx?LetterSerial=Ln6R9zsWXNJqeuz97OOObOOOaACw%3d%3d</t>
        </is>
      </c>
      <c r="K38" s="23" t="inlineStr">
        <is>
          <t>sources/codal/همراه/1404/original/SRC_HMRH_1404_001_attachment_1.pdf</t>
        </is>
      </c>
      <c r="L38" s="23" t="inlineStr">
        <is>
          <t>evidence/pages/EV_SRC_HMRH_1404_001_p29.png</t>
        </is>
      </c>
      <c r="M38" s="23" t="inlineStr">
        <is>
          <t>جدول «کمیته حسابرسی» (۵ ردیف)</t>
        </is>
      </c>
      <c r="N38" s="23" t="inlineStr">
        <is>
          <t>بله</t>
        </is>
      </c>
    </row>
    <row r="39" ht="29" customHeight="1" s="76">
      <c r="A39" s="25" t="inlineStr">
        <is>
          <t>EV_SRC_MELT_1404_002_p53</t>
        </is>
      </c>
      <c r="B39" s="25" t="inlineStr">
        <is>
          <t>SRC_MELT_1404_002</t>
        </is>
      </c>
      <c r="C39" s="25" t="inlineStr">
        <is>
          <t>وبملت</t>
        </is>
      </c>
      <c r="D39" s="25" t="inlineStr">
        <is>
          <t>گزارش فعالیت هیئت مدیره دوره ۱۲ ماهه منتهی به ۱۴۰۴/۱۲/۲۹</t>
        </is>
      </c>
      <c r="E39" s="25" t="inlineStr">
        <is>
          <t>1572964</t>
        </is>
      </c>
      <c r="F39" s="25" t="inlineStr">
        <is>
          <t>1405/04/31 04:04</t>
        </is>
      </c>
      <c r="G39" s="25" t="inlineStr">
        <is>
          <t>FY1404 (…/12/29)</t>
        </is>
      </c>
      <c r="H39" s="25" t="n">
        <v>53</v>
      </c>
      <c r="I39" s="25" t="n">
        <v>53</v>
      </c>
      <c r="J39" s="25" t="inlineStr">
        <is>
          <t>https://www.codal.ir/Reports/Attachment.aspx?LetterSerial=THFdwqreiTgzbTNvC0gJkg%3d%3d</t>
        </is>
      </c>
      <c r="K39" s="25" t="inlineStr">
        <is>
          <t>sources/codal/وبملت/1404/original/SRC_MELT_1404_002_attachment_1.pdf</t>
        </is>
      </c>
      <c r="L39" s="25" t="inlineStr">
        <is>
          <t>evidence/pages/EV_SRC_MELT_1404_002_p53.png</t>
        </is>
      </c>
      <c r="M39" s="25" t="inlineStr">
        <is>
          <t>«الف- اعضای کمیته حسابرسی» ۵ کارت (۴ عضو + دبیر)</t>
        </is>
      </c>
      <c r="N39" s="25" t="inlineStr">
        <is>
          <t>بله</t>
        </is>
      </c>
    </row>
    <row r="40" ht="43.5" customHeight="1" s="76">
      <c r="A40" s="23" t="inlineStr">
        <is>
          <t>EV_SRC_MELT_1404_002_p54</t>
        </is>
      </c>
      <c r="B40" s="23" t="inlineStr">
        <is>
          <t>SRC_MELT_1404_002</t>
        </is>
      </c>
      <c r="C40" s="23" t="inlineStr">
        <is>
          <t>وبملت</t>
        </is>
      </c>
      <c r="D40" s="23" t="inlineStr">
        <is>
          <t>گزارش فعالیت هیئت مدیره دوره ۱۲ ماهه منتهی به ۱۴۰۴/۱۲/۲۹</t>
        </is>
      </c>
      <c r="E40" s="23" t="inlineStr">
        <is>
          <t>1572964</t>
        </is>
      </c>
      <c r="F40" s="23" t="inlineStr">
        <is>
          <t>1405/04/31 04:04</t>
        </is>
      </c>
      <c r="G40" s="23" t="inlineStr">
        <is>
          <t>FY1404 (…/12/29)</t>
        </is>
      </c>
      <c r="H40" s="23" t="n">
        <v>54</v>
      </c>
      <c r="I40" s="23" t="inlineStr">
        <is>
          <t>برابر شماره فایل یا نامشخص</t>
        </is>
      </c>
      <c r="J40" s="23" t="inlineStr">
        <is>
          <t>https://www.codal.ir/Reports/Attachment.aspx?LetterSerial=THFdwqreiTgzbTNvC0gJkg%3d%3d</t>
        </is>
      </c>
      <c r="K40" s="23" t="inlineStr">
        <is>
          <t>sources/codal/وبملت/1404/original/SRC_MELT_1404_002_attachment_1.pdf</t>
        </is>
      </c>
      <c r="L40" s="23" t="inlineStr">
        <is>
          <t>evidence/pages/EV_SRC_MELT_1404_002_p54.png</t>
        </is>
      </c>
      <c r="M40" s="23" t="inlineStr">
        <is>
          <t>صفحه کمکی (جلسات، حضور، پیوست یا تکمیل جدول)</t>
        </is>
      </c>
      <c r="N40" s="23" t="inlineStr">
        <is>
          <t>بله</t>
        </is>
      </c>
    </row>
    <row r="41" ht="43.5" customHeight="1" s="76">
      <c r="A41" s="25" t="inlineStr">
        <is>
          <t>EV_SRC_MELT_1404_002_p55</t>
        </is>
      </c>
      <c r="B41" s="25" t="inlineStr">
        <is>
          <t>SRC_MELT_1404_002</t>
        </is>
      </c>
      <c r="C41" s="25" t="inlineStr">
        <is>
          <t>وبملت</t>
        </is>
      </c>
      <c r="D41" s="25" t="inlineStr">
        <is>
          <t>گزارش فعالیت هیئت مدیره دوره ۱۲ ماهه منتهی به ۱۴۰۴/۱۲/۲۹</t>
        </is>
      </c>
      <c r="E41" s="25" t="inlineStr">
        <is>
          <t>1572964</t>
        </is>
      </c>
      <c r="F41" s="25" t="inlineStr">
        <is>
          <t>1405/04/31 04:04</t>
        </is>
      </c>
      <c r="G41" s="25" t="inlineStr">
        <is>
          <t>FY1404 (…/12/29)</t>
        </is>
      </c>
      <c r="H41" s="25" t="n">
        <v>55</v>
      </c>
      <c r="I41" s="25" t="inlineStr">
        <is>
          <t>برابر شماره فایل یا نامشخص</t>
        </is>
      </c>
      <c r="J41" s="25" t="inlineStr">
        <is>
          <t>https://www.codal.ir/Reports/Attachment.aspx?LetterSerial=THFdwqreiTgzbTNvC0gJkg%3d%3d</t>
        </is>
      </c>
      <c r="K41" s="25" t="inlineStr">
        <is>
          <t>sources/codal/وبملت/1404/original/SRC_MELT_1404_002_attachment_1.pdf</t>
        </is>
      </c>
      <c r="L41" s="25" t="inlineStr">
        <is>
          <t>evidence/pages/EV_SRC_MELT_1404_002_p55.png</t>
        </is>
      </c>
      <c r="M41" s="25" t="inlineStr">
        <is>
          <t>صفحه کمکی (جلسات، حضور، پیوست یا تکمیل جدول)</t>
        </is>
      </c>
      <c r="N41" s="25" t="inlineStr">
        <is>
          <t>بله</t>
        </is>
      </c>
    </row>
    <row r="42" ht="43.5" customHeight="1" s="76">
      <c r="A42" s="23" t="inlineStr">
        <is>
          <t>EV_SRC_VBSD_1404_001_p49</t>
        </is>
      </c>
      <c r="B42" s="23" t="inlineStr">
        <is>
          <t>SRC_VBSD_1404_001</t>
        </is>
      </c>
      <c r="C42" s="23" t="inlineStr">
        <is>
          <t>وبصادر</t>
        </is>
      </c>
      <c r="D42" s="23" t="inlineStr">
        <is>
          <t>گزارش فعالیت هیئت مدیره دوره ۱۲ ماهه منتهی به ۱۴۰۴/۱۲/۲۹</t>
        </is>
      </c>
      <c r="E42" s="23" t="inlineStr">
        <is>
          <t>1573026</t>
        </is>
      </c>
      <c r="F42" s="23" t="inlineStr">
        <is>
          <t>1405/04/31 10:58</t>
        </is>
      </c>
      <c r="G42" s="23" t="inlineStr">
        <is>
          <t>FY1404 (…/12/29)</t>
        </is>
      </c>
      <c r="H42" s="23" t="n">
        <v>49</v>
      </c>
      <c r="I42" s="23" t="n">
        <v>49</v>
      </c>
      <c r="J42" s="23" t="inlineStr">
        <is>
          <t>https://www.codal.ir/Reports/Attachment.aspx?LetterSerial=p0cfFj1rDsXiFZsu35tCWw%3d%3d</t>
        </is>
      </c>
      <c r="K42" s="23" t="inlineStr">
        <is>
          <t>sources/codal/وبصادر/1404/original/SRC_VBSD_1404_001_attachment_1.pdf</t>
        </is>
      </c>
      <c r="L42" s="23" t="inlineStr">
        <is>
          <t>evidence/pages/EV_SRC_VBSD_1404_001_p49.png</t>
        </is>
      </c>
      <c r="M42" s="23" t="inlineStr">
        <is>
          <t>«تعداد اعضای کمیته ۶ عضو، مشتمل بر عضو هیئت‌مدیره به‌عنوان رئیس کمیته و چهار عضو مستقل خبره… و دبیر کمیته»</t>
        </is>
      </c>
      <c r="N42" s="23" t="inlineStr">
        <is>
          <t>بله</t>
        </is>
      </c>
    </row>
    <row r="43" ht="43.5" customHeight="1" s="76">
      <c r="A43" s="25" t="inlineStr">
        <is>
          <t>EV_SRC_VBSD_1404_001_p50</t>
        </is>
      </c>
      <c r="B43" s="25" t="inlineStr">
        <is>
          <t>SRC_VBSD_1404_001</t>
        </is>
      </c>
      <c r="C43" s="25" t="inlineStr">
        <is>
          <t>وبصادر</t>
        </is>
      </c>
      <c r="D43" s="25" t="inlineStr">
        <is>
          <t>گزارش فعالیت هیئت مدیره دوره ۱۲ ماهه منتهی به ۱۴۰۴/۱۲/۲۹</t>
        </is>
      </c>
      <c r="E43" s="25" t="inlineStr">
        <is>
          <t>1573026</t>
        </is>
      </c>
      <c r="F43" s="25" t="inlineStr">
        <is>
          <t>1405/04/31 10:58</t>
        </is>
      </c>
      <c r="G43" s="25" t="inlineStr">
        <is>
          <t>FY1404 (…/12/29)</t>
        </is>
      </c>
      <c r="H43" s="25" t="n">
        <v>50</v>
      </c>
      <c r="I43" s="25" t="inlineStr">
        <is>
          <t>برابر شماره فایل یا نامشخص</t>
        </is>
      </c>
      <c r="J43" s="25" t="inlineStr">
        <is>
          <t>https://www.codal.ir/Reports/Attachment.aspx?LetterSerial=p0cfFj1rDsXiFZsu35tCWw%3d%3d</t>
        </is>
      </c>
      <c r="K43" s="25" t="inlineStr">
        <is>
          <t>sources/codal/وبصادر/1404/original/SRC_VBSD_1404_001_attachment_1.pdf</t>
        </is>
      </c>
      <c r="L43" s="25" t="inlineStr">
        <is>
          <t>evidence/pages/EV_SRC_VBSD_1404_001_p50.png</t>
        </is>
      </c>
      <c r="M43" s="25" t="inlineStr">
        <is>
          <t>صفحه کمکی (جلسات، حضور، پیوست یا تکمیل جدول)</t>
        </is>
      </c>
      <c r="N43" s="25" t="inlineStr">
        <is>
          <t>بله</t>
        </is>
      </c>
    </row>
    <row r="44" ht="58" customHeight="1" s="76">
      <c r="A44" s="23" t="inlineStr">
        <is>
          <t>EV_SRC_VPSR_1404_ICR1526305_p1</t>
        </is>
      </c>
      <c r="B44" s="23" t="inlineStr">
        <is>
          <t>SRC_VPSR_1404_ICR(1526305)</t>
        </is>
      </c>
      <c r="C44" s="23" t="inlineStr">
        <is>
          <t>وپاسار</t>
        </is>
      </c>
      <c r="D44" s="23" t="inlineStr">
        <is>
          <t>گزارش کنترل های داخلی در تاریخ ۱۴۰۴/۱۲/۲۹ (بانک پاسارگاد)</t>
        </is>
      </c>
      <c r="E44" s="23" t="inlineStr">
        <is>
          <t>1526305</t>
        </is>
      </c>
      <c r="F44" s="23" t="inlineStr">
        <is>
          <t>1405/02/27 08:57</t>
        </is>
      </c>
      <c r="G44" s="23" t="inlineStr">
        <is>
          <t>دوره ۱۲ ماهه منتهی به 1404/12/29</t>
        </is>
      </c>
      <c r="H44" s="23" t="n">
        <v>1</v>
      </c>
      <c r="I44" s="23" t="n">
        <v>1</v>
      </c>
      <c r="J44" s="23" t="inlineStr">
        <is>
          <t>https://www.codal.ir/Reports/Decision.aspx?LetterSerial=UtkvD7QAtPic497u28Cz6g%3d%3d&amp;rt=3&amp;let=90&amp;ct=0&amp;ft=-1</t>
        </is>
      </c>
      <c r="K44" s="23" t="inlineStr">
        <is>
          <t>evidence/docs/EV_VPSR_ICR_1526305.pdf</t>
        </is>
      </c>
      <c r="L44" s="23" t="inlineStr">
        <is>
          <t>evidence/pages/EV_SRC_VPSR_1404_ICR1526305_p1.png</t>
        </is>
      </c>
      <c r="M44" s="23" t="inlineStr">
        <is>
          <t>گزارش کنترل‌های داخلی: «عدم توافق با اهمیت بین کمیته حسابرسی و هیئت‌مدیره وجود ندارد» (جمله قالبی)؛ گزارش FY1403: فقط «کارگروه حسابرسی داخلی» در فهرست کارگروه‌ها</t>
        </is>
      </c>
      <c r="N44" s="23" t="inlineStr">
        <is>
          <t>بله</t>
        </is>
      </c>
    </row>
    <row r="45" ht="43.5" customHeight="1" s="76">
      <c r="A45" s="25" t="inlineStr">
        <is>
          <t>EV_SRC_VPSR_1404_ICR1526305_p2</t>
        </is>
      </c>
      <c r="B45" s="25" t="inlineStr">
        <is>
          <t>SRC_VPSR_1404_ICR(1526305)</t>
        </is>
      </c>
      <c r="C45" s="25" t="inlineStr">
        <is>
          <t>وپاسار</t>
        </is>
      </c>
      <c r="D45" s="25" t="inlineStr">
        <is>
          <t>گزارش کنترل های داخلی در تاریخ ۱۴۰۴/۱۲/۲۹ (بانک پاسارگاد)</t>
        </is>
      </c>
      <c r="E45" s="25" t="inlineStr">
        <is>
          <t>1526305</t>
        </is>
      </c>
      <c r="F45" s="25" t="inlineStr">
        <is>
          <t>1405/02/27 08:57</t>
        </is>
      </c>
      <c r="G45" s="25" t="inlineStr">
        <is>
          <t>دوره ۱۲ ماهه منتهی به 1404/12/29</t>
        </is>
      </c>
      <c r="H45" s="25" t="n">
        <v>2</v>
      </c>
      <c r="I45" s="25" t="inlineStr">
        <is>
          <t>برابر شماره فایل یا نامشخص</t>
        </is>
      </c>
      <c r="J45" s="25" t="inlineStr">
        <is>
          <t>https://www.codal.ir/Reports/Decision.aspx?LetterSerial=UtkvD7QAtPic497u28Cz6g%3d%3d&amp;rt=3&amp;let=90&amp;ct=0&amp;ft=-1</t>
        </is>
      </c>
      <c r="K45" s="25" t="inlineStr">
        <is>
          <t>evidence/docs/EV_VPSR_ICR_1526305.pdf</t>
        </is>
      </c>
      <c r="L45" s="25" t="inlineStr">
        <is>
          <t>evidence/pages/EV_SRC_VPSR_1404_ICR1526305_p2.png</t>
        </is>
      </c>
      <c r="M45" s="25" t="inlineStr">
        <is>
          <t>صفحه کمکی (جلسات، حضور، پیوست یا تکمیل جدول)</t>
        </is>
      </c>
      <c r="N45" s="25" t="inlineStr">
        <is>
          <t>بله</t>
        </is>
      </c>
    </row>
    <row r="46" ht="43.5" customHeight="1" s="76">
      <c r="A46" s="23" t="inlineStr">
        <is>
          <t>EV_SRC_HKSH_1404_002_p89</t>
        </is>
      </c>
      <c r="B46" s="23" t="inlineStr">
        <is>
          <t>SRC_HKSH_1404_002</t>
        </is>
      </c>
      <c r="C46" s="23" t="inlineStr">
        <is>
          <t>حکشتی</t>
        </is>
      </c>
      <c r="D46" s="23" t="inlineStr">
        <is>
          <t>گزارش فعالیت هیئت مدیره دوره ۱۲ ماهه منتهی به ۱۴۰۴/۰۳/۳۱</t>
        </is>
      </c>
      <c r="E46" s="23" t="inlineStr">
        <is>
          <t>1413901</t>
        </is>
      </c>
      <c r="F46" s="23" t="inlineStr">
        <is>
          <t>1404/07/09 18:40</t>
        </is>
      </c>
      <c r="G46" s="23" t="inlineStr">
        <is>
          <t>FYE 1404/03/31 (1403/04/01 تا 1404/03/31)</t>
        </is>
      </c>
      <c r="H46" s="23" t="n">
        <v>89</v>
      </c>
      <c r="I46" s="23" t="n">
        <v>84</v>
      </c>
      <c r="J46" s="23" t="inlineStr">
        <is>
          <t>https://www.codal.ir/Reports/Attachment.aspx?LetterSerial=3QQQaQQQITPSQQQaQQQ3dbYPQY9zB0bgKA%3d%3d</t>
        </is>
      </c>
      <c r="K46" s="23" t="inlineStr">
        <is>
          <t>sources/codal/حکشتی/1404/original/SRC_HKSH_1404_002_attachment_1.pdf</t>
        </is>
      </c>
      <c r="L46" s="23" t="inlineStr">
        <is>
          <t>evidence/pages/EV_SRC_HKSH_1404_002_p89.png</t>
        </is>
      </c>
      <c r="M46" s="23" t="inlineStr">
        <is>
          <t>جدول «کمیته حسابرسی» ۵ ردیف بدون نام + دبیر</t>
        </is>
      </c>
      <c r="N46" s="23" t="inlineStr">
        <is>
          <t>خیر</t>
        </is>
      </c>
    </row>
    <row r="47" ht="43.5" customHeight="1" s="76">
      <c r="A47" s="25" t="inlineStr">
        <is>
          <t>EV_SRC_SHPD_1404_001_p23</t>
        </is>
      </c>
      <c r="B47" s="25" t="inlineStr">
        <is>
          <t>SRC_SHPD_1404_001</t>
        </is>
      </c>
      <c r="C47" s="25" t="inlineStr">
        <is>
          <t>شپدیس</t>
        </is>
      </c>
      <c r="D47" s="25" t="inlineStr">
        <is>
          <t>گزارش فعالیت هیئت مدیره دوره ۱۲ ماهه منتهی به ۱۴۰۴/۰۶/۳۱</t>
        </is>
      </c>
      <c r="E47" s="25" t="inlineStr">
        <is>
          <t>1454478</t>
        </is>
      </c>
      <c r="F47" s="25" t="inlineStr">
        <is>
          <t>1404/09/19 14:48</t>
        </is>
      </c>
      <c r="G47" s="25" t="inlineStr">
        <is>
          <t>FYE 1404/06/31 (1403/07/01 تا 1404/06/31)</t>
        </is>
      </c>
      <c r="H47" s="25" t="n">
        <v>23</v>
      </c>
      <c r="I47" s="25" t="n">
        <v>22</v>
      </c>
      <c r="J47" s="25" t="inlineStr">
        <is>
          <t>https://www.codal.ir/Reports/Attachment.aspx?LetterSerial=t1tQQQaQQQcNvwpPS9GfIrOV6OOObOOOiQ%3d%3d</t>
        </is>
      </c>
      <c r="K47" s="25" t="inlineStr">
        <is>
          <t>sources/codal/شپدیس/1404/original/SRC_SHPD_1404_001_attachment_1.pdf</t>
        </is>
      </c>
      <c r="L47" s="25" t="inlineStr">
        <is>
          <t>evidence/pages/EV_SRC_SHPD_1404_001_p23.png</t>
        </is>
      </c>
      <c r="M47" s="25" t="inlineStr">
        <is>
          <t>«مشخصات اعضای کمیته حسابرسی» جدول ۴ ردیف (شامل دبیر)؛ کمیته از ۱۳۹۱/۰۷/۱۶ ایجاد شده</t>
        </is>
      </c>
      <c r="N47" s="25" t="inlineStr">
        <is>
          <t>خیر</t>
        </is>
      </c>
    </row>
    <row r="48" ht="43.5" customHeight="1" s="76">
      <c r="A48" s="23" t="inlineStr">
        <is>
          <t>EV_SRC_SHPD_1404_001_p24</t>
        </is>
      </c>
      <c r="B48" s="23" t="inlineStr">
        <is>
          <t>SRC_SHPD_1404_001</t>
        </is>
      </c>
      <c r="C48" s="23" t="inlineStr">
        <is>
          <t>شپدیس</t>
        </is>
      </c>
      <c r="D48" s="23" t="inlineStr">
        <is>
          <t>گزارش فعالیت هیئت مدیره دوره ۱۲ ماهه منتهی به ۱۴۰۴/۰۶/۳۱</t>
        </is>
      </c>
      <c r="E48" s="23" t="inlineStr">
        <is>
          <t>1454478</t>
        </is>
      </c>
      <c r="F48" s="23" t="inlineStr">
        <is>
          <t>1404/09/19 14:48</t>
        </is>
      </c>
      <c r="G48" s="23" t="inlineStr">
        <is>
          <t>FYE 1404/06/31 (1403/07/01 تا 1404/06/31)</t>
        </is>
      </c>
      <c r="H48" s="23" t="n">
        <v>24</v>
      </c>
      <c r="I48" s="23" t="inlineStr">
        <is>
          <t>برابر شماره فایل یا نامشخص</t>
        </is>
      </c>
      <c r="J48" s="23" t="inlineStr">
        <is>
          <t>https://www.codal.ir/Reports/Attachment.aspx?LetterSerial=t1tQQQaQQQcNvwpPS9GfIrOV6OOObOOOiQ%3d%3d</t>
        </is>
      </c>
      <c r="K48" s="23" t="inlineStr">
        <is>
          <t>sources/codal/شپدیس/1404/original/SRC_SHPD_1404_001_attachment_1.pdf</t>
        </is>
      </c>
      <c r="L48" s="23" t="inlineStr">
        <is>
          <t>evidence/pages/EV_SRC_SHPD_1404_001_p24.png</t>
        </is>
      </c>
      <c r="M48" s="23" t="inlineStr">
        <is>
          <t>صفحه کمکی (جلسات، حضور، پیوست یا تکمیل جدول)</t>
        </is>
      </c>
      <c r="N48" s="23" t="inlineStr">
        <is>
          <t>خیر</t>
        </is>
      </c>
    </row>
  </sheetData>
  <mergeCells count="2">
    <mergeCell ref="A2:N2"/>
    <mergeCell ref="A1:N1"/>
  </mergeCells>
  <pageMargins left="0.75" right="0.75" top="1" bottom="1" header="0.5" footer="0.5"/>
</worksheet>
</file>

<file path=xl/worksheets/sheet73.xml><?xml version="1.0" encoding="utf-8"?>
<worksheet xmlns="http://schemas.openxmlformats.org/spreadsheetml/2006/main">
  <sheetPr>
    <tabColor rgb="FF548235"/>
    <outlinePr summaryBelow="1" summaryRight="1"/>
    <pageSetUpPr/>
  </sheetPr>
  <dimension ref="A1:K1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76" min="1" max="1"/>
    <col width="24" customWidth="1" style="76" min="2" max="2"/>
    <col width="20" customWidth="1" style="76" min="3" max="3"/>
    <col width="70" customWidth="1" style="76" min="4" max="4"/>
    <col width="9" customWidth="1" style="76" min="5" max="5"/>
    <col width="22" customWidth="1" style="76" min="6" max="7"/>
    <col width="36" customWidth="1" style="76" min="8" max="8"/>
    <col width="24" customWidth="1" style="76" min="9" max="9"/>
    <col width="22" customWidth="1" style="76" min="10" max="10"/>
    <col width="28" customWidth="1" style="76" min="11" max="11"/>
  </cols>
  <sheetData>
    <row r="1" ht="30" customHeight="1" s="76">
      <c r="A1" s="87" t="inlineStr">
        <is>
          <t>فرهنگ داده کمیته حسابرسی v40</t>
        </is>
      </c>
    </row>
    <row r="2" ht="22" customHeight="1" s="76">
      <c r="A2" s="85" t="inlineStr">
        <is>
          <t>تعریف کدهای AUD01 تا N16 از فایل های مبنا حفظ شده است. ACX01 و ACX02 کدهای تازه و غیرمتداخل اند. هیچ وزن، رتبه یا شاخص ترکیبی ساخته نشده است.</t>
        </is>
      </c>
    </row>
    <row r="3" ht="30" customHeight="1" s="76">
      <c r="A3" s="24" t="inlineStr">
        <is>
          <t>کد</t>
        </is>
      </c>
      <c r="B3" s="24" t="inlineStr">
        <is>
          <t>نام</t>
        </is>
      </c>
      <c r="C3" s="24" t="inlineStr">
        <is>
          <t>وضعیت</t>
        </is>
      </c>
      <c r="D3" s="24" t="inlineStr">
        <is>
          <t>تعریف عملیاتی</t>
        </is>
      </c>
      <c r="E3" s="24" t="inlineStr">
        <is>
          <t>واحد</t>
        </is>
      </c>
      <c r="F3" s="24" t="inlineStr">
        <is>
          <t>صورت</t>
        </is>
      </c>
      <c r="G3" s="24" t="inlineStr">
        <is>
          <t>مخرج</t>
        </is>
      </c>
      <c r="H3" s="24" t="inlineStr">
        <is>
          <t>قاعده داده مفقود</t>
        </is>
      </c>
      <c r="I3" s="24" t="inlineStr">
        <is>
          <t>دامنه زمانی</t>
        </is>
      </c>
      <c r="J3" s="24" t="inlineStr">
        <is>
          <t>نقش پژوهشی</t>
        </is>
      </c>
      <c r="K3" s="24" t="inlineStr">
        <is>
          <t>ستون فرمول در AC Company v40</t>
        </is>
      </c>
    </row>
    <row r="4" ht="29" customHeight="1" s="76">
      <c r="A4" s="23" t="inlineStr">
        <is>
          <t>AUD01</t>
        </is>
      </c>
      <c r="B4" s="23" t="inlineStr">
        <is>
          <t>وجود کمیته حسابرسی</t>
        </is>
      </c>
      <c r="C4" s="23" t="inlineStr">
        <is>
          <t>سنجه موجود، حفظ تعریف</t>
        </is>
      </c>
      <c r="D4" s="23" t="inlineStr">
        <is>
          <t>یک اگر افشای رسمی صریح مربوط به دوره هدف کمیته را تایید کند. صفر فقط با شاهد صریح نبود برای همان دوره. نبود سند یا خطای دسترسی صفر نیست.</t>
        </is>
      </c>
      <c r="E4" s="23" t="inlineStr">
        <is>
          <t>صفر یا یک</t>
        </is>
      </c>
      <c r="F4" s="23" t="inlineStr">
        <is>
          <t>شرکت با تایید صریح</t>
        </is>
      </c>
      <c r="G4" s="23" t="inlineStr">
        <is>
          <t>۳۰ شرکت</t>
        </is>
      </c>
      <c r="H4" s="23" t="inlineStr">
        <is>
          <t>نامشخص خالی می ماند</t>
        </is>
      </c>
      <c r="I4" s="23" t="inlineStr">
        <is>
          <t>دوره مالی ۱۴۰۴ هر شرکت</t>
        </is>
      </c>
      <c r="J4" s="23" t="inlineStr">
        <is>
          <t>سنجه موجود (نقش در معماری بدون تغییر)</t>
        </is>
      </c>
      <c r="K4" s="23" t="inlineStr">
        <is>
          <t>AUD01 وجود کمیته</t>
        </is>
      </c>
    </row>
    <row r="5" ht="43.5" customHeight="1" s="76">
      <c r="A5" s="25" t="inlineStr">
        <is>
          <t>AUD02</t>
        </is>
      </c>
      <c r="B5" s="25" t="inlineStr">
        <is>
          <t>اندازه کمیته حسابرسی</t>
        </is>
      </c>
      <c r="C5" s="25" t="inlineStr">
        <is>
          <t>سنجه موجود، حفظ تعریف</t>
        </is>
      </c>
      <c r="D5" s="25" t="inlineStr">
        <is>
          <t>تعداد افراد یکتای عضو (طبقه MEMBER) در فهرست کامل و معتبر همان مقطع. دبیر، مدعو و عضو پیشین یا شروع پس از مقطع شمرده نمی شود. تعداد اعلام شده در متن جدا نگه داشته می شود.</t>
        </is>
      </c>
      <c r="E5" s="25" t="inlineStr">
        <is>
          <t>نفر</t>
        </is>
      </c>
      <c r="F5" s="25" t="inlineStr">
        <is>
          <t>اعضای یکتا</t>
        </is>
      </c>
      <c r="G5" s="25" t="inlineStr">
        <is>
          <t>ندارد</t>
        </is>
      </c>
      <c r="H5" s="25" t="inlineStr">
        <is>
          <t>فهرست ناقص: فقط تعداد مشاهده شده در برگه جدا، مقدار نهایی خالی</t>
        </is>
      </c>
      <c r="I5" s="25" t="inlineStr">
        <is>
          <t>مقطع پایان دوره مالی ۱۴۰۴ هر شرکت</t>
        </is>
      </c>
      <c r="J5" s="25" t="inlineStr">
        <is>
          <t>Robustness (نقش بدون تغییر)</t>
        </is>
      </c>
      <c r="K5" s="25" t="inlineStr">
        <is>
          <t>AUD02 اندازه کمیته (نهایی)</t>
        </is>
      </c>
    </row>
    <row r="6" ht="43.5" customHeight="1" s="76">
      <c r="A6" s="23" t="inlineStr">
        <is>
          <t>N14</t>
        </is>
      </c>
      <c r="B6" s="23" t="inlineStr">
        <is>
          <t>استقلال کمیته حسابرسی</t>
        </is>
      </c>
      <c r="C6" s="23" t="inlineStr">
        <is>
          <t>کاندید موجود، حفظ تعریف</t>
        </is>
      </c>
      <c r="D6" s="23" t="inlineStr">
        <is>
          <t>تعداد اعضای مستقل مستند (برچسب صریح همان عضو در کمیته) تقسیم بر کل اعضای MEMBER. نسبت فقط وقتی تولید می شود که فهرست تاییدشده و تعداد نامشخص صفر باشد. غیرموظف بودن، خارج از شرکت بودن و مستقل بودن یک مفهوم نیست.</t>
        </is>
      </c>
      <c r="E6" s="23" t="inlineStr">
        <is>
          <t>نسبت</t>
        </is>
      </c>
      <c r="F6" s="23" t="inlineStr">
        <is>
          <t>مستقل مستند</t>
        </is>
      </c>
      <c r="G6" s="23" t="inlineStr">
        <is>
          <t>کل اعضای MEMBER</t>
        </is>
      </c>
      <c r="H6" s="23" t="inlineStr">
        <is>
          <t>نامشخص نرخ دقیق ندارد؛ نسبت در میان قابل ارزیابی جدا و با عنوان روشن</t>
        </is>
      </c>
      <c r="I6" s="23" t="inlineStr">
        <is>
          <t>مقطع پایان دوره مالی ۱۴۰۴</t>
        </is>
      </c>
      <c r="J6" s="23" t="inlineStr">
        <is>
          <t>کاندید (اعتبارسنجی هدفمند)</t>
        </is>
      </c>
      <c r="K6" s="23" t="inlineStr">
        <is>
          <t>N14 استقلال کمیته (کل اعضا)</t>
        </is>
      </c>
    </row>
    <row r="7" ht="58" customHeight="1" s="76">
      <c r="A7" s="25" t="inlineStr">
        <is>
          <t>N15</t>
        </is>
      </c>
      <c r="B7" s="25" t="inlineStr">
        <is>
          <t>وجود حداقل یک عضو متخصص مالی</t>
        </is>
      </c>
      <c r="C7" s="25" t="inlineStr">
        <is>
          <t>کاندید موجود، حفظ تعریف</t>
        </is>
      </c>
      <c r="D7" s="25" t="inlineStr">
        <is>
          <t>یک اگر دست کم یک عضو MEMBER تخصص مالی مستند داشته باشد: مدرک حسابداری، حسابرسی یا مالی، یا شاهد صریح سابقه مالی و حسابرسی، یا برچسب صریح عضو مالی در سند. مدرک اقتصاد به تنهایی کافی نیست (فقط ECON). صفر هرگز ثبت نشده است چون فهرست و شواهد همه اعضا برای صفر کافی نبود.</t>
        </is>
      </c>
      <c r="E7" s="25" t="inlineStr">
        <is>
          <t>صفر یا یک</t>
        </is>
      </c>
      <c r="F7" s="25" t="inlineStr">
        <is>
          <t>حداقل یک متخصص</t>
        </is>
      </c>
      <c r="G7" s="25" t="inlineStr">
        <is>
          <t>ندارد</t>
        </is>
      </c>
      <c r="H7" s="25" t="inlineStr">
        <is>
          <t>نبود شاهد برابر نداشتن تخصص نیست؛ خالی</t>
        </is>
      </c>
      <c r="I7" s="25" t="inlineStr">
        <is>
          <t>مقطع پایان دوره مالی ۱۴۰۴</t>
        </is>
      </c>
      <c r="J7" s="25" t="inlineStr">
        <is>
          <t>کاندید (اعتبارسنجی هدفمند)</t>
        </is>
      </c>
      <c r="K7" s="25" t="inlineStr">
        <is>
          <t>N15 وجود متخصص مالی</t>
        </is>
      </c>
    </row>
    <row r="8" ht="29" customHeight="1" s="76">
      <c r="A8" s="23" t="inlineStr">
        <is>
          <t>N16</t>
        </is>
      </c>
      <c r="B8" s="23" t="inlineStr">
        <is>
          <t>تعداد جلسات کمیته حسابرسی</t>
        </is>
      </c>
      <c r="C8" s="23" t="inlineStr">
        <is>
          <t>کاندید موجود، حفظ تعریف</t>
        </is>
      </c>
      <c r="D8" s="23" t="inlineStr">
        <is>
          <t>تعداد جلسات صریح کمیته حسابرسی در دوره مالی گزارش. جلسات هیئت مدیره یا سایر کمیته ها و شماره تجمعی صورتجلسه وارد نمی شود. حضور اعضا جمع نمی شود.</t>
        </is>
      </c>
      <c r="E8" s="23" t="inlineStr">
        <is>
          <t>جلسه</t>
        </is>
      </c>
      <c r="F8" s="23" t="inlineStr">
        <is>
          <t>عدد صریح</t>
        </is>
      </c>
      <c r="G8" s="23" t="inlineStr">
        <is>
          <t>ندارد</t>
        </is>
      </c>
      <c r="H8" s="23" t="inlineStr">
        <is>
          <t>عدد صریح نیافته: خالی</t>
        </is>
      </c>
      <c r="I8" s="23" t="inlineStr">
        <is>
          <t>دوره مالی گزارش (طول دوره در ستون جدا)</t>
        </is>
      </c>
      <c r="J8" s="23" t="inlineStr">
        <is>
          <t>کاندید (اعتبارسنجی هدفمند)</t>
        </is>
      </c>
      <c r="K8" s="23" t="inlineStr">
        <is>
          <t>N16 تعداد جلسات</t>
        </is>
      </c>
    </row>
    <row r="9" ht="72.5" customHeight="1" s="76">
      <c r="A9" s="25" t="inlineStr">
        <is>
          <t>ACX01</t>
        </is>
      </c>
      <c r="B9" s="25" t="inlineStr">
        <is>
          <t>سهم اعضای دارای تخصص مالی مستند</t>
        </is>
      </c>
      <c r="C9" s="25" t="inlineStr">
        <is>
          <t>کاندید تکمیلی جدید</t>
        </is>
      </c>
      <c r="D9" s="25" t="inlineStr">
        <is>
          <t>تعداد اعضای MEMBER با تخصص مالی مستند تقسیم بر کل اعضای MEMBER. چون نبود شاهد به معنی نبود تخصص نیست، مقدار حد پایین است و فقط وقتی دقیق نامیده می شود که تعداد نامشخص تخصص صفر باشد. اگر هیچ عضوی مستند نشده و نامشخص وجود دارد مقدار تولید نمی شود (صفر نمی شود). با N15 هم پوشانی دارد و وارد ترکیب نمی شود.</t>
        </is>
      </c>
      <c r="E9" s="25" t="inlineStr">
        <is>
          <t>نسبت</t>
        </is>
      </c>
      <c r="F9" s="25" t="inlineStr">
        <is>
          <t>اعضا با تخصص مالی مستند</t>
        </is>
      </c>
      <c r="G9" s="25" t="inlineStr">
        <is>
          <t>کل اعضای MEMBER در فهرست تاییدشده</t>
        </is>
      </c>
      <c r="H9" s="25" t="inlineStr">
        <is>
          <t>فهرست ناقص: ثبت نمی شود</t>
        </is>
      </c>
      <c r="I9" s="25" t="inlineStr">
        <is>
          <t>مقطع پایان دوره مالی ۱۴۰۴</t>
        </is>
      </c>
      <c r="J9" s="25" t="inlineStr">
        <is>
          <t>کاندید تکمیلی (غیرنهایی)</t>
        </is>
      </c>
      <c r="K9" s="25" t="inlineStr">
        <is>
          <t>ACX01 سهم اعضای متخصص مالی (حد پایین)</t>
        </is>
      </c>
    </row>
    <row r="10" ht="72.5" customHeight="1" s="76">
      <c r="A10" s="23" t="inlineStr">
        <is>
          <t>ACX02</t>
        </is>
      </c>
      <c r="B10" s="23" t="inlineStr">
        <is>
          <t>نرخ حضور اعضای کمیته</t>
        </is>
      </c>
      <c r="C10" s="23" t="inlineStr">
        <is>
          <t>کاندید تکمیلی جدید</t>
        </is>
      </c>
      <c r="D10" s="23" t="inlineStr">
        <is>
          <t>جمع حضور واقعی اعضای MEMBER تقسیم بر جمع فرصت حضور همان اعضا. فرصت حضور فقط وقتی معلوم است که صریح باشد، یا عضو پیش از آغاز دوره عضو بوده و پایانی ندارد، یا حضور او برابر کل جلسات باشد. میانگین ساده نرخ های فردی استفاده نشده.</t>
        </is>
      </c>
      <c r="E10" s="23" t="inlineStr">
        <is>
          <t>نسبت</t>
        </is>
      </c>
      <c r="F10" s="23" t="inlineStr">
        <is>
          <t>مجموع حضور واقعی</t>
        </is>
      </c>
      <c r="G10" s="23" t="inlineStr">
        <is>
          <t>مجموع فرصت حضور</t>
        </is>
      </c>
      <c r="H10" s="23" t="inlineStr">
        <is>
          <t>عضو بدون فرصت معلوم از نرخ حذف می شود و تعداد اعضای مشمول ثبت می شود. نرخ شرکت فقط وقتی تولید می شود که دست کم دو عضو و دست کم نیمی از اعضای MEMBER مشمول باشند</t>
        </is>
      </c>
      <c r="I10" s="23" t="inlineStr">
        <is>
          <t>دوره جلسات همان گزارش</t>
        </is>
      </c>
      <c r="J10" s="23" t="inlineStr">
        <is>
          <t>کاندید تکمیلی (غیرنهایی)</t>
        </is>
      </c>
      <c r="K10" s="23" t="inlineStr">
        <is>
          <t>ACX02 نرخ حضور کمیته</t>
        </is>
      </c>
    </row>
    <row r="11" ht="43.5" customHeight="1" s="76">
      <c r="A11" s="25" t="inlineStr">
        <is>
          <t>TARGET</t>
        </is>
      </c>
      <c r="B11" s="25" t="inlineStr">
        <is>
          <t>مقطع هدف و دوره مالی</t>
        </is>
      </c>
      <c r="C11" s="25" t="inlineStr">
        <is>
          <t>تعریف ثبت شده</t>
        </is>
      </c>
      <c r="D11" s="25" t="inlineStr">
        <is>
          <t>برای هر شرکت پایان دوره مالی ۱۴۰۴ همان گزارش (FYE) مبنای ترکیب است؛ دوره مالی متفاوت شرکت ها یکسان سازی نشده است. شرکت های با پایان سال غیر از ۱۴۰۴/۱۲/۲۹ در ستون مقطع پرچم دارند. کچاد و کگل دوره ۹ ماهه انتقالی دارند.</t>
        </is>
      </c>
      <c r="E11" s="25" t="inlineStr">
        <is>
          <t>تاریخ</t>
        </is>
      </c>
      <c r="F11" s="25" t="inlineStr">
        <is>
          <t>ندارد</t>
        </is>
      </c>
      <c r="G11" s="25" t="inlineStr">
        <is>
          <t>ندارد</t>
        </is>
      </c>
      <c r="H11" s="25" t="inlineStr">
        <is>
          <t>ندارد</t>
        </is>
      </c>
      <c r="I11" s="25" t="inlineStr">
        <is>
          <t>دوره مالی ۱۴۰۴</t>
        </is>
      </c>
      <c r="J11" s="25" t="inlineStr">
        <is>
          <t>قاعده</t>
        </is>
      </c>
      <c r="K11" s="25" t="inlineStr">
        <is>
          <t>مقطع مبنا</t>
        </is>
      </c>
    </row>
    <row r="12" ht="43.5" customHeight="1" s="76">
      <c r="A12" s="23" t="inlineStr">
        <is>
          <t>ROLE</t>
        </is>
      </c>
      <c r="B12" s="23" t="inlineStr">
        <is>
          <t>طبقه نقش</t>
        </is>
      </c>
      <c r="C12" s="23" t="inlineStr">
        <is>
          <t>تعریف ثبت شده</t>
        </is>
      </c>
      <c r="D12" s="23" t="inlineStr">
        <is>
          <t>MEMBER عضو صریح؛ SECRETARY دبیر یا مدیر حسابرسی داخلی بدون عضویت صریح؛ FORMER عضو پایان یافته یا جایگزین شده؛ POST_ASOF شروع پس از مقطع. فقط MEMBER در شمارش ها وارد می شود.</t>
        </is>
      </c>
      <c r="E12" s="23" t="inlineStr">
        <is>
          <t>کد</t>
        </is>
      </c>
      <c r="F12" s="23" t="inlineStr">
        <is>
          <t>ندارد</t>
        </is>
      </c>
      <c r="G12" s="23" t="inlineStr">
        <is>
          <t>ندارد</t>
        </is>
      </c>
      <c r="H12" s="23" t="inlineStr">
        <is>
          <t>ندارد</t>
        </is>
      </c>
      <c r="I12" s="23" t="inlineStr">
        <is>
          <t>مقطع مبنا</t>
        </is>
      </c>
      <c r="J12" s="23" t="inlineStr">
        <is>
          <t>قاعده</t>
        </is>
      </c>
      <c r="K12" s="23" t="inlineStr">
        <is>
          <t>طبقه نقش</t>
        </is>
      </c>
    </row>
    <row r="13" ht="29" customHeight="1" s="76">
      <c r="A13" s="25" t="inlineStr">
        <is>
          <t>STATUS</t>
        </is>
      </c>
      <c r="B13" s="25" t="inlineStr">
        <is>
          <t>وضعیت شواهد</t>
        </is>
      </c>
      <c r="C13" s="25" t="inlineStr">
        <is>
          <t>تعریف ثبت شده</t>
        </is>
      </c>
      <c r="D13" s="25" t="inlineStr">
        <is>
          <t>تاییدشده، ناقص، متعارض، بررسی شده ولی افشا یافت نشد، منبع در دسترس نبود، هنوز بررسی نشده، قابل اعمال نیست. وضعیت از مقدار جدا ثبت می شود.</t>
        </is>
      </c>
      <c r="E13" s="25" t="inlineStr">
        <is>
          <t>متن</t>
        </is>
      </c>
      <c r="F13" s="25" t="inlineStr">
        <is>
          <t>ندارد</t>
        </is>
      </c>
      <c r="G13" s="25" t="inlineStr">
        <is>
          <t>ندارد</t>
        </is>
      </c>
      <c r="H13" s="25" t="inlineStr">
        <is>
          <t>ندارد</t>
        </is>
      </c>
      <c r="I13" s="25" t="inlineStr">
        <is>
          <t>ندارد</t>
        </is>
      </c>
      <c r="J13" s="25" t="inlineStr">
        <is>
          <t>قاعده</t>
        </is>
      </c>
      <c r="K13" s="25" t="inlineStr">
        <is>
          <t>ستون های وضعیت</t>
        </is>
      </c>
    </row>
  </sheetData>
  <mergeCells count="2">
    <mergeCell ref="A2:K2"/>
    <mergeCell ref="A1:K1"/>
  </mergeCells>
  <pageMargins left="0.75" right="0.75" top="1" bottom="1" header="0.5" footer="0.5"/>
</worksheet>
</file>

<file path=xl/worksheets/sheet74.xml><?xml version="1.0" encoding="utf-8"?>
<worksheet xmlns="http://schemas.openxmlformats.org/spreadsheetml/2006/main">
  <sheetPr>
    <tabColor rgb="FF548235"/>
    <outlinePr summaryBelow="1" summaryRight="1"/>
    <pageSetUpPr/>
  </sheetPr>
  <dimension ref="A1:H63"/>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76" min="1" max="1"/>
    <col width="12" customWidth="1" style="76" min="2" max="3"/>
    <col width="10" customWidth="1" style="76" min="4" max="5"/>
    <col width="16" customWidth="1" style="76" min="6" max="7"/>
    <col width="40" customWidth="1" style="76" min="8" max="8"/>
  </cols>
  <sheetData>
    <row r="1" ht="30" customHeight="1" s="76">
      <c r="A1" s="87" t="inlineStr">
        <is>
          <t>کاندیدهای تکمیلی کمیته حسابرسی v40</t>
        </is>
      </c>
    </row>
    <row r="2" ht="30" customHeight="1" s="76">
      <c r="A2" s="85" t="inlineStr">
        <is>
          <t>ACX01 و ACX02 سنجه نهایی نیستند. پوشش بالاتر به تنهایی مجوز ارتقا نیست. ستون نامشخص برای ACX02 تعداد اعضای MEMBER خارج از محاسبه نرخ است.</t>
        </is>
      </c>
    </row>
    <row r="3" ht="30" customHeight="1" s="76">
      <c r="A3" s="24" t="inlineStr">
        <is>
          <t>کد</t>
        </is>
      </c>
      <c r="B3" s="24" t="inlineStr">
        <is>
          <t>شرکت</t>
        </is>
      </c>
      <c r="C3" s="24" t="inlineStr">
        <is>
          <t>مقدار</t>
        </is>
      </c>
      <c r="D3" s="24" t="inlineStr">
        <is>
          <t>صورت</t>
        </is>
      </c>
      <c r="E3" s="24" t="inlineStr">
        <is>
          <t>مخرج</t>
        </is>
      </c>
      <c r="F3" s="24" t="inlineStr">
        <is>
          <t>تعداد نامشخص یا خارج از مخرج</t>
        </is>
      </c>
      <c r="G3" s="24" t="inlineStr">
        <is>
          <t>وضعیت</t>
        </is>
      </c>
      <c r="H3" s="24" t="inlineStr">
        <is>
          <t>یادداشت</t>
        </is>
      </c>
    </row>
    <row r="4" ht="20" customHeight="1" s="76">
      <c r="A4" s="23" t="inlineStr">
        <is>
          <t>ACX01</t>
        </is>
      </c>
      <c r="B4" s="23" t="inlineStr">
        <is>
          <t>فملی</t>
        </is>
      </c>
      <c r="C4" s="67">
        <f>'AC Company v40'!AC4</f>
        <v>0.8</v>
      </c>
      <c r="D4" s="23">
        <f>'AC Company v40'!W4</f>
        <v>4</v>
      </c>
      <c r="E4" s="23">
        <f>'AC Company v40'!K4</f>
        <v>5</v>
      </c>
      <c r="F4" s="23">
        <f>'AC Company v40'!X4</f>
        <v>1</v>
      </c>
      <c r="G4" s="23" t="str">
        <f>IF(ISNUMBER(C4),IF('AC Company v40'!AB4="کامل","دقیق","حد پایین"),"ثبت نشد")</f>
        <v>دقیق</v>
      </c>
      <c r="H4" s="23" t="inlineStr">
        <is>
          <t>کاندید تکمیلی؛ وارد ترکیب نمی شود</t>
        </is>
      </c>
    </row>
    <row r="5" ht="20" customHeight="1" s="76">
      <c r="A5" s="25" t="inlineStr">
        <is>
          <t>ACX01</t>
        </is>
      </c>
      <c r="B5" s="25" t="inlineStr">
        <is>
          <t>تاپیکو</t>
        </is>
      </c>
      <c r="C5" s="68">
        <f>'AC Company v40'!AC5</f>
        <v>0.2</v>
      </c>
      <c r="D5" s="25">
        <f>'AC Company v40'!W5</f>
        <v>1</v>
      </c>
      <c r="E5" s="25">
        <f>'AC Company v40'!K5</f>
        <v>5</v>
      </c>
      <c r="F5" s="25">
        <f>'AC Company v40'!X5</f>
        <v>4</v>
      </c>
      <c r="G5" s="25" t="str">
        <f>IF(ISNUMBER(C5),IF('AC Company v40'!AB5="کامل","دقیق","حد پایین"),"ثبت نشد")</f>
        <v>حد پایین</v>
      </c>
      <c r="H5" s="25" t="inlineStr">
        <is>
          <t>کاندید تکمیلی؛ وارد ترکیب نمی شود</t>
        </is>
      </c>
    </row>
    <row r="6" ht="20" customHeight="1" s="76">
      <c r="A6" s="23" t="inlineStr">
        <is>
          <t>ACX01</t>
        </is>
      </c>
      <c r="B6" s="23" t="inlineStr">
        <is>
          <t>فارس</t>
        </is>
      </c>
      <c r="C6" s="67">
        <f>'AC Company v40'!AC6</f>
        <v>0.6666666666666666</v>
      </c>
      <c r="D6" s="23">
        <f>'AC Company v40'!W6</f>
        <v>2</v>
      </c>
      <c r="E6" s="23">
        <f>'AC Company v40'!K6</f>
        <v>3</v>
      </c>
      <c r="F6" s="23">
        <f>'AC Company v40'!X6</f>
        <v>1</v>
      </c>
      <c r="G6" s="23" t="str">
        <f>IF(ISNUMBER(C6),IF('AC Company v40'!AB6="کامل","دقیق","حد پایین"),"ثبت نشد")</f>
        <v>دقیق</v>
      </c>
      <c r="H6" s="23" t="inlineStr">
        <is>
          <t>کاندید تکمیلی؛ وارد ترکیب نمی شود</t>
        </is>
      </c>
    </row>
    <row r="7" ht="20" customHeight="1" s="76">
      <c r="A7" s="25" t="inlineStr">
        <is>
          <t>ACX01</t>
        </is>
      </c>
      <c r="B7" s="25" t="inlineStr">
        <is>
          <t>خودرو</t>
        </is>
      </c>
      <c r="C7" s="68">
        <f>'AC Company v40'!AC7</f>
        <v>1</v>
      </c>
      <c r="D7" s="25">
        <f>'AC Company v40'!W7</f>
        <v>3</v>
      </c>
      <c r="E7" s="25">
        <f>'AC Company v40'!K7</f>
        <v>3</v>
      </c>
      <c r="F7" s="25">
        <f>'AC Company v40'!X7</f>
        <v>0</v>
      </c>
      <c r="G7" s="25" t="str">
        <f>IF(ISNUMBER(C7),IF('AC Company v40'!AB7="کامل","دقیق","حد پایین"),"ثبت نشد")</f>
        <v>دقیق</v>
      </c>
      <c r="H7" s="25" t="inlineStr">
        <is>
          <t>کاندید تکمیلی؛ وارد ترکیب نمی شود</t>
        </is>
      </c>
    </row>
    <row r="8" ht="20" customHeight="1" s="76">
      <c r="A8" s="23" t="inlineStr">
        <is>
          <t>ACX01</t>
        </is>
      </c>
      <c r="B8" s="23" t="inlineStr">
        <is>
          <t>زاگرس</t>
        </is>
      </c>
      <c r="C8" s="67">
        <f>'AC Company v40'!AC8</f>
        <v>0.6</v>
      </c>
      <c r="D8" s="23">
        <f>'AC Company v40'!W8</f>
        <v>3</v>
      </c>
      <c r="E8" s="23">
        <f>'AC Company v40'!K8</f>
        <v>5</v>
      </c>
      <c r="F8" s="23">
        <f>'AC Company v40'!X8</f>
        <v>2</v>
      </c>
      <c r="G8" s="23" t="str">
        <f>IF(ISNUMBER(C8),IF('AC Company v40'!AB8="کامل","دقیق","حد پایین"),"ثبت نشد")</f>
        <v>دقیق</v>
      </c>
      <c r="H8" s="23" t="inlineStr">
        <is>
          <t>کاندید تکمیلی؛ وارد ترکیب نمی شود</t>
        </is>
      </c>
    </row>
    <row r="9" ht="20" customHeight="1" s="76">
      <c r="A9" s="25" t="inlineStr">
        <is>
          <t>ACX01</t>
        </is>
      </c>
      <c r="B9" s="25" t="inlineStr">
        <is>
          <t>شبندر</t>
        </is>
      </c>
      <c r="C9" s="68">
        <f>'AC Company v40'!AC9</f>
        <v>0.4</v>
      </c>
      <c r="D9" s="25">
        <f>'AC Company v40'!W9</f>
        <v>2</v>
      </c>
      <c r="E9" s="25">
        <f>'AC Company v40'!K9</f>
        <v>5</v>
      </c>
      <c r="F9" s="25">
        <f>'AC Company v40'!X9</f>
        <v>3</v>
      </c>
      <c r="G9" s="25" t="str">
        <f>IF(ISNUMBER(C9),IF('AC Company v40'!AB9="کامل","دقیق","حد پایین"),"ثبت نشد")</f>
        <v>حد پایین</v>
      </c>
      <c r="H9" s="25" t="inlineStr">
        <is>
          <t>کاندید تکمیلی؛ وارد ترکیب نمی شود</t>
        </is>
      </c>
    </row>
    <row r="10" ht="20" customHeight="1" s="76">
      <c r="A10" s="23" t="inlineStr">
        <is>
          <t>ACX01</t>
        </is>
      </c>
      <c r="B10" s="23" t="inlineStr">
        <is>
          <t>پارس</t>
        </is>
      </c>
      <c r="C10" s="67">
        <f>'AC Company v40'!AC10</f>
        <v>0.8</v>
      </c>
      <c r="D10" s="23">
        <f>'AC Company v40'!W10</f>
        <v>4</v>
      </c>
      <c r="E10" s="23">
        <f>'AC Company v40'!K10</f>
        <v>5</v>
      </c>
      <c r="F10" s="23">
        <f>'AC Company v40'!X10</f>
        <v>1</v>
      </c>
      <c r="G10" s="23" t="str">
        <f>IF(ISNUMBER(C10),IF('AC Company v40'!AB10="کامل","دقیق","حد پایین"),"ثبت نشد")</f>
        <v>دقیق</v>
      </c>
      <c r="H10" s="23" t="inlineStr">
        <is>
          <t>کاندید تکمیلی؛ وارد ترکیب نمی شود</t>
        </is>
      </c>
    </row>
    <row r="11" ht="20" customHeight="1" s="76">
      <c r="A11" s="25" t="inlineStr">
        <is>
          <t>ACX01</t>
        </is>
      </c>
      <c r="B11" s="25" t="inlineStr">
        <is>
          <t>شتران</t>
        </is>
      </c>
      <c r="C11" s="68">
        <f>'AC Company v40'!AC11</f>
        <v>1</v>
      </c>
      <c r="D11" s="25">
        <f>'AC Company v40'!W11</f>
        <v>3</v>
      </c>
      <c r="E11" s="25">
        <f>'AC Company v40'!K11</f>
        <v>3</v>
      </c>
      <c r="F11" s="25">
        <f>'AC Company v40'!X11</f>
        <v>0</v>
      </c>
      <c r="G11" s="25" t="str">
        <f>IF(ISNUMBER(C11),IF('AC Company v40'!AB11="کامل","دقیق","حد پایین"),"ثبت نشد")</f>
        <v>دقیق</v>
      </c>
      <c r="H11" s="25" t="inlineStr">
        <is>
          <t>کاندید تکمیلی؛ وارد ترکیب نمی شود</t>
        </is>
      </c>
    </row>
    <row r="12" ht="20" customHeight="1" s="76">
      <c r="A12" s="23" t="inlineStr">
        <is>
          <t>ACX01</t>
        </is>
      </c>
      <c r="B12" s="23" t="inlineStr">
        <is>
          <t>وتجارت</t>
        </is>
      </c>
      <c r="C12" s="67">
        <f>'AC Company v40'!AC12</f>
        <v>0.8</v>
      </c>
      <c r="D12" s="23">
        <f>'AC Company v40'!W12</f>
        <v>4</v>
      </c>
      <c r="E12" s="23">
        <f>'AC Company v40'!K12</f>
        <v>5</v>
      </c>
      <c r="F12" s="23">
        <f>'AC Company v40'!X12</f>
        <v>1</v>
      </c>
      <c r="G12" s="23" t="str">
        <f>IF(ISNUMBER(C12),IF('AC Company v40'!AB12="کامل","دقیق","حد پایین"),"ثبت نشد")</f>
        <v>دقیق</v>
      </c>
      <c r="H12" s="23" t="inlineStr">
        <is>
          <t>کاندید تکمیلی؛ وارد ترکیب نمی شود</t>
        </is>
      </c>
    </row>
    <row r="13" ht="20" customHeight="1" s="76">
      <c r="A13" s="25" t="inlineStr">
        <is>
          <t>ACX01</t>
        </is>
      </c>
      <c r="B13" s="25" t="inlineStr">
        <is>
          <t>رمپنا</t>
        </is>
      </c>
      <c r="C13" s="68">
        <f>'AC Company v40'!AC13</f>
        <v>0.7142857142857143</v>
      </c>
      <c r="D13" s="25">
        <f>'AC Company v40'!W13</f>
        <v>5</v>
      </c>
      <c r="E13" s="25">
        <f>'AC Company v40'!K13</f>
        <v>7</v>
      </c>
      <c r="F13" s="25">
        <f>'AC Company v40'!X13</f>
        <v>2</v>
      </c>
      <c r="G13" s="25" t="str">
        <f>IF(ISNUMBER(C13),IF('AC Company v40'!AB13="کامل","دقیق","حد پایین"),"ثبت نشد")</f>
        <v>دقیق</v>
      </c>
      <c r="H13" s="25" t="inlineStr">
        <is>
          <t>کاندید تکمیلی؛ وارد ترکیب نمی شود</t>
        </is>
      </c>
    </row>
    <row r="14" ht="20" customHeight="1" s="76">
      <c r="A14" s="23" t="inlineStr">
        <is>
          <t>ACX01</t>
        </is>
      </c>
      <c r="B14" s="23" t="inlineStr">
        <is>
          <t>فخوز</t>
        </is>
      </c>
      <c r="C14" s="67">
        <f>'AC Company v40'!AC14</f>
      </c>
      <c r="D14" s="23">
        <f>'AC Company v40'!W14</f>
        <v>2</v>
      </c>
      <c r="E14" s="23">
        <f>'AC Company v40'!K14</f>
        <v>2</v>
      </c>
      <c r="F14" s="23">
        <f>'AC Company v40'!X14</f>
        <v>0</v>
      </c>
      <c r="G14" s="23" t="str">
        <f>IF(ISNUMBER(C14),IF('AC Company v40'!AB14="کامل","دقیق","حد پایین"),"ثبت نشد")</f>
        <v>ثبت نشد</v>
      </c>
      <c r="H14" s="23" t="inlineStr">
        <is>
          <t>کاندید تکمیلی؛ وارد ترکیب نمی شود</t>
        </is>
      </c>
    </row>
    <row r="15" ht="20" customHeight="1" s="76">
      <c r="A15" s="25" t="inlineStr">
        <is>
          <t>ACX01</t>
        </is>
      </c>
      <c r="B15" s="25" t="inlineStr">
        <is>
          <t>شستا</t>
        </is>
      </c>
      <c r="C15" s="68">
        <f>'AC Company v40'!AC15</f>
        <v>0.75</v>
      </c>
      <c r="D15" s="25">
        <f>'AC Company v40'!W15</f>
        <v>3</v>
      </c>
      <c r="E15" s="25">
        <f>'AC Company v40'!K15</f>
        <v>4</v>
      </c>
      <c r="F15" s="25">
        <f>'AC Company v40'!X15</f>
        <v>1</v>
      </c>
      <c r="G15" s="25" t="str">
        <f>IF(ISNUMBER(C15),IF('AC Company v40'!AB15="کامل","دقیق","حد پایین"),"ثبت نشد")</f>
        <v>حد پایین</v>
      </c>
      <c r="H15" s="25" t="inlineStr">
        <is>
          <t>کاندید تکمیلی؛ وارد ترکیب نمی شود</t>
        </is>
      </c>
    </row>
    <row r="16" ht="20" customHeight="1" s="76">
      <c r="A16" s="23" t="inlineStr">
        <is>
          <t>ACX01</t>
        </is>
      </c>
      <c r="B16" s="23" t="inlineStr">
        <is>
          <t>شپنا</t>
        </is>
      </c>
      <c r="C16" s="67">
        <f>'AC Company v40'!AC16</f>
        <v>1</v>
      </c>
      <c r="D16" s="23">
        <f>'AC Company v40'!W16</f>
        <v>5</v>
      </c>
      <c r="E16" s="23">
        <f>'AC Company v40'!K16</f>
        <v>5</v>
      </c>
      <c r="F16" s="23">
        <f>'AC Company v40'!X16</f>
        <v>0</v>
      </c>
      <c r="G16" s="23" t="str">
        <f>IF(ISNUMBER(C16),IF('AC Company v40'!AB16="کامل","دقیق","حد پایین"),"ثبت نشد")</f>
        <v>دقیق</v>
      </c>
      <c r="H16" s="23" t="inlineStr">
        <is>
          <t>کاندید تکمیلی؛ وارد ترکیب نمی شود</t>
        </is>
      </c>
    </row>
    <row r="17" ht="20" customHeight="1" s="76">
      <c r="A17" s="25" t="inlineStr">
        <is>
          <t>ACX01</t>
        </is>
      </c>
      <c r="B17" s="25" t="inlineStr">
        <is>
          <t>وغدیر</t>
        </is>
      </c>
      <c r="C17" s="68">
        <f>'AC Company v40'!AC17</f>
        <v>1</v>
      </c>
      <c r="D17" s="25">
        <f>'AC Company v40'!W17</f>
        <v>4</v>
      </c>
      <c r="E17" s="25">
        <f>'AC Company v40'!K17</f>
        <v>4</v>
      </c>
      <c r="F17" s="25">
        <f>'AC Company v40'!X17</f>
        <v>0</v>
      </c>
      <c r="G17" s="25" t="str">
        <f>IF(ISNUMBER(C17),IF('AC Company v40'!AB17="کامل","دقیق","حد پایین"),"ثبت نشد")</f>
        <v>دقیق</v>
      </c>
      <c r="H17" s="25" t="inlineStr">
        <is>
          <t>کاندید تکمیلی؛ وارد ترکیب نمی شود</t>
        </is>
      </c>
    </row>
    <row r="18" ht="20" customHeight="1" s="76">
      <c r="A18" s="23" t="inlineStr">
        <is>
          <t>ACX01</t>
        </is>
      </c>
      <c r="B18" s="23" t="inlineStr">
        <is>
          <t>نوری</t>
        </is>
      </c>
      <c r="C18" s="67">
        <f>'AC Company v40'!AC18</f>
        <v>1</v>
      </c>
      <c r="D18" s="23">
        <f>'AC Company v40'!W18</f>
        <v>3</v>
      </c>
      <c r="E18" s="23">
        <f>'AC Company v40'!K18</f>
        <v>3</v>
      </c>
      <c r="F18" s="23">
        <f>'AC Company v40'!X18</f>
        <v>0</v>
      </c>
      <c r="G18" s="23" t="str">
        <f>IF(ISNUMBER(C18),IF('AC Company v40'!AB18="کامل","دقیق","حد پایین"),"ثبت نشد")</f>
        <v>دقیق</v>
      </c>
      <c r="H18" s="23" t="inlineStr">
        <is>
          <t>کاندید تکمیلی؛ وارد ترکیب نمی شود</t>
        </is>
      </c>
    </row>
    <row r="19" ht="20" customHeight="1" s="76">
      <c r="A19" s="25" t="inlineStr">
        <is>
          <t>ACX01</t>
        </is>
      </c>
      <c r="B19" s="25" t="inlineStr">
        <is>
          <t>فولاد</t>
        </is>
      </c>
      <c r="C19" s="68">
        <f>'AC Company v40'!AC19</f>
        <v>0.6</v>
      </c>
      <c r="D19" s="25">
        <f>'AC Company v40'!W19</f>
        <v>3</v>
      </c>
      <c r="E19" s="25">
        <f>'AC Company v40'!K19</f>
        <v>5</v>
      </c>
      <c r="F19" s="25">
        <f>'AC Company v40'!X19</f>
        <v>2</v>
      </c>
      <c r="G19" s="25" t="str">
        <f>IF(ISNUMBER(C19),IF('AC Company v40'!AB19="کامل","دقیق","حد پایین"),"ثبت نشد")</f>
        <v>دقیق</v>
      </c>
      <c r="H19" s="25" t="inlineStr">
        <is>
          <t>کاندید تکمیلی؛ وارد ترکیب نمی شود</t>
        </is>
      </c>
    </row>
    <row r="20" ht="20" customHeight="1" s="76">
      <c r="A20" s="23" t="inlineStr">
        <is>
          <t>ACX01</t>
        </is>
      </c>
      <c r="B20" s="23" t="inlineStr">
        <is>
          <t>کچاد</t>
        </is>
      </c>
      <c r="C20" s="67">
        <f>'AC Company v40'!AC20</f>
        <v>0.8</v>
      </c>
      <c r="D20" s="23">
        <f>'AC Company v40'!W20</f>
        <v>4</v>
      </c>
      <c r="E20" s="23">
        <f>'AC Company v40'!K20</f>
        <v>5</v>
      </c>
      <c r="F20" s="23">
        <f>'AC Company v40'!X20</f>
        <v>1</v>
      </c>
      <c r="G20" s="23" t="str">
        <f>IF(ISNUMBER(C20),IF('AC Company v40'!AB20="کامل","دقیق","حد پایین"),"ثبت نشد")</f>
        <v>دقیق</v>
      </c>
      <c r="H20" s="23" t="inlineStr">
        <is>
          <t>کاندید تکمیلی؛ وارد ترکیب نمی شود</t>
        </is>
      </c>
    </row>
    <row r="21" ht="20" customHeight="1" s="76">
      <c r="A21" s="25" t="inlineStr">
        <is>
          <t>ACX01</t>
        </is>
      </c>
      <c r="B21" s="25" t="inlineStr">
        <is>
          <t>کگل</t>
        </is>
      </c>
      <c r="C21" s="68">
        <f>'AC Company v40'!AC21</f>
        <v>0.6666666666666666</v>
      </c>
      <c r="D21" s="25">
        <f>'AC Company v40'!W21</f>
        <v>2</v>
      </c>
      <c r="E21" s="25">
        <f>'AC Company v40'!K21</f>
        <v>3</v>
      </c>
      <c r="F21" s="25">
        <f>'AC Company v40'!X21</f>
        <v>1</v>
      </c>
      <c r="G21" s="25" t="str">
        <f>IF(ISNUMBER(C21),IF('AC Company v40'!AB21="کامل","دقیق","حد پایین"),"ثبت نشد")</f>
        <v>دقیق</v>
      </c>
      <c r="H21" s="25" t="inlineStr">
        <is>
          <t>کاندید تکمیلی؛ وارد ترکیب نمی شود</t>
        </is>
      </c>
    </row>
    <row r="22" ht="20" customHeight="1" s="76">
      <c r="A22" s="23" t="inlineStr">
        <is>
          <t>ACX01</t>
        </is>
      </c>
      <c r="B22" s="23" t="inlineStr">
        <is>
          <t>پارسان</t>
        </is>
      </c>
      <c r="C22" s="67">
        <f>'AC Company v40'!AC22</f>
        <v>1</v>
      </c>
      <c r="D22" s="23">
        <f>'AC Company v40'!W22</f>
        <v>3</v>
      </c>
      <c r="E22" s="23">
        <f>'AC Company v40'!K22</f>
        <v>3</v>
      </c>
      <c r="F22" s="23">
        <f>'AC Company v40'!X22</f>
        <v>0</v>
      </c>
      <c r="G22" s="23" t="str">
        <f>IF(ISNUMBER(C22),IF('AC Company v40'!AB22="کامل","دقیق","حد پایین"),"ثبت نشد")</f>
        <v>دقیق</v>
      </c>
      <c r="H22" s="23" t="inlineStr">
        <is>
          <t>کاندید تکمیلی؛ وارد ترکیب نمی شود</t>
        </is>
      </c>
    </row>
    <row r="23" ht="20" customHeight="1" s="76">
      <c r="A23" s="25" t="inlineStr">
        <is>
          <t>ACX01</t>
        </is>
      </c>
      <c r="B23" s="25" t="inlineStr">
        <is>
          <t>اخابر</t>
        </is>
      </c>
      <c r="C23" s="68">
        <f>'AC Company v40'!AC23</f>
        <v>0.6</v>
      </c>
      <c r="D23" s="25">
        <f>'AC Company v40'!W23</f>
        <v>3</v>
      </c>
      <c r="E23" s="25">
        <f>'AC Company v40'!K23</f>
        <v>5</v>
      </c>
      <c r="F23" s="25">
        <f>'AC Company v40'!X23</f>
        <v>2</v>
      </c>
      <c r="G23" s="25" t="str">
        <f>IF(ISNUMBER(C23),IF('AC Company v40'!AB23="کامل","دقیق","حد پایین"),"ثبت نشد")</f>
        <v>دقیق</v>
      </c>
      <c r="H23" s="25" t="inlineStr">
        <is>
          <t>کاندید تکمیلی؛ وارد ترکیب نمی شود</t>
        </is>
      </c>
    </row>
    <row r="24" ht="20" customHeight="1" s="76">
      <c r="A24" s="23" t="inlineStr">
        <is>
          <t>ACX01</t>
        </is>
      </c>
      <c r="B24" s="23" t="inlineStr">
        <is>
          <t>جم</t>
        </is>
      </c>
      <c r="C24" s="67">
        <f>'AC Company v40'!AC24</f>
        <v>0.2</v>
      </c>
      <c r="D24" s="23">
        <f>'AC Company v40'!W24</f>
        <v>1</v>
      </c>
      <c r="E24" s="23">
        <f>'AC Company v40'!K24</f>
        <v>5</v>
      </c>
      <c r="F24" s="23">
        <f>'AC Company v40'!X24</f>
        <v>4</v>
      </c>
      <c r="G24" s="23" t="str">
        <f>IF(ISNUMBER(C24),IF('AC Company v40'!AB24="کامل","دقیق","حد پایین"),"ثبت نشد")</f>
        <v>حد پایین</v>
      </c>
      <c r="H24" s="23" t="inlineStr">
        <is>
          <t>کاندید تکمیلی؛ وارد ترکیب نمی شود</t>
        </is>
      </c>
    </row>
    <row r="25" ht="20" customHeight="1" s="76">
      <c r="A25" s="25" t="inlineStr">
        <is>
          <t>ACX01</t>
        </is>
      </c>
      <c r="B25" s="25" t="inlineStr">
        <is>
          <t>ومعادن</t>
        </is>
      </c>
      <c r="C25" s="68">
        <f>'AC Company v40'!AC25</f>
        <v>0.8</v>
      </c>
      <c r="D25" s="25">
        <f>'AC Company v40'!W25</f>
        <v>4</v>
      </c>
      <c r="E25" s="25">
        <f>'AC Company v40'!K25</f>
        <v>5</v>
      </c>
      <c r="F25" s="25">
        <f>'AC Company v40'!X25</f>
        <v>1</v>
      </c>
      <c r="G25" s="25" t="str">
        <f>IF(ISNUMBER(C25),IF('AC Company v40'!AB25="کامل","دقیق","حد پایین"),"ثبت نشد")</f>
        <v>حد پایین</v>
      </c>
      <c r="H25" s="25" t="inlineStr">
        <is>
          <t>کاندید تکمیلی؛ وارد ترکیب نمی شود</t>
        </is>
      </c>
    </row>
    <row r="26" ht="20" customHeight="1" s="76">
      <c r="A26" s="23" t="inlineStr">
        <is>
          <t>ACX01</t>
        </is>
      </c>
      <c r="B26" s="23" t="inlineStr">
        <is>
          <t>وامید</t>
        </is>
      </c>
      <c r="C26" s="67">
        <f>'AC Company v40'!AC26</f>
        <v>1</v>
      </c>
      <c r="D26" s="23">
        <f>'AC Company v40'!W26</f>
        <v>5</v>
      </c>
      <c r="E26" s="23">
        <f>'AC Company v40'!K26</f>
        <v>5</v>
      </c>
      <c r="F26" s="23">
        <f>'AC Company v40'!X26</f>
        <v>0</v>
      </c>
      <c r="G26" s="23" t="str">
        <f>IF(ISNUMBER(C26),IF('AC Company v40'!AB26="کامل","دقیق","حد پایین"),"ثبت نشد")</f>
        <v>دقیق</v>
      </c>
      <c r="H26" s="23" t="inlineStr">
        <is>
          <t>کاندید تکمیلی؛ وارد ترکیب نمی شود</t>
        </is>
      </c>
    </row>
    <row r="27" ht="20" customHeight="1" s="76">
      <c r="A27" s="25" t="inlineStr">
        <is>
          <t>ACX01</t>
        </is>
      </c>
      <c r="B27" s="25" t="inlineStr">
        <is>
          <t>خساپا</t>
        </is>
      </c>
      <c r="C27" s="68">
        <f>'AC Company v40'!AC27</f>
      </c>
      <c r="D27" s="25">
        <f>'AC Company v40'!W27</f>
        <v>0</v>
      </c>
      <c r="E27" s="25">
        <f>'AC Company v40'!K27</f>
        <v>3</v>
      </c>
      <c r="F27" s="25">
        <f>'AC Company v40'!X27</f>
        <v>3</v>
      </c>
      <c r="G27" s="25" t="str">
        <f>IF(ISNUMBER(C27),IF('AC Company v40'!AB27="کامل","دقیق","حد پایین"),"ثبت نشد")</f>
        <v>ثبت نشد</v>
      </c>
      <c r="H27" s="25" t="inlineStr">
        <is>
          <t>کاندید تکمیلی؛ وارد ترکیب نمی شود</t>
        </is>
      </c>
    </row>
    <row r="28" ht="20" customHeight="1" s="76">
      <c r="A28" s="23" t="inlineStr">
        <is>
          <t>ACX01</t>
        </is>
      </c>
      <c r="B28" s="23" t="inlineStr">
        <is>
          <t>همراه</t>
        </is>
      </c>
      <c r="C28" s="67">
        <f>'AC Company v40'!AC28</f>
        <v>0.8</v>
      </c>
      <c r="D28" s="23">
        <f>'AC Company v40'!W28</f>
        <v>4</v>
      </c>
      <c r="E28" s="23">
        <f>'AC Company v40'!K28</f>
        <v>5</v>
      </c>
      <c r="F28" s="23">
        <f>'AC Company v40'!X28</f>
        <v>1</v>
      </c>
      <c r="G28" s="23" t="str">
        <f>IF(ISNUMBER(C28),IF('AC Company v40'!AB28="کامل","دقیق","حد پایین"),"ثبت نشد")</f>
        <v>دقیق</v>
      </c>
      <c r="H28" s="23" t="inlineStr">
        <is>
          <t>کاندید تکمیلی؛ وارد ترکیب نمی شود</t>
        </is>
      </c>
    </row>
    <row r="29" ht="20" customHeight="1" s="76">
      <c r="A29" s="25" t="inlineStr">
        <is>
          <t>ACX01</t>
        </is>
      </c>
      <c r="B29" s="25" t="inlineStr">
        <is>
          <t>وبملت</t>
        </is>
      </c>
      <c r="C29" s="68">
        <f>'AC Company v40'!AC29</f>
        <v>1</v>
      </c>
      <c r="D29" s="25">
        <f>'AC Company v40'!W29</f>
        <v>4</v>
      </c>
      <c r="E29" s="25">
        <f>'AC Company v40'!K29</f>
        <v>4</v>
      </c>
      <c r="F29" s="25">
        <f>'AC Company v40'!X29</f>
        <v>0</v>
      </c>
      <c r="G29" s="25" t="str">
        <f>IF(ISNUMBER(C29),IF('AC Company v40'!AB29="کامل","دقیق","حد پایین"),"ثبت نشد")</f>
        <v>دقیق</v>
      </c>
      <c r="H29" s="25" t="inlineStr">
        <is>
          <t>کاندید تکمیلی؛ وارد ترکیب نمی شود</t>
        </is>
      </c>
    </row>
    <row r="30" ht="20" customHeight="1" s="76">
      <c r="A30" s="23" t="inlineStr">
        <is>
          <t>ACX01</t>
        </is>
      </c>
      <c r="B30" s="23" t="inlineStr">
        <is>
          <t>وبصادر</t>
        </is>
      </c>
      <c r="C30" s="67">
        <f>'AC Company v40'!AC30</f>
        <v>0.8</v>
      </c>
      <c r="D30" s="23">
        <f>'AC Company v40'!W30</f>
        <v>4</v>
      </c>
      <c r="E30" s="23">
        <f>'AC Company v40'!K30</f>
        <v>5</v>
      </c>
      <c r="F30" s="23">
        <f>'AC Company v40'!X30</f>
        <v>1</v>
      </c>
      <c r="G30" s="23" t="str">
        <f>IF(ISNUMBER(C30),IF('AC Company v40'!AB30="کامل","دقیق","حد پایین"),"ثبت نشد")</f>
        <v>دقیق</v>
      </c>
      <c r="H30" s="23" t="inlineStr">
        <is>
          <t>کاندید تکمیلی؛ وارد ترکیب نمی شود</t>
        </is>
      </c>
    </row>
    <row r="31" ht="20" customHeight="1" s="76">
      <c r="A31" s="25" t="inlineStr">
        <is>
          <t>ACX01</t>
        </is>
      </c>
      <c r="B31" s="25" t="inlineStr">
        <is>
          <t>وپاسار</t>
        </is>
      </c>
      <c r="C31" s="68">
        <f>'AC Company v40'!AC31</f>
      </c>
      <c r="D31" s="25">
        <f>'AC Company v40'!W31</f>
        <v>0</v>
      </c>
      <c r="E31" s="25">
        <f>'AC Company v40'!K31</f>
        <v>0</v>
      </c>
      <c r="F31" s="25">
        <f>'AC Company v40'!X31</f>
        <v>0</v>
      </c>
      <c r="G31" s="25" t="str">
        <f>IF(ISNUMBER(C31),IF('AC Company v40'!AB31="کامل","دقیق","حد پایین"),"ثبت نشد")</f>
        <v>ثبت نشد</v>
      </c>
      <c r="H31" s="25" t="inlineStr">
        <is>
          <t>کاندید تکمیلی؛ وارد ترکیب نمی شود</t>
        </is>
      </c>
    </row>
    <row r="32" ht="20" customHeight="1" s="76">
      <c r="A32" s="23" t="inlineStr">
        <is>
          <t>ACX01</t>
        </is>
      </c>
      <c r="B32" s="23" t="inlineStr">
        <is>
          <t>حکشتی</t>
        </is>
      </c>
      <c r="C32" s="67">
        <f>'AC Company v40'!AC32</f>
      </c>
      <c r="D32" s="23">
        <f>'AC Company v40'!W32</f>
        <v>0</v>
      </c>
      <c r="E32" s="23">
        <f>'AC Company v40'!K32</f>
        <v>5</v>
      </c>
      <c r="F32" s="23">
        <f>'AC Company v40'!X32</f>
        <v>5</v>
      </c>
      <c r="G32" s="23" t="str">
        <f>IF(ISNUMBER(C32),IF('AC Company v40'!AB32="کامل","دقیق","حد پایین"),"ثبت نشد")</f>
        <v>ثبت نشد</v>
      </c>
      <c r="H32" s="23" t="inlineStr">
        <is>
          <t>کاندید تکمیلی؛ وارد ترکیب نمی شود</t>
        </is>
      </c>
    </row>
    <row r="33" ht="20" customHeight="1" s="76">
      <c r="A33" s="25" t="inlineStr">
        <is>
          <t>ACX01</t>
        </is>
      </c>
      <c r="B33" s="25" t="inlineStr">
        <is>
          <t>شپدیس</t>
        </is>
      </c>
      <c r="C33" s="68">
        <f>'AC Company v40'!AC33</f>
        <v>0.6666666666666666</v>
      </c>
      <c r="D33" s="25">
        <f>'AC Company v40'!W33</f>
        <v>2</v>
      </c>
      <c r="E33" s="25">
        <f>'AC Company v40'!K33</f>
        <v>3</v>
      </c>
      <c r="F33" s="25">
        <f>'AC Company v40'!X33</f>
        <v>1</v>
      </c>
      <c r="G33" s="25" t="str">
        <f>IF(ISNUMBER(C33),IF('AC Company v40'!AB33="کامل","دقیق","حد پایین"),"ثبت نشد")</f>
        <v>دقیق</v>
      </c>
      <c r="H33" s="25" t="inlineStr">
        <is>
          <t>کاندید تکمیلی؛ وارد ترکیب نمی شود</t>
        </is>
      </c>
    </row>
    <row r="34" ht="29" customHeight="1" s="76">
      <c r="A34" s="23" t="inlineStr">
        <is>
          <t>ACX02</t>
        </is>
      </c>
      <c r="B34" s="23" t="inlineStr">
        <is>
          <t>فملی</t>
        </is>
      </c>
      <c r="C34" s="67">
        <f>'AC Company v40'!AL4</f>
      </c>
      <c r="D34" s="23">
        <f>'AC Company v40'!AI4</f>
        <v>0</v>
      </c>
      <c r="E34" s="23">
        <f>'AC Company v40'!AJ4</f>
        <v>0</v>
      </c>
      <c r="F34" s="23">
        <f>'AC Company v40'!K4-'AC Company v40'!AK4</f>
        <v>5</v>
      </c>
      <c r="G34" s="23" t="str">
        <f>IF(ISNUMBER(C34),IF(F34=0,"همه اعضا مشمول","بخشی از اعضا"),"ثبت نشد")</f>
        <v>ثبت نشد</v>
      </c>
      <c r="H34" s="23" t="inlineStr">
        <is>
          <t>کاندید تکمیلی؛ فرصت حضور فقط با قاعده تعریف شده</t>
        </is>
      </c>
    </row>
    <row r="35" ht="29" customHeight="1" s="76">
      <c r="A35" s="25" t="inlineStr">
        <is>
          <t>ACX02</t>
        </is>
      </c>
      <c r="B35" s="25" t="inlineStr">
        <is>
          <t>تاپیکو</t>
        </is>
      </c>
      <c r="C35" s="68">
        <f>'AC Company v40'!AL5</f>
      </c>
      <c r="D35" s="25">
        <f>'AC Company v40'!AI5</f>
        <v>0</v>
      </c>
      <c r="E35" s="25">
        <f>'AC Company v40'!AJ5</f>
        <v>0</v>
      </c>
      <c r="F35" s="25">
        <f>'AC Company v40'!K5-'AC Company v40'!AK5</f>
        <v>5</v>
      </c>
      <c r="G35" s="25" t="str">
        <f>IF(ISNUMBER(C35),IF(F35=0,"همه اعضا مشمول","بخشی از اعضا"),"ثبت نشد")</f>
        <v>ثبت نشد</v>
      </c>
      <c r="H35" s="25" t="inlineStr">
        <is>
          <t>کاندید تکمیلی؛ فرصت حضور فقط با قاعده تعریف شده</t>
        </is>
      </c>
    </row>
    <row r="36" ht="29" customHeight="1" s="76">
      <c r="A36" s="23" t="inlineStr">
        <is>
          <t>ACX02</t>
        </is>
      </c>
      <c r="B36" s="23" t="inlineStr">
        <is>
          <t>فارس</t>
        </is>
      </c>
      <c r="C36" s="67">
        <f>'AC Company v40'!AL6</f>
        <v>1</v>
      </c>
      <c r="D36" s="23">
        <f>'AC Company v40'!AI6</f>
        <v>28</v>
      </c>
      <c r="E36" s="23">
        <f>'AC Company v40'!AJ6</f>
        <v>28</v>
      </c>
      <c r="F36" s="23">
        <f>'AC Company v40'!K6-'AC Company v40'!AK6</f>
        <v>1</v>
      </c>
      <c r="G36" s="23" t="str">
        <f>IF(ISNUMBER(C36),IF(F36=0,"همه اعضا مشمول","بخشی از اعضا"),"ثبت نشد")</f>
        <v>بخشی از اعضا</v>
      </c>
      <c r="H36" s="23" t="inlineStr">
        <is>
          <t>کاندید تکمیلی؛ فرصت حضور فقط با قاعده تعریف شده</t>
        </is>
      </c>
    </row>
    <row r="37" ht="29" customHeight="1" s="76">
      <c r="A37" s="25" t="inlineStr">
        <is>
          <t>ACX02</t>
        </is>
      </c>
      <c r="B37" s="25" t="inlineStr">
        <is>
          <t>خودرو</t>
        </is>
      </c>
      <c r="C37" s="68">
        <f>'AC Company v40'!AL7</f>
      </c>
      <c r="D37" s="25">
        <f>'AC Company v40'!AI7</f>
        <v>0</v>
      </c>
      <c r="E37" s="25">
        <f>'AC Company v40'!AJ7</f>
        <v>0</v>
      </c>
      <c r="F37" s="25">
        <f>'AC Company v40'!K7-'AC Company v40'!AK7</f>
        <v>3</v>
      </c>
      <c r="G37" s="25" t="str">
        <f>IF(ISNUMBER(C37),IF(F37=0,"همه اعضا مشمول","بخشی از اعضا"),"ثبت نشد")</f>
        <v>ثبت نشد</v>
      </c>
      <c r="H37" s="25" t="inlineStr">
        <is>
          <t>کاندید تکمیلی؛ فرصت حضور فقط با قاعده تعریف شده</t>
        </is>
      </c>
    </row>
    <row r="38" ht="29" customHeight="1" s="76">
      <c r="A38" s="23" t="inlineStr">
        <is>
          <t>ACX02</t>
        </is>
      </c>
      <c r="B38" s="23" t="inlineStr">
        <is>
          <t>زاگرس</t>
        </is>
      </c>
      <c r="C38" s="67">
        <f>'AC Company v40'!AL8</f>
      </c>
      <c r="D38" s="23">
        <f>'AC Company v40'!AI8</f>
        <v>0</v>
      </c>
      <c r="E38" s="23">
        <f>'AC Company v40'!AJ8</f>
        <v>0</v>
      </c>
      <c r="F38" s="23">
        <f>'AC Company v40'!K8-'AC Company v40'!AK8</f>
        <v>5</v>
      </c>
      <c r="G38" s="23" t="str">
        <f>IF(ISNUMBER(C38),IF(F38=0,"همه اعضا مشمول","بخشی از اعضا"),"ثبت نشد")</f>
        <v>ثبت نشد</v>
      </c>
      <c r="H38" s="23" t="inlineStr">
        <is>
          <t>کاندید تکمیلی؛ فرصت حضور فقط با قاعده تعریف شده</t>
        </is>
      </c>
    </row>
    <row r="39" ht="29" customHeight="1" s="76">
      <c r="A39" s="25" t="inlineStr">
        <is>
          <t>ACX02</t>
        </is>
      </c>
      <c r="B39" s="25" t="inlineStr">
        <is>
          <t>شبندر</t>
        </is>
      </c>
      <c r="C39" s="68">
        <f>'AC Company v40'!AL9</f>
      </c>
      <c r="D39" s="25">
        <f>'AC Company v40'!AI9</f>
        <v>0</v>
      </c>
      <c r="E39" s="25">
        <f>'AC Company v40'!AJ9</f>
        <v>0</v>
      </c>
      <c r="F39" s="25">
        <f>'AC Company v40'!K9-'AC Company v40'!AK9</f>
        <v>5</v>
      </c>
      <c r="G39" s="25" t="str">
        <f>IF(ISNUMBER(C39),IF(F39=0,"همه اعضا مشمول","بخشی از اعضا"),"ثبت نشد")</f>
        <v>ثبت نشد</v>
      </c>
      <c r="H39" s="25" t="inlineStr">
        <is>
          <t>کاندید تکمیلی؛ فرصت حضور فقط با قاعده تعریف شده</t>
        </is>
      </c>
    </row>
    <row r="40" ht="29" customHeight="1" s="76">
      <c r="A40" s="23" t="inlineStr">
        <is>
          <t>ACX02</t>
        </is>
      </c>
      <c r="B40" s="23" t="inlineStr">
        <is>
          <t>پارس</t>
        </is>
      </c>
      <c r="C40" s="67">
        <f>'AC Company v40'!AL10</f>
      </c>
      <c r="D40" s="23">
        <f>'AC Company v40'!AI10</f>
        <v>34</v>
      </c>
      <c r="E40" s="23">
        <f>'AC Company v40'!AJ10</f>
        <v>34</v>
      </c>
      <c r="F40" s="23">
        <f>'AC Company v40'!K10-'AC Company v40'!AK10</f>
        <v>3</v>
      </c>
      <c r="G40" s="23" t="str">
        <f>IF(ISNUMBER(C40),IF(F40=0,"همه اعضا مشمول","بخشی از اعضا"),"ثبت نشد")</f>
        <v>ثبت نشد</v>
      </c>
      <c r="H40" s="23" t="inlineStr">
        <is>
          <t>کاندید تکمیلی؛ فرصت حضور فقط با قاعده تعریف شده</t>
        </is>
      </c>
    </row>
    <row r="41" ht="29" customHeight="1" s="76">
      <c r="A41" s="25" t="inlineStr">
        <is>
          <t>ACX02</t>
        </is>
      </c>
      <c r="B41" s="25" t="inlineStr">
        <is>
          <t>شتران</t>
        </is>
      </c>
      <c r="C41" s="68">
        <f>'AC Company v40'!AL11</f>
        <v>1</v>
      </c>
      <c r="D41" s="25">
        <f>'AC Company v40'!AI11</f>
        <v>60</v>
      </c>
      <c r="E41" s="25">
        <f>'AC Company v40'!AJ11</f>
        <v>60</v>
      </c>
      <c r="F41" s="25">
        <f>'AC Company v40'!K11-'AC Company v40'!AK11</f>
        <v>0</v>
      </c>
      <c r="G41" s="25" t="str">
        <f>IF(ISNUMBER(C41),IF(F41=0,"همه اعضا مشمول","بخشی از اعضا"),"ثبت نشد")</f>
        <v>همه اعضا مشمول</v>
      </c>
      <c r="H41" s="25" t="inlineStr">
        <is>
          <t>کاندید تکمیلی؛ فرصت حضور فقط با قاعده تعریف شده</t>
        </is>
      </c>
    </row>
    <row r="42" ht="29" customHeight="1" s="76">
      <c r="A42" s="23" t="inlineStr">
        <is>
          <t>ACX02</t>
        </is>
      </c>
      <c r="B42" s="23" t="inlineStr">
        <is>
          <t>وتجارت</t>
        </is>
      </c>
      <c r="C42" s="67">
        <f>'AC Company v40'!AL12</f>
      </c>
      <c r="D42" s="23">
        <f>'AC Company v40'!AI12</f>
        <v>0</v>
      </c>
      <c r="E42" s="23">
        <f>'AC Company v40'!AJ12</f>
        <v>0</v>
      </c>
      <c r="F42" s="23">
        <f>'AC Company v40'!K12-'AC Company v40'!AK12</f>
        <v>5</v>
      </c>
      <c r="G42" s="23" t="str">
        <f>IF(ISNUMBER(C42),IF(F42=0,"همه اعضا مشمول","بخشی از اعضا"),"ثبت نشد")</f>
        <v>ثبت نشد</v>
      </c>
      <c r="H42" s="23" t="inlineStr">
        <is>
          <t>کاندید تکمیلی؛ فرصت حضور فقط با قاعده تعریف شده</t>
        </is>
      </c>
    </row>
    <row r="43" ht="29" customHeight="1" s="76">
      <c r="A43" s="25" t="inlineStr">
        <is>
          <t>ACX02</t>
        </is>
      </c>
      <c r="B43" s="25" t="inlineStr">
        <is>
          <t>رمپنا</t>
        </is>
      </c>
      <c r="C43" s="68">
        <f>'AC Company v40'!AL13</f>
        <v>1</v>
      </c>
      <c r="D43" s="25">
        <f>'AC Company v40'!AI13</f>
        <v>63</v>
      </c>
      <c r="E43" s="25">
        <f>'AC Company v40'!AJ13</f>
        <v>63</v>
      </c>
      <c r="F43" s="25">
        <f>'AC Company v40'!K13-'AC Company v40'!AK13</f>
        <v>0</v>
      </c>
      <c r="G43" s="25" t="str">
        <f>IF(ISNUMBER(C43),IF(F43=0,"همه اعضا مشمول","بخشی از اعضا"),"ثبت نشد")</f>
        <v>همه اعضا مشمول</v>
      </c>
      <c r="H43" s="25" t="inlineStr">
        <is>
          <t>کاندید تکمیلی؛ فرصت حضور فقط با قاعده تعریف شده</t>
        </is>
      </c>
    </row>
    <row r="44" ht="29" customHeight="1" s="76">
      <c r="A44" s="23" t="inlineStr">
        <is>
          <t>ACX02</t>
        </is>
      </c>
      <c r="B44" s="23" t="inlineStr">
        <is>
          <t>فخوز</t>
        </is>
      </c>
      <c r="C44" s="67">
        <f>'AC Company v40'!AL14</f>
      </c>
      <c r="D44" s="23">
        <f>'AC Company v40'!AI14</f>
        <v>0</v>
      </c>
      <c r="E44" s="23">
        <f>'AC Company v40'!AJ14</f>
        <v>0</v>
      </c>
      <c r="F44" s="23">
        <f>'AC Company v40'!K14-'AC Company v40'!AK14</f>
        <v>2</v>
      </c>
      <c r="G44" s="23" t="str">
        <f>IF(ISNUMBER(C44),IF(F44=0,"همه اعضا مشمول","بخشی از اعضا"),"ثبت نشد")</f>
        <v>ثبت نشد</v>
      </c>
      <c r="H44" s="23" t="inlineStr">
        <is>
          <t>کاندید تکمیلی؛ فرصت حضور فقط با قاعده تعریف شده</t>
        </is>
      </c>
    </row>
    <row r="45" ht="29" customHeight="1" s="76">
      <c r="A45" s="25" t="inlineStr">
        <is>
          <t>ACX02</t>
        </is>
      </c>
      <c r="B45" s="25" t="inlineStr">
        <is>
          <t>شستا</t>
        </is>
      </c>
      <c r="C45" s="68">
        <f>'AC Company v40'!AL15</f>
        <v>1</v>
      </c>
      <c r="D45" s="25">
        <f>'AC Company v40'!AI15</f>
        <v>44</v>
      </c>
      <c r="E45" s="25">
        <f>'AC Company v40'!AJ15</f>
        <v>44</v>
      </c>
      <c r="F45" s="25">
        <f>'AC Company v40'!K15-'AC Company v40'!AK15</f>
        <v>0</v>
      </c>
      <c r="G45" s="25" t="str">
        <f>IF(ISNUMBER(C45),IF(F45=0,"همه اعضا مشمول","بخشی از اعضا"),"ثبت نشد")</f>
        <v>همه اعضا مشمول</v>
      </c>
      <c r="H45" s="25" t="inlineStr">
        <is>
          <t>کاندید تکمیلی؛ فرصت حضور فقط با قاعده تعریف شده</t>
        </is>
      </c>
    </row>
    <row r="46" ht="29" customHeight="1" s="76">
      <c r="A46" s="23" t="inlineStr">
        <is>
          <t>ACX02</t>
        </is>
      </c>
      <c r="B46" s="23" t="inlineStr">
        <is>
          <t>شپنا</t>
        </is>
      </c>
      <c r="C46" s="67">
        <f>'AC Company v40'!AL16</f>
        <v>0.9333333333333333</v>
      </c>
      <c r="D46" s="23">
        <f>'AC Company v40'!AI16</f>
        <v>56</v>
      </c>
      <c r="E46" s="23">
        <f>'AC Company v40'!AJ16</f>
        <v>60</v>
      </c>
      <c r="F46" s="23">
        <f>'AC Company v40'!K16-'AC Company v40'!AK16</f>
        <v>0</v>
      </c>
      <c r="G46" s="23" t="str">
        <f>IF(ISNUMBER(C46),IF(F46=0,"همه اعضا مشمول","بخشی از اعضا"),"ثبت نشد")</f>
        <v>همه اعضا مشمول</v>
      </c>
      <c r="H46" s="23" t="inlineStr">
        <is>
          <t>کاندید تکمیلی؛ فرصت حضور فقط با قاعده تعریف شده</t>
        </is>
      </c>
    </row>
    <row r="47" ht="29" customHeight="1" s="76">
      <c r="A47" s="25" t="inlineStr">
        <is>
          <t>ACX02</t>
        </is>
      </c>
      <c r="B47" s="25" t="inlineStr">
        <is>
          <t>وغدیر</t>
        </is>
      </c>
      <c r="C47" s="68">
        <f>'AC Company v40'!AL17</f>
      </c>
      <c r="D47" s="25">
        <f>'AC Company v40'!AI17</f>
        <v>0</v>
      </c>
      <c r="E47" s="25">
        <f>'AC Company v40'!AJ17</f>
        <v>0</v>
      </c>
      <c r="F47" s="25">
        <f>'AC Company v40'!K17-'AC Company v40'!AK17</f>
        <v>4</v>
      </c>
      <c r="G47" s="25" t="str">
        <f>IF(ISNUMBER(C47),IF(F47=0,"همه اعضا مشمول","بخشی از اعضا"),"ثبت نشد")</f>
        <v>ثبت نشد</v>
      </c>
      <c r="H47" s="25" t="inlineStr">
        <is>
          <t>کاندید تکمیلی؛ فرصت حضور فقط با قاعده تعریف شده</t>
        </is>
      </c>
    </row>
    <row r="48" ht="29" customHeight="1" s="76">
      <c r="A48" s="23" t="inlineStr">
        <is>
          <t>ACX02</t>
        </is>
      </c>
      <c r="B48" s="23" t="inlineStr">
        <is>
          <t>نوری</t>
        </is>
      </c>
      <c r="C48" s="67">
        <f>'AC Company v40'!AL18</f>
      </c>
      <c r="D48" s="23">
        <f>'AC Company v40'!AI18</f>
        <v>0</v>
      </c>
      <c r="E48" s="23">
        <f>'AC Company v40'!AJ18</f>
        <v>0</v>
      </c>
      <c r="F48" s="23">
        <f>'AC Company v40'!K18-'AC Company v40'!AK18</f>
        <v>3</v>
      </c>
      <c r="G48" s="23" t="str">
        <f>IF(ISNUMBER(C48),IF(F48=0,"همه اعضا مشمول","بخشی از اعضا"),"ثبت نشد")</f>
        <v>ثبت نشد</v>
      </c>
      <c r="H48" s="23" t="inlineStr">
        <is>
          <t>کاندید تکمیلی؛ فرصت حضور فقط با قاعده تعریف شده</t>
        </is>
      </c>
    </row>
    <row r="49" ht="29" customHeight="1" s="76">
      <c r="A49" s="25" t="inlineStr">
        <is>
          <t>ACX02</t>
        </is>
      </c>
      <c r="B49" s="25" t="inlineStr">
        <is>
          <t>فولاد</t>
        </is>
      </c>
      <c r="C49" s="68">
        <f>'AC Company v40'!AL19</f>
        <v>0.9818181818181818</v>
      </c>
      <c r="D49" s="25">
        <f>'AC Company v40'!AI19</f>
        <v>108</v>
      </c>
      <c r="E49" s="25">
        <f>'AC Company v40'!AJ19</f>
        <v>110</v>
      </c>
      <c r="F49" s="25">
        <f>'AC Company v40'!K19-'AC Company v40'!AK19</f>
        <v>0</v>
      </c>
      <c r="G49" s="25" t="str">
        <f>IF(ISNUMBER(C49),IF(F49=0,"همه اعضا مشمول","بخشی از اعضا"),"ثبت نشد")</f>
        <v>همه اعضا مشمول</v>
      </c>
      <c r="H49" s="25" t="inlineStr">
        <is>
          <t>کاندید تکمیلی؛ فرصت حضور فقط با قاعده تعریف شده</t>
        </is>
      </c>
    </row>
    <row r="50" ht="29" customHeight="1" s="76">
      <c r="A50" s="23" t="inlineStr">
        <is>
          <t>ACX02</t>
        </is>
      </c>
      <c r="B50" s="23" t="inlineStr">
        <is>
          <t>کچاد</t>
        </is>
      </c>
      <c r="C50" s="67">
        <f>'AC Company v40'!AL20</f>
        <v>1</v>
      </c>
      <c r="D50" s="23">
        <f>'AC Company v40'!AI20</f>
        <v>57</v>
      </c>
      <c r="E50" s="23">
        <f>'AC Company v40'!AJ20</f>
        <v>57</v>
      </c>
      <c r="F50" s="23">
        <f>'AC Company v40'!K20-'AC Company v40'!AK20</f>
        <v>2</v>
      </c>
      <c r="G50" s="23" t="str">
        <f>IF(ISNUMBER(C50),IF(F50=0,"همه اعضا مشمول","بخشی از اعضا"),"ثبت نشد")</f>
        <v>بخشی از اعضا</v>
      </c>
      <c r="H50" s="23" t="inlineStr">
        <is>
          <t>کاندید تکمیلی؛ فرصت حضور فقط با قاعده تعریف شده</t>
        </is>
      </c>
    </row>
    <row r="51" ht="29" customHeight="1" s="76">
      <c r="A51" s="25" t="inlineStr">
        <is>
          <t>ACX02</t>
        </is>
      </c>
      <c r="B51" s="25" t="inlineStr">
        <is>
          <t>کگل</t>
        </is>
      </c>
      <c r="C51" s="68">
        <f>'AC Company v40'!AL21</f>
      </c>
      <c r="D51" s="25">
        <f>'AC Company v40'!AI21</f>
        <v>0</v>
      </c>
      <c r="E51" s="25">
        <f>'AC Company v40'!AJ21</f>
        <v>0</v>
      </c>
      <c r="F51" s="25">
        <f>'AC Company v40'!K21-'AC Company v40'!AK21</f>
        <v>3</v>
      </c>
      <c r="G51" s="25" t="str">
        <f>IF(ISNUMBER(C51),IF(F51=0,"همه اعضا مشمول","بخشی از اعضا"),"ثبت نشد")</f>
        <v>ثبت نشد</v>
      </c>
      <c r="H51" s="25" t="inlineStr">
        <is>
          <t>کاندید تکمیلی؛ فرصت حضور فقط با قاعده تعریف شده</t>
        </is>
      </c>
    </row>
    <row r="52" ht="29" customHeight="1" s="76">
      <c r="A52" s="23" t="inlineStr">
        <is>
          <t>ACX02</t>
        </is>
      </c>
      <c r="B52" s="23" t="inlineStr">
        <is>
          <t>پارسان</t>
        </is>
      </c>
      <c r="C52" s="67">
        <f>'AC Company v40'!AL22</f>
        <v>1</v>
      </c>
      <c r="D52" s="23">
        <f>'AC Company v40'!AI22</f>
        <v>26</v>
      </c>
      <c r="E52" s="23">
        <f>'AC Company v40'!AJ22</f>
        <v>26</v>
      </c>
      <c r="F52" s="23">
        <f>'AC Company v40'!K22-'AC Company v40'!AK22</f>
        <v>1</v>
      </c>
      <c r="G52" s="23" t="str">
        <f>IF(ISNUMBER(C52),IF(F52=0,"همه اعضا مشمول","بخشی از اعضا"),"ثبت نشد")</f>
        <v>بخشی از اعضا</v>
      </c>
      <c r="H52" s="23" t="inlineStr">
        <is>
          <t>کاندید تکمیلی؛ فرصت حضور فقط با قاعده تعریف شده</t>
        </is>
      </c>
    </row>
    <row r="53" ht="29" customHeight="1" s="76">
      <c r="A53" s="25" t="inlineStr">
        <is>
          <t>ACX02</t>
        </is>
      </c>
      <c r="B53" s="25" t="inlineStr">
        <is>
          <t>اخابر</t>
        </is>
      </c>
      <c r="C53" s="68">
        <f>'AC Company v40'!AL23</f>
      </c>
      <c r="D53" s="25">
        <f>'AC Company v40'!AI23</f>
        <v>0</v>
      </c>
      <c r="E53" s="25">
        <f>'AC Company v40'!AJ23</f>
        <v>0</v>
      </c>
      <c r="F53" s="25">
        <f>'AC Company v40'!K23-'AC Company v40'!AK23</f>
        <v>5</v>
      </c>
      <c r="G53" s="25" t="str">
        <f>IF(ISNUMBER(C53),IF(F53=0,"همه اعضا مشمول","بخشی از اعضا"),"ثبت نشد")</f>
        <v>ثبت نشد</v>
      </c>
      <c r="H53" s="25" t="inlineStr">
        <is>
          <t>کاندید تکمیلی؛ فرصت حضور فقط با قاعده تعریف شده</t>
        </is>
      </c>
    </row>
    <row r="54" ht="29" customHeight="1" s="76">
      <c r="A54" s="23" t="inlineStr">
        <is>
          <t>ACX02</t>
        </is>
      </c>
      <c r="B54" s="23" t="inlineStr">
        <is>
          <t>جم</t>
        </is>
      </c>
      <c r="C54" s="67">
        <f>'AC Company v40'!AL24</f>
      </c>
      <c r="D54" s="23">
        <f>'AC Company v40'!AI24</f>
        <v>0</v>
      </c>
      <c r="E54" s="23">
        <f>'AC Company v40'!AJ24</f>
        <v>0</v>
      </c>
      <c r="F54" s="23">
        <f>'AC Company v40'!K24-'AC Company v40'!AK24</f>
        <v>5</v>
      </c>
      <c r="G54" s="23" t="str">
        <f>IF(ISNUMBER(C54),IF(F54=0,"همه اعضا مشمول","بخشی از اعضا"),"ثبت نشد")</f>
        <v>ثبت نشد</v>
      </c>
      <c r="H54" s="23" t="inlineStr">
        <is>
          <t>کاندید تکمیلی؛ فرصت حضور فقط با قاعده تعریف شده</t>
        </is>
      </c>
    </row>
    <row r="55" ht="29" customHeight="1" s="76">
      <c r="A55" s="25" t="inlineStr">
        <is>
          <t>ACX02</t>
        </is>
      </c>
      <c r="B55" s="25" t="inlineStr">
        <is>
          <t>ومعادن</t>
        </is>
      </c>
      <c r="C55" s="68">
        <f>'AC Company v40'!AL25</f>
        <v>1</v>
      </c>
      <c r="D55" s="25">
        <f>'AC Company v40'!AI25</f>
        <v>50</v>
      </c>
      <c r="E55" s="25">
        <f>'AC Company v40'!AJ25</f>
        <v>50</v>
      </c>
      <c r="F55" s="25">
        <f>'AC Company v40'!K25-'AC Company v40'!AK25</f>
        <v>0</v>
      </c>
      <c r="G55" s="25" t="str">
        <f>IF(ISNUMBER(C55),IF(F55=0,"همه اعضا مشمول","بخشی از اعضا"),"ثبت نشد")</f>
        <v>همه اعضا مشمول</v>
      </c>
      <c r="H55" s="25" t="inlineStr">
        <is>
          <t>کاندید تکمیلی؛ فرصت حضور فقط با قاعده تعریف شده</t>
        </is>
      </c>
    </row>
    <row r="56" ht="29" customHeight="1" s="76">
      <c r="A56" s="23" t="inlineStr">
        <is>
          <t>ACX02</t>
        </is>
      </c>
      <c r="B56" s="23" t="inlineStr">
        <is>
          <t>وامید</t>
        </is>
      </c>
      <c r="C56" s="67">
        <f>'AC Company v40'!AL26</f>
        <v>1</v>
      </c>
      <c r="D56" s="23">
        <f>'AC Company v40'!AI26</f>
        <v>95</v>
      </c>
      <c r="E56" s="23">
        <f>'AC Company v40'!AJ26</f>
        <v>95</v>
      </c>
      <c r="F56" s="23">
        <f>'AC Company v40'!K26-'AC Company v40'!AK26</f>
        <v>0</v>
      </c>
      <c r="G56" s="23" t="str">
        <f>IF(ISNUMBER(C56),IF(F56=0,"همه اعضا مشمول","بخشی از اعضا"),"ثبت نشد")</f>
        <v>همه اعضا مشمول</v>
      </c>
      <c r="H56" s="23" t="inlineStr">
        <is>
          <t>کاندید تکمیلی؛ فرصت حضور فقط با قاعده تعریف شده</t>
        </is>
      </c>
    </row>
    <row r="57" ht="29" customHeight="1" s="76">
      <c r="A57" s="25" t="inlineStr">
        <is>
          <t>ACX02</t>
        </is>
      </c>
      <c r="B57" s="25" t="inlineStr">
        <is>
          <t>خساپا</t>
        </is>
      </c>
      <c r="C57" s="68">
        <f>'AC Company v40'!AL27</f>
      </c>
      <c r="D57" s="25">
        <f>'AC Company v40'!AI27</f>
        <v>0</v>
      </c>
      <c r="E57" s="25">
        <f>'AC Company v40'!AJ27</f>
        <v>0</v>
      </c>
      <c r="F57" s="25">
        <f>'AC Company v40'!K27-'AC Company v40'!AK27</f>
        <v>3</v>
      </c>
      <c r="G57" s="25" t="str">
        <f>IF(ISNUMBER(C57),IF(F57=0,"همه اعضا مشمول","بخشی از اعضا"),"ثبت نشد")</f>
        <v>ثبت نشد</v>
      </c>
      <c r="H57" s="25" t="inlineStr">
        <is>
          <t>کاندید تکمیلی؛ فرصت حضور فقط با قاعده تعریف شده</t>
        </is>
      </c>
    </row>
    <row r="58" ht="29" customHeight="1" s="76">
      <c r="A58" s="23" t="inlineStr">
        <is>
          <t>ACX02</t>
        </is>
      </c>
      <c r="B58" s="23" t="inlineStr">
        <is>
          <t>همراه</t>
        </is>
      </c>
      <c r="C58" s="67">
        <f>'AC Company v40'!AL28</f>
        <v>1</v>
      </c>
      <c r="D58" s="23">
        <f>'AC Company v40'!AI28</f>
        <v>80</v>
      </c>
      <c r="E58" s="23">
        <f>'AC Company v40'!AJ28</f>
        <v>80</v>
      </c>
      <c r="F58" s="23">
        <f>'AC Company v40'!K28-'AC Company v40'!AK28</f>
        <v>1</v>
      </c>
      <c r="G58" s="23" t="str">
        <f>IF(ISNUMBER(C58),IF(F58=0,"همه اعضا مشمول","بخشی از اعضا"),"ثبت نشد")</f>
        <v>بخشی از اعضا</v>
      </c>
      <c r="H58" s="23" t="inlineStr">
        <is>
          <t>کاندید تکمیلی؛ فرصت حضور فقط با قاعده تعریف شده</t>
        </is>
      </c>
    </row>
    <row r="59" ht="29" customHeight="1" s="76">
      <c r="A59" s="25" t="inlineStr">
        <is>
          <t>ACX02</t>
        </is>
      </c>
      <c r="B59" s="25" t="inlineStr">
        <is>
          <t>وبملت</t>
        </is>
      </c>
      <c r="C59" s="68">
        <f>'AC Company v40'!AL29</f>
        <v>0.954954954954955</v>
      </c>
      <c r="D59" s="25">
        <f>'AC Company v40'!AI29</f>
        <v>106</v>
      </c>
      <c r="E59" s="25">
        <f>'AC Company v40'!AJ29</f>
        <v>111</v>
      </c>
      <c r="F59" s="25">
        <f>'AC Company v40'!K29-'AC Company v40'!AK29</f>
        <v>1</v>
      </c>
      <c r="G59" s="25" t="str">
        <f>IF(ISNUMBER(C59),IF(F59=0,"همه اعضا مشمول","بخشی از اعضا"),"ثبت نشد")</f>
        <v>بخشی از اعضا</v>
      </c>
      <c r="H59" s="25" t="inlineStr">
        <is>
          <t>کاندید تکمیلی؛ فرصت حضور فقط با قاعده تعریف شده</t>
        </is>
      </c>
    </row>
    <row r="60" ht="29" customHeight="1" s="76">
      <c r="A60" s="23" t="inlineStr">
        <is>
          <t>ACX02</t>
        </is>
      </c>
      <c r="B60" s="23" t="inlineStr">
        <is>
          <t>وبصادر</t>
        </is>
      </c>
      <c r="C60" s="67">
        <f>'AC Company v40'!AL30</f>
        <v>1</v>
      </c>
      <c r="D60" s="23">
        <f>'AC Company v40'!AI30</f>
        <v>66</v>
      </c>
      <c r="E60" s="23">
        <f>'AC Company v40'!AJ30</f>
        <v>66</v>
      </c>
      <c r="F60" s="23">
        <f>'AC Company v40'!K30-'AC Company v40'!AK30</f>
        <v>2</v>
      </c>
      <c r="G60" s="23" t="str">
        <f>IF(ISNUMBER(C60),IF(F60=0,"همه اعضا مشمول","بخشی از اعضا"),"ثبت نشد")</f>
        <v>بخشی از اعضا</v>
      </c>
      <c r="H60" s="23" t="inlineStr">
        <is>
          <t>کاندید تکمیلی؛ فرصت حضور فقط با قاعده تعریف شده</t>
        </is>
      </c>
    </row>
    <row r="61" ht="29" customHeight="1" s="76">
      <c r="A61" s="25" t="inlineStr">
        <is>
          <t>ACX02</t>
        </is>
      </c>
      <c r="B61" s="25" t="inlineStr">
        <is>
          <t>وپاسار</t>
        </is>
      </c>
      <c r="C61" s="68">
        <f>'AC Company v40'!AL31</f>
      </c>
      <c r="D61" s="25">
        <f>'AC Company v40'!AI31</f>
        <v>0</v>
      </c>
      <c r="E61" s="25">
        <f>'AC Company v40'!AJ31</f>
        <v>0</v>
      </c>
      <c r="F61" s="25">
        <f>'AC Company v40'!K31-'AC Company v40'!AK31</f>
        <v>0</v>
      </c>
      <c r="G61" s="25" t="str">
        <f>IF(ISNUMBER(C61),IF(F61=0,"همه اعضا مشمول","بخشی از اعضا"),"ثبت نشد")</f>
        <v>ثبت نشد</v>
      </c>
      <c r="H61" s="25" t="inlineStr">
        <is>
          <t>کاندید تکمیلی؛ فرصت حضور فقط با قاعده تعریف شده</t>
        </is>
      </c>
    </row>
    <row r="62" ht="29" customHeight="1" s="76">
      <c r="A62" s="23" t="inlineStr">
        <is>
          <t>ACX02</t>
        </is>
      </c>
      <c r="B62" s="23" t="inlineStr">
        <is>
          <t>حکشتی</t>
        </is>
      </c>
      <c r="C62" s="67">
        <f>'AC Company v40'!AL32</f>
      </c>
      <c r="D62" s="23">
        <f>'AC Company v40'!AI32</f>
        <v>0</v>
      </c>
      <c r="E62" s="23">
        <f>'AC Company v40'!AJ32</f>
        <v>0</v>
      </c>
      <c r="F62" s="23">
        <f>'AC Company v40'!K32-'AC Company v40'!AK32</f>
        <v>5</v>
      </c>
      <c r="G62" s="23" t="str">
        <f>IF(ISNUMBER(C62),IF(F62=0,"همه اعضا مشمول","بخشی از اعضا"),"ثبت نشد")</f>
        <v>ثبت نشد</v>
      </c>
      <c r="H62" s="23" t="inlineStr">
        <is>
          <t>کاندید تکمیلی؛ فرصت حضور فقط با قاعده تعریف شده</t>
        </is>
      </c>
    </row>
    <row r="63" ht="29" customHeight="1" s="76">
      <c r="A63" s="25" t="inlineStr">
        <is>
          <t>ACX02</t>
        </is>
      </c>
      <c r="B63" s="25" t="inlineStr">
        <is>
          <t>شپدیس</t>
        </is>
      </c>
      <c r="C63" s="68">
        <f>'AC Company v40'!AL33</f>
      </c>
      <c r="D63" s="25">
        <f>'AC Company v40'!AI33</f>
        <v>0</v>
      </c>
      <c r="E63" s="25">
        <f>'AC Company v40'!AJ33</f>
        <v>0</v>
      </c>
      <c r="F63" s="25">
        <f>'AC Company v40'!K33-'AC Company v40'!AK33</f>
        <v>3</v>
      </c>
      <c r="G63" s="25" t="str">
        <f>IF(ISNUMBER(C63),IF(F63=0,"همه اعضا مشمول","بخشی از اعضا"),"ثبت نشد")</f>
        <v>ثبت نشد</v>
      </c>
      <c r="H63" s="25" t="inlineStr">
        <is>
          <t>کاندید تکمیلی؛ فرصت حضور فقط با قاعده تعریف شده</t>
        </is>
      </c>
    </row>
  </sheetData>
  <mergeCells count="2">
    <mergeCell ref="A2:H2"/>
    <mergeCell ref="A1:H1"/>
  </mergeCells>
  <pageMargins left="0.75" right="0.75" top="1" bottom="1" header="0.5" footer="0.5"/>
</worksheet>
</file>

<file path=xl/worksheets/sheet75.xml><?xml version="1.0" encoding="utf-8"?>
<worksheet xmlns="http://schemas.openxmlformats.org/spreadsheetml/2006/main">
  <sheetPr>
    <tabColor rgb="FF548235"/>
    <outlinePr summaryBelow="1" summaryRight="1"/>
    <pageSetUpPr/>
  </sheetPr>
  <dimension ref="A1:I8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style="76" min="1" max="1"/>
    <col width="14" customWidth="1" style="76" min="2" max="3"/>
    <col width="60" customWidth="1" style="76" min="4" max="4"/>
    <col width="22" customWidth="1" style="76" min="5" max="5"/>
    <col width="30" customWidth="1" style="76" min="6" max="6"/>
    <col width="24" customWidth="1" style="76" min="7" max="7"/>
    <col width="12" customWidth="1" style="76" min="8" max="8"/>
    <col width="40" customWidth="1" style="76" min="9" max="9"/>
  </cols>
  <sheetData>
    <row r="1" ht="30" customHeight="1" s="76">
      <c r="A1" s="87" t="inlineStr">
        <is>
          <t>ثبت ممیزی کمیته حسابرسی v40</t>
        </is>
      </c>
    </row>
    <row r="2" ht="22" customHeight="1" s="76">
      <c r="A2" s="85" t="inlineStr">
        <is>
          <t>تناقض ها، تصمیم های کدگذاری، محدودیت ها، موارد حل شده و باز. برگه های ممیزی تاریخی بازنویسی نشده اند. بازبینی دوم توسط هوش مصنوعی بوده و ارزیابی مستقل انسانی نیست.</t>
        </is>
      </c>
    </row>
    <row r="3" ht="30" customHeight="1" s="76">
      <c r="A3" s="24" t="inlineStr">
        <is>
          <t>شناسه</t>
        </is>
      </c>
      <c r="B3" s="24" t="inlineStr">
        <is>
          <t>نوع</t>
        </is>
      </c>
      <c r="C3" s="24" t="inlineStr">
        <is>
          <t>شرکت یا سنجه</t>
        </is>
      </c>
      <c r="D3" s="24" t="inlineStr">
        <is>
          <t>شرح</t>
        </is>
      </c>
      <c r="E3" s="24" t="inlineStr">
        <is>
          <t>مقدار پیشین (v31 یا v39)</t>
        </is>
      </c>
      <c r="F3" s="24" t="inlineStr">
        <is>
          <t>تصمیم یا مقدار v40</t>
        </is>
      </c>
      <c r="G3" s="24" t="inlineStr">
        <is>
          <t>شناسه شاهد</t>
        </is>
      </c>
      <c r="H3" s="24" t="inlineStr">
        <is>
          <t>وضعیت</t>
        </is>
      </c>
      <c r="I3" s="24" t="inlineStr">
        <is>
          <t>سند لازم برای بستن</t>
        </is>
      </c>
    </row>
    <row r="4" ht="29" customHeight="1" s="76">
      <c r="A4" s="23" t="inlineStr">
        <is>
          <t>A01</t>
        </is>
      </c>
      <c r="B4" s="23" t="inlineStr">
        <is>
          <t>حل شده</t>
        </is>
      </c>
      <c r="C4" s="23" t="inlineStr">
        <is>
          <t>زاگرس</t>
        </is>
      </c>
      <c r="D4" s="23" t="inlineStr">
        <is>
          <t>وجود کمیته حسابرسی با افشای صریح در گزارش دوره ۱۴۰۴ تایید شد</t>
        </is>
      </c>
      <c r="E4" s="23" t="inlineStr">
        <is>
          <t>نامشخص (v31، ممیزی v36 Keyword)</t>
        </is>
      </c>
      <c r="F4" s="23" t="inlineStr">
        <is>
          <t>AUD01 برابر یک</t>
        </is>
      </c>
      <c r="G4" s="23" t="inlineStr">
        <is>
          <t>EV_SRC_ZGRS_1404_001_p27</t>
        </is>
      </c>
      <c r="H4" s="23" t="inlineStr">
        <is>
          <t>حل شده</t>
        </is>
      </c>
      <c r="I4" s="23" t="n"/>
    </row>
    <row r="5" ht="29" customHeight="1" s="76">
      <c r="A5" s="25" t="inlineStr">
        <is>
          <t>A02</t>
        </is>
      </c>
      <c r="B5" s="25" t="inlineStr">
        <is>
          <t>حل شده</t>
        </is>
      </c>
      <c r="C5" s="25" t="inlineStr">
        <is>
          <t>شتران</t>
        </is>
      </c>
      <c r="D5" s="25" t="inlineStr">
        <is>
          <t>وجود کمیته حسابرسی با افشای صریح در گزارش دوره ۱۴۰۴ تایید شد</t>
        </is>
      </c>
      <c r="E5" s="25" t="inlineStr">
        <is>
          <t>نامشخص (v31، ممیزی v36 Keyword)</t>
        </is>
      </c>
      <c r="F5" s="25" t="inlineStr">
        <is>
          <t>AUD01 برابر یک</t>
        </is>
      </c>
      <c r="G5" s="25" t="inlineStr">
        <is>
          <t>EV_SRC_SHTR_1404_002_p17</t>
        </is>
      </c>
      <c r="H5" s="25" t="inlineStr">
        <is>
          <t>حل شده</t>
        </is>
      </c>
      <c r="I5" s="25" t="n"/>
    </row>
    <row r="6" ht="29" customHeight="1" s="76">
      <c r="A6" s="23" t="inlineStr">
        <is>
          <t>A03</t>
        </is>
      </c>
      <c r="B6" s="23" t="inlineStr">
        <is>
          <t>حل شده</t>
        </is>
      </c>
      <c r="C6" s="23" t="inlineStr">
        <is>
          <t>رمپنا</t>
        </is>
      </c>
      <c r="D6" s="23" t="inlineStr">
        <is>
          <t>وجود کمیته حسابرسی با افشای صریح در گزارش دوره ۱۴۰۴ تایید شد</t>
        </is>
      </c>
      <c r="E6" s="23" t="inlineStr">
        <is>
          <t>نامشخص (v31، ممیزی v36 Keyword)</t>
        </is>
      </c>
      <c r="F6" s="23" t="inlineStr">
        <is>
          <t>AUD01 برابر یک</t>
        </is>
      </c>
      <c r="G6" s="23" t="inlineStr">
        <is>
          <t>EV_SRC_RMPN_1404_001_p38</t>
        </is>
      </c>
      <c r="H6" s="23" t="inlineStr">
        <is>
          <t>حل شده</t>
        </is>
      </c>
      <c r="I6" s="23" t="n"/>
    </row>
    <row r="7" ht="29" customHeight="1" s="76">
      <c r="A7" s="25" t="inlineStr">
        <is>
          <t>A04</t>
        </is>
      </c>
      <c r="B7" s="25" t="inlineStr">
        <is>
          <t>حل شده</t>
        </is>
      </c>
      <c r="C7" s="25" t="inlineStr">
        <is>
          <t>فخوز</t>
        </is>
      </c>
      <c r="D7" s="25" t="inlineStr">
        <is>
          <t>وجود کمیته حسابرسی با افشای صریح در گزارش دوره ۱۴۰۴ تایید شد</t>
        </is>
      </c>
      <c r="E7" s="25" t="inlineStr">
        <is>
          <t>نامشخص (v31، ممیزی v36 Keyword)</t>
        </is>
      </c>
      <c r="F7" s="25" t="inlineStr">
        <is>
          <t>AUD01 برابر یک</t>
        </is>
      </c>
      <c r="G7" s="25" t="inlineStr">
        <is>
          <t>EV_SRC_FKHZ_1404_001_p34</t>
        </is>
      </c>
      <c r="H7" s="25" t="inlineStr">
        <is>
          <t>حل شده</t>
        </is>
      </c>
      <c r="I7" s="25" t="n"/>
    </row>
    <row r="8" ht="29" customHeight="1" s="76">
      <c r="A8" s="23" t="inlineStr">
        <is>
          <t>A05</t>
        </is>
      </c>
      <c r="B8" s="23" t="inlineStr">
        <is>
          <t>حل شده</t>
        </is>
      </c>
      <c r="C8" s="23" t="inlineStr">
        <is>
          <t>حکشتی</t>
        </is>
      </c>
      <c r="D8" s="23" t="inlineStr">
        <is>
          <t>وجود کمیته حسابرسی با افشای صریح در گزارش دوره ۱۴۰۴ تایید شد</t>
        </is>
      </c>
      <c r="E8" s="23" t="inlineStr">
        <is>
          <t>نامشخص (v31، ممیزی v36 Keyword)</t>
        </is>
      </c>
      <c r="F8" s="23" t="inlineStr">
        <is>
          <t>AUD01 برابر یک</t>
        </is>
      </c>
      <c r="G8" s="23" t="inlineStr">
        <is>
          <t>EV_SRC_HKSH_1404_002_p89</t>
        </is>
      </c>
      <c r="H8" s="23" t="inlineStr">
        <is>
          <t>حل شده</t>
        </is>
      </c>
      <c r="I8" s="23" t="n"/>
    </row>
    <row r="9" ht="29" customHeight="1" s="76">
      <c r="A9" s="25" t="inlineStr">
        <is>
          <t>A06</t>
        </is>
      </c>
      <c r="B9" s="25" t="inlineStr">
        <is>
          <t>حل شده</t>
        </is>
      </c>
      <c r="C9" s="25" t="inlineStr">
        <is>
          <t>شپدیس</t>
        </is>
      </c>
      <c r="D9" s="25" t="inlineStr">
        <is>
          <t>وجود کمیته حسابرسی با افشای صریح در گزارش دوره ۱۴۰۴ تایید شد</t>
        </is>
      </c>
      <c r="E9" s="25" t="inlineStr">
        <is>
          <t>نامشخص (v31، ممیزی v36 Keyword)</t>
        </is>
      </c>
      <c r="F9" s="25" t="inlineStr">
        <is>
          <t>AUD01 برابر یک</t>
        </is>
      </c>
      <c r="G9" s="25" t="inlineStr">
        <is>
          <t>EV_SRC_SHPD_1404_001_p23</t>
        </is>
      </c>
      <c r="H9" s="25" t="inlineStr">
        <is>
          <t>حل شده</t>
        </is>
      </c>
      <c r="I9" s="25" t="n"/>
    </row>
    <row r="10" ht="43.5" customHeight="1" s="76">
      <c r="A10" s="23" t="inlineStr">
        <is>
          <t>A07</t>
        </is>
      </c>
      <c r="B10" s="23" t="inlineStr">
        <is>
          <t>باز</t>
        </is>
      </c>
      <c r="C10" s="23" t="inlineStr">
        <is>
          <t>وپاسار</t>
        </is>
      </c>
      <c r="D10" s="23" t="inlineStr">
        <is>
          <t>وجود کمیته با افشای صریح تایید نشد: جمله قالبی گزارش کنترل داخلی و فهرست کارگروه حسابرسی داخلی در FY1403؛ گزارش فعالیت FY1404 منتشر نشده است</t>
        </is>
      </c>
      <c r="E10" s="23" t="inlineStr">
        <is>
          <t>نامشخص</t>
        </is>
      </c>
      <c r="F10" s="23" t="inlineStr">
        <is>
          <t>AUD01 خالی</t>
        </is>
      </c>
      <c r="G10" s="23" t="inlineStr">
        <is>
          <t>EV_VPSR_ICR_1526305</t>
        </is>
      </c>
      <c r="H10" s="23" t="inlineStr">
        <is>
          <t>باز</t>
        </is>
      </c>
      <c r="I10" s="23" t="inlineStr">
        <is>
          <t>گزارش فعالیت هیئت مدیره FY1404 یا اطلاعیه ترکیب کمیته حسابرسی</t>
        </is>
      </c>
    </row>
    <row r="11" ht="29" customHeight="1" s="76">
      <c r="A11" s="25" t="inlineStr">
        <is>
          <t>A08</t>
        </is>
      </c>
      <c r="B11" s="25" t="inlineStr">
        <is>
          <t>تناقض حل شده</t>
        </is>
      </c>
      <c r="C11" s="25" t="inlineStr">
        <is>
          <t>فملی</t>
        </is>
      </c>
      <c r="D11" s="25" t="inlineStr">
        <is>
          <t>ترکیب v31 متعلق به بانک ملت بود (رئیس چاووشی) و نادرست در فملی ثبت شده بود</t>
        </is>
      </c>
      <c r="E11" s="25" t="inlineStr">
        <is>
          <t>اندازه ۶ رئیس چاووشی</t>
        </is>
      </c>
      <c r="F11" s="25" t="inlineStr">
        <is>
          <t>فهرست FY1404 با ۵ عضو و ۱ دبیر</t>
        </is>
      </c>
      <c r="G11" s="25" t="inlineStr">
        <is>
          <t>EV_SRC_FMLI_1404_001_p36</t>
        </is>
      </c>
      <c r="H11" s="25" t="inlineStr">
        <is>
          <t>حل شده</t>
        </is>
      </c>
      <c r="I11" s="25" t="n"/>
    </row>
    <row r="12" ht="20" customHeight="1" s="76">
      <c r="A12" s="23" t="inlineStr">
        <is>
          <t>A09</t>
        </is>
      </c>
      <c r="B12" s="23" t="inlineStr">
        <is>
          <t>تناقض حل شده</t>
        </is>
      </c>
      <c r="C12" s="23" t="inlineStr">
        <is>
          <t>همراه</t>
        </is>
      </c>
      <c r="D12" s="23" t="inlineStr">
        <is>
          <t>v31 اندازه ۳؛ جدول FY1404 پنج عضو را نشان می دهد</t>
        </is>
      </c>
      <c r="E12" s="23" t="inlineStr">
        <is>
          <t>اندازه ۳</t>
        </is>
      </c>
      <c r="F12" s="23" t="inlineStr">
        <is>
          <t>۵ عضو</t>
        </is>
      </c>
      <c r="G12" s="23" t="inlineStr">
        <is>
          <t>EV_SRC_HMRH_1404_001_p29</t>
        </is>
      </c>
      <c r="H12" s="23" t="inlineStr">
        <is>
          <t>حل شده</t>
        </is>
      </c>
      <c r="I12" s="23" t="n"/>
    </row>
    <row r="13" ht="29" customHeight="1" s="76">
      <c r="A13" s="25" t="inlineStr">
        <is>
          <t>A10</t>
        </is>
      </c>
      <c r="B13" s="25" t="inlineStr">
        <is>
          <t>تناقض حل شده</t>
        </is>
      </c>
      <c r="C13" s="25" t="inlineStr">
        <is>
          <t>ومعادن</t>
        </is>
      </c>
      <c r="D13" s="25" t="inlineStr">
        <is>
          <t>v31 اندازه ۴ و رئیس نامشخص؛ جدول FY1404 پنج عضو و دبیر با رئیس مشخص</t>
        </is>
      </c>
      <c r="E13" s="25" t="inlineStr">
        <is>
          <t>اندازه ۴</t>
        </is>
      </c>
      <c r="F13" s="25" t="inlineStr">
        <is>
          <t>۵ عضو و دبیر</t>
        </is>
      </c>
      <c r="G13" s="25" t="inlineStr">
        <is>
          <t>EV_SRC_VMDN_1404_001_p44</t>
        </is>
      </c>
      <c r="H13" s="25" t="inlineStr">
        <is>
          <t>حل شده</t>
        </is>
      </c>
      <c r="I13" s="25" t="n"/>
    </row>
    <row r="14" ht="20" customHeight="1" s="76">
      <c r="A14" s="23" t="inlineStr">
        <is>
          <t>A11</t>
        </is>
      </c>
      <c r="B14" s="23" t="inlineStr">
        <is>
          <t>تناقض حل شده</t>
        </is>
      </c>
      <c r="C14" s="23" t="inlineStr">
        <is>
          <t>شستا</t>
        </is>
      </c>
      <c r="D14" s="23" t="inlineStr">
        <is>
          <t>v31 اندازه ۳؛ جدول مقطع ۱۴۰۴/۰۳/۳۱ چهار عضو</t>
        </is>
      </c>
      <c r="E14" s="23" t="inlineStr">
        <is>
          <t>اندازه ۳</t>
        </is>
      </c>
      <c r="F14" s="23" t="inlineStr">
        <is>
          <t>۴ عضو</t>
        </is>
      </c>
      <c r="G14" s="23" t="inlineStr">
        <is>
          <t>EV_SRC_SHST_1404_001_p30</t>
        </is>
      </c>
      <c r="H14" s="23" t="inlineStr">
        <is>
          <t>حل شده</t>
        </is>
      </c>
      <c r="I14" s="23" t="n"/>
    </row>
    <row r="15" ht="20" customHeight="1" s="76">
      <c r="A15" s="25" t="inlineStr">
        <is>
          <t>A12</t>
        </is>
      </c>
      <c r="B15" s="25" t="inlineStr">
        <is>
          <t>تناقض حل شده</t>
        </is>
      </c>
      <c r="C15" s="25" t="inlineStr">
        <is>
          <t>شپنا</t>
        </is>
      </c>
      <c r="D15" s="25" t="inlineStr">
        <is>
          <t>v31 اندازه ۶؛ جدول FY1404 پنج عضو</t>
        </is>
      </c>
      <c r="E15" s="25" t="inlineStr">
        <is>
          <t>اندازه ۶</t>
        </is>
      </c>
      <c r="F15" s="25" t="inlineStr">
        <is>
          <t>۵ عضو</t>
        </is>
      </c>
      <c r="G15" s="25" t="inlineStr">
        <is>
          <t>EV_SRC_SHPN_1404_001_p79</t>
        </is>
      </c>
      <c r="H15" s="25" t="inlineStr">
        <is>
          <t>حل شده</t>
        </is>
      </c>
      <c r="I15" s="25" t="n"/>
    </row>
    <row r="16" ht="29" customHeight="1" s="76">
      <c r="A16" s="23" t="inlineStr">
        <is>
          <t>A13</t>
        </is>
      </c>
      <c r="B16" s="23" t="inlineStr">
        <is>
          <t>تناقض حل شده</t>
        </is>
      </c>
      <c r="C16" s="23" t="inlineStr">
        <is>
          <t>جم</t>
        </is>
      </c>
      <c r="D16" s="23" t="inlineStr">
        <is>
          <t>v31 رئیس کمیته مدیرعامل؛ جدول FY1404 رئیس سیاهکارزاده و دبیر فصیحی</t>
        </is>
      </c>
      <c r="E16" s="23" t="inlineStr">
        <is>
          <t>رئیس نجفی اردکانی</t>
        </is>
      </c>
      <c r="F16" s="23" t="inlineStr">
        <is>
          <t>رئیس سیاهکارزاده</t>
        </is>
      </c>
      <c r="G16" s="23" t="inlineStr">
        <is>
          <t>EV_SRC_JAM_1404_001_p62</t>
        </is>
      </c>
      <c r="H16" s="23" t="inlineStr">
        <is>
          <t>حل شده</t>
        </is>
      </c>
      <c r="I16" s="23" t="n"/>
    </row>
    <row r="17" ht="29" customHeight="1" s="76">
      <c r="A17" s="25" t="inlineStr">
        <is>
          <t>A14</t>
        </is>
      </c>
      <c r="B17" s="25" t="inlineStr">
        <is>
          <t>تناقض حل شده</t>
        </is>
      </c>
      <c r="C17" s="25" t="inlineStr">
        <is>
          <t>وتجارت</t>
        </is>
      </c>
      <c r="D17" s="25" t="inlineStr">
        <is>
          <t>v31 رئیس شریفیان (دوره FY1403)؛ جدول ۱۴۰۴/۱۲/۲۹ پنج عضو بدون شریفیان</t>
        </is>
      </c>
      <c r="E17" s="25" t="inlineStr">
        <is>
          <t>رئیس شریفیان</t>
        </is>
      </c>
      <c r="F17" s="25" t="inlineStr">
        <is>
          <t>۵ عضو (۴ مستقل خارج از بانک)</t>
        </is>
      </c>
      <c r="G17" s="25" t="inlineStr">
        <is>
          <t>EV_SRC_VTEJ_1404_001_p52</t>
        </is>
      </c>
      <c r="H17" s="25" t="inlineStr">
        <is>
          <t>حل شده</t>
        </is>
      </c>
      <c r="I17" s="25" t="n"/>
    </row>
    <row r="18" ht="29" customHeight="1" s="76">
      <c r="A18" s="23" t="inlineStr">
        <is>
          <t>A15</t>
        </is>
      </c>
      <c r="B18" s="23" t="inlineStr">
        <is>
          <t>تناقض حل شده</t>
        </is>
      </c>
      <c r="C18" s="23" t="inlineStr">
        <is>
          <t>فارس</t>
        </is>
      </c>
      <c r="D18" s="23" t="inlineStr">
        <is>
          <t>رئیس تغییر کرده (جدول مقطع ۱۴۰۴/۰۳/۳۱: حسین‌زاده از ۱۴۰۴/۰۲/۲۹)؛ اندازه ۳</t>
        </is>
      </c>
      <c r="E18" s="23" t="inlineStr">
        <is>
          <t>رئیس نعیمی</t>
        </is>
      </c>
      <c r="F18" s="23" t="inlineStr">
        <is>
          <t>رئیس حسین‌زاده</t>
        </is>
      </c>
      <c r="G18" s="23" t="inlineStr">
        <is>
          <t>EV_SRC_FARS_1404_001_p42</t>
        </is>
      </c>
      <c r="H18" s="23" t="inlineStr">
        <is>
          <t>حل شده</t>
        </is>
      </c>
      <c r="I18" s="23" t="n"/>
    </row>
    <row r="19" ht="58" customHeight="1" s="76">
      <c r="A19" s="25" t="inlineStr">
        <is>
          <t>A16</t>
        </is>
      </c>
      <c r="B19" s="25" t="inlineStr">
        <is>
          <t>استقلال</t>
        </is>
      </c>
      <c r="C19" s="25" t="inlineStr">
        <is>
          <t>N14</t>
        </is>
      </c>
      <c r="D19" s="25" t="inlineStr">
        <is>
          <t>v39 و v31 پنج شرکت را دارای استقلال می دانست (همراه، وامید، وغدیر، وبصادر، فارس). v40 فقط با برچسب همه اعضا نسبت کل می دهد: فارس، وغدیر، پارسان، اخابر، وامید. همراه، وبصادر، وتجارت، شتران، خساپا فقط نسبت جزئی دارند چون رئیس بدون برچسب است</t>
        </is>
      </c>
      <c r="E19" s="25" t="inlineStr">
        <is>
          <t>پوشش ۵</t>
        </is>
      </c>
      <c r="F19" s="25" t="inlineStr">
        <is>
          <t>پوشش بر پایه تعریف سخت گیرانه</t>
        </is>
      </c>
      <c r="G19" s="25" t="inlineStr">
        <is>
          <t>EV_SRC_HMRH_1404_001_p29</t>
        </is>
      </c>
      <c r="H19" s="25" t="inlineStr">
        <is>
          <t>ثبت شد</t>
        </is>
      </c>
      <c r="I19" s="25" t="n"/>
    </row>
    <row r="20" ht="29" customHeight="1" s="76">
      <c r="A20" s="23" t="inlineStr">
        <is>
          <t>A17</t>
        </is>
      </c>
      <c r="B20" s="23" t="inlineStr">
        <is>
          <t>کدگذاری</t>
        </is>
      </c>
      <c r="C20" s="23" t="inlineStr">
        <is>
          <t>فارس</t>
        </is>
      </c>
      <c r="D20" s="23" t="inlineStr">
        <is>
          <t>استقلال رئیس کمیته فقط از پانوشت (یک عضو مستقل هیئت مدیره) استخراج شد نه برچسب ردیف</t>
        </is>
      </c>
      <c r="E20" s="23" t="n"/>
      <c r="F20" s="23" t="inlineStr">
        <is>
          <t>Y با علامت مشتق در توضیح</t>
        </is>
      </c>
      <c r="G20" s="23" t="inlineStr">
        <is>
          <t>EV_SRC_FARS_1404_001_p42</t>
        </is>
      </c>
      <c r="H20" s="23" t="inlineStr">
        <is>
          <t>ثبت شد</t>
        </is>
      </c>
      <c r="I20" s="23" t="n"/>
    </row>
    <row r="21" ht="29" customHeight="1" s="76">
      <c r="A21" s="25" t="inlineStr">
        <is>
          <t>A18</t>
        </is>
      </c>
      <c r="B21" s="25" t="inlineStr">
        <is>
          <t>کدگذاری</t>
        </is>
      </c>
      <c r="C21" s="25" t="inlineStr">
        <is>
          <t>فقط تعداد</t>
        </is>
      </c>
      <c r="D21" s="25" t="inlineStr">
        <is>
          <t>دبیر و مدیر حسابرسی داخلی عضو شمرده نشدند مگر عبارت «عضو و دبیر» (حسن‌پور در کچاد)</t>
        </is>
      </c>
      <c r="E21" s="25" t="n"/>
      <c r="F21" s="25" t="inlineStr">
        <is>
          <t>قاعده طبقه نقش</t>
        </is>
      </c>
      <c r="G21" s="25" t="n"/>
      <c r="H21" s="25" t="inlineStr">
        <is>
          <t>ثبت شد</t>
        </is>
      </c>
      <c r="I21" s="25" t="n"/>
    </row>
    <row r="22" ht="29" customHeight="1" s="76">
      <c r="A22" s="23" t="inlineStr">
        <is>
          <t>A19</t>
        </is>
      </c>
      <c r="B22" s="23" t="inlineStr">
        <is>
          <t>محدودیت</t>
        </is>
      </c>
      <c r="C22" s="23" t="inlineStr">
        <is>
          <t>تاپیکو</t>
        </is>
      </c>
      <c r="D22" s="23" t="inlineStr">
        <is>
          <t>صفحه خلاصه جلسات (ص۸۳) در گزارش FYE ۱۴۰۴/۰۲/۳۱ سرصفحه «۱۴۰۳» دارد؛ ۱۹ جلسه با هشدار پذیرفته شد (گزارش FY1403: ۱۴ جلسه)</t>
        </is>
      </c>
      <c r="E22" s="23" t="inlineStr">
        <is>
          <t>۱۹ (v31 ردیف هلدینگ)</t>
        </is>
      </c>
      <c r="F22" s="23" t="inlineStr">
        <is>
          <t>N16 برابر ۱۹ با هشدار</t>
        </is>
      </c>
      <c r="G22" s="23" t="inlineStr">
        <is>
          <t>EV_SRC_TPIK_1404_002_p83</t>
        </is>
      </c>
      <c r="H22" s="23" t="inlineStr">
        <is>
          <t>باز با هشدار</t>
        </is>
      </c>
      <c r="I22" s="23" t="inlineStr">
        <is>
          <t>گزارش مستقل کمیته حسابرسی تاپیکو برای دوره ۱۴۰۴ یا اصلاحیه صفحه</t>
        </is>
      </c>
    </row>
    <row r="23" ht="43.5" customHeight="1" s="76">
      <c r="A23" s="25" t="inlineStr">
        <is>
          <t>A20</t>
        </is>
      </c>
      <c r="B23" s="25" t="inlineStr">
        <is>
          <t>تناقض</t>
        </is>
      </c>
      <c r="C23" s="25" t="inlineStr">
        <is>
          <t>پارس</t>
        </is>
      </c>
      <c r="D23" s="25" t="inlineStr">
        <is>
          <t>جمله زیر جدول کمیته حسابرسی «تعداد جلسات کمیته ریسک ۱۷» است؛ حداکثر حضور اعضا هم ۱۷ است؛ به عنوان جلسات کمیته حسابرسی با هشدار پذیرفته شد</t>
        </is>
      </c>
      <c r="E23" s="25" t="n"/>
      <c r="F23" s="25" t="inlineStr">
        <is>
          <t>N16 برابر ۱۷ با هشدار</t>
        </is>
      </c>
      <c r="G23" s="25" t="inlineStr">
        <is>
          <t>EV_SRC_PARS_1404_001_p36</t>
        </is>
      </c>
      <c r="H23" s="25" t="inlineStr">
        <is>
          <t>باز با هشدار</t>
        </is>
      </c>
      <c r="I23" s="25" t="inlineStr">
        <is>
          <t>تایید عنوان جدول در نسخه اصلاحی یا گزارش کمیته</t>
        </is>
      </c>
    </row>
    <row r="24" ht="29" customHeight="1" s="76">
      <c r="A24" s="23" t="inlineStr">
        <is>
          <t>A21</t>
        </is>
      </c>
      <c r="B24" s="23" t="inlineStr">
        <is>
          <t>تناقض</t>
        </is>
      </c>
      <c r="C24" s="23" t="inlineStr">
        <is>
          <t>پارس</t>
        </is>
      </c>
      <c r="D24" s="23" t="inlineStr">
        <is>
          <t>عضو با تاریخ عضویت ۱۴۰۴/۰۶/۱۵ حضور ۱۷ از ۱۷ دارد؛ تاریخ احتمالا آغاز دوره فعلی است نه نخستین عضویت</t>
        </is>
      </c>
      <c r="E24" s="23" t="n"/>
      <c r="F24" s="23" t="inlineStr">
        <is>
          <t>فرصت حضور از قاعده خارج شد</t>
        </is>
      </c>
      <c r="G24" s="23" t="inlineStr">
        <is>
          <t>EV_SRC_PARS_1404_001_p36</t>
        </is>
      </c>
      <c r="H24" s="23" t="inlineStr">
        <is>
          <t>باز</t>
        </is>
      </c>
      <c r="I24" s="23" t="inlineStr">
        <is>
          <t>تاریخ نخستین عضویت</t>
        </is>
      </c>
    </row>
    <row r="25" ht="29" customHeight="1" s="76">
      <c r="A25" s="25" t="inlineStr">
        <is>
          <t>A22</t>
        </is>
      </c>
      <c r="B25" s="25" t="inlineStr">
        <is>
          <t>تناقض</t>
        </is>
      </c>
      <c r="C25" s="25" t="inlineStr">
        <is>
          <t>وبملت</t>
        </is>
      </c>
      <c r="D25" s="25" t="inlineStr">
        <is>
          <t>عضو با تاریخ ۱۴۰۴/۰۳/۱۳ حضور ۳۰ از ۳۷ جلسه سال دارد؛ فرصت واقعی روشن نیست</t>
        </is>
      </c>
      <c r="E25" s="25" t="n"/>
      <c r="F25" s="25" t="inlineStr">
        <is>
          <t>فرصت حضور نامشخص و حذف از نرخ</t>
        </is>
      </c>
      <c r="G25" s="25" t="inlineStr">
        <is>
          <t>EV_SRC_MELT_1404_002_p54</t>
        </is>
      </c>
      <c r="H25" s="25" t="inlineStr">
        <is>
          <t>باز</t>
        </is>
      </c>
      <c r="I25" s="25" t="inlineStr">
        <is>
          <t>تعداد جلسات پس از تاریخ عضویت</t>
        </is>
      </c>
    </row>
    <row r="26" ht="29" customHeight="1" s="76">
      <c r="A26" s="23" t="inlineStr">
        <is>
          <t>A23</t>
        </is>
      </c>
      <c r="B26" s="23" t="inlineStr">
        <is>
          <t>تناقض</t>
        </is>
      </c>
      <c r="C26" s="23" t="inlineStr">
        <is>
          <t>زاگرس</t>
        </is>
      </c>
      <c r="D26" s="23" t="inlineStr">
        <is>
          <t>متن می گوید رئیس کمیته عضو غیرموظف هیئت مدیره است ولی نام او در فهرست هیئت مدیره v22 نیست</t>
        </is>
      </c>
      <c r="E26" s="23" t="n"/>
      <c r="F26" s="23" t="inlineStr">
        <is>
          <t>عضویت هیئت مدیره رئیس: متعارض (C)</t>
        </is>
      </c>
      <c r="G26" s="23" t="inlineStr">
        <is>
          <t>EV_SRC_ZGRS_1404_001_p27</t>
        </is>
      </c>
      <c r="H26" s="23" t="inlineStr">
        <is>
          <t>باز</t>
        </is>
      </c>
      <c r="I26" s="23" t="inlineStr">
        <is>
          <t>فهرست هیئت مدیره FY1404 با تاریخ</t>
        </is>
      </c>
    </row>
    <row r="27" ht="29" customHeight="1" s="76">
      <c r="A27" s="25" t="inlineStr">
        <is>
          <t>A24</t>
        </is>
      </c>
      <c r="B27" s="25" t="inlineStr">
        <is>
          <t>محدودیت</t>
        </is>
      </c>
      <c r="C27" s="25" t="inlineStr">
        <is>
          <t>فخوز</t>
        </is>
      </c>
      <c r="D27" s="25" t="inlineStr">
        <is>
          <t>رئیس کمیته از ۱۴۰۵/۰۱/۳۰ عضو است (پس از مقطع)؛ ترکیب در ۱۴۰۴/۱۲/۲۹ ناقص و AUD02 نهایی ثبت نشد</t>
        </is>
      </c>
      <c r="E27" s="25" t="inlineStr">
        <is>
          <t>شروع پس از مقطع</t>
        </is>
      </c>
      <c r="F27" s="25" t="inlineStr">
        <is>
          <t>AUD02 خالی، تعداد مشاهده شده ۲</t>
        </is>
      </c>
      <c r="G27" s="25" t="inlineStr">
        <is>
          <t>EV_SRC_FKHZ_1404_001_p34</t>
        </is>
      </c>
      <c r="H27" s="25" t="inlineStr">
        <is>
          <t>باز</t>
        </is>
      </c>
      <c r="I27" s="25" t="inlineStr">
        <is>
          <t>ترکیب کمیته در ۱۴۰۴/۱۲/۲۹ (رئیس و عضو پیشین)</t>
        </is>
      </c>
    </row>
    <row r="28" ht="29" customHeight="1" s="76">
      <c r="A28" s="23" t="inlineStr">
        <is>
          <t>A25</t>
        </is>
      </c>
      <c r="B28" s="23" t="inlineStr">
        <is>
          <t>محدودیت</t>
        </is>
      </c>
      <c r="C28" s="23" t="inlineStr">
        <is>
          <t>وغدیر</t>
        </is>
      </c>
      <c r="D28" s="23" t="inlineStr">
        <is>
          <t>عضو پنجم از ۱۴۰۴/۱۰/۲۳ پس از پایان دوره ۱۴۰۴/۰۹/۳۰ آغاز شده؛ AUD02 در مقطع پایان دوره برابر ۴</t>
        </is>
      </c>
      <c r="E28" s="23" t="n"/>
      <c r="F28" s="23" t="inlineStr">
        <is>
          <t>AUD02 برابر ۴ با یادداشت</t>
        </is>
      </c>
      <c r="G28" s="23" t="inlineStr">
        <is>
          <t>EV_SRC_VGHD_1404_001_p34</t>
        </is>
      </c>
      <c r="H28" s="23" t="inlineStr">
        <is>
          <t>ثبت شد</t>
        </is>
      </c>
      <c r="I28" s="23" t="n"/>
    </row>
    <row r="29" ht="29" customHeight="1" s="76">
      <c r="A29" s="25" t="inlineStr">
        <is>
          <t>A26</t>
        </is>
      </c>
      <c r="B29" s="25" t="inlineStr">
        <is>
          <t>محدودیت</t>
        </is>
      </c>
      <c r="C29" s="25" t="inlineStr">
        <is>
          <t>حکشتی</t>
        </is>
      </c>
      <c r="D29" s="25" t="inlineStr">
        <is>
          <t>نام اعضای کمیته در جدول ثبت نشده و ۵ ردیف بی نام است؛ AUD02 نهایی و استقلال و تخصص قابل کدگذاری نیست</t>
        </is>
      </c>
      <c r="E29" s="25" t="n"/>
      <c r="F29" s="25" t="inlineStr">
        <is>
          <t>AUD01 یک، AUD02 ناقص</t>
        </is>
      </c>
      <c r="G29" s="25" t="inlineStr">
        <is>
          <t>EV_SRC_HKSH_1404_002_p89</t>
        </is>
      </c>
      <c r="H29" s="25" t="inlineStr">
        <is>
          <t>باز</t>
        </is>
      </c>
      <c r="I29" s="25" t="inlineStr">
        <is>
          <t>جدول با نام اعضا یا صورتجلسه هیئت مدیره</t>
        </is>
      </c>
    </row>
    <row r="30" ht="58" customHeight="1" s="76">
      <c r="A30" s="23" t="inlineStr">
        <is>
          <t>A27</t>
        </is>
      </c>
      <c r="B30" s="23" t="inlineStr">
        <is>
          <t>محدودیت</t>
        </is>
      </c>
      <c r="C30" s="23" t="inlineStr">
        <is>
          <t>مقطع مبنا</t>
        </is>
      </c>
      <c r="D30" s="23" t="inlineStr">
        <is>
          <t>شرکت های با پایان سال غیر از ۱۴۰۴/۱۲/۲۹: تاپیکو (۰۲/۳۱)، فارس، شستا، حکشتی (۰۳/۳۱)، پارسان، شپدیس (۰۶/۳۱)، وغدیر (۰۹/۳۰)، وامید (۱۰/۳۰)، کچاد و کگل (دوره ۹ ماهه ۰۹/۳۰). دوره ها یکسان سازی نشد</t>
        </is>
      </c>
      <c r="E30" s="23" t="n"/>
      <c r="F30" s="23" t="inlineStr">
        <is>
          <t>پرچم در ستون مقطع</t>
        </is>
      </c>
      <c r="G30" s="23" t="n"/>
      <c r="H30" s="23" t="inlineStr">
        <is>
          <t>ثبت شد</t>
        </is>
      </c>
      <c r="I30" s="23" t="inlineStr">
        <is>
          <t>گزارش دوره ۱۲ ماهه استاندارد یا اطلاعیه تغییر کمیته</t>
        </is>
      </c>
    </row>
    <row r="31" ht="29" customHeight="1" s="76">
      <c r="A31" s="25" t="inlineStr">
        <is>
          <t>A28</t>
        </is>
      </c>
      <c r="B31" s="25" t="inlineStr">
        <is>
          <t>کدگذاری</t>
        </is>
      </c>
      <c r="C31" s="25" t="inlineStr">
        <is>
          <t>وپاسار</t>
        </is>
      </c>
      <c r="D31" s="25" t="inlineStr">
        <is>
          <t>اطلاعیه کنترل داخلی ۱۴۰۴/۱۲/۲۹ هفت امضاکننده هیئت مدیره دارد؛ این مطلب برای خانواده گردش است و در این مرحله تغییری ایجاد نکرد</t>
        </is>
      </c>
      <c r="E31" s="25" t="n"/>
      <c r="F31" s="25" t="inlineStr">
        <is>
          <t>فقط ثبت</t>
        </is>
      </c>
      <c r="G31" s="25" t="inlineStr">
        <is>
          <t>EV_VPSR_ICR_1526305</t>
        </is>
      </c>
      <c r="H31" s="25" t="inlineStr">
        <is>
          <t>ثبت شد</t>
        </is>
      </c>
      <c r="I31" s="25" t="n"/>
    </row>
    <row r="32" ht="72.5" customHeight="1" s="76">
      <c r="A32" s="23" t="inlineStr">
        <is>
          <t>A29</t>
        </is>
      </c>
      <c r="B32" s="23" t="inlineStr">
        <is>
          <t>بازبینی دوم</t>
        </is>
      </c>
      <c r="C32" s="23" t="inlineStr">
        <is>
          <t>همه</t>
        </is>
      </c>
      <c r="D32" s="23" t="inlineStr">
        <is>
          <t>بازبینی ماشینی (هوش مصنوعی) در نوبت جدا: رمپنا، فارس، وامید، وغدیر، شپنا و زاگرس با بزرگنمایی تصویر دوباره خوانده شد؛ برای PDF های دارای لایه متن، رشته تاریخ هر عضو در متن جستجو شد و موارد ناهمخوان (ومعادن، پارسان، شپدیس، شبندر، زاگرس، شپنا، وامید) با تصویر یا ترتیب ارقام بررسی شد</t>
        </is>
      </c>
      <c r="E32" s="23" t="n"/>
      <c r="F32" s="23" t="inlineStr">
        <is>
          <t>دو اصلاح: تاریخ هامونی رمپنا ۱۴۰۲/۰۴/۱۸ و تاریخ اسماعیلی دانا در پارسان ۱۳۹۸/۱۲/۱۱</t>
        </is>
      </c>
      <c r="G32" s="23" t="inlineStr">
        <is>
          <t>AC Members v40</t>
        </is>
      </c>
      <c r="H32" s="23" t="inlineStr">
        <is>
          <t>انجام شد</t>
        </is>
      </c>
      <c r="I32" s="23" t="inlineStr">
        <is>
          <t>بازبینی مستقل انسانی انجام نشده است</t>
        </is>
      </c>
    </row>
    <row r="33" ht="29" customHeight="1" s="76">
      <c r="A33" s="25" t="inlineStr">
        <is>
          <t>A30</t>
        </is>
      </c>
      <c r="B33" s="25" t="inlineStr">
        <is>
          <t>مورد باز</t>
        </is>
      </c>
      <c r="C33" s="25" t="inlineStr">
        <is>
          <t>خودرو</t>
        </is>
      </c>
      <c r="D33" s="25" t="inlineStr">
        <is>
          <t>تعداد جلسات کمیته در گزارش دوره ۱۴۰۴ یافت نشد</t>
        </is>
      </c>
      <c r="E33" s="25" t="n"/>
      <c r="F33" s="25" t="inlineStr">
        <is>
          <t>N16 خالی</t>
        </is>
      </c>
      <c r="G33" s="25" t="inlineStr">
        <is>
          <t>EV_SRC_IKCO_1404_001_p54</t>
        </is>
      </c>
      <c r="H33" s="25" t="inlineStr">
        <is>
          <t>باز</t>
        </is>
      </c>
      <c r="I33" s="25" t="inlineStr">
        <is>
          <t>گزارش کمیته حسابرسی یا جدول جلسات دوره ۱۴۰۴</t>
        </is>
      </c>
    </row>
    <row r="34" ht="29" customHeight="1" s="76">
      <c r="A34" s="23" t="inlineStr">
        <is>
          <t>A31</t>
        </is>
      </c>
      <c r="B34" s="23" t="inlineStr">
        <is>
          <t>مورد باز</t>
        </is>
      </c>
      <c r="C34" s="23" t="inlineStr">
        <is>
          <t>زاگرس</t>
        </is>
      </c>
      <c r="D34" s="23" t="inlineStr">
        <is>
          <t>تعداد جلسات کمیته در گزارش دوره ۱۴۰۴ یافت نشد</t>
        </is>
      </c>
      <c r="E34" s="23" t="n"/>
      <c r="F34" s="23" t="inlineStr">
        <is>
          <t>N16 خالی</t>
        </is>
      </c>
      <c r="G34" s="23" t="inlineStr">
        <is>
          <t>EV_SRC_ZGRS_1404_001_p27</t>
        </is>
      </c>
      <c r="H34" s="23" t="inlineStr">
        <is>
          <t>باز</t>
        </is>
      </c>
      <c r="I34" s="23" t="inlineStr">
        <is>
          <t>گزارش کمیته حسابرسی یا جدول جلسات دوره ۱۴۰۴</t>
        </is>
      </c>
    </row>
    <row r="35" ht="29" customHeight="1" s="76">
      <c r="A35" s="25" t="inlineStr">
        <is>
          <t>A32</t>
        </is>
      </c>
      <c r="B35" s="25" t="inlineStr">
        <is>
          <t>مورد باز</t>
        </is>
      </c>
      <c r="C35" s="25" t="inlineStr">
        <is>
          <t>وتجارت</t>
        </is>
      </c>
      <c r="D35" s="25" t="inlineStr">
        <is>
          <t>تعداد جلسات کمیته در گزارش دوره ۱۴۰۴ یافت نشد</t>
        </is>
      </c>
      <c r="E35" s="25" t="n"/>
      <c r="F35" s="25" t="inlineStr">
        <is>
          <t>N16 خالی</t>
        </is>
      </c>
      <c r="G35" s="25" t="inlineStr">
        <is>
          <t>EV_SRC_VTEJ_1404_001_p52</t>
        </is>
      </c>
      <c r="H35" s="25" t="inlineStr">
        <is>
          <t>باز</t>
        </is>
      </c>
      <c r="I35" s="25" t="inlineStr">
        <is>
          <t>گزارش کمیته حسابرسی یا جدول جلسات دوره ۱۴۰۴</t>
        </is>
      </c>
    </row>
    <row r="36" ht="29" customHeight="1" s="76">
      <c r="A36" s="23" t="inlineStr">
        <is>
          <t>A33</t>
        </is>
      </c>
      <c r="B36" s="23" t="inlineStr">
        <is>
          <t>مورد باز</t>
        </is>
      </c>
      <c r="C36" s="23" t="inlineStr">
        <is>
          <t>وغدیر</t>
        </is>
      </c>
      <c r="D36" s="23" t="inlineStr">
        <is>
          <t>تعداد جلسات کمیته در گزارش دوره ۱۴۰۴ یافت نشد</t>
        </is>
      </c>
      <c r="E36" s="23" t="n"/>
      <c r="F36" s="23" t="inlineStr">
        <is>
          <t>N16 خالی</t>
        </is>
      </c>
      <c r="G36" s="23" t="inlineStr">
        <is>
          <t>EV_SRC_VGHD_1404_001_p34</t>
        </is>
      </c>
      <c r="H36" s="23" t="inlineStr">
        <is>
          <t>باز</t>
        </is>
      </c>
      <c r="I36" s="23" t="inlineStr">
        <is>
          <t>گزارش کمیته حسابرسی یا جدول جلسات دوره ۱۴۰۴</t>
        </is>
      </c>
    </row>
    <row r="37" ht="29" customHeight="1" s="76">
      <c r="A37" s="25" t="inlineStr">
        <is>
          <t>A34</t>
        </is>
      </c>
      <c r="B37" s="25" t="inlineStr">
        <is>
          <t>مورد باز</t>
        </is>
      </c>
      <c r="C37" s="25" t="inlineStr">
        <is>
          <t>نوری</t>
        </is>
      </c>
      <c r="D37" s="25" t="inlineStr">
        <is>
          <t>تعداد جلسات کمیته در گزارش دوره ۱۴۰۴ یافت نشد</t>
        </is>
      </c>
      <c r="E37" s="25" t="n"/>
      <c r="F37" s="25" t="inlineStr">
        <is>
          <t>N16 خالی</t>
        </is>
      </c>
      <c r="G37" s="25" t="inlineStr">
        <is>
          <t>EV_SRC_NOOR_1404_007_p43</t>
        </is>
      </c>
      <c r="H37" s="25" t="inlineStr">
        <is>
          <t>باز</t>
        </is>
      </c>
      <c r="I37" s="25" t="inlineStr">
        <is>
          <t>گزارش کمیته حسابرسی یا جدول جلسات دوره ۱۴۰۴</t>
        </is>
      </c>
    </row>
    <row r="38" ht="29" customHeight="1" s="76">
      <c r="A38" s="23" t="inlineStr">
        <is>
          <t>A35</t>
        </is>
      </c>
      <c r="B38" s="23" t="inlineStr">
        <is>
          <t>مورد باز</t>
        </is>
      </c>
      <c r="C38" s="23" t="inlineStr">
        <is>
          <t>کگل</t>
        </is>
      </c>
      <c r="D38" s="23" t="inlineStr">
        <is>
          <t>تعداد جلسات کمیته در گزارش دوره ۱۴۰۴ یافت نشد</t>
        </is>
      </c>
      <c r="E38" s="23" t="n"/>
      <c r="F38" s="23" t="inlineStr">
        <is>
          <t>N16 خالی</t>
        </is>
      </c>
      <c r="G38" s="23" t="inlineStr">
        <is>
          <t>EV_SRC_KGOL_1404_001_p136</t>
        </is>
      </c>
      <c r="H38" s="23" t="inlineStr">
        <is>
          <t>باز</t>
        </is>
      </c>
      <c r="I38" s="23" t="inlineStr">
        <is>
          <t>گزارش کمیته حسابرسی یا جدول جلسات دوره ۱۴۰۴</t>
        </is>
      </c>
    </row>
    <row r="39" ht="29" customHeight="1" s="76">
      <c r="A39" s="25" t="inlineStr">
        <is>
          <t>A36</t>
        </is>
      </c>
      <c r="B39" s="25" t="inlineStr">
        <is>
          <t>مورد باز</t>
        </is>
      </c>
      <c r="C39" s="25" t="inlineStr">
        <is>
          <t>اخابر</t>
        </is>
      </c>
      <c r="D39" s="25" t="inlineStr">
        <is>
          <t>تعداد جلسات کمیته در گزارش دوره ۱۴۰۴ یافت نشد</t>
        </is>
      </c>
      <c r="E39" s="25" t="n"/>
      <c r="F39" s="25" t="inlineStr">
        <is>
          <t>N16 خالی</t>
        </is>
      </c>
      <c r="G39" s="25" t="inlineStr">
        <is>
          <t>EV_SRC_AKHB_1404_001_p99</t>
        </is>
      </c>
      <c r="H39" s="25" t="inlineStr">
        <is>
          <t>باز</t>
        </is>
      </c>
      <c r="I39" s="25" t="inlineStr">
        <is>
          <t>گزارش کمیته حسابرسی یا جدول جلسات دوره ۱۴۰۴</t>
        </is>
      </c>
    </row>
    <row r="40" ht="29" customHeight="1" s="76">
      <c r="A40" s="23" t="inlineStr">
        <is>
          <t>A37</t>
        </is>
      </c>
      <c r="B40" s="23" t="inlineStr">
        <is>
          <t>مورد باز</t>
        </is>
      </c>
      <c r="C40" s="23" t="inlineStr">
        <is>
          <t>جم</t>
        </is>
      </c>
      <c r="D40" s="23" t="inlineStr">
        <is>
          <t>تعداد جلسات کمیته در گزارش دوره ۱۴۰۴ یافت نشد</t>
        </is>
      </c>
      <c r="E40" s="23" t="n"/>
      <c r="F40" s="23" t="inlineStr">
        <is>
          <t>N16 خالی</t>
        </is>
      </c>
      <c r="G40" s="23" t="inlineStr">
        <is>
          <t>EV_SRC_JAM_1404_001_p62</t>
        </is>
      </c>
      <c r="H40" s="23" t="inlineStr">
        <is>
          <t>باز</t>
        </is>
      </c>
      <c r="I40" s="23" t="inlineStr">
        <is>
          <t>گزارش کمیته حسابرسی یا جدول جلسات دوره ۱۴۰۴</t>
        </is>
      </c>
    </row>
    <row r="41" ht="29" customHeight="1" s="76">
      <c r="A41" s="25" t="inlineStr">
        <is>
          <t>A38</t>
        </is>
      </c>
      <c r="B41" s="25" t="inlineStr">
        <is>
          <t>مورد باز</t>
        </is>
      </c>
      <c r="C41" s="25" t="inlineStr">
        <is>
          <t>وپاسار</t>
        </is>
      </c>
      <c r="D41" s="25" t="inlineStr">
        <is>
          <t>گزارش فعالیت دوره ۱۴۰۴ منتشر نشده است</t>
        </is>
      </c>
      <c r="E41" s="25" t="n"/>
      <c r="F41" s="25" t="inlineStr">
        <is>
          <t>N16 خالی</t>
        </is>
      </c>
      <c r="G41" s="25" t="inlineStr">
        <is>
          <t>EV_VPSR_ICR_1526305</t>
        </is>
      </c>
      <c r="H41" s="25" t="inlineStr">
        <is>
          <t>باز</t>
        </is>
      </c>
      <c r="I41" s="25" t="inlineStr">
        <is>
          <t>گزارش کمیته حسابرسی یا جدول جلسات دوره ۱۴۰۴</t>
        </is>
      </c>
    </row>
    <row r="42" ht="29" customHeight="1" s="76">
      <c r="A42" s="23" t="inlineStr">
        <is>
          <t>A39</t>
        </is>
      </c>
      <c r="B42" s="23" t="inlineStr">
        <is>
          <t>مورد باز</t>
        </is>
      </c>
      <c r="C42" s="23" t="inlineStr">
        <is>
          <t>حکشتی</t>
        </is>
      </c>
      <c r="D42" s="23" t="inlineStr">
        <is>
          <t>تعداد جلسات کمیته در گزارش دوره ۱۴۰۴ یافت نشد</t>
        </is>
      </c>
      <c r="E42" s="23" t="n"/>
      <c r="F42" s="23" t="inlineStr">
        <is>
          <t>N16 خالی</t>
        </is>
      </c>
      <c r="G42" s="23" t="inlineStr">
        <is>
          <t>EV_SRC_HKSH_1404_002_p89</t>
        </is>
      </c>
      <c r="H42" s="23" t="inlineStr">
        <is>
          <t>باز</t>
        </is>
      </c>
      <c r="I42" s="23" t="inlineStr">
        <is>
          <t>گزارش کمیته حسابرسی یا جدول جلسات دوره ۱۴۰۴</t>
        </is>
      </c>
    </row>
    <row r="43" ht="29" customHeight="1" s="76">
      <c r="A43" s="25" t="inlineStr">
        <is>
          <t>A40</t>
        </is>
      </c>
      <c r="B43" s="25" t="inlineStr">
        <is>
          <t>مورد باز</t>
        </is>
      </c>
      <c r="C43" s="25" t="inlineStr">
        <is>
          <t>فملی</t>
        </is>
      </c>
      <c r="D43" s="25" t="inlineStr">
        <is>
          <t>برچسب صریح استقلال اعضای کمیته افشا نشده</t>
        </is>
      </c>
      <c r="E43" s="25" t="n"/>
      <c r="F43" s="25" t="inlineStr">
        <is>
          <t>N14 خالی</t>
        </is>
      </c>
      <c r="G43" s="25" t="inlineStr">
        <is>
          <t>EV_SRC_FMLI_1404_001_p36</t>
        </is>
      </c>
      <c r="H43" s="25" t="inlineStr">
        <is>
          <t>باز</t>
        </is>
      </c>
      <c r="I43" s="25" t="inlineStr">
        <is>
          <t>جدول اعضا با ستون استقلال یا شرح تفصیلی در گزارش کمیته</t>
        </is>
      </c>
    </row>
    <row r="44" ht="29" customHeight="1" s="76">
      <c r="A44" s="23" t="inlineStr">
        <is>
          <t>A41</t>
        </is>
      </c>
      <c r="B44" s="23" t="inlineStr">
        <is>
          <t>مورد باز</t>
        </is>
      </c>
      <c r="C44" s="23" t="inlineStr">
        <is>
          <t>تاپیکو</t>
        </is>
      </c>
      <c r="D44" s="23" t="inlineStr">
        <is>
          <t>برچسب صریح استقلال اعضای کمیته افشا نشده</t>
        </is>
      </c>
      <c r="E44" s="23" t="n"/>
      <c r="F44" s="23" t="inlineStr">
        <is>
          <t>N14 خالی</t>
        </is>
      </c>
      <c r="G44" s="23" t="inlineStr">
        <is>
          <t>EV_SRC_TPIK_1404_002_p82</t>
        </is>
      </c>
      <c r="H44" s="23" t="inlineStr">
        <is>
          <t>باز</t>
        </is>
      </c>
      <c r="I44" s="23" t="inlineStr">
        <is>
          <t>جدول اعضا با ستون استقلال یا شرح تفصیلی در گزارش کمیته</t>
        </is>
      </c>
    </row>
    <row r="45" ht="29" customHeight="1" s="76">
      <c r="A45" s="25" t="inlineStr">
        <is>
          <t>A42</t>
        </is>
      </c>
      <c r="B45" s="25" t="inlineStr">
        <is>
          <t>مورد باز</t>
        </is>
      </c>
      <c r="C45" s="25" t="inlineStr">
        <is>
          <t>خودرو</t>
        </is>
      </c>
      <c r="D45" s="25" t="inlineStr">
        <is>
          <t>برچسب صریح استقلال اعضای کمیته افشا نشده</t>
        </is>
      </c>
      <c r="E45" s="25" t="n"/>
      <c r="F45" s="25" t="inlineStr">
        <is>
          <t>N14 خالی</t>
        </is>
      </c>
      <c r="G45" s="25" t="inlineStr">
        <is>
          <t>EV_SRC_IKCO_1404_001_p54</t>
        </is>
      </c>
      <c r="H45" s="25" t="inlineStr">
        <is>
          <t>باز</t>
        </is>
      </c>
      <c r="I45" s="25" t="inlineStr">
        <is>
          <t>جدول اعضا با ستون استقلال یا شرح تفصیلی در گزارش کمیته</t>
        </is>
      </c>
    </row>
    <row r="46" ht="29" customHeight="1" s="76">
      <c r="A46" s="23" t="inlineStr">
        <is>
          <t>A43</t>
        </is>
      </c>
      <c r="B46" s="23" t="inlineStr">
        <is>
          <t>مورد باز</t>
        </is>
      </c>
      <c r="C46" s="23" t="inlineStr">
        <is>
          <t>زاگرس</t>
        </is>
      </c>
      <c r="D46" s="23" t="inlineStr">
        <is>
          <t>برچسب صریح استقلال اعضای کمیته افشا نشده</t>
        </is>
      </c>
      <c r="E46" s="23" t="n"/>
      <c r="F46" s="23" t="inlineStr">
        <is>
          <t>N14 خالی</t>
        </is>
      </c>
      <c r="G46" s="23" t="inlineStr">
        <is>
          <t>EV_SRC_ZGRS_1404_001_p27</t>
        </is>
      </c>
      <c r="H46" s="23" t="inlineStr">
        <is>
          <t>باز</t>
        </is>
      </c>
      <c r="I46" s="23" t="inlineStr">
        <is>
          <t>جدول اعضا با ستون استقلال یا شرح تفصیلی در گزارش کمیته</t>
        </is>
      </c>
    </row>
    <row r="47" ht="29" customHeight="1" s="76">
      <c r="A47" s="25" t="inlineStr">
        <is>
          <t>A44</t>
        </is>
      </c>
      <c r="B47" s="25" t="inlineStr">
        <is>
          <t>مورد باز</t>
        </is>
      </c>
      <c r="C47" s="25" t="inlineStr">
        <is>
          <t>شبندر</t>
        </is>
      </c>
      <c r="D47" s="25" t="inlineStr">
        <is>
          <t>برچسب صریح استقلال اعضای کمیته افشا نشده</t>
        </is>
      </c>
      <c r="E47" s="25" t="n"/>
      <c r="F47" s="25" t="inlineStr">
        <is>
          <t>N14 خالی</t>
        </is>
      </c>
      <c r="G47" s="25" t="inlineStr">
        <is>
          <t>EV_SRC_SHBN_1404_001_p56</t>
        </is>
      </c>
      <c r="H47" s="25" t="inlineStr">
        <is>
          <t>باز</t>
        </is>
      </c>
      <c r="I47" s="25" t="inlineStr">
        <is>
          <t>جدول اعضا با ستون استقلال یا شرح تفصیلی در گزارش کمیته</t>
        </is>
      </c>
    </row>
    <row r="48" ht="29" customHeight="1" s="76">
      <c r="A48" s="23" t="inlineStr">
        <is>
          <t>A45</t>
        </is>
      </c>
      <c r="B48" s="23" t="inlineStr">
        <is>
          <t>مورد باز</t>
        </is>
      </c>
      <c r="C48" s="23" t="inlineStr">
        <is>
          <t>پارس</t>
        </is>
      </c>
      <c r="D48" s="23" t="inlineStr">
        <is>
          <t>برچسب صریح استقلال اعضای کمیته افشا نشده</t>
        </is>
      </c>
      <c r="E48" s="23" t="n"/>
      <c r="F48" s="23" t="inlineStr">
        <is>
          <t>N14 خالی</t>
        </is>
      </c>
      <c r="G48" s="23" t="inlineStr">
        <is>
          <t>EV_SRC_PARS_1404_001_p36</t>
        </is>
      </c>
      <c r="H48" s="23" t="inlineStr">
        <is>
          <t>باز</t>
        </is>
      </c>
      <c r="I48" s="23" t="inlineStr">
        <is>
          <t>جدول اعضا با ستون استقلال یا شرح تفصیلی در گزارش کمیته</t>
        </is>
      </c>
    </row>
    <row r="49" ht="29" customHeight="1" s="76">
      <c r="A49" s="25" t="inlineStr">
        <is>
          <t>A46</t>
        </is>
      </c>
      <c r="B49" s="25" t="inlineStr">
        <is>
          <t>مورد باز</t>
        </is>
      </c>
      <c r="C49" s="25" t="inlineStr">
        <is>
          <t>رمپنا</t>
        </is>
      </c>
      <c r="D49" s="25" t="inlineStr">
        <is>
          <t>برچسب صریح استقلال اعضای کمیته افشا نشده</t>
        </is>
      </c>
      <c r="E49" s="25" t="n"/>
      <c r="F49" s="25" t="inlineStr">
        <is>
          <t>N14 خالی</t>
        </is>
      </c>
      <c r="G49" s="25" t="inlineStr">
        <is>
          <t>EV_SRC_RMPN_1404_001_p38</t>
        </is>
      </c>
      <c r="H49" s="25" t="inlineStr">
        <is>
          <t>باز</t>
        </is>
      </c>
      <c r="I49" s="25" t="inlineStr">
        <is>
          <t>جدول اعضا با ستون استقلال یا شرح تفصیلی در گزارش کمیته</t>
        </is>
      </c>
    </row>
    <row r="50" ht="29" customHeight="1" s="76">
      <c r="A50" s="23" t="inlineStr">
        <is>
          <t>A47</t>
        </is>
      </c>
      <c r="B50" s="23" t="inlineStr">
        <is>
          <t>مورد باز</t>
        </is>
      </c>
      <c r="C50" s="23" t="inlineStr">
        <is>
          <t>شستا</t>
        </is>
      </c>
      <c r="D50" s="23" t="inlineStr">
        <is>
          <t>برچسب صریح استقلال اعضای کمیته افشا نشده</t>
        </is>
      </c>
      <c r="E50" s="23" t="n"/>
      <c r="F50" s="23" t="inlineStr">
        <is>
          <t>N14 خالی</t>
        </is>
      </c>
      <c r="G50" s="23" t="inlineStr">
        <is>
          <t>EV_SRC_SHST_1404_001_p30</t>
        </is>
      </c>
      <c r="H50" s="23" t="inlineStr">
        <is>
          <t>باز</t>
        </is>
      </c>
      <c r="I50" s="23" t="inlineStr">
        <is>
          <t>جدول اعضا با ستون استقلال یا شرح تفصیلی در گزارش کمیته</t>
        </is>
      </c>
    </row>
    <row r="51" ht="29" customHeight="1" s="76">
      <c r="A51" s="25" t="inlineStr">
        <is>
          <t>A48</t>
        </is>
      </c>
      <c r="B51" s="25" t="inlineStr">
        <is>
          <t>مورد باز</t>
        </is>
      </c>
      <c r="C51" s="25" t="inlineStr">
        <is>
          <t>شپنا</t>
        </is>
      </c>
      <c r="D51" s="25" t="inlineStr">
        <is>
          <t>برچسب صریح استقلال اعضای کمیته افشا نشده</t>
        </is>
      </c>
      <c r="E51" s="25" t="n"/>
      <c r="F51" s="25" t="inlineStr">
        <is>
          <t>N14 خالی</t>
        </is>
      </c>
      <c r="G51" s="25" t="inlineStr">
        <is>
          <t>EV_SRC_SHPN_1404_001_p79</t>
        </is>
      </c>
      <c r="H51" s="25" t="inlineStr">
        <is>
          <t>باز</t>
        </is>
      </c>
      <c r="I51" s="25" t="inlineStr">
        <is>
          <t>جدول اعضا با ستون استقلال یا شرح تفصیلی در گزارش کمیته</t>
        </is>
      </c>
    </row>
    <row r="52" ht="29" customHeight="1" s="76">
      <c r="A52" s="23" t="inlineStr">
        <is>
          <t>A49</t>
        </is>
      </c>
      <c r="B52" s="23" t="inlineStr">
        <is>
          <t>مورد باز</t>
        </is>
      </c>
      <c r="C52" s="23" t="inlineStr">
        <is>
          <t>نوری</t>
        </is>
      </c>
      <c r="D52" s="23" t="inlineStr">
        <is>
          <t>برچسب صریح استقلال اعضای کمیته افشا نشده</t>
        </is>
      </c>
      <c r="E52" s="23" t="n"/>
      <c r="F52" s="23" t="inlineStr">
        <is>
          <t>N14 خالی</t>
        </is>
      </c>
      <c r="G52" s="23" t="inlineStr">
        <is>
          <t>EV_SRC_NOOR_1404_007_p43</t>
        </is>
      </c>
      <c r="H52" s="23" t="inlineStr">
        <is>
          <t>باز</t>
        </is>
      </c>
      <c r="I52" s="23" t="inlineStr">
        <is>
          <t>جدول اعضا با ستون استقلال یا شرح تفصیلی در گزارش کمیته</t>
        </is>
      </c>
    </row>
    <row r="53" ht="29" customHeight="1" s="76">
      <c r="A53" s="25" t="inlineStr">
        <is>
          <t>A50</t>
        </is>
      </c>
      <c r="B53" s="25" t="inlineStr">
        <is>
          <t>مورد باز</t>
        </is>
      </c>
      <c r="C53" s="25" t="inlineStr">
        <is>
          <t>فولاد</t>
        </is>
      </c>
      <c r="D53" s="25" t="inlineStr">
        <is>
          <t>برچسب صریح استقلال اعضای کمیته افشا نشده</t>
        </is>
      </c>
      <c r="E53" s="25" t="n"/>
      <c r="F53" s="25" t="inlineStr">
        <is>
          <t>N14 خالی</t>
        </is>
      </c>
      <c r="G53" s="25" t="inlineStr">
        <is>
          <t>EV_SRC_FOLD_1404_002_p34</t>
        </is>
      </c>
      <c r="H53" s="25" t="inlineStr">
        <is>
          <t>باز</t>
        </is>
      </c>
      <c r="I53" s="25" t="inlineStr">
        <is>
          <t>جدول اعضا با ستون استقلال یا شرح تفصیلی در گزارش کمیته</t>
        </is>
      </c>
    </row>
    <row r="54" ht="29" customHeight="1" s="76">
      <c r="A54" s="23" t="inlineStr">
        <is>
          <t>A51</t>
        </is>
      </c>
      <c r="B54" s="23" t="inlineStr">
        <is>
          <t>مورد باز</t>
        </is>
      </c>
      <c r="C54" s="23" t="inlineStr">
        <is>
          <t>کچاد</t>
        </is>
      </c>
      <c r="D54" s="23" t="inlineStr">
        <is>
          <t>برچسب صریح استقلال اعضای کمیته افشا نشده</t>
        </is>
      </c>
      <c r="E54" s="23" t="n"/>
      <c r="F54" s="23" t="inlineStr">
        <is>
          <t>N14 خالی</t>
        </is>
      </c>
      <c r="G54" s="23" t="inlineStr">
        <is>
          <t>EV_SRC_KCHD_1404_001_p143</t>
        </is>
      </c>
      <c r="H54" s="23" t="inlineStr">
        <is>
          <t>باز</t>
        </is>
      </c>
      <c r="I54" s="23" t="inlineStr">
        <is>
          <t>جدول اعضا با ستون استقلال یا شرح تفصیلی در گزارش کمیته</t>
        </is>
      </c>
    </row>
    <row r="55" ht="29" customHeight="1" s="76">
      <c r="A55" s="25" t="inlineStr">
        <is>
          <t>A52</t>
        </is>
      </c>
      <c r="B55" s="25" t="inlineStr">
        <is>
          <t>مورد باز</t>
        </is>
      </c>
      <c r="C55" s="25" t="inlineStr">
        <is>
          <t>کگل</t>
        </is>
      </c>
      <c r="D55" s="25" t="inlineStr">
        <is>
          <t>برچسب صریح استقلال اعضای کمیته افشا نشده</t>
        </is>
      </c>
      <c r="E55" s="25" t="n"/>
      <c r="F55" s="25" t="inlineStr">
        <is>
          <t>N14 خالی</t>
        </is>
      </c>
      <c r="G55" s="25" t="inlineStr">
        <is>
          <t>EV_SRC_KGOL_1404_001_p136</t>
        </is>
      </c>
      <c r="H55" s="25" t="inlineStr">
        <is>
          <t>باز</t>
        </is>
      </c>
      <c r="I55" s="25" t="inlineStr">
        <is>
          <t>جدول اعضا با ستون استقلال یا شرح تفصیلی در گزارش کمیته</t>
        </is>
      </c>
    </row>
    <row r="56" ht="29" customHeight="1" s="76">
      <c r="A56" s="23" t="inlineStr">
        <is>
          <t>A53</t>
        </is>
      </c>
      <c r="B56" s="23" t="inlineStr">
        <is>
          <t>مورد باز</t>
        </is>
      </c>
      <c r="C56" s="23" t="inlineStr">
        <is>
          <t>جم</t>
        </is>
      </c>
      <c r="D56" s="23" t="inlineStr">
        <is>
          <t>برچسب صریح استقلال اعضای کمیته افشا نشده</t>
        </is>
      </c>
      <c r="E56" s="23" t="n"/>
      <c r="F56" s="23" t="inlineStr">
        <is>
          <t>N14 خالی</t>
        </is>
      </c>
      <c r="G56" s="23" t="inlineStr">
        <is>
          <t>EV_SRC_JAM_1404_001_p62</t>
        </is>
      </c>
      <c r="H56" s="23" t="inlineStr">
        <is>
          <t>باز</t>
        </is>
      </c>
      <c r="I56" s="23" t="inlineStr">
        <is>
          <t>جدول اعضا با ستون استقلال یا شرح تفصیلی در گزارش کمیته</t>
        </is>
      </c>
    </row>
    <row r="57" ht="29" customHeight="1" s="76">
      <c r="A57" s="25" t="inlineStr">
        <is>
          <t>A54</t>
        </is>
      </c>
      <c r="B57" s="25" t="inlineStr">
        <is>
          <t>مورد باز</t>
        </is>
      </c>
      <c r="C57" s="25" t="inlineStr">
        <is>
          <t>ومعادن</t>
        </is>
      </c>
      <c r="D57" s="25" t="inlineStr">
        <is>
          <t>برچسب صریح استقلال اعضای کمیته افشا نشده</t>
        </is>
      </c>
      <c r="E57" s="25" t="n"/>
      <c r="F57" s="25" t="inlineStr">
        <is>
          <t>N14 خالی</t>
        </is>
      </c>
      <c r="G57" s="25" t="inlineStr">
        <is>
          <t>EV_SRC_VMDN_1404_001_p44</t>
        </is>
      </c>
      <c r="H57" s="25" t="inlineStr">
        <is>
          <t>باز</t>
        </is>
      </c>
      <c r="I57" s="25" t="inlineStr">
        <is>
          <t>جدول اعضا با ستون استقلال یا شرح تفصیلی در گزارش کمیته</t>
        </is>
      </c>
    </row>
    <row r="58" ht="29" customHeight="1" s="76">
      <c r="A58" s="23" t="inlineStr">
        <is>
          <t>A55</t>
        </is>
      </c>
      <c r="B58" s="23" t="inlineStr">
        <is>
          <t>مورد باز</t>
        </is>
      </c>
      <c r="C58" s="23" t="inlineStr">
        <is>
          <t>وبملت</t>
        </is>
      </c>
      <c r="D58" s="23" t="inlineStr">
        <is>
          <t>برچسب صریح استقلال اعضای کمیته افشا نشده</t>
        </is>
      </c>
      <c r="E58" s="23" t="n"/>
      <c r="F58" s="23" t="inlineStr">
        <is>
          <t>N14 خالی</t>
        </is>
      </c>
      <c r="G58" s="23" t="inlineStr">
        <is>
          <t>EV_SRC_MELT_1404_002_p53</t>
        </is>
      </c>
      <c r="H58" s="23" t="inlineStr">
        <is>
          <t>باز</t>
        </is>
      </c>
      <c r="I58" s="23" t="inlineStr">
        <is>
          <t>جدول اعضا با ستون استقلال یا شرح تفصیلی در گزارش کمیته</t>
        </is>
      </c>
    </row>
    <row r="59" ht="29" customHeight="1" s="76">
      <c r="A59" s="25" t="inlineStr">
        <is>
          <t>A56</t>
        </is>
      </c>
      <c r="B59" s="25" t="inlineStr">
        <is>
          <t>مورد باز</t>
        </is>
      </c>
      <c r="C59" s="25" t="inlineStr">
        <is>
          <t>حکشتی</t>
        </is>
      </c>
      <c r="D59" s="25" t="inlineStr">
        <is>
          <t>برچسب صریح استقلال اعضای کمیته افشا نشده</t>
        </is>
      </c>
      <c r="E59" s="25" t="n"/>
      <c r="F59" s="25" t="inlineStr">
        <is>
          <t>N14 خالی</t>
        </is>
      </c>
      <c r="G59" s="25" t="inlineStr">
        <is>
          <t>EV_SRC_HKSH_1404_002_p89</t>
        </is>
      </c>
      <c r="H59" s="25" t="inlineStr">
        <is>
          <t>باز</t>
        </is>
      </c>
      <c r="I59" s="25" t="inlineStr">
        <is>
          <t>جدول اعضا با ستون استقلال یا شرح تفصیلی در گزارش کمیته</t>
        </is>
      </c>
    </row>
    <row r="60" ht="29" customHeight="1" s="76">
      <c r="A60" s="23" t="inlineStr">
        <is>
          <t>A57</t>
        </is>
      </c>
      <c r="B60" s="23" t="inlineStr">
        <is>
          <t>مورد باز</t>
        </is>
      </c>
      <c r="C60" s="23" t="inlineStr">
        <is>
          <t>شپدیس</t>
        </is>
      </c>
      <c r="D60" s="23" t="inlineStr">
        <is>
          <t>برچسب صریح استقلال اعضای کمیته افشا نشده</t>
        </is>
      </c>
      <c r="E60" s="23" t="n"/>
      <c r="F60" s="23" t="inlineStr">
        <is>
          <t>N14 خالی</t>
        </is>
      </c>
      <c r="G60" s="23" t="inlineStr">
        <is>
          <t>EV_SRC_SHPD_1404_001_p23</t>
        </is>
      </c>
      <c r="H60" s="23" t="inlineStr">
        <is>
          <t>باز</t>
        </is>
      </c>
      <c r="I60" s="23" t="inlineStr">
        <is>
          <t>جدول اعضا با ستون استقلال یا شرح تفصیلی در گزارش کمیته</t>
        </is>
      </c>
    </row>
    <row r="61" ht="20" customHeight="1" s="76">
      <c r="A61" s="25" t="inlineStr">
        <is>
          <t>A58</t>
        </is>
      </c>
      <c r="B61" s="25" t="inlineStr">
        <is>
          <t>مورد باز</t>
        </is>
      </c>
      <c r="C61" s="25" t="inlineStr">
        <is>
          <t>فملی</t>
        </is>
      </c>
      <c r="D61" s="25" t="inlineStr">
        <is>
          <t>حضور فردی یا فرصت حضور اعضا کامل نیست</t>
        </is>
      </c>
      <c r="E61" s="25" t="n"/>
      <c r="F61" s="25" t="inlineStr">
        <is>
          <t>ACX02 جزئی یا خالی</t>
        </is>
      </c>
      <c r="G61" s="25" t="inlineStr">
        <is>
          <t>EV_SRC_FMLI_1404_001_p36</t>
        </is>
      </c>
      <c r="H61" s="25" t="inlineStr">
        <is>
          <t>باز</t>
        </is>
      </c>
      <c r="I61" s="25" t="inlineStr">
        <is>
          <t>جدول حضور فردی با تاریخ عضویت</t>
        </is>
      </c>
    </row>
    <row r="62" ht="20" customHeight="1" s="76">
      <c r="A62" s="23" t="inlineStr">
        <is>
          <t>A59</t>
        </is>
      </c>
      <c r="B62" s="23" t="inlineStr">
        <is>
          <t>مورد باز</t>
        </is>
      </c>
      <c r="C62" s="23" t="inlineStr">
        <is>
          <t>تاپیکو</t>
        </is>
      </c>
      <c r="D62" s="23" t="inlineStr">
        <is>
          <t>حضور فردی یا فرصت حضور اعضا کامل نیست</t>
        </is>
      </c>
      <c r="E62" s="23" t="n"/>
      <c r="F62" s="23" t="inlineStr">
        <is>
          <t>ACX02 جزئی یا خالی</t>
        </is>
      </c>
      <c r="G62" s="23" t="inlineStr">
        <is>
          <t>EV_SRC_TPIK_1404_002_p82</t>
        </is>
      </c>
      <c r="H62" s="23" t="inlineStr">
        <is>
          <t>باز</t>
        </is>
      </c>
      <c r="I62" s="23" t="inlineStr">
        <is>
          <t>جدول حضور فردی با تاریخ عضویت</t>
        </is>
      </c>
    </row>
    <row r="63" ht="20" customHeight="1" s="76">
      <c r="A63" s="25" t="inlineStr">
        <is>
          <t>A60</t>
        </is>
      </c>
      <c r="B63" s="25" t="inlineStr">
        <is>
          <t>مورد باز</t>
        </is>
      </c>
      <c r="C63" s="25" t="inlineStr">
        <is>
          <t>فارس</t>
        </is>
      </c>
      <c r="D63" s="25" t="inlineStr">
        <is>
          <t>حضور فردی یا فرصت حضور اعضا کامل نیست</t>
        </is>
      </c>
      <c r="E63" s="25" t="n"/>
      <c r="F63" s="25" t="inlineStr">
        <is>
          <t>ACX02 جزئی یا خالی</t>
        </is>
      </c>
      <c r="G63" s="25" t="inlineStr">
        <is>
          <t>EV_SRC_FARS_1404_001_p42</t>
        </is>
      </c>
      <c r="H63" s="25" t="inlineStr">
        <is>
          <t>باز</t>
        </is>
      </c>
      <c r="I63" s="25" t="inlineStr">
        <is>
          <t>جدول حضور فردی با تاریخ عضویت</t>
        </is>
      </c>
    </row>
    <row r="64" ht="20" customHeight="1" s="76">
      <c r="A64" s="23" t="inlineStr">
        <is>
          <t>A61</t>
        </is>
      </c>
      <c r="B64" s="23" t="inlineStr">
        <is>
          <t>مورد باز</t>
        </is>
      </c>
      <c r="C64" s="23" t="inlineStr">
        <is>
          <t>خودرو</t>
        </is>
      </c>
      <c r="D64" s="23" t="inlineStr">
        <is>
          <t>حضور فردی یا فرصت حضور اعضا کامل نیست</t>
        </is>
      </c>
      <c r="E64" s="23" t="n"/>
      <c r="F64" s="23" t="inlineStr">
        <is>
          <t>ACX02 جزئی یا خالی</t>
        </is>
      </c>
      <c r="G64" s="23" t="inlineStr">
        <is>
          <t>EV_SRC_IKCO_1404_001_p54</t>
        </is>
      </c>
      <c r="H64" s="23" t="inlineStr">
        <is>
          <t>باز</t>
        </is>
      </c>
      <c r="I64" s="23" t="inlineStr">
        <is>
          <t>جدول حضور فردی با تاریخ عضویت</t>
        </is>
      </c>
    </row>
    <row r="65" ht="20" customHeight="1" s="76">
      <c r="A65" s="25" t="inlineStr">
        <is>
          <t>A62</t>
        </is>
      </c>
      <c r="B65" s="25" t="inlineStr">
        <is>
          <t>مورد باز</t>
        </is>
      </c>
      <c r="C65" s="25" t="inlineStr">
        <is>
          <t>زاگرس</t>
        </is>
      </c>
      <c r="D65" s="25" t="inlineStr">
        <is>
          <t>حضور فردی یا فرصت حضور اعضا کامل نیست</t>
        </is>
      </c>
      <c r="E65" s="25" t="n"/>
      <c r="F65" s="25" t="inlineStr">
        <is>
          <t>ACX02 جزئی یا خالی</t>
        </is>
      </c>
      <c r="G65" s="25" t="inlineStr">
        <is>
          <t>EV_SRC_ZGRS_1404_001_p27</t>
        </is>
      </c>
      <c r="H65" s="25" t="inlineStr">
        <is>
          <t>باز</t>
        </is>
      </c>
      <c r="I65" s="25" t="inlineStr">
        <is>
          <t>جدول حضور فردی با تاریخ عضویت</t>
        </is>
      </c>
    </row>
    <row r="66" ht="20" customHeight="1" s="76">
      <c r="A66" s="23" t="inlineStr">
        <is>
          <t>A63</t>
        </is>
      </c>
      <c r="B66" s="23" t="inlineStr">
        <is>
          <t>مورد باز</t>
        </is>
      </c>
      <c r="C66" s="23" t="inlineStr">
        <is>
          <t>شبندر</t>
        </is>
      </c>
      <c r="D66" s="23" t="inlineStr">
        <is>
          <t>حضور فردی یا فرصت حضور اعضا کامل نیست</t>
        </is>
      </c>
      <c r="E66" s="23" t="n"/>
      <c r="F66" s="23" t="inlineStr">
        <is>
          <t>ACX02 جزئی یا خالی</t>
        </is>
      </c>
      <c r="G66" s="23" t="inlineStr">
        <is>
          <t>EV_SRC_SHBN_1404_001_p56</t>
        </is>
      </c>
      <c r="H66" s="23" t="inlineStr">
        <is>
          <t>باز</t>
        </is>
      </c>
      <c r="I66" s="23" t="inlineStr">
        <is>
          <t>جدول حضور فردی با تاریخ عضویت</t>
        </is>
      </c>
    </row>
    <row r="67" ht="20" customHeight="1" s="76">
      <c r="A67" s="25" t="inlineStr">
        <is>
          <t>A64</t>
        </is>
      </c>
      <c r="B67" s="25" t="inlineStr">
        <is>
          <t>مورد باز</t>
        </is>
      </c>
      <c r="C67" s="25" t="inlineStr">
        <is>
          <t>پارس</t>
        </is>
      </c>
      <c r="D67" s="25" t="inlineStr">
        <is>
          <t>حضور فردی یا فرصت حضور اعضا کامل نیست</t>
        </is>
      </c>
      <c r="E67" s="25" t="n"/>
      <c r="F67" s="25" t="inlineStr">
        <is>
          <t>ACX02 جزئی یا خالی</t>
        </is>
      </c>
      <c r="G67" s="25" t="inlineStr">
        <is>
          <t>EV_SRC_PARS_1404_001_p36</t>
        </is>
      </c>
      <c r="H67" s="25" t="inlineStr">
        <is>
          <t>باز</t>
        </is>
      </c>
      <c r="I67" s="25" t="inlineStr">
        <is>
          <t>جدول حضور فردی با تاریخ عضویت</t>
        </is>
      </c>
    </row>
    <row r="68" ht="20" customHeight="1" s="76">
      <c r="A68" s="23" t="inlineStr">
        <is>
          <t>A65</t>
        </is>
      </c>
      <c r="B68" s="23" t="inlineStr">
        <is>
          <t>مورد باز</t>
        </is>
      </c>
      <c r="C68" s="23" t="inlineStr">
        <is>
          <t>وتجارت</t>
        </is>
      </c>
      <c r="D68" s="23" t="inlineStr">
        <is>
          <t>حضور فردی یا فرصت حضور اعضا کامل نیست</t>
        </is>
      </c>
      <c r="E68" s="23" t="n"/>
      <c r="F68" s="23" t="inlineStr">
        <is>
          <t>ACX02 جزئی یا خالی</t>
        </is>
      </c>
      <c r="G68" s="23" t="inlineStr">
        <is>
          <t>EV_SRC_VTEJ_1404_001_p52</t>
        </is>
      </c>
      <c r="H68" s="23" t="inlineStr">
        <is>
          <t>باز</t>
        </is>
      </c>
      <c r="I68" s="23" t="inlineStr">
        <is>
          <t>جدول حضور فردی با تاریخ عضویت</t>
        </is>
      </c>
    </row>
    <row r="69" ht="20" customHeight="1" s="76">
      <c r="A69" s="25" t="inlineStr">
        <is>
          <t>A66</t>
        </is>
      </c>
      <c r="B69" s="25" t="inlineStr">
        <is>
          <t>مورد باز</t>
        </is>
      </c>
      <c r="C69" s="25" t="inlineStr">
        <is>
          <t>فخوز</t>
        </is>
      </c>
      <c r="D69" s="25" t="inlineStr">
        <is>
          <t>حضور فردی یا فرصت حضور اعضا کامل نیست</t>
        </is>
      </c>
      <c r="E69" s="25" t="n"/>
      <c r="F69" s="25" t="inlineStr">
        <is>
          <t>ACX02 جزئی یا خالی</t>
        </is>
      </c>
      <c r="G69" s="25" t="inlineStr">
        <is>
          <t>EV_SRC_FKHZ_1404_001_p34</t>
        </is>
      </c>
      <c r="H69" s="25" t="inlineStr">
        <is>
          <t>باز</t>
        </is>
      </c>
      <c r="I69" s="25" t="inlineStr">
        <is>
          <t>جدول حضور فردی با تاریخ عضویت</t>
        </is>
      </c>
    </row>
    <row r="70" ht="20" customHeight="1" s="76">
      <c r="A70" s="23" t="inlineStr">
        <is>
          <t>A67</t>
        </is>
      </c>
      <c r="B70" s="23" t="inlineStr">
        <is>
          <t>مورد باز</t>
        </is>
      </c>
      <c r="C70" s="23" t="inlineStr">
        <is>
          <t>وغدیر</t>
        </is>
      </c>
      <c r="D70" s="23" t="inlineStr">
        <is>
          <t>حضور فردی یا فرصت حضور اعضا کامل نیست</t>
        </is>
      </c>
      <c r="E70" s="23" t="n"/>
      <c r="F70" s="23" t="inlineStr">
        <is>
          <t>ACX02 جزئی یا خالی</t>
        </is>
      </c>
      <c r="G70" s="23" t="inlineStr">
        <is>
          <t>EV_SRC_VGHD_1404_001_p34</t>
        </is>
      </c>
      <c r="H70" s="23" t="inlineStr">
        <is>
          <t>باز</t>
        </is>
      </c>
      <c r="I70" s="23" t="inlineStr">
        <is>
          <t>جدول حضور فردی با تاریخ عضویت</t>
        </is>
      </c>
    </row>
    <row r="71" ht="20" customHeight="1" s="76">
      <c r="A71" s="25" t="inlineStr">
        <is>
          <t>A68</t>
        </is>
      </c>
      <c r="B71" s="25" t="inlineStr">
        <is>
          <t>مورد باز</t>
        </is>
      </c>
      <c r="C71" s="25" t="inlineStr">
        <is>
          <t>نوری</t>
        </is>
      </c>
      <c r="D71" s="25" t="inlineStr">
        <is>
          <t>حضور فردی یا فرصت حضور اعضا کامل نیست</t>
        </is>
      </c>
      <c r="E71" s="25" t="n"/>
      <c r="F71" s="25" t="inlineStr">
        <is>
          <t>ACX02 جزئی یا خالی</t>
        </is>
      </c>
      <c r="G71" s="25" t="inlineStr">
        <is>
          <t>EV_SRC_NOOR_1404_007_p43</t>
        </is>
      </c>
      <c r="H71" s="25" t="inlineStr">
        <is>
          <t>باز</t>
        </is>
      </c>
      <c r="I71" s="25" t="inlineStr">
        <is>
          <t>جدول حضور فردی با تاریخ عضویت</t>
        </is>
      </c>
    </row>
    <row r="72" ht="20" customHeight="1" s="76">
      <c r="A72" s="23" t="inlineStr">
        <is>
          <t>A69</t>
        </is>
      </c>
      <c r="B72" s="23" t="inlineStr">
        <is>
          <t>مورد باز</t>
        </is>
      </c>
      <c r="C72" s="23" t="inlineStr">
        <is>
          <t>کچاد</t>
        </is>
      </c>
      <c r="D72" s="23" t="inlineStr">
        <is>
          <t>حضور فردی یا فرصت حضور اعضا کامل نیست</t>
        </is>
      </c>
      <c r="E72" s="23" t="n"/>
      <c r="F72" s="23" t="inlineStr">
        <is>
          <t>ACX02 جزئی یا خالی</t>
        </is>
      </c>
      <c r="G72" s="23" t="inlineStr">
        <is>
          <t>EV_SRC_KCHD_1404_001_p143</t>
        </is>
      </c>
      <c r="H72" s="23" t="inlineStr">
        <is>
          <t>باز</t>
        </is>
      </c>
      <c r="I72" s="23" t="inlineStr">
        <is>
          <t>جدول حضور فردی با تاریخ عضویت</t>
        </is>
      </c>
    </row>
    <row r="73" ht="20" customHeight="1" s="76">
      <c r="A73" s="25" t="inlineStr">
        <is>
          <t>A70</t>
        </is>
      </c>
      <c r="B73" s="25" t="inlineStr">
        <is>
          <t>مورد باز</t>
        </is>
      </c>
      <c r="C73" s="25" t="inlineStr">
        <is>
          <t>کگل</t>
        </is>
      </c>
      <c r="D73" s="25" t="inlineStr">
        <is>
          <t>حضور فردی یا فرصت حضور اعضا کامل نیست</t>
        </is>
      </c>
      <c r="E73" s="25" t="n"/>
      <c r="F73" s="25" t="inlineStr">
        <is>
          <t>ACX02 جزئی یا خالی</t>
        </is>
      </c>
      <c r="G73" s="25" t="inlineStr">
        <is>
          <t>EV_SRC_KGOL_1404_001_p136</t>
        </is>
      </c>
      <c r="H73" s="25" t="inlineStr">
        <is>
          <t>باز</t>
        </is>
      </c>
      <c r="I73" s="25" t="inlineStr">
        <is>
          <t>جدول حضور فردی با تاریخ عضویت</t>
        </is>
      </c>
    </row>
    <row r="74" ht="20" customHeight="1" s="76">
      <c r="A74" s="23" t="inlineStr">
        <is>
          <t>A71</t>
        </is>
      </c>
      <c r="B74" s="23" t="inlineStr">
        <is>
          <t>مورد باز</t>
        </is>
      </c>
      <c r="C74" s="23" t="inlineStr">
        <is>
          <t>پارسان</t>
        </is>
      </c>
      <c r="D74" s="23" t="inlineStr">
        <is>
          <t>حضور فردی یا فرصت حضور اعضا کامل نیست</t>
        </is>
      </c>
      <c r="E74" s="23" t="n"/>
      <c r="F74" s="23" t="inlineStr">
        <is>
          <t>ACX02 جزئی یا خالی</t>
        </is>
      </c>
      <c r="G74" s="23" t="inlineStr">
        <is>
          <t>EV_SRC_PRSN_1404_007_p42</t>
        </is>
      </c>
      <c r="H74" s="23" t="inlineStr">
        <is>
          <t>باز</t>
        </is>
      </c>
      <c r="I74" s="23" t="inlineStr">
        <is>
          <t>جدول حضور فردی با تاریخ عضویت</t>
        </is>
      </c>
    </row>
    <row r="75" ht="20" customHeight="1" s="76">
      <c r="A75" s="25" t="inlineStr">
        <is>
          <t>A72</t>
        </is>
      </c>
      <c r="B75" s="25" t="inlineStr">
        <is>
          <t>مورد باز</t>
        </is>
      </c>
      <c r="C75" s="25" t="inlineStr">
        <is>
          <t>اخابر</t>
        </is>
      </c>
      <c r="D75" s="25" t="inlineStr">
        <is>
          <t>حضور فردی یا فرصت حضور اعضا کامل نیست</t>
        </is>
      </c>
      <c r="E75" s="25" t="n"/>
      <c r="F75" s="25" t="inlineStr">
        <is>
          <t>ACX02 جزئی یا خالی</t>
        </is>
      </c>
      <c r="G75" s="25" t="inlineStr">
        <is>
          <t>EV_SRC_AKHB_1404_001_p99</t>
        </is>
      </c>
      <c r="H75" s="25" t="inlineStr">
        <is>
          <t>باز</t>
        </is>
      </c>
      <c r="I75" s="25" t="inlineStr">
        <is>
          <t>جدول حضور فردی با تاریخ عضویت</t>
        </is>
      </c>
    </row>
    <row r="76" ht="20" customHeight="1" s="76">
      <c r="A76" s="23" t="inlineStr">
        <is>
          <t>A73</t>
        </is>
      </c>
      <c r="B76" s="23" t="inlineStr">
        <is>
          <t>مورد باز</t>
        </is>
      </c>
      <c r="C76" s="23" t="inlineStr">
        <is>
          <t>جم</t>
        </is>
      </c>
      <c r="D76" s="23" t="inlineStr">
        <is>
          <t>حضور فردی یا فرصت حضور اعضا کامل نیست</t>
        </is>
      </c>
      <c r="E76" s="23" t="n"/>
      <c r="F76" s="23" t="inlineStr">
        <is>
          <t>ACX02 جزئی یا خالی</t>
        </is>
      </c>
      <c r="G76" s="23" t="inlineStr">
        <is>
          <t>EV_SRC_JAM_1404_001_p62</t>
        </is>
      </c>
      <c r="H76" s="23" t="inlineStr">
        <is>
          <t>باز</t>
        </is>
      </c>
      <c r="I76" s="23" t="inlineStr">
        <is>
          <t>جدول حضور فردی با تاریخ عضویت</t>
        </is>
      </c>
    </row>
    <row r="77" ht="20" customHeight="1" s="76">
      <c r="A77" s="25" t="inlineStr">
        <is>
          <t>A74</t>
        </is>
      </c>
      <c r="B77" s="25" t="inlineStr">
        <is>
          <t>مورد باز</t>
        </is>
      </c>
      <c r="C77" s="25" t="inlineStr">
        <is>
          <t>خساپا</t>
        </is>
      </c>
      <c r="D77" s="25" t="inlineStr">
        <is>
          <t>حضور فردی یا فرصت حضور اعضا کامل نیست</t>
        </is>
      </c>
      <c r="E77" s="25" t="n"/>
      <c r="F77" s="25" t="inlineStr">
        <is>
          <t>ACX02 جزئی یا خالی</t>
        </is>
      </c>
      <c r="G77" s="25" t="inlineStr">
        <is>
          <t>EV_SRC_KHSP_1404_001_p49</t>
        </is>
      </c>
      <c r="H77" s="25" t="inlineStr">
        <is>
          <t>باز</t>
        </is>
      </c>
      <c r="I77" s="25" t="inlineStr">
        <is>
          <t>جدول حضور فردی با تاریخ عضویت</t>
        </is>
      </c>
    </row>
    <row r="78" ht="20" customHeight="1" s="76">
      <c r="A78" s="23" t="inlineStr">
        <is>
          <t>A75</t>
        </is>
      </c>
      <c r="B78" s="23" t="inlineStr">
        <is>
          <t>مورد باز</t>
        </is>
      </c>
      <c r="C78" s="23" t="inlineStr">
        <is>
          <t>همراه</t>
        </is>
      </c>
      <c r="D78" s="23" t="inlineStr">
        <is>
          <t>حضور فردی یا فرصت حضور اعضا کامل نیست</t>
        </is>
      </c>
      <c r="E78" s="23" t="n"/>
      <c r="F78" s="23" t="inlineStr">
        <is>
          <t>ACX02 جزئی یا خالی</t>
        </is>
      </c>
      <c r="G78" s="23" t="inlineStr">
        <is>
          <t>EV_SRC_HMRH_1404_001_p29</t>
        </is>
      </c>
      <c r="H78" s="23" t="inlineStr">
        <is>
          <t>باز</t>
        </is>
      </c>
      <c r="I78" s="23" t="inlineStr">
        <is>
          <t>جدول حضور فردی با تاریخ عضویت</t>
        </is>
      </c>
    </row>
    <row r="79" ht="20" customHeight="1" s="76">
      <c r="A79" s="25" t="inlineStr">
        <is>
          <t>A76</t>
        </is>
      </c>
      <c r="B79" s="25" t="inlineStr">
        <is>
          <t>مورد باز</t>
        </is>
      </c>
      <c r="C79" s="25" t="inlineStr">
        <is>
          <t>وبملت</t>
        </is>
      </c>
      <c r="D79" s="25" t="inlineStr">
        <is>
          <t>حضور فردی یا فرصت حضور اعضا کامل نیست</t>
        </is>
      </c>
      <c r="E79" s="25" t="n"/>
      <c r="F79" s="25" t="inlineStr">
        <is>
          <t>ACX02 جزئی یا خالی</t>
        </is>
      </c>
      <c r="G79" s="25" t="inlineStr">
        <is>
          <t>EV_SRC_MELT_1404_002_p53</t>
        </is>
      </c>
      <c r="H79" s="25" t="inlineStr">
        <is>
          <t>باز</t>
        </is>
      </c>
      <c r="I79" s="25" t="inlineStr">
        <is>
          <t>جدول حضور فردی با تاریخ عضویت</t>
        </is>
      </c>
    </row>
    <row r="80" ht="20" customHeight="1" s="76">
      <c r="A80" s="23" t="inlineStr">
        <is>
          <t>A77</t>
        </is>
      </c>
      <c r="B80" s="23" t="inlineStr">
        <is>
          <t>مورد باز</t>
        </is>
      </c>
      <c r="C80" s="23" t="inlineStr">
        <is>
          <t>وبصادر</t>
        </is>
      </c>
      <c r="D80" s="23" t="inlineStr">
        <is>
          <t>حضور فردی یا فرصت حضور اعضا کامل نیست</t>
        </is>
      </c>
      <c r="E80" s="23" t="n"/>
      <c r="F80" s="23" t="inlineStr">
        <is>
          <t>ACX02 جزئی یا خالی</t>
        </is>
      </c>
      <c r="G80" s="23" t="inlineStr">
        <is>
          <t>EV_SRC_VBSD_1404_001_p49</t>
        </is>
      </c>
      <c r="H80" s="23" t="inlineStr">
        <is>
          <t>باز</t>
        </is>
      </c>
      <c r="I80" s="23" t="inlineStr">
        <is>
          <t>جدول حضور فردی با تاریخ عضویت</t>
        </is>
      </c>
    </row>
    <row r="81" ht="20" customHeight="1" s="76">
      <c r="A81" s="25" t="inlineStr">
        <is>
          <t>A78</t>
        </is>
      </c>
      <c r="B81" s="25" t="inlineStr">
        <is>
          <t>مورد باز</t>
        </is>
      </c>
      <c r="C81" s="25" t="inlineStr">
        <is>
          <t>حکشتی</t>
        </is>
      </c>
      <c r="D81" s="25" t="inlineStr">
        <is>
          <t>حضور فردی یا فرصت حضور اعضا کامل نیست</t>
        </is>
      </c>
      <c r="E81" s="25" t="n"/>
      <c r="F81" s="25" t="inlineStr">
        <is>
          <t>ACX02 جزئی یا خالی</t>
        </is>
      </c>
      <c r="G81" s="25" t="inlineStr">
        <is>
          <t>EV_SRC_HKSH_1404_002_p89</t>
        </is>
      </c>
      <c r="H81" s="25" t="inlineStr">
        <is>
          <t>باز</t>
        </is>
      </c>
      <c r="I81" s="25" t="inlineStr">
        <is>
          <t>جدول حضور فردی با تاریخ عضویت</t>
        </is>
      </c>
    </row>
    <row r="82" ht="20" customHeight="1" s="76">
      <c r="A82" s="23" t="inlineStr">
        <is>
          <t>A79</t>
        </is>
      </c>
      <c r="B82" s="23" t="inlineStr">
        <is>
          <t>مورد باز</t>
        </is>
      </c>
      <c r="C82" s="23" t="inlineStr">
        <is>
          <t>شپدیس</t>
        </is>
      </c>
      <c r="D82" s="23" t="inlineStr">
        <is>
          <t>حضور فردی یا فرصت حضور اعضا کامل نیست</t>
        </is>
      </c>
      <c r="E82" s="23" t="n"/>
      <c r="F82" s="23" t="inlineStr">
        <is>
          <t>ACX02 جزئی یا خالی</t>
        </is>
      </c>
      <c r="G82" s="23" t="inlineStr">
        <is>
          <t>EV_SRC_SHPD_1404_001_p23</t>
        </is>
      </c>
      <c r="H82" s="23" t="inlineStr">
        <is>
          <t>باز</t>
        </is>
      </c>
      <c r="I82" s="23" t="inlineStr">
        <is>
          <t>جدول حضور فردی با تاریخ عضویت</t>
        </is>
      </c>
    </row>
    <row r="83" ht="20" customHeight="1" s="76">
      <c r="A83" s="25" t="inlineStr">
        <is>
          <t>A80</t>
        </is>
      </c>
      <c r="B83" s="25" t="inlineStr">
        <is>
          <t>کنترل کیفیت</t>
        </is>
      </c>
      <c r="C83" s="25" t="inlineStr">
        <is>
          <t>QA</t>
        </is>
      </c>
      <c r="D83" s="25" t="inlineStr">
        <is>
          <t>تعداد شرکت یکتا: 30 (انتظار ۳۰)</t>
        </is>
      </c>
      <c r="E83" s="25" t="n"/>
      <c r="F83" s="25" t="n"/>
      <c r="G83" s="25" t="inlineStr">
        <is>
          <t>AC Members v40</t>
        </is>
      </c>
      <c r="H83" s="25" t="inlineStr">
        <is>
          <t>انجام شد</t>
        </is>
      </c>
      <c r="I83" s="25" t="n"/>
    </row>
    <row r="84" ht="20" customHeight="1" s="76">
      <c r="A84" s="23" t="inlineStr">
        <is>
          <t>A81</t>
        </is>
      </c>
      <c r="B84" s="23" t="inlineStr">
        <is>
          <t>کنترل کیفیت</t>
        </is>
      </c>
      <c r="C84" s="23" t="inlineStr">
        <is>
          <t>QA</t>
        </is>
      </c>
      <c r="D84" s="23" t="inlineStr">
        <is>
          <t>عضو MEMBER تکراری در یک مقطع: 0 (انتظار ۰)</t>
        </is>
      </c>
      <c r="E84" s="23" t="n"/>
      <c r="F84" s="23" t="n"/>
      <c r="G84" s="23" t="inlineStr">
        <is>
          <t>AC Members v40</t>
        </is>
      </c>
      <c r="H84" s="23" t="inlineStr">
        <is>
          <t>انجام شد</t>
        </is>
      </c>
      <c r="I84" s="23" t="n"/>
    </row>
    <row r="85" ht="20" customHeight="1" s="76">
      <c r="A85" s="25" t="inlineStr">
        <is>
          <t>A82</t>
        </is>
      </c>
      <c r="B85" s="25" t="inlineStr">
        <is>
          <t>کنترل کیفیت</t>
        </is>
      </c>
      <c r="C85" s="25" t="inlineStr">
        <is>
          <t>QA</t>
        </is>
      </c>
      <c r="D85" s="25" t="inlineStr">
        <is>
          <t>شرکت با مستقل بیشتر از اعضا: 0 (انتظار ۰)</t>
        </is>
      </c>
      <c r="E85" s="25" t="n"/>
      <c r="F85" s="25" t="n"/>
      <c r="G85" s="25" t="inlineStr">
        <is>
          <t>AC Members v40</t>
        </is>
      </c>
      <c r="H85" s="25" t="inlineStr">
        <is>
          <t>انجام شد</t>
        </is>
      </c>
      <c r="I85" s="25" t="n"/>
    </row>
    <row r="86" ht="20" customHeight="1" s="76">
      <c r="A86" s="23" t="inlineStr">
        <is>
          <t>A83</t>
        </is>
      </c>
      <c r="B86" s="23" t="inlineStr">
        <is>
          <t>کنترل کیفیت</t>
        </is>
      </c>
      <c r="C86" s="23" t="inlineStr">
        <is>
          <t>QA</t>
        </is>
      </c>
      <c r="D86" s="23" t="inlineStr">
        <is>
          <t>شرکت با متخصص بیشتر از اعضا: 0 (انتظار ۰)</t>
        </is>
      </c>
      <c r="E86" s="23" t="n"/>
      <c r="F86" s="23" t="n"/>
      <c r="G86" s="23" t="inlineStr">
        <is>
          <t>AC Members v40</t>
        </is>
      </c>
      <c r="H86" s="23" t="inlineStr">
        <is>
          <t>انجام شد</t>
        </is>
      </c>
      <c r="I86" s="23" t="n"/>
    </row>
    <row r="87" ht="20" customHeight="1" s="76">
      <c r="A87" s="25" t="inlineStr">
        <is>
          <t>A84</t>
        </is>
      </c>
      <c r="B87" s="25" t="inlineStr">
        <is>
          <t>کنترل کیفیت</t>
        </is>
      </c>
      <c r="C87" s="25" t="inlineStr">
        <is>
          <t>QA</t>
        </is>
      </c>
      <c r="D87" s="25" t="inlineStr">
        <is>
          <t>ردیف با حضور بیشتر از فرصت: 0 (انتظار ۰)</t>
        </is>
      </c>
      <c r="E87" s="25" t="n"/>
      <c r="F87" s="25" t="n"/>
      <c r="G87" s="25" t="inlineStr">
        <is>
          <t>AC Members v40</t>
        </is>
      </c>
      <c r="H87" s="25" t="inlineStr">
        <is>
          <t>انجام شد</t>
        </is>
      </c>
      <c r="I87" s="25" t="n"/>
    </row>
    <row r="88" ht="29" customHeight="1" s="76">
      <c r="A88" s="23" t="inlineStr">
        <is>
          <t>A85</t>
        </is>
      </c>
      <c r="B88" s="23" t="inlineStr">
        <is>
          <t>کنترل کیفیت</t>
        </is>
      </c>
      <c r="C88" s="23" t="inlineStr">
        <is>
          <t>QA</t>
        </is>
      </c>
      <c r="D88" s="23" t="inlineStr">
        <is>
          <t>حضور بیشتر از کل جلسات اعلام شده (بدون فرصت): 0 (انتظار ۰ (هشدار حد پایین))</t>
        </is>
      </c>
      <c r="E88" s="23" t="n"/>
      <c r="F88" s="23" t="n"/>
      <c r="G88" s="23" t="inlineStr">
        <is>
          <t>AC Members v40</t>
        </is>
      </c>
      <c r="H88" s="23" t="inlineStr">
        <is>
          <t>انجام شد</t>
        </is>
      </c>
      <c r="I88" s="23" t="n"/>
    </row>
  </sheetData>
  <mergeCells count="2">
    <mergeCell ref="A1:I1"/>
    <mergeCell ref="A2:I2"/>
  </mergeCells>
  <pageMargins left="0.75" right="0.75" top="1" bottom="1" header="0.5" footer="0.5"/>
</worksheet>
</file>

<file path=xl/worksheets/sheet76.xml><?xml version="1.0" encoding="utf-8"?>
<worksheet xmlns="http://schemas.openxmlformats.org/spreadsheetml/2006/main">
  <sheetPr>
    <tabColor rgb="FF548235"/>
    <outlinePr summaryBelow="1" summaryRight="1"/>
    <pageSetUpPr/>
  </sheetPr>
  <dimension ref="A1:K14"/>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76" min="1" max="1"/>
    <col width="12" customWidth="1" style="76" min="2" max="2"/>
    <col width="8" customWidth="1" style="76" min="3" max="3"/>
    <col width="12" customWidth="1" style="76" min="4" max="4"/>
    <col width="10" customWidth="1" style="76" min="5" max="6"/>
    <col width="8" customWidth="1" style="76" min="7" max="8"/>
    <col width="14" customWidth="1" style="76" min="9" max="9"/>
    <col width="10" customWidth="1" style="76" min="10" max="10"/>
    <col width="50" customWidth="1" style="76" min="11" max="11"/>
  </cols>
  <sheetData>
    <row r="1" ht="30" customHeight="1" s="76">
      <c r="A1" s="87" t="inlineStr">
        <is>
          <t>مقایسه پوشش قبل و بعد کمیته حسابرسی v40</t>
        </is>
      </c>
    </row>
    <row r="2" ht="22" customHeight="1" s="76">
      <c r="A2" s="85" t="inlineStr">
        <is>
          <t>پوشش سطح شرکت و سطح عضو جدا گزارش شده است. وضعیت ها از برگه AC Company v40 شمرده می شوند. مخرج ۳۰ شرکت؛ شرکت غیرقابل اعمال نداریم.</t>
        </is>
      </c>
    </row>
    <row r="3" ht="30" customHeight="1" s="76">
      <c r="A3" s="24" t="inlineStr">
        <is>
          <t>سنجه</t>
        </is>
      </c>
      <c r="B3" s="24" t="inlineStr">
        <is>
          <t>پوشش قبل (دارای داده)</t>
        </is>
      </c>
      <c r="C3" s="24" t="inlineStr">
        <is>
          <t>مخرج</t>
        </is>
      </c>
      <c r="D3" s="24" t="inlineStr">
        <is>
          <t>پوشش بعد (فرمول)</t>
        </is>
      </c>
      <c r="E3" s="24" t="inlineStr">
        <is>
          <t>تفاوت (فرمول)</t>
        </is>
      </c>
      <c r="F3" s="24" t="inlineStr">
        <is>
          <t>داده کامل</t>
        </is>
      </c>
      <c r="G3" s="24" t="inlineStr">
        <is>
          <t>ناقص</t>
        </is>
      </c>
      <c r="H3" s="24" t="inlineStr">
        <is>
          <t>متعارض</t>
        </is>
      </c>
      <c r="I3" s="24" t="inlineStr">
        <is>
          <t>نامشخص یا افشا نشده</t>
        </is>
      </c>
      <c r="J3" s="24" t="inlineStr">
        <is>
          <t>غیرقابل اعمال</t>
        </is>
      </c>
      <c r="K3" s="24" t="inlineStr">
        <is>
          <t>یادداشت</t>
        </is>
      </c>
    </row>
    <row r="4" ht="43.5" customHeight="1" s="76">
      <c r="A4" s="23" t="inlineStr">
        <is>
          <t>AUD01</t>
        </is>
      </c>
      <c r="B4" s="23" t="n">
        <v>23</v>
      </c>
      <c r="C4" s="23" t="n">
        <v>30</v>
      </c>
      <c r="D4" s="23">
        <f>COUNT('AC Company v40'!$G$4:$G$33)</f>
        <v>29</v>
      </c>
      <c r="E4" s="23">
        <f>D4-B4</f>
        <v>6</v>
      </c>
      <c r="F4" s="23">
        <f>COUNTIF('AC Company v40'!$F$4:$F$33,"تاییدشده")+COUNTIF('AC Company v40'!$F$4:$F$33,"تاییدشده با هشدار")</f>
        <v>29</v>
      </c>
      <c r="G4" s="23">
        <f>COUNTIF('AC Company v40'!$F$4:$F$33,"ناقص")</f>
        <v>0</v>
      </c>
      <c r="H4" s="23">
        <f>COUNTIF('AC Company v40'!$F$4:$F$33,"متعارض")</f>
        <v>0</v>
      </c>
      <c r="I4" s="23">
        <f>COUNTIF('AC Company v40'!$F$4:$F$33,"بررسی شده ولی افشا یافت نشد")+COUNTIF('AC Company v40'!$F$4:$F$33,"منبع در دسترس نبود")+COUNTIF('AC Company v40'!$F$4:$F$33,"هنوز بررسی نشده")</f>
        <v>1</v>
      </c>
      <c r="J4" s="23">
        <f>COUNTIF('AC Company v40'!$F$4:$F$33,"قابل اعمال نیست")</f>
        <v>0</v>
      </c>
      <c r="K4" s="23" t="inlineStr">
        <is>
          <t>پوشش پیشین از جدول های v39 (AUD01 و AUD02) و برگه Source Availability (N14 تا N16)؛ ACX01 و ACX02 جدید اند</t>
        </is>
      </c>
    </row>
    <row r="5" ht="43.5" customHeight="1" s="76">
      <c r="A5" s="25" t="inlineStr">
        <is>
          <t>AUD02</t>
        </is>
      </c>
      <c r="B5" s="25" t="n">
        <v>11</v>
      </c>
      <c r="C5" s="25" t="n">
        <v>30</v>
      </c>
      <c r="D5" s="25">
        <f>COUNT('AC Company v40'!$O$4:$O$33)</f>
        <v>27</v>
      </c>
      <c r="E5" s="25">
        <f>D5-B5</f>
        <v>16</v>
      </c>
      <c r="F5" s="25">
        <f>COUNTIF('AC Company v40'!$J$4:$J$33,"تاییدشده")+COUNTIF('AC Company v40'!$J$4:$J$33,"تاییدشده با هشدار")</f>
        <v>27</v>
      </c>
      <c r="G5" s="25">
        <f>COUNTIF('AC Company v40'!$J$4:$J$33,"ناقص")</f>
        <v>2</v>
      </c>
      <c r="H5" s="25">
        <f>COUNTIF('AC Company v40'!$J$4:$J$33,"متعارض")</f>
        <v>0</v>
      </c>
      <c r="I5" s="25">
        <f>COUNTIF('AC Company v40'!$J$4:$J$33,"بررسی شده ولی افشا یافت نشد")+COUNTIF('AC Company v40'!$J$4:$J$33,"منبع در دسترس نبود")+COUNTIF('AC Company v40'!$J$4:$J$33,"هنوز بررسی نشده")</f>
        <v>1</v>
      </c>
      <c r="J5" s="25">
        <f>COUNTIF('AC Company v40'!$J$4:$J$33,"قابل اعمال نیست")</f>
        <v>0</v>
      </c>
      <c r="K5" s="25" t="inlineStr">
        <is>
          <t>پوشش پیشین از جدول های v39 (AUD01 و AUD02) و برگه Source Availability (N14 تا N16)؛ ACX01 و ACX02 جدید اند</t>
        </is>
      </c>
    </row>
    <row r="6" ht="43.5" customHeight="1" s="76">
      <c r="A6" s="23" t="inlineStr">
        <is>
          <t>N14</t>
        </is>
      </c>
      <c r="B6" s="23" t="n">
        <v>5</v>
      </c>
      <c r="C6" s="23" t="n">
        <v>30</v>
      </c>
      <c r="D6" s="23">
        <f>COUNT('AC Company v40'!$U$4:$U$33)</f>
        <v>5</v>
      </c>
      <c r="E6" s="23">
        <f>D6-B6</f>
        <v>0</v>
      </c>
      <c r="F6" s="23">
        <f>COUNTIF('AC Company v40'!$T$4:$T$33,"تاییدشده")+COUNTIF('AC Company v40'!$T$4:$T$33,"تاییدشده با هشدار")</f>
        <v>5</v>
      </c>
      <c r="G6" s="23">
        <f>COUNTIF('AC Company v40'!$T$4:$T$33,"ناقص")</f>
        <v>6</v>
      </c>
      <c r="H6" s="23">
        <f>COUNTIF('AC Company v40'!$T$4:$T$33,"متعارض")</f>
        <v>0</v>
      </c>
      <c r="I6" s="23">
        <f>COUNTIF('AC Company v40'!$T$4:$T$33,"بررسی شده ولی افشا یافت نشد")+COUNTIF('AC Company v40'!$T$4:$T$33,"منبع در دسترس نبود")+COUNTIF('AC Company v40'!$T$4:$T$33,"هنوز بررسی نشده")</f>
        <v>19</v>
      </c>
      <c r="J6" s="23">
        <f>COUNTIF('AC Company v40'!$T$4:$T$33,"قابل اعمال نیست")</f>
        <v>0</v>
      </c>
      <c r="K6" s="23" t="inlineStr">
        <is>
          <t>پوشش پیشین از جدول های v39 (AUD01 و AUD02) و برگه Source Availability (N14 تا N16)؛ ACX01 و ACX02 جدید اند</t>
        </is>
      </c>
    </row>
    <row r="7" ht="43.5" customHeight="1" s="76">
      <c r="A7" s="25" t="inlineStr">
        <is>
          <t>N15</t>
        </is>
      </c>
      <c r="B7" s="25" t="n">
        <v>2</v>
      </c>
      <c r="C7" s="25" t="n">
        <v>30</v>
      </c>
      <c r="D7" s="25">
        <f>COUNT('AC Company v40'!$AA$4:$AA$33)</f>
        <v>27</v>
      </c>
      <c r="E7" s="25">
        <f>D7-B7</f>
        <v>25</v>
      </c>
      <c r="F7" s="25">
        <f>COUNTIF('AC Company v40'!$Z$4:$Z$33,"تاییدشده")+COUNTIF('AC Company v40'!$Z$4:$Z$33,"تاییدشده با هشدار")</f>
        <v>27</v>
      </c>
      <c r="G7" s="25">
        <f>COUNTIF('AC Company v40'!$Z$4:$Z$33,"ناقص")</f>
        <v>1</v>
      </c>
      <c r="H7" s="25">
        <f>COUNTIF('AC Company v40'!$Z$4:$Z$33,"متعارض")</f>
        <v>0</v>
      </c>
      <c r="I7" s="25">
        <f>COUNTIF('AC Company v40'!$Z$4:$Z$33,"بررسی شده ولی افشا یافت نشد")+COUNTIF('AC Company v40'!$Z$4:$Z$33,"منبع در دسترس نبود")+COUNTIF('AC Company v40'!$Z$4:$Z$33,"هنوز بررسی نشده")</f>
        <v>2</v>
      </c>
      <c r="J7" s="25">
        <f>COUNTIF('AC Company v40'!$Z$4:$Z$33,"قابل اعمال نیست")</f>
        <v>0</v>
      </c>
      <c r="K7" s="25" t="inlineStr">
        <is>
          <t>پوشش پیشین از جدول های v39 (AUD01 و AUD02) و برگه Source Availability (N14 تا N16)؛ ACX01 و ACX02 جدید اند</t>
        </is>
      </c>
    </row>
    <row r="8" ht="43.5" customHeight="1" s="76">
      <c r="A8" s="23" t="inlineStr">
        <is>
          <t>N16</t>
        </is>
      </c>
      <c r="B8" s="23" t="n">
        <v>12</v>
      </c>
      <c r="C8" s="23" t="n">
        <v>30</v>
      </c>
      <c r="D8" s="23">
        <f>COUNT('AC Company v40'!$AF$4:$AF$33)</f>
        <v>20</v>
      </c>
      <c r="E8" s="23">
        <f>D8-B8</f>
        <v>8</v>
      </c>
      <c r="F8" s="23">
        <f>COUNTIF('AC Company v40'!$AE$4:$AE$33,"تاییدشده")+COUNTIF('AC Company v40'!$AE$4:$AE$33,"تاییدشده با هشدار")</f>
        <v>20</v>
      </c>
      <c r="G8" s="23">
        <f>COUNTIF('AC Company v40'!$AE$4:$AE$33,"ناقص")</f>
        <v>0</v>
      </c>
      <c r="H8" s="23">
        <f>COUNTIF('AC Company v40'!$AE$4:$AE$33,"متعارض")</f>
        <v>0</v>
      </c>
      <c r="I8" s="23">
        <f>COUNTIF('AC Company v40'!$AE$4:$AE$33,"بررسی شده ولی افشا یافت نشد")+COUNTIF('AC Company v40'!$AE$4:$AE$33,"منبع در دسترس نبود")+COUNTIF('AC Company v40'!$AE$4:$AE$33,"هنوز بررسی نشده")</f>
        <v>10</v>
      </c>
      <c r="J8" s="23">
        <f>COUNTIF('AC Company v40'!$AE$4:$AE$33,"قابل اعمال نیست")</f>
        <v>0</v>
      </c>
      <c r="K8" s="23" t="inlineStr">
        <is>
          <t>پوشش پیشین از جدول های v39 (AUD01 و AUD02) و برگه Source Availability (N14 تا N16)؛ ACX01 و ACX02 جدید اند</t>
        </is>
      </c>
    </row>
    <row r="9" ht="20" customHeight="1" s="76">
      <c r="A9" s="25" t="inlineStr">
        <is>
          <t>ACX01</t>
        </is>
      </c>
      <c r="B9" s="25" t="n">
        <v>0</v>
      </c>
      <c r="C9" s="25" t="n">
        <v>30</v>
      </c>
      <c r="D9" s="25">
        <f>COUNT('AC Company v40'!$AC$4:$AC$33)</f>
        <v>26</v>
      </c>
      <c r="E9" s="25">
        <f>D9-B9</f>
        <v>26</v>
      </c>
      <c r="F9" s="25">
        <f>COUNTIF('AC Company v40'!$J$4:$J$33,"تاییدشده")+COUNTIF('AC Company v40'!$J$4:$J$33,"تاییدشده با هشدار")</f>
        <v>27</v>
      </c>
      <c r="G9" s="25">
        <f>COUNTIF('AC Company v40'!$J$4:$J$33,"ناقص")</f>
        <v>2</v>
      </c>
      <c r="H9" s="25">
        <f>COUNTIF('AC Company v40'!$J$4:$J$33,"متعارض")</f>
        <v>0</v>
      </c>
      <c r="I9" s="25">
        <f>COUNTIF('AC Company v40'!$J$4:$J$33,"بررسی شده ولی افشا یافت نشد")+COUNTIF('AC Company v40'!$J$4:$J$33,"منبع در دسترس نبود")+COUNTIF('AC Company v40'!$J$4:$J$33,"هنوز بررسی نشده")</f>
        <v>1</v>
      </c>
      <c r="J9" s="25">
        <f>COUNTIF('AC Company v40'!$J$4:$J$33,"قابل اعمال نیست")</f>
        <v>0</v>
      </c>
      <c r="K9" s="25" t="inlineStr">
        <is>
          <t>کاندید تکمیلی جدید؛ پیشتر نبود</t>
        </is>
      </c>
    </row>
    <row r="10" ht="20" customHeight="1" s="76">
      <c r="A10" s="23" t="inlineStr">
        <is>
          <t>ACX02</t>
        </is>
      </c>
      <c r="B10" s="23" t="n">
        <v>0</v>
      </c>
      <c r="C10" s="23" t="n">
        <v>30</v>
      </c>
      <c r="D10" s="23">
        <f>COUNT('AC Company v40'!$AL$4:$AL$33)</f>
        <v>13</v>
      </c>
      <c r="E10" s="23">
        <f>D10-B10</f>
        <v>13</v>
      </c>
      <c r="F10" s="23">
        <f>COUNTIF('AC Company v40'!$AM$4:$AM$33,"تاییدشده")+COUNTIF('AC Company v40'!$AM$4:$AM$33,"تاییدشده با هشدار")</f>
        <v>7</v>
      </c>
      <c r="G10" s="23">
        <f>COUNTIF('AC Company v40'!$AM$4:$AM$33,"ناقص")</f>
        <v>13</v>
      </c>
      <c r="H10" s="23">
        <f>COUNTIF('AC Company v40'!$AM$4:$AM$33,"متعارض")</f>
        <v>0</v>
      </c>
      <c r="I10" s="23">
        <f>COUNTIF('AC Company v40'!$AM$4:$AM$33,"بررسی شده ولی افشا یافت نشد")+COUNTIF('AC Company v40'!$AM$4:$AM$33,"منبع در دسترس نبود")+COUNTIF('AC Company v40'!$AM$4:$AM$33,"هنوز بررسی نشده")</f>
        <v>10</v>
      </c>
      <c r="J10" s="23">
        <f>COUNTIF('AC Company v40'!$AM$4:$AM$33,"قابل اعمال نیست")</f>
        <v>0</v>
      </c>
      <c r="K10" s="23" t="inlineStr">
        <is>
          <t>کاندید تکمیلی جدید؛ پیشتر نبود</t>
        </is>
      </c>
    </row>
    <row r="11" ht="20" customHeight="1" s="76">
      <c r="A11" s="25" t="inlineStr">
        <is>
          <t>پوشش سطح عضو: اعضای MEMBER</t>
        </is>
      </c>
      <c r="B11" s="25" t="n"/>
      <c r="C11" s="25" t="n"/>
      <c r="D11" s="25">
        <f>COUNTIFS('AC Members v40'!$D$4:$D$148,"MEMBER")</f>
        <v>125</v>
      </c>
      <c r="E11" s="25" t="n"/>
      <c r="F11" s="25" t="n"/>
      <c r="G11" s="25" t="n"/>
      <c r="H11" s="25" t="n"/>
      <c r="I11" s="25" t="n"/>
      <c r="J11" s="25" t="n"/>
      <c r="K11" s="25" t="inlineStr">
        <is>
          <t>جمع اعضای شناسایی شده</t>
        </is>
      </c>
    </row>
    <row r="12" ht="20" customHeight="1" s="76">
      <c r="A12" s="23" t="inlineStr">
        <is>
          <t>اعضای دارای نرخ حضور قابل محاسبه</t>
        </is>
      </c>
      <c r="B12" s="23" t="n"/>
      <c r="C12" s="23" t="n"/>
      <c r="D12" s="23">
        <f>SUM('AC Members v40'!$U$4:$U$148)</f>
        <v>53</v>
      </c>
      <c r="E12" s="23" t="n"/>
      <c r="F12" s="23" t="n"/>
      <c r="G12" s="23" t="n"/>
      <c r="H12" s="23" t="n"/>
      <c r="I12" s="23" t="n"/>
      <c r="J12" s="23" t="n"/>
      <c r="K12" s="23" t="inlineStr">
        <is>
          <t>پوشش حضور در سطح عضو</t>
        </is>
      </c>
    </row>
    <row r="13" ht="20" customHeight="1" s="76">
      <c r="A13" s="25" t="inlineStr">
        <is>
          <t>اعضای دارای شاهد استقلال (Y یا N)</t>
        </is>
      </c>
      <c r="B13" s="25" t="n"/>
      <c r="C13" s="25" t="n"/>
      <c r="D13" s="25">
        <f>COUNTIFS('AC Members v40'!$D$4:$D$148,"MEMBER",'AC Members v40'!$J$4:$J$148,"Y")+COUNTIFS('AC Members v40'!$D$4:$D$148,"MEMBER",'AC Members v40'!$J$4:$J$148,"N")</f>
        <v>37</v>
      </c>
      <c r="E13" s="25" t="n"/>
      <c r="F13" s="25" t="n"/>
      <c r="G13" s="25" t="n"/>
      <c r="H13" s="25" t="n"/>
      <c r="I13" s="25" t="n"/>
      <c r="J13" s="25" t="n"/>
      <c r="K13" s="25" t="inlineStr">
        <is>
          <t>پوشش استقلال در سطح عضو</t>
        </is>
      </c>
    </row>
    <row r="14" ht="20" customHeight="1" s="76">
      <c r="A14" s="23" t="inlineStr">
        <is>
          <t>اعضای دارای تخصص مالی مستند</t>
        </is>
      </c>
      <c r="B14" s="23" t="n"/>
      <c r="C14" s="23" t="n"/>
      <c r="D14" s="23">
        <f>COUNTIFS('AC Members v40'!$D$4:$D$148,"MEMBER",'AC Members v40'!$N$4:$N$148,1)</f>
        <v>87</v>
      </c>
      <c r="E14" s="23" t="n"/>
      <c r="F14" s="23" t="n"/>
      <c r="G14" s="23" t="n"/>
      <c r="H14" s="23" t="n"/>
      <c r="I14" s="23" t="n"/>
      <c r="J14" s="23" t="n"/>
      <c r="K14" s="23" t="inlineStr">
        <is>
          <t>پوشش تخصص مالی در سطح عضو</t>
        </is>
      </c>
    </row>
  </sheetData>
  <mergeCells count="2">
    <mergeCell ref="A2:K2"/>
    <mergeCell ref="A1:K1"/>
  </mergeCells>
  <pageMargins left="0.75" right="0.75" top="1" bottom="1" header="0.5" footer="0.5"/>
</worksheet>
</file>

<file path=xl/worksheets/sheet77.xml><?xml version="1.0" encoding="utf-8"?>
<worksheet xmlns="http://schemas.openxmlformats.org/spreadsheetml/2006/main">
  <sheetPr>
    <tabColor rgb="FF548235"/>
    <outlinePr summaryBelow="1" summaryRight="1"/>
    <pageSetUpPr/>
  </sheetPr>
  <dimension ref="A1:F38"/>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8" customWidth="1" style="76" min="1" max="1"/>
    <col width="10" customWidth="1" style="76" min="2" max="2"/>
    <col width="40" customWidth="1" style="76" min="3" max="4"/>
    <col width="50" customWidth="1" style="76" min="5" max="5"/>
    <col width="22" customWidth="1" style="76" min="6" max="6"/>
  </cols>
  <sheetData>
    <row r="1" ht="30" customHeight="1" s="76">
      <c r="A1" s="87" t="inlineStr">
        <is>
          <t>ثبت تغییرات مستر v40</t>
        </is>
      </c>
    </row>
    <row r="2" ht="22" customHeight="1" s="76">
      <c r="A2" s="85" t="inlineStr">
        <is>
          <t>فقط سلول های وابسته به کمیته حسابرسی تغییر کرده است. تعداد سلول های تغییر یافته مستر: 35. برگه های جدید جدا از این شمارش اند.</t>
        </is>
      </c>
    </row>
    <row r="3" ht="30" customHeight="1" s="76">
      <c r="A3" s="24" t="inlineStr">
        <is>
          <t>نام برگه</t>
        </is>
      </c>
      <c r="B3" s="24" t="inlineStr">
        <is>
          <t>آدرس سلول</t>
        </is>
      </c>
      <c r="C3" s="24" t="inlineStr">
        <is>
          <t>مقدار قبلی</t>
        </is>
      </c>
      <c r="D3" s="24" t="inlineStr">
        <is>
          <t>مقدار جدید</t>
        </is>
      </c>
      <c r="E3" s="24" t="inlineStr">
        <is>
          <t>دلیل تغییر</t>
        </is>
      </c>
      <c r="F3" s="24" t="inlineStr">
        <is>
          <t>شناسه شاهد</t>
        </is>
      </c>
    </row>
    <row r="4" ht="20" customHeight="1" s="76">
      <c r="A4" s="23" t="inlineStr">
        <is>
          <t>جدول استاد</t>
        </is>
      </c>
      <c r="B4" s="23" t="inlineStr">
        <is>
          <t>D9</t>
        </is>
      </c>
      <c r="C4" s="23" t="n">
        <v>23</v>
      </c>
      <c r="D4" s="23" t="n">
        <v>29</v>
      </c>
      <c r="E4" s="23" t="inlineStr">
        <is>
          <t>AUD01: وجود کمیته برای ۶ شرکت اولویت دار تایید شد</t>
        </is>
      </c>
      <c r="F4" s="23" t="inlineStr">
        <is>
          <t>AC Company v40</t>
        </is>
      </c>
    </row>
    <row r="5" ht="29" customHeight="1" s="76">
      <c r="A5" s="25" t="inlineStr">
        <is>
          <t>جدول استاد</t>
        </is>
      </c>
      <c r="B5" s="25" t="inlineStr">
        <is>
          <t>M9</t>
        </is>
      </c>
      <c r="C5" s="25" t="inlineStr">
        <is>
          <t>شش Keyword Hit نیازمند بازبینی صفحه</t>
        </is>
      </c>
      <c r="D5" s="25" t="inlineStr">
        <is>
          <t>وپاسار هنوز بدون افشای صریح؛ مقطع پایان دوره شرکت ها یکسان نیست</t>
        </is>
      </c>
      <c r="E5" s="25" t="inlineStr">
        <is>
          <t>محدودیت جدید پس از ممیزی v40</t>
        </is>
      </c>
      <c r="F5" s="25" t="inlineStr">
        <is>
          <t>AC Audit v40</t>
        </is>
      </c>
    </row>
    <row r="6" ht="20" customHeight="1" s="76">
      <c r="A6" s="23" t="inlineStr">
        <is>
          <t>جدول استاد</t>
        </is>
      </c>
      <c r="B6" s="23" t="inlineStr">
        <is>
          <t>O9</t>
        </is>
      </c>
      <c r="C6" s="23" t="inlineStr">
        <is>
          <t>v31 AC_EXISTENCE_30 + SRC_SHBN_1404_001</t>
        </is>
      </c>
      <c r="D6" s="23" t="inlineStr">
        <is>
          <t>AC Company v40 و AC Sources v40</t>
        </is>
      </c>
      <c r="E6" s="23" t="inlineStr">
        <is>
          <t>منبع به روز</t>
        </is>
      </c>
      <c r="F6" s="23" t="inlineStr">
        <is>
          <t>AC Sources v40</t>
        </is>
      </c>
    </row>
    <row r="7" ht="20" customHeight="1" s="76">
      <c r="A7" s="25" t="inlineStr">
        <is>
          <t>جدول استاد</t>
        </is>
      </c>
      <c r="B7" s="25" t="inlineStr">
        <is>
          <t>P9</t>
        </is>
      </c>
      <c r="C7" s="25" t="inlineStr">
        <is>
          <t>NEEDS_CORRECTION</t>
        </is>
      </c>
      <c r="D7" s="25" t="inlineStr">
        <is>
          <t>VERIFIED_WITH_LIMITATION</t>
        </is>
      </c>
      <c r="E7" s="25" t="inlineStr">
        <is>
          <t>گپ Keyword Hit برای ۶ شرکت با صفحه منبع بسته شد</t>
        </is>
      </c>
      <c r="F7" s="25" t="inlineStr">
        <is>
          <t>AC Audit v40</t>
        </is>
      </c>
    </row>
    <row r="8" ht="20" customHeight="1" s="76">
      <c r="A8" s="23" t="inlineStr">
        <is>
          <t>جدول استاد</t>
        </is>
      </c>
      <c r="B8" s="23" t="inlineStr">
        <is>
          <t>D10</t>
        </is>
      </c>
      <c r="C8" s="23" t="n">
        <v>11</v>
      </c>
      <c r="D8" s="23" t="n">
        <v>27</v>
      </c>
      <c r="E8" s="23" t="inlineStr">
        <is>
          <t>AUD02: فهرست تاییدشده در مقطع پایان دوره</t>
        </is>
      </c>
      <c r="F8" s="23" t="inlineStr">
        <is>
          <t>AC Company v40</t>
        </is>
      </c>
    </row>
    <row r="9" ht="29" customHeight="1" s="76">
      <c r="A9" s="25" t="inlineStr">
        <is>
          <t>جدول استاد</t>
        </is>
      </c>
      <c r="B9" s="25" t="inlineStr">
        <is>
          <t>M10</t>
        </is>
      </c>
      <c r="C9" s="25" t="inlineStr">
        <is>
          <t>اندازه دقیق فقط ۱۱ شرکت</t>
        </is>
      </c>
      <c r="D9" s="25" t="inlineStr">
        <is>
          <t>سه شرکت با فهرست ناقص یا نامشخص (فخوز، حکشتی، وپاسار)</t>
        </is>
      </c>
      <c r="E9" s="25" t="inlineStr">
        <is>
          <t>محدودیت جدید</t>
        </is>
      </c>
      <c r="F9" s="25" t="inlineStr">
        <is>
          <t>AC Audit v40</t>
        </is>
      </c>
    </row>
    <row r="10" ht="20" customHeight="1" s="76">
      <c r="A10" s="23" t="inlineStr">
        <is>
          <t>جدول استاد</t>
        </is>
      </c>
      <c r="B10" s="23" t="inlineStr">
        <is>
          <t>O10</t>
        </is>
      </c>
      <c r="C10" s="23" t="inlineStr">
        <is>
          <t>v31 AC_ROSTER</t>
        </is>
      </c>
      <c r="D10" s="23" t="inlineStr">
        <is>
          <t>AC Members v40 و AC Company v40</t>
        </is>
      </c>
      <c r="E10" s="23" t="inlineStr">
        <is>
          <t>منبع به روز</t>
        </is>
      </c>
      <c r="F10" s="23" t="inlineStr">
        <is>
          <t>AC Sources v40</t>
        </is>
      </c>
    </row>
    <row r="11" ht="20" customHeight="1" s="76">
      <c r="A11" s="25" t="inlineStr">
        <is>
          <t>جدول استاد</t>
        </is>
      </c>
      <c r="B11" s="25" t="inlineStr">
        <is>
          <t>P10</t>
        </is>
      </c>
      <c r="C11" s="25" t="inlineStr">
        <is>
          <t>NEEDS_CORRECTION</t>
        </is>
      </c>
      <c r="D11" s="25" t="inlineStr">
        <is>
          <t>VERIFIED_WITH_LIMITATION</t>
        </is>
      </c>
      <c r="E11" s="25" t="inlineStr">
        <is>
          <t>اندازه از فهرست اعضا در مقطع پایان دوره بازتولید شد</t>
        </is>
      </c>
      <c r="F11" s="25" t="inlineStr">
        <is>
          <t>AC Audit v40</t>
        </is>
      </c>
    </row>
    <row r="12" ht="20" customHeight="1" s="76">
      <c r="A12" s="23" t="inlineStr">
        <is>
          <t>معماری به روز شده</t>
        </is>
      </c>
      <c r="B12" s="23" t="inlineStr">
        <is>
          <t>D8</t>
        </is>
      </c>
      <c r="C12" s="23" t="n">
        <v>23</v>
      </c>
      <c r="D12" s="23" t="n">
        <v>29</v>
      </c>
      <c r="E12" s="23" t="inlineStr">
        <is>
          <t>AUD01: پوشش به روز</t>
        </is>
      </c>
      <c r="F12" s="23" t="inlineStr">
        <is>
          <t>AC Company v40</t>
        </is>
      </c>
    </row>
    <row r="13" ht="20" customHeight="1" s="76">
      <c r="A13" s="25" t="inlineStr">
        <is>
          <t>معماری به روز شده</t>
        </is>
      </c>
      <c r="B13" s="25" t="inlineStr">
        <is>
          <t>N8</t>
        </is>
      </c>
      <c r="C13" s="25" t="inlineStr">
        <is>
          <t>v31 + ممیزی شبندر</t>
        </is>
      </c>
      <c r="D13" s="25" t="inlineStr">
        <is>
          <t>v40 جدول کمیته در گزارش دوره ۱۴۰۴</t>
        </is>
      </c>
      <c r="E13" s="25" t="inlineStr">
        <is>
          <t>منبع به روز</t>
        </is>
      </c>
      <c r="F13" s="25" t="inlineStr">
        <is>
          <t>AC Sources v40</t>
        </is>
      </c>
    </row>
    <row r="14" ht="20" customHeight="1" s="76">
      <c r="A14" s="23" t="inlineStr">
        <is>
          <t>معماری به روز شده</t>
        </is>
      </c>
      <c r="B14" s="23" t="inlineStr">
        <is>
          <t>D13</t>
        </is>
      </c>
      <c r="C14" s="23" t="n">
        <v>11</v>
      </c>
      <c r="D14" s="23" t="n">
        <v>27</v>
      </c>
      <c r="E14" s="23" t="inlineStr">
        <is>
          <t>AUD02: پوشش به روز</t>
        </is>
      </c>
      <c r="F14" s="23" t="inlineStr">
        <is>
          <t>AC Company v40</t>
        </is>
      </c>
    </row>
    <row r="15" ht="20" customHeight="1" s="76">
      <c r="A15" s="25" t="inlineStr">
        <is>
          <t>معماری به روز شده</t>
        </is>
      </c>
      <c r="B15" s="25" t="inlineStr">
        <is>
          <t>N13</t>
        </is>
      </c>
      <c r="C15" s="25" t="inlineStr">
        <is>
          <t>v31</t>
        </is>
      </c>
      <c r="D15" s="25" t="inlineStr">
        <is>
          <t>v40 فهرست اعضا در مقطع پایان دوره</t>
        </is>
      </c>
      <c r="E15" s="25" t="inlineStr">
        <is>
          <t>منبع به روز</t>
        </is>
      </c>
      <c r="F15" s="25" t="inlineStr">
        <is>
          <t>AC Sources v40</t>
        </is>
      </c>
    </row>
    <row r="16" ht="20" customHeight="1" s="76">
      <c r="A16" s="23" t="inlineStr">
        <is>
          <t>Measureهای فعلی</t>
        </is>
      </c>
      <c r="B16" s="23" t="inlineStr">
        <is>
          <t>D9</t>
        </is>
      </c>
      <c r="C16" s="23" t="inlineStr">
        <is>
          <t>23/30</t>
        </is>
      </c>
      <c r="D16" s="23" t="inlineStr">
        <is>
          <t>29/30</t>
        </is>
      </c>
      <c r="E16" s="23" t="inlineStr">
        <is>
          <t>AUD01 پوشش</t>
        </is>
      </c>
      <c r="F16" s="23" t="inlineStr">
        <is>
          <t>AC Company v40</t>
        </is>
      </c>
    </row>
    <row r="17" ht="20" customHeight="1" s="76">
      <c r="A17" s="25" t="inlineStr">
        <is>
          <t>Measureهای فعلی</t>
        </is>
      </c>
      <c r="B17" s="25" t="inlineStr">
        <is>
          <t>E9</t>
        </is>
      </c>
      <c r="C17" s="25" t="inlineStr">
        <is>
          <t>23/30</t>
        </is>
      </c>
      <c r="D17" s="25" t="inlineStr">
        <is>
          <t>29/30</t>
        </is>
      </c>
      <c r="E17" s="25" t="inlineStr">
        <is>
          <t>AUD01 پوشش واجد شرایط</t>
        </is>
      </c>
      <c r="F17" s="25" t="inlineStr">
        <is>
          <t>AC Company v40</t>
        </is>
      </c>
    </row>
    <row r="18" ht="20" customHeight="1" s="76">
      <c r="A18" s="23" t="inlineStr">
        <is>
          <t>Measureهای فعلی</t>
        </is>
      </c>
      <c r="B18" s="23" t="inlineStr">
        <is>
          <t>D10</t>
        </is>
      </c>
      <c r="C18" s="23" t="inlineStr">
        <is>
          <t>11/30</t>
        </is>
      </c>
      <c r="D18" s="23" t="inlineStr">
        <is>
          <t>27/30</t>
        </is>
      </c>
      <c r="E18" s="23" t="inlineStr">
        <is>
          <t>AUD02 پوشش</t>
        </is>
      </c>
      <c r="F18" s="23" t="inlineStr">
        <is>
          <t>AC Company v40</t>
        </is>
      </c>
    </row>
    <row r="19" ht="20" customHeight="1" s="76">
      <c r="A19" s="25" t="inlineStr">
        <is>
          <t>Measureهای فعلی</t>
        </is>
      </c>
      <c r="B19" s="25" t="inlineStr">
        <is>
          <t>E10</t>
        </is>
      </c>
      <c r="C19" s="25" t="inlineStr">
        <is>
          <t>11/30</t>
        </is>
      </c>
      <c r="D19" s="25" t="inlineStr">
        <is>
          <t>27/30</t>
        </is>
      </c>
      <c r="E19" s="25" t="inlineStr">
        <is>
          <t>AUD02 پوشش واجد شرایط</t>
        </is>
      </c>
      <c r="F19" s="25" t="inlineStr">
        <is>
          <t>AC Company v40</t>
        </is>
      </c>
    </row>
    <row r="20" ht="29" customHeight="1" s="76">
      <c r="A20" s="23" t="inlineStr">
        <is>
          <t>Final Recommended Architecture</t>
        </is>
      </c>
      <c r="B20" s="23" t="inlineStr">
        <is>
          <t>D9</t>
        </is>
      </c>
      <c r="C20" s="23" t="inlineStr">
        <is>
          <t>23/30</t>
        </is>
      </c>
      <c r="D20" s="23" t="inlineStr">
        <is>
          <t>29/30</t>
        </is>
      </c>
      <c r="E20" s="23" t="inlineStr">
        <is>
          <t>AUD01 پوشش</t>
        </is>
      </c>
      <c r="F20" s="23" t="inlineStr">
        <is>
          <t>AC Company v40</t>
        </is>
      </c>
    </row>
    <row r="21" ht="29" customHeight="1" s="76">
      <c r="A21" s="25" t="inlineStr">
        <is>
          <t>Final Recommended Architecture</t>
        </is>
      </c>
      <c r="B21" s="25" t="inlineStr">
        <is>
          <t>E9</t>
        </is>
      </c>
      <c r="C21" s="25" t="inlineStr">
        <is>
          <t>23/30</t>
        </is>
      </c>
      <c r="D21" s="25" t="inlineStr">
        <is>
          <t>29/30</t>
        </is>
      </c>
      <c r="E21" s="25" t="inlineStr">
        <is>
          <t>AUD01 پوشش واجد شرایط</t>
        </is>
      </c>
      <c r="F21" s="25" t="inlineStr">
        <is>
          <t>AC Company v40</t>
        </is>
      </c>
    </row>
    <row r="22" ht="29" customHeight="1" s="76">
      <c r="A22" s="23" t="inlineStr">
        <is>
          <t>Final Recommended Architecture</t>
        </is>
      </c>
      <c r="B22" s="23" t="inlineStr">
        <is>
          <t>D10</t>
        </is>
      </c>
      <c r="C22" s="23" t="inlineStr">
        <is>
          <t>11/30</t>
        </is>
      </c>
      <c r="D22" s="23" t="inlineStr">
        <is>
          <t>27/30</t>
        </is>
      </c>
      <c r="E22" s="23" t="inlineStr">
        <is>
          <t>AUD02 پوشش</t>
        </is>
      </c>
      <c r="F22" s="23" t="inlineStr">
        <is>
          <t>AC Company v40</t>
        </is>
      </c>
    </row>
    <row r="23" ht="29" customHeight="1" s="76">
      <c r="A23" s="25" t="inlineStr">
        <is>
          <t>Final Recommended Architecture</t>
        </is>
      </c>
      <c r="B23" s="25" t="inlineStr">
        <is>
          <t>E10</t>
        </is>
      </c>
      <c r="C23" s="25" t="inlineStr">
        <is>
          <t>11/30</t>
        </is>
      </c>
      <c r="D23" s="25" t="inlineStr">
        <is>
          <t>27/30</t>
        </is>
      </c>
      <c r="E23" s="25" t="inlineStr">
        <is>
          <t>AUD02 پوشش واجد شرایط</t>
        </is>
      </c>
      <c r="F23" s="25" t="inlineStr">
        <is>
          <t>AC Company v40</t>
        </is>
      </c>
    </row>
    <row r="24" ht="29" customHeight="1" s="76">
      <c r="A24" s="23" t="inlineStr">
        <is>
          <t>Final Recommended Architecture</t>
        </is>
      </c>
      <c r="B24" s="23" t="inlineStr">
        <is>
          <t>E26</t>
        </is>
      </c>
      <c r="C24" s="23" t="inlineStr">
        <is>
          <t>5/28</t>
        </is>
      </c>
      <c r="D24" s="23" t="inlineStr">
        <is>
          <t>5/30</t>
        </is>
      </c>
      <c r="E24" s="23" t="inlineStr">
        <is>
          <t>N14 پوشش</t>
        </is>
      </c>
      <c r="F24" s="23" t="inlineStr">
        <is>
          <t>AC Company v40</t>
        </is>
      </c>
    </row>
    <row r="25" ht="29" customHeight="1" s="76">
      <c r="A25" s="25" t="inlineStr">
        <is>
          <t>Final Recommended Architecture</t>
        </is>
      </c>
      <c r="B25" s="25" t="inlineStr">
        <is>
          <t>D27</t>
        </is>
      </c>
      <c r="C25" s="25" t="inlineStr">
        <is>
          <t>2/30</t>
        </is>
      </c>
      <c r="D25" s="25" t="inlineStr">
        <is>
          <t>27/30</t>
        </is>
      </c>
      <c r="E25" s="25" t="inlineStr">
        <is>
          <t>N15 پوشش</t>
        </is>
      </c>
      <c r="F25" s="25" t="inlineStr">
        <is>
          <t>AC Company v40</t>
        </is>
      </c>
    </row>
    <row r="26" ht="29" customHeight="1" s="76">
      <c r="A26" s="23" t="inlineStr">
        <is>
          <t>Final Recommended Architecture</t>
        </is>
      </c>
      <c r="B26" s="23" t="inlineStr">
        <is>
          <t>E27</t>
        </is>
      </c>
      <c r="C26" s="23" t="inlineStr">
        <is>
          <t>2/28</t>
        </is>
      </c>
      <c r="D26" s="23" t="inlineStr">
        <is>
          <t>27/30</t>
        </is>
      </c>
      <c r="E26" s="23" t="inlineStr">
        <is>
          <t>N15 پوشش</t>
        </is>
      </c>
      <c r="F26" s="23" t="inlineStr">
        <is>
          <t>AC Company v40</t>
        </is>
      </c>
    </row>
    <row r="27" ht="29" customHeight="1" s="76">
      <c r="A27" s="25" t="inlineStr">
        <is>
          <t>Final Recommended Architecture</t>
        </is>
      </c>
      <c r="B27" s="25" t="inlineStr">
        <is>
          <t>D28</t>
        </is>
      </c>
      <c r="C27" s="25" t="inlineStr">
        <is>
          <t>12/30</t>
        </is>
      </c>
      <c r="D27" s="25" t="inlineStr">
        <is>
          <t>20/30</t>
        </is>
      </c>
      <c r="E27" s="25" t="inlineStr">
        <is>
          <t>N16 پوشش</t>
        </is>
      </c>
      <c r="F27" s="25" t="inlineStr">
        <is>
          <t>AC Company v40</t>
        </is>
      </c>
    </row>
    <row r="28" ht="29" customHeight="1" s="76">
      <c r="A28" s="23" t="inlineStr">
        <is>
          <t>Final Recommended Architecture</t>
        </is>
      </c>
      <c r="B28" s="23" t="inlineStr">
        <is>
          <t>E28</t>
        </is>
      </c>
      <c r="C28" s="23" t="inlineStr">
        <is>
          <t>12/28</t>
        </is>
      </c>
      <c r="D28" s="23" t="inlineStr">
        <is>
          <t>20/30</t>
        </is>
      </c>
      <c r="E28" s="23" t="inlineStr">
        <is>
          <t>N16 پوشش</t>
        </is>
      </c>
      <c r="F28" s="23" t="inlineStr">
        <is>
          <t>AC Company v40</t>
        </is>
      </c>
    </row>
    <row r="29" ht="20" customHeight="1" s="76">
      <c r="A29" s="25" t="inlineStr">
        <is>
          <t>Source Availability</t>
        </is>
      </c>
      <c r="B29" s="25" t="inlineStr">
        <is>
          <t>F18</t>
        </is>
      </c>
      <c r="C29" s="25" t="inlineStr">
        <is>
          <t>2/30</t>
        </is>
      </c>
      <c r="D29" s="25" t="inlineStr">
        <is>
          <t>27/30</t>
        </is>
      </c>
      <c r="E29" s="25" t="inlineStr">
        <is>
          <t>N15 دسترسی به روز</t>
        </is>
      </c>
      <c r="F29" s="25" t="inlineStr">
        <is>
          <t>AC Company v40</t>
        </is>
      </c>
    </row>
    <row r="30" ht="20" customHeight="1" s="76">
      <c r="A30" s="23" t="inlineStr">
        <is>
          <t>Source Availability</t>
        </is>
      </c>
      <c r="B30" s="23" t="inlineStr">
        <is>
          <t>F19</t>
        </is>
      </c>
      <c r="C30" s="23" t="inlineStr">
        <is>
          <t>12/30</t>
        </is>
      </c>
      <c r="D30" s="23" t="inlineStr">
        <is>
          <t>20/30</t>
        </is>
      </c>
      <c r="E30" s="23" t="inlineStr">
        <is>
          <t>N16 دسترسی به روز</t>
        </is>
      </c>
      <c r="F30" s="23" t="inlineStr">
        <is>
          <t>AC Company v40</t>
        </is>
      </c>
    </row>
    <row r="31" ht="20" customHeight="1" s="76">
      <c r="A31" s="25" t="inlineStr">
        <is>
          <t>Feasibility Test</t>
        </is>
      </c>
      <c r="B31" s="25" t="inlineStr">
        <is>
          <t>D18</t>
        </is>
      </c>
      <c r="C31" s="25" t="inlineStr">
        <is>
          <t>2/30</t>
        </is>
      </c>
      <c r="D31" s="25" t="inlineStr">
        <is>
          <t>27/30</t>
        </is>
      </c>
      <c r="E31" s="25" t="inlineStr">
        <is>
          <t>N15 دسترسی به روز</t>
        </is>
      </c>
      <c r="F31" s="25" t="inlineStr">
        <is>
          <t>AC Company v40</t>
        </is>
      </c>
    </row>
    <row r="32" ht="20" customHeight="1" s="76">
      <c r="A32" s="23" t="inlineStr">
        <is>
          <t>Feasibility Test</t>
        </is>
      </c>
      <c r="B32" s="23" t="inlineStr">
        <is>
          <t>D19</t>
        </is>
      </c>
      <c r="C32" s="23" t="inlineStr">
        <is>
          <t>12/30</t>
        </is>
      </c>
      <c r="D32" s="23" t="inlineStr">
        <is>
          <t>20/30</t>
        </is>
      </c>
      <c r="E32" s="23" t="inlineStr">
        <is>
          <t>N16 دسترسی به روز</t>
        </is>
      </c>
      <c r="F32" s="23" t="inlineStr">
        <is>
          <t>AC Company v40</t>
        </is>
      </c>
    </row>
    <row r="33" ht="20" customHeight="1" s="76">
      <c r="A33" s="25" t="inlineStr">
        <is>
          <t>تمام Measureهای پیشنهادی</t>
        </is>
      </c>
      <c r="B33" s="25" t="inlineStr">
        <is>
          <t>L18</t>
        </is>
      </c>
      <c r="C33" s="25" t="inlineStr">
        <is>
          <t>2/30</t>
        </is>
      </c>
      <c r="D33" s="25" t="inlineStr">
        <is>
          <t>27/30</t>
        </is>
      </c>
      <c r="E33" s="25" t="inlineStr">
        <is>
          <t>N15 دسترسی به روز</t>
        </is>
      </c>
      <c r="F33" s="25" t="inlineStr">
        <is>
          <t>AC Company v40</t>
        </is>
      </c>
    </row>
    <row r="34" ht="20" customHeight="1" s="76">
      <c r="A34" s="23" t="inlineStr">
        <is>
          <t>تمام Measureهای پیشنهادی</t>
        </is>
      </c>
      <c r="B34" s="23" t="inlineStr">
        <is>
          <t>L19</t>
        </is>
      </c>
      <c r="C34" s="23" t="inlineStr">
        <is>
          <t>12/30</t>
        </is>
      </c>
      <c r="D34" s="23" t="inlineStr">
        <is>
          <t>20/30</t>
        </is>
      </c>
      <c r="E34" s="23" t="inlineStr">
        <is>
          <t>N16 دسترسی به روز</t>
        </is>
      </c>
      <c r="F34" s="23" t="inlineStr">
        <is>
          <t>AC Company v40</t>
        </is>
      </c>
    </row>
    <row r="35" ht="20" customHeight="1" s="76">
      <c r="A35" s="25" t="inlineStr">
        <is>
          <t>Coverage Potential</t>
        </is>
      </c>
      <c r="B35" s="25" t="inlineStr">
        <is>
          <t>C18</t>
        </is>
      </c>
      <c r="C35" s="25" t="n">
        <v>2</v>
      </c>
      <c r="D35" s="25" t="n">
        <v>27</v>
      </c>
      <c r="E35" s="25" t="inlineStr">
        <is>
          <t>N15 دارای داده</t>
        </is>
      </c>
      <c r="F35" s="25" t="inlineStr">
        <is>
          <t>AC Company v40</t>
        </is>
      </c>
    </row>
    <row r="36" ht="20" customHeight="1" s="76">
      <c r="A36" s="23" t="inlineStr">
        <is>
          <t>Coverage Potential</t>
        </is>
      </c>
      <c r="B36" s="23" t="inlineStr">
        <is>
          <t>C19</t>
        </is>
      </c>
      <c r="C36" s="23" t="n">
        <v>12</v>
      </c>
      <c r="D36" s="23" t="n">
        <v>20</v>
      </c>
      <c r="E36" s="23" t="inlineStr">
        <is>
          <t>N16 دارای داده</t>
        </is>
      </c>
      <c r="F36" s="23" t="inlineStr">
        <is>
          <t>AC Company v40</t>
        </is>
      </c>
    </row>
    <row r="37" ht="29" customHeight="1" s="76">
      <c r="A37" s="25" t="inlineStr">
        <is>
          <t>گپ های باز</t>
        </is>
      </c>
      <c r="B37" s="25" t="inlineStr">
        <is>
          <t>F10</t>
        </is>
      </c>
      <c r="C37" s="25" t="inlineStr">
        <is>
          <t>باز</t>
        </is>
      </c>
      <c r="D37" s="25" t="inlineStr">
        <is>
          <t>حل شد برای ۶ شرکت؛ وپاسار باز</t>
        </is>
      </c>
      <c r="E37" s="25" t="inlineStr">
        <is>
          <t>v40: صفحه جدول کمیته برای زاگرس، شتران، رمپنا، فخوز، حکشتی، شپدیس خوانده شد</t>
        </is>
      </c>
      <c r="F37" s="25" t="inlineStr">
        <is>
          <t>AC Audit v40</t>
        </is>
      </c>
    </row>
    <row r="38" ht="29" customHeight="1" s="76">
      <c r="A38" s="23" t="inlineStr">
        <is>
          <t>گپ های باز</t>
        </is>
      </c>
      <c r="B38" s="23" t="inlineStr">
        <is>
          <t>H10</t>
        </is>
      </c>
      <c r="C38" s="23" t="inlineStr">
        <is>
          <t>Keyword Hit به تنهایی YES نیست</t>
        </is>
      </c>
      <c r="D38" s="23" t="inlineStr">
        <is>
          <t>Keyword Hit به تنهایی YES نیست؛ فقط افشای صریح</t>
        </is>
      </c>
      <c r="E38" s="23" t="inlineStr">
        <is>
          <t>قاعده حفظ شد</t>
        </is>
      </c>
      <c r="F38" s="23" t="inlineStr">
        <is>
          <t>AC Audit v40</t>
        </is>
      </c>
    </row>
  </sheetData>
  <mergeCells count="2">
    <mergeCell ref="A2:F2"/>
    <mergeCell ref="A1:F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M33"/>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style="76" min="1" max="1"/>
    <col width="10" customWidth="1" style="76" min="2" max="2"/>
    <col width="30" customWidth="1" style="76" min="3" max="3"/>
    <col width="12" customWidth="1" style="76" min="4" max="4"/>
    <col width="14" customWidth="1" style="76" min="5" max="5"/>
    <col width="60" customWidth="1" style="76" min="6" max="6"/>
    <col width="22" customWidth="1" style="76" min="7" max="7"/>
    <col width="12" customWidth="1" style="76" min="8" max="10"/>
    <col width="16" customWidth="1" style="76" min="11" max="11"/>
    <col width="14" customWidth="1" style="76" min="12" max="12"/>
    <col width="28" customWidth="1" style="76" min="13" max="13"/>
  </cols>
  <sheetData>
    <row r="1" ht="30" customHeight="1" s="76">
      <c r="A1" s="88" t="inlineStr">
        <is>
          <t>دامنه ۳۰ شرکت و تاریخ مبنای v41</t>
        </is>
      </c>
    </row>
    <row r="2" ht="22" customHeight="1" s="76">
      <c r="A2" s="85" t="inlineStr">
        <is>
          <t>مبنای v41 پایان سال مالی خود شرکت در FY1404 است و با cutoffهای مشترک v39 یکی نیست؛ تفاوت به روز ثبت شده است. فهرست ۳۰ شرکت از مستر بدون تغییر.</t>
        </is>
      </c>
    </row>
    <row r="3" ht="42" customHeight="1" s="76">
      <c r="A3" s="69" t="inlineStr">
        <is>
          <t>شناسه</t>
        </is>
      </c>
      <c r="B3" s="69" t="inlineStr">
        <is>
          <t>نماد</t>
        </is>
      </c>
      <c r="C3" s="69" t="inlineStr">
        <is>
          <t>نام حقوقی</t>
        </is>
      </c>
      <c r="D3" s="69" t="inlineStr">
        <is>
          <t>شروع سال مالی</t>
        </is>
      </c>
      <c r="E3" s="69" t="inlineStr">
        <is>
          <t>as-of v41 (پایان سال مالی)</t>
        </is>
      </c>
      <c r="F3" s="69" t="inlineStr">
        <is>
          <t>منبع تایید پایان سال مالی</t>
        </is>
      </c>
      <c r="G3" s="69" t="inlineStr">
        <is>
          <t>Source_ID</t>
        </is>
      </c>
      <c r="H3" s="69" t="inlineStr">
        <is>
          <t>v39 cutoff اول</t>
        </is>
      </c>
      <c r="I3" s="69" t="inlineStr">
        <is>
          <t>v39 cutoff دوم</t>
        </is>
      </c>
      <c r="J3" s="69" t="inlineStr">
        <is>
          <t>تفاوت روز تا 1403/12/29</t>
        </is>
      </c>
      <c r="K3" s="69" t="inlineStr">
        <is>
          <t>تفاوت روز تا 1404/12/29 (منفی یعنی v41 قبل از آن)</t>
        </is>
      </c>
      <c r="L3" s="69" t="inlineStr">
        <is>
          <t>وضعیت تایید FYE</t>
        </is>
      </c>
      <c r="M3" s="69" t="inlineStr">
        <is>
          <t>یادداشت</t>
        </is>
      </c>
    </row>
    <row r="4" ht="29" customHeight="1" s="76">
      <c r="A4" s="70" t="inlineStr">
        <is>
          <t>F01</t>
        </is>
      </c>
      <c r="B4" s="70" t="inlineStr">
        <is>
          <t>فملی</t>
        </is>
      </c>
      <c r="C4" s="70" t="inlineStr">
        <is>
          <t>شرکت ملی صنایع مس ایران</t>
        </is>
      </c>
      <c r="D4" s="70" t="inlineStr">
        <is>
          <t>1403/12/30</t>
        </is>
      </c>
      <c r="E4" s="70" t="inlineStr">
        <is>
          <t>1404/12/29</t>
        </is>
      </c>
      <c r="F4" s="70" t="inlineStr">
        <is>
          <t>گزارش فعالیت هیئت مدیره دوره ۱۲ ماهه منتهی به  ۱۴۰۴/۱۲/۲۹ | ردیابی 1566308 | انتشار 1405/04/21 16:30</t>
        </is>
      </c>
      <c r="G4" s="70" t="inlineStr">
        <is>
          <t>SRC_FMLI_1404_001</t>
        </is>
      </c>
      <c r="H4" s="70" t="inlineStr">
        <is>
          <t>1403/12/29</t>
        </is>
      </c>
      <c r="I4" s="70" t="inlineStr">
        <is>
          <t>1404/12/29</t>
        </is>
      </c>
      <c r="J4" s="70" t="n">
        <v>366</v>
      </c>
      <c r="K4" s="70" t="n">
        <v>0</v>
      </c>
      <c r="L4" s="70" t="inlineStr">
        <is>
          <t>تایید شده از سند</t>
        </is>
      </c>
      <c r="M4" s="70" t="n"/>
    </row>
    <row r="5" ht="29" customHeight="1" s="76">
      <c r="A5" s="71" t="inlineStr">
        <is>
          <t>F02</t>
        </is>
      </c>
      <c r="B5" s="71" t="inlineStr">
        <is>
          <t>تاپیکو</t>
        </is>
      </c>
      <c r="C5" s="71" t="inlineStr">
        <is>
          <t>شرکت سرمایه گذاری نفت و گاز و پتروشیمی تامین</t>
        </is>
      </c>
      <c r="D5" s="71" t="inlineStr">
        <is>
          <t>1403/03/01</t>
        </is>
      </c>
      <c r="E5" s="71" t="inlineStr">
        <is>
          <t>1404/02/31</t>
        </is>
      </c>
      <c r="F5" s="71" t="inlineStr">
        <is>
          <t>گزارش فعالیت هیئت مدیره دوره ۱۲ ماهه منتهی به  ۱۴۰۴/۰۲/۳۱ | ردیابی 1394922 | انتشار 1404/06/25 20:05</t>
        </is>
      </c>
      <c r="G5" s="71" t="inlineStr">
        <is>
          <t>SRC_TPIK_1404_002</t>
        </is>
      </c>
      <c r="H5" s="71" t="inlineStr">
        <is>
          <t>1403/12/29</t>
        </is>
      </c>
      <c r="I5" s="71" t="inlineStr">
        <is>
          <t>1404/12/29</t>
        </is>
      </c>
      <c r="J5" s="71" t="n">
        <v>63</v>
      </c>
      <c r="K5" s="71" t="n">
        <v>303</v>
      </c>
      <c r="L5" s="71" t="inlineStr">
        <is>
          <t>تایید شده از سند</t>
        </is>
      </c>
      <c r="M5" s="71" t="inlineStr">
        <is>
          <t>سال مالی غیرتقویمی</t>
        </is>
      </c>
    </row>
    <row r="6" ht="29" customHeight="1" s="76">
      <c r="A6" s="70" t="inlineStr">
        <is>
          <t>F03</t>
        </is>
      </c>
      <c r="B6" s="70" t="inlineStr">
        <is>
          <t>فارس</t>
        </is>
      </c>
      <c r="C6" s="70" t="inlineStr">
        <is>
          <t>شرکت صنایع پتروشیمی خلیج فارس</t>
        </is>
      </c>
      <c r="D6" s="70" t="inlineStr">
        <is>
          <t>1403/04/01</t>
        </is>
      </c>
      <c r="E6" s="70" t="inlineStr">
        <is>
          <t>1404/03/31</t>
        </is>
      </c>
      <c r="F6" s="70" t="inlineStr">
        <is>
          <t>گزارش فعالیت هیئت مدیره دوره ۱۲ ماهه منتهی به  ۱۴۰۴/۰۳/۳۱ | ردیابی 1416214 | انتشار ۱۴۰۴/۰۷/۲۳ ۱۹:۴۵:۴۴</t>
        </is>
      </c>
      <c r="G6" s="70" t="inlineStr">
        <is>
          <t>SRC_FARS_1404_001</t>
        </is>
      </c>
      <c r="H6" s="70" t="inlineStr">
        <is>
          <t>1403/12/29</t>
        </is>
      </c>
      <c r="I6" s="70" t="inlineStr">
        <is>
          <t>1404/12/29</t>
        </is>
      </c>
      <c r="J6" s="70" t="n">
        <v>94</v>
      </c>
      <c r="K6" s="70" t="n">
        <v>272</v>
      </c>
      <c r="L6" s="70" t="inlineStr">
        <is>
          <t>تایید شده از سند</t>
        </is>
      </c>
      <c r="M6" s="70" t="inlineStr">
        <is>
          <t>سال مالی غیرتقویمی</t>
        </is>
      </c>
    </row>
    <row r="7" ht="29" customHeight="1" s="76">
      <c r="A7" s="71" t="inlineStr">
        <is>
          <t>F04</t>
        </is>
      </c>
      <c r="B7" s="71" t="inlineStr">
        <is>
          <t>خودرو</t>
        </is>
      </c>
      <c r="C7" s="71" t="inlineStr">
        <is>
          <t>شرکت ایران خودرو</t>
        </is>
      </c>
      <c r="D7" s="71" t="inlineStr">
        <is>
          <t>1403/12/30</t>
        </is>
      </c>
      <c r="E7" s="71" t="inlineStr">
        <is>
          <t>1404/12/29</t>
        </is>
      </c>
      <c r="F7" s="71" t="inlineStr">
        <is>
          <t>گزارش ص۵۳: سال مالی منتهی به ۲۹ اسفند ۱۴۰۴</t>
        </is>
      </c>
      <c r="G7" s="71" t="inlineStr">
        <is>
          <t>SRC_IKCO_1404_001</t>
        </is>
      </c>
      <c r="H7" s="71" t="inlineStr">
        <is>
          <t>1403/12/29</t>
        </is>
      </c>
      <c r="I7" s="71" t="inlineStr">
        <is>
          <t>1404/12/29</t>
        </is>
      </c>
      <c r="J7" s="71" t="n">
        <v>366</v>
      </c>
      <c r="K7" s="71" t="n">
        <v>0</v>
      </c>
      <c r="L7" s="71" t="inlineStr">
        <is>
          <t>تایید شده از سند</t>
        </is>
      </c>
      <c r="M7" s="71" t="n"/>
    </row>
    <row r="8" ht="29" customHeight="1" s="76">
      <c r="A8" s="70" t="inlineStr">
        <is>
          <t>F05</t>
        </is>
      </c>
      <c r="B8" s="70" t="inlineStr">
        <is>
          <t>زاگرس</t>
        </is>
      </c>
      <c r="C8" s="70" t="inlineStr">
        <is>
          <t>شرکت پتروشیمی زاگرس</t>
        </is>
      </c>
      <c r="D8" s="70" t="inlineStr">
        <is>
          <t>1403/12/30</t>
        </is>
      </c>
      <c r="E8" s="70" t="inlineStr">
        <is>
          <t>1404/12/29</t>
        </is>
      </c>
      <c r="F8" s="70" t="inlineStr">
        <is>
          <t>گزارش فعالیت هیئت مدیره دوره ۱۲ ماهه منتهی به  ۱۴۰۴/۱۲/۲۹ | ردیابی 1565632 | انتشار 1405/04/21 14:07</t>
        </is>
      </c>
      <c r="G8" s="70" t="inlineStr">
        <is>
          <t>SRC_ZGRS_1404_001</t>
        </is>
      </c>
      <c r="H8" s="70" t="inlineStr">
        <is>
          <t>1403/12/29</t>
        </is>
      </c>
      <c r="I8" s="70" t="inlineStr">
        <is>
          <t>1404/12/29</t>
        </is>
      </c>
      <c r="J8" s="70" t="n">
        <v>366</v>
      </c>
      <c r="K8" s="70" t="n">
        <v>0</v>
      </c>
      <c r="L8" s="70" t="inlineStr">
        <is>
          <t>تایید شده از سند</t>
        </is>
      </c>
      <c r="M8" s="70" t="n"/>
    </row>
    <row r="9" ht="29" customHeight="1" s="76">
      <c r="A9" s="71" t="inlineStr">
        <is>
          <t>F06</t>
        </is>
      </c>
      <c r="B9" s="71" t="inlineStr">
        <is>
          <t>شبندر</t>
        </is>
      </c>
      <c r="C9" s="71" t="inlineStr">
        <is>
          <t>شرکت پالایش نفت بندرعباس</t>
        </is>
      </c>
      <c r="D9" s="71" t="inlineStr">
        <is>
          <t>1403/12/30</t>
        </is>
      </c>
      <c r="E9" s="71" t="inlineStr">
        <is>
          <t>1404/12/29</t>
        </is>
      </c>
      <c r="F9" s="71" t="inlineStr">
        <is>
          <t>گزارش فعالیت هیئت مدیره دوره ۱۲ ماهه منتهی به  ۱۴۰۴/۱۲/۲۹ | ردیابی 1564208 | انتشار 1405/04/24 18:34</t>
        </is>
      </c>
      <c r="G9" s="71" t="inlineStr">
        <is>
          <t>SRC_SHBN_1404_001</t>
        </is>
      </c>
      <c r="H9" s="71" t="inlineStr">
        <is>
          <t>1403/12/29</t>
        </is>
      </c>
      <c r="I9" s="71" t="inlineStr">
        <is>
          <t>1404/12/29</t>
        </is>
      </c>
      <c r="J9" s="71" t="n">
        <v>366</v>
      </c>
      <c r="K9" s="71" t="n">
        <v>0</v>
      </c>
      <c r="L9" s="71" t="inlineStr">
        <is>
          <t>تایید شده از سند</t>
        </is>
      </c>
      <c r="M9" s="71" t="n"/>
    </row>
    <row r="10" ht="29" customHeight="1" s="76">
      <c r="A10" s="70" t="inlineStr">
        <is>
          <t>F07</t>
        </is>
      </c>
      <c r="B10" s="70" t="inlineStr">
        <is>
          <t>پارس</t>
        </is>
      </c>
      <c r="C10" s="70" t="inlineStr">
        <is>
          <t>شرکت پتروشیمی پارس</t>
        </is>
      </c>
      <c r="D10" s="70" t="inlineStr">
        <is>
          <t>1403/12/30</t>
        </is>
      </c>
      <c r="E10" s="70" t="inlineStr">
        <is>
          <t>1404/12/29</t>
        </is>
      </c>
      <c r="F10" s="70" t="inlineStr">
        <is>
          <t>گزارش فعالیت هیئت مدیره دوره ۱۲ ماهه منتهی به  ۱۴۰۴/۱۲/۲۹ | ردیابی 1559697 | انتشار 1405/04/09 16:05</t>
        </is>
      </c>
      <c r="G10" s="70" t="inlineStr">
        <is>
          <t>SRC_PARS_1404_001</t>
        </is>
      </c>
      <c r="H10" s="70" t="inlineStr">
        <is>
          <t>1403/12/29</t>
        </is>
      </c>
      <c r="I10" s="70" t="inlineStr">
        <is>
          <t>1404/12/29</t>
        </is>
      </c>
      <c r="J10" s="70" t="n">
        <v>366</v>
      </c>
      <c r="K10" s="70" t="n">
        <v>0</v>
      </c>
      <c r="L10" s="70" t="inlineStr">
        <is>
          <t>تایید شده از سند</t>
        </is>
      </c>
      <c r="M10" s="70" t="n"/>
    </row>
    <row r="11" ht="29" customHeight="1" s="76">
      <c r="A11" s="71" t="inlineStr">
        <is>
          <t>F08</t>
        </is>
      </c>
      <c r="B11" s="71" t="inlineStr">
        <is>
          <t>شتران</t>
        </is>
      </c>
      <c r="C11" s="71" t="inlineStr">
        <is>
          <t>شرکت پالایش نفت تهران</t>
        </is>
      </c>
      <c r="D11" s="71" t="inlineStr">
        <is>
          <t>1403/12/30</t>
        </is>
      </c>
      <c r="E11" s="71" t="inlineStr">
        <is>
          <t>1404/12/29</t>
        </is>
      </c>
      <c r="F11" s="71" t="inlineStr">
        <is>
          <t>گزارش فعالیت هیئت مدیره دوره ۱۲ ماهه منتهی به  ۱۴۰۴/۱۲/۲۹ | ردیابی 1575311 | انتشار ۱۴۰۵/۰۵/۰۳ ۱۷:۴۹:۰۵</t>
        </is>
      </c>
      <c r="G11" s="71" t="inlineStr">
        <is>
          <t>SRC_SHTR_1404_002</t>
        </is>
      </c>
      <c r="H11" s="71" t="inlineStr">
        <is>
          <t>1403/12/29</t>
        </is>
      </c>
      <c r="I11" s="71" t="inlineStr">
        <is>
          <t>1404/12/29</t>
        </is>
      </c>
      <c r="J11" s="71" t="n">
        <v>366</v>
      </c>
      <c r="K11" s="71" t="n">
        <v>0</v>
      </c>
      <c r="L11" s="71" t="inlineStr">
        <is>
          <t>تایید شده از سند</t>
        </is>
      </c>
      <c r="M11" s="71" t="n"/>
    </row>
    <row r="12" ht="29" customHeight="1" s="76">
      <c r="A12" s="70" t="inlineStr">
        <is>
          <t>F09</t>
        </is>
      </c>
      <c r="B12" s="70" t="inlineStr">
        <is>
          <t>وتجارت</t>
        </is>
      </c>
      <c r="C12" s="70" t="inlineStr">
        <is>
          <t>شرکت بانک تجارت</t>
        </is>
      </c>
      <c r="D12" s="70" t="inlineStr">
        <is>
          <t>1403/12/30</t>
        </is>
      </c>
      <c r="E12" s="70" t="inlineStr">
        <is>
          <t>1404/12/29</t>
        </is>
      </c>
      <c r="F12" s="70" t="inlineStr">
        <is>
          <t>گزارش ص۴۳: جدول در تاریخ ۱۴۰۴/۱۲/۲۹؛ پایان سال مالی ۲۹ اسفند ۱۴۰۴</t>
        </is>
      </c>
      <c r="G12" s="70" t="inlineStr">
        <is>
          <t>SRC_VTEJ_1404_001</t>
        </is>
      </c>
      <c r="H12" s="70" t="inlineStr">
        <is>
          <t>1403/12/29</t>
        </is>
      </c>
      <c r="I12" s="70" t="inlineStr">
        <is>
          <t>1404/12/29</t>
        </is>
      </c>
      <c r="J12" s="70" t="n">
        <v>366</v>
      </c>
      <c r="K12" s="70" t="n">
        <v>0</v>
      </c>
      <c r="L12" s="70" t="inlineStr">
        <is>
          <t>تایید شده از سند</t>
        </is>
      </c>
      <c r="M12" s="70" t="n"/>
    </row>
    <row r="13" ht="29" customHeight="1" s="76">
      <c r="A13" s="71" t="inlineStr">
        <is>
          <t>F10</t>
        </is>
      </c>
      <c r="B13" s="71" t="inlineStr">
        <is>
          <t>رمپنا</t>
        </is>
      </c>
      <c r="C13" s="71" t="inlineStr">
        <is>
          <t>شرکت گروه مپنا</t>
        </is>
      </c>
      <c r="D13" s="71" t="inlineStr">
        <is>
          <t>1403/12/30</t>
        </is>
      </c>
      <c r="E13" s="71" t="inlineStr">
        <is>
          <t>1404/12/29</t>
        </is>
      </c>
      <c r="F13" s="71" t="inlineStr">
        <is>
          <t>گزارش فعالیت هیئت مدیره دوره ۱۲ ماهه منتهی به  ۱۴۰۴/۱۲/۲۹ | ردیابی 1563170 | انتشار 1405/04/21 12:33</t>
        </is>
      </c>
      <c r="G13" s="71" t="inlineStr">
        <is>
          <t>SRC_RMPN_1404_002</t>
        </is>
      </c>
      <c r="H13" s="71" t="inlineStr">
        <is>
          <t>1403/12/29</t>
        </is>
      </c>
      <c r="I13" s="71" t="inlineStr">
        <is>
          <t>1404/12/29</t>
        </is>
      </c>
      <c r="J13" s="71" t="n">
        <v>366</v>
      </c>
      <c r="K13" s="71" t="n">
        <v>0</v>
      </c>
      <c r="L13" s="71" t="inlineStr">
        <is>
          <t>تایید شده از سند</t>
        </is>
      </c>
      <c r="M13" s="71" t="n"/>
    </row>
    <row r="14" ht="29" customHeight="1" s="76">
      <c r="A14" s="70" t="inlineStr">
        <is>
          <t>F11</t>
        </is>
      </c>
      <c r="B14" s="70" t="inlineStr">
        <is>
          <t>فخوز</t>
        </is>
      </c>
      <c r="C14" s="70" t="inlineStr">
        <is>
          <t>شرکت فولاد خوزستان</t>
        </is>
      </c>
      <c r="D14" s="70" t="inlineStr">
        <is>
          <t>1403/12/30</t>
        </is>
      </c>
      <c r="E14" s="70" t="inlineStr">
        <is>
          <t>1404/12/29</t>
        </is>
      </c>
      <c r="F14" s="70" t="inlineStr">
        <is>
          <t>گزارش فعالیت هیئت مدیره دوره ۱۲ ماهه منتهی به  ۱۴۰۴/۱۲/۲۹ | ردیابی 1585806 | انتشار 1405/05/26 19:59</t>
        </is>
      </c>
      <c r="G14" s="70" t="inlineStr">
        <is>
          <t>SRC_FKHZ_1404_001</t>
        </is>
      </c>
      <c r="H14" s="70" t="inlineStr">
        <is>
          <t>1403/12/29</t>
        </is>
      </c>
      <c r="I14" s="70" t="inlineStr">
        <is>
          <t>1404/12/29</t>
        </is>
      </c>
      <c r="J14" s="70" t="n">
        <v>366</v>
      </c>
      <c r="K14" s="70" t="n">
        <v>0</v>
      </c>
      <c r="L14" s="70" t="inlineStr">
        <is>
          <t>تایید شده از سند</t>
        </is>
      </c>
      <c r="M14" s="70" t="n"/>
    </row>
    <row r="15" ht="29" customHeight="1" s="76">
      <c r="A15" s="71" t="inlineStr">
        <is>
          <t>F12</t>
        </is>
      </c>
      <c r="B15" s="71" t="inlineStr">
        <is>
          <t>شستا</t>
        </is>
      </c>
      <c r="C15" s="71" t="inlineStr">
        <is>
          <t>شرکت سرمایه گذاری تأمین اجتماعی</t>
        </is>
      </c>
      <c r="D15" s="71" t="inlineStr">
        <is>
          <t>1403/04/01</t>
        </is>
      </c>
      <c r="E15" s="71" t="inlineStr">
        <is>
          <t>1404/03/31</t>
        </is>
      </c>
      <c r="F15" s="71" t="inlineStr">
        <is>
          <t>گزارش فعالیت هیئت مدیره دوره ۱۲ ماهه منتهی به  ۱۴۰۴/۰۳/۳۱ | ردیابی 1417590 | انتشار ۱۴۰۴/۰۷/۲۰ ۱۹:۵۵:۲۵</t>
        </is>
      </c>
      <c r="G15" s="71" t="inlineStr">
        <is>
          <t>SRC_SHST_1404_001</t>
        </is>
      </c>
      <c r="H15" s="71" t="inlineStr">
        <is>
          <t>1403/12/29</t>
        </is>
      </c>
      <c r="I15" s="71" t="inlineStr">
        <is>
          <t>1404/12/29</t>
        </is>
      </c>
      <c r="J15" s="71" t="n">
        <v>94</v>
      </c>
      <c r="K15" s="71" t="n">
        <v>272</v>
      </c>
      <c r="L15" s="71" t="inlineStr">
        <is>
          <t>تایید شده از سند</t>
        </is>
      </c>
      <c r="M15" s="71" t="inlineStr">
        <is>
          <t>سال مالی غیرتقویمی</t>
        </is>
      </c>
    </row>
    <row r="16" ht="29" customHeight="1" s="76">
      <c r="A16" s="70" t="inlineStr">
        <is>
          <t>F13</t>
        </is>
      </c>
      <c r="B16" s="70" t="inlineStr">
        <is>
          <t>شپنا</t>
        </is>
      </c>
      <c r="C16" s="70" t="inlineStr">
        <is>
          <t>شرکت پالایش نفت اصفهان</t>
        </is>
      </c>
      <c r="D16" s="70" t="inlineStr">
        <is>
          <t>1403/12/30</t>
        </is>
      </c>
      <c r="E16" s="70" t="inlineStr">
        <is>
          <t>1404/12/29</t>
        </is>
      </c>
      <c r="F16" s="70" t="inlineStr">
        <is>
          <t>گزارش فعالیت هیئت مدیره دوره ۱۲ ماهه منتهی به  ۱۴۰۴/۱۲/۲۹ | ردیابی 1565408 | انتشار ۱۴۰۵/۰۴/۲۱ ۰۹:۱۵:۲۰</t>
        </is>
      </c>
      <c r="G16" s="70" t="inlineStr">
        <is>
          <t>SRC_SHPN_1404_001</t>
        </is>
      </c>
      <c r="H16" s="70" t="inlineStr">
        <is>
          <t>1403/12/29</t>
        </is>
      </c>
      <c r="I16" s="70" t="inlineStr">
        <is>
          <t>1404/12/29</t>
        </is>
      </c>
      <c r="J16" s="70" t="n">
        <v>366</v>
      </c>
      <c r="K16" s="70" t="n">
        <v>0</v>
      </c>
      <c r="L16" s="70" t="inlineStr">
        <is>
          <t>تایید شده از سند</t>
        </is>
      </c>
      <c r="M16" s="70" t="n"/>
    </row>
    <row r="17" ht="29" customHeight="1" s="76">
      <c r="A17" s="71" t="inlineStr">
        <is>
          <t>F14</t>
        </is>
      </c>
      <c r="B17" s="71" t="inlineStr">
        <is>
          <t>وغدیر</t>
        </is>
      </c>
      <c r="C17" s="71" t="inlineStr">
        <is>
          <t>شرکت سرمایه گذاری غدیر</t>
        </is>
      </c>
      <c r="D17" s="71" t="inlineStr">
        <is>
          <t>1403/10/01</t>
        </is>
      </c>
      <c r="E17" s="71" t="inlineStr">
        <is>
          <t>1404/09/30</t>
        </is>
      </c>
      <c r="F17" s="71" t="inlineStr">
        <is>
          <t>گزارش فعالیت هیئت مدیره دوره ۱۲ ماهه منتهی به  ۱۴۰۴/۰۹/۳۰ | ردیابی 1489172 | انتشار ۱۴۰۴/۱۱/۲۷ ۱۸:۵۶:۲۷</t>
        </is>
      </c>
      <c r="G17" s="71" t="inlineStr">
        <is>
          <t>SRC_VGHD_1404_001</t>
        </is>
      </c>
      <c r="H17" s="71" t="inlineStr">
        <is>
          <t>1403/12/29</t>
        </is>
      </c>
      <c r="I17" s="71" t="inlineStr">
        <is>
          <t>1404/12/29</t>
        </is>
      </c>
      <c r="J17" s="71" t="n">
        <v>277</v>
      </c>
      <c r="K17" s="71" t="n">
        <v>89</v>
      </c>
      <c r="L17" s="71" t="inlineStr">
        <is>
          <t>تایید شده از سند</t>
        </is>
      </c>
      <c r="M17" s="71" t="inlineStr">
        <is>
          <t>سال مالی غیرتقویمی</t>
        </is>
      </c>
    </row>
    <row r="18" ht="29" customHeight="1" s="76">
      <c r="A18" s="70" t="inlineStr">
        <is>
          <t>F15</t>
        </is>
      </c>
      <c r="B18" s="70" t="inlineStr">
        <is>
          <t>نوری</t>
        </is>
      </c>
      <c r="C18" s="70" t="inlineStr">
        <is>
          <t>شرکت پتروشیمی نوری</t>
        </is>
      </c>
      <c r="D18" s="70" t="inlineStr">
        <is>
          <t>1403/12/30</t>
        </is>
      </c>
      <c r="E18" s="70" t="inlineStr">
        <is>
          <t>1404/12/29</t>
        </is>
      </c>
      <c r="F18" s="70" t="inlineStr">
        <is>
          <t>گزارش فعالیت هیئت مدیره دوره ۱۲ ماهه منتهی به  ۱۴۰۴/۱۲/۲۹ | ردیابی 1561297 | انتشار ۱۴۰۵/۰۴/۲۰ ۱۱:۲۰:۰۱</t>
        </is>
      </c>
      <c r="G18" s="70" t="inlineStr">
        <is>
          <t>SRC_NOOR_1404_007</t>
        </is>
      </c>
      <c r="H18" s="70" t="inlineStr">
        <is>
          <t>1403/12/29</t>
        </is>
      </c>
      <c r="I18" s="70" t="inlineStr">
        <is>
          <t>1404/12/29</t>
        </is>
      </c>
      <c r="J18" s="70" t="n">
        <v>366</v>
      </c>
      <c r="K18" s="70" t="n">
        <v>0</v>
      </c>
      <c r="L18" s="70" t="inlineStr">
        <is>
          <t>تایید شده از سند</t>
        </is>
      </c>
      <c r="M18" s="70" t="n"/>
    </row>
    <row r="19" ht="29" customHeight="1" s="76">
      <c r="A19" s="71" t="inlineStr">
        <is>
          <t>F16</t>
        </is>
      </c>
      <c r="B19" s="71" t="inlineStr">
        <is>
          <t>فولاد</t>
        </is>
      </c>
      <c r="C19" s="71" t="inlineStr">
        <is>
          <t>شرکت فولاد مبارکه اصفهان</t>
        </is>
      </c>
      <c r="D19" s="71" t="inlineStr">
        <is>
          <t>1403/12/30</t>
        </is>
      </c>
      <c r="E19" s="71" t="inlineStr">
        <is>
          <t>1404/12/29</t>
        </is>
      </c>
      <c r="F19" s="71" t="inlineStr">
        <is>
          <t>گزارش فعالیت هیئت مدیره دوره ۱۲ ماهه منتهی به  ۱۴۰۴/۱۲/۲۹ | ردیابی 1579311 | انتشار ۱۴۰۵/۰۵/۰۹ ۰۹:۴۶:۰۶</t>
        </is>
      </c>
      <c r="G19" s="71" t="inlineStr">
        <is>
          <t>SRC_FOLD_1404_002</t>
        </is>
      </c>
      <c r="H19" s="71" t="inlineStr">
        <is>
          <t>1403/12/29</t>
        </is>
      </c>
      <c r="I19" s="71" t="inlineStr">
        <is>
          <t>1404/12/29</t>
        </is>
      </c>
      <c r="J19" s="71" t="n">
        <v>366</v>
      </c>
      <c r="K19" s="71" t="n">
        <v>0</v>
      </c>
      <c r="L19" s="71" t="inlineStr">
        <is>
          <t>تایید شده از سند</t>
        </is>
      </c>
      <c r="M19" s="71" t="n"/>
    </row>
    <row r="20" ht="29" customHeight="1" s="76">
      <c r="A20" s="70" t="inlineStr">
        <is>
          <t>F17</t>
        </is>
      </c>
      <c r="B20" s="70" t="inlineStr">
        <is>
          <t>کچاد</t>
        </is>
      </c>
      <c r="C20" s="70" t="inlineStr">
        <is>
          <t>شرکت معدنی و صنعتی چادرملو</t>
        </is>
      </c>
      <c r="D20" s="70" t="inlineStr">
        <is>
          <t>1404/01/01</t>
        </is>
      </c>
      <c r="E20" s="70" t="inlineStr">
        <is>
          <t>1404/09/30</t>
        </is>
      </c>
      <c r="F20" s="70" t="inlineStr">
        <is>
          <t>گزارش فعالیت هیئت مدیره دوره ۹ ماهه منتهی به  ۱۴۰۴/۰۹/۳۰ | ردیابی 1525630 | انتشار ۱۴۰۵/۰۲/۲۶ ۱۵:۳۶:۴۹</t>
        </is>
      </c>
      <c r="G20" s="70" t="inlineStr">
        <is>
          <t>SRC_KCHD_1404_001</t>
        </is>
      </c>
      <c r="H20" s="70" t="inlineStr">
        <is>
          <t>1403/12/29</t>
        </is>
      </c>
      <c r="I20" s="70" t="inlineStr">
        <is>
          <t>1404/12/29</t>
        </is>
      </c>
      <c r="J20" s="70" t="n">
        <v>277</v>
      </c>
      <c r="K20" s="70" t="n">
        <v>89</v>
      </c>
      <c r="L20" s="70" t="inlineStr">
        <is>
          <t>تایید شده از سند</t>
        </is>
      </c>
      <c r="M20" s="70" t="inlineStr">
        <is>
          <t>دوره ۹ ماهه به دلیل تغییر سال مالی</t>
        </is>
      </c>
    </row>
    <row r="21" ht="29" customHeight="1" s="76">
      <c r="A21" s="71" t="inlineStr">
        <is>
          <t>F18</t>
        </is>
      </c>
      <c r="B21" s="71" t="inlineStr">
        <is>
          <t>کگل</t>
        </is>
      </c>
      <c r="C21" s="71" t="inlineStr">
        <is>
          <t>شرکت معدنی و صنعتی گل گهر</t>
        </is>
      </c>
      <c r="D21" s="71" t="inlineStr">
        <is>
          <t>1404/01/01</t>
        </is>
      </c>
      <c r="E21" s="71" t="inlineStr">
        <is>
          <t>1404/09/30</t>
        </is>
      </c>
      <c r="F21" s="71" t="inlineStr">
        <is>
          <t>گزارش فعالیت هیئت مدیره دوره ۹ ماهه منتهی به  ۱۴۰۴/۰۹/۳۰ | ردیابی 1525656 | انتشار ۱۴۰۵/۰۲/۲۸ ۱۷:۲۶:۵۰</t>
        </is>
      </c>
      <c r="G21" s="71" t="inlineStr">
        <is>
          <t>SRC_KGOL_1404_001</t>
        </is>
      </c>
      <c r="H21" s="71" t="inlineStr">
        <is>
          <t>1403/12/29</t>
        </is>
      </c>
      <c r="I21" s="71" t="inlineStr">
        <is>
          <t>1404/12/29</t>
        </is>
      </c>
      <c r="J21" s="71" t="n">
        <v>277</v>
      </c>
      <c r="K21" s="71" t="n">
        <v>89</v>
      </c>
      <c r="L21" s="71" t="inlineStr">
        <is>
          <t>تایید شده از سند</t>
        </is>
      </c>
      <c r="M21" s="71" t="inlineStr">
        <is>
          <t>دوره ۹ ماهه به دلیل تغییر سال مالی</t>
        </is>
      </c>
    </row>
    <row r="22" ht="29" customHeight="1" s="76">
      <c r="A22" s="70" t="inlineStr">
        <is>
          <t>F19</t>
        </is>
      </c>
      <c r="B22" s="70" t="inlineStr">
        <is>
          <t>پارسان</t>
        </is>
      </c>
      <c r="C22" s="70" t="inlineStr">
        <is>
          <t>شرکت گروه گسترش نفت و گاز پارسیان</t>
        </is>
      </c>
      <c r="D22" s="70" t="inlineStr">
        <is>
          <t>1403/07/01</t>
        </is>
      </c>
      <c r="E22" s="70" t="inlineStr">
        <is>
          <t>1404/06/31</t>
        </is>
      </c>
      <c r="F22" s="70" t="inlineStr">
        <is>
          <t>گزارش فعالیت هیئت مدیره دوره ۱۲ ماهه منتهی به  ۱۴۰۴/۰۶/۳۱ | ردیابی 1467768 | انتشار ۱۴۰۴/۱۰/۱۱ ۱۶:۲۸:۰۵</t>
        </is>
      </c>
      <c r="G22" s="70" t="inlineStr">
        <is>
          <t>SRC_PRSN_1404_007</t>
        </is>
      </c>
      <c r="H22" s="70" t="inlineStr">
        <is>
          <t>1403/12/29</t>
        </is>
      </c>
      <c r="I22" s="70" t="inlineStr">
        <is>
          <t>1404/12/29</t>
        </is>
      </c>
      <c r="J22" s="70" t="n">
        <v>187</v>
      </c>
      <c r="K22" s="70" t="n">
        <v>179</v>
      </c>
      <c r="L22" s="70" t="inlineStr">
        <is>
          <t>تایید شده از سند</t>
        </is>
      </c>
      <c r="M22" s="70" t="inlineStr">
        <is>
          <t>سال مالی غیرتقویمی</t>
        </is>
      </c>
    </row>
    <row r="23" ht="29" customHeight="1" s="76">
      <c r="A23" s="71" t="inlineStr">
        <is>
          <t>F20</t>
        </is>
      </c>
      <c r="B23" s="71" t="inlineStr">
        <is>
          <t>اخابر</t>
        </is>
      </c>
      <c r="C23" s="71" t="inlineStr">
        <is>
          <t>شرکت مخابرات ایران</t>
        </is>
      </c>
      <c r="D23" s="71" t="inlineStr">
        <is>
          <t>1403/12/30</t>
        </is>
      </c>
      <c r="E23" s="71" t="inlineStr">
        <is>
          <t>1404/12/29</t>
        </is>
      </c>
      <c r="F23" s="71" t="inlineStr">
        <is>
          <t>گزارش فعالیت هیئت مدیره دوره ۱۲ ماهه منتهی به  ۱۴۰۴/۱۲/۲۹ | ردیابی 1556542 | انتشار 1405/04/12 17:54</t>
        </is>
      </c>
      <c r="G23" s="71" t="inlineStr">
        <is>
          <t>SRC_AKHB_1404_001</t>
        </is>
      </c>
      <c r="H23" s="71" t="inlineStr">
        <is>
          <t>1403/12/29</t>
        </is>
      </c>
      <c r="I23" s="71" t="inlineStr">
        <is>
          <t>1404/12/29</t>
        </is>
      </c>
      <c r="J23" s="71" t="n">
        <v>366</v>
      </c>
      <c r="K23" s="71" t="n">
        <v>0</v>
      </c>
      <c r="L23" s="71" t="inlineStr">
        <is>
          <t>تایید شده از سند</t>
        </is>
      </c>
      <c r="M23" s="71" t="n"/>
    </row>
    <row r="24" ht="29" customHeight="1" s="76">
      <c r="A24" s="70" t="inlineStr">
        <is>
          <t>F21</t>
        </is>
      </c>
      <c r="B24" s="70" t="inlineStr">
        <is>
          <t>جم</t>
        </is>
      </c>
      <c r="C24" s="70" t="inlineStr">
        <is>
          <t>شرکت پترو شیمی جم</t>
        </is>
      </c>
      <c r="D24" s="70" t="inlineStr">
        <is>
          <t>1403/12/30</t>
        </is>
      </c>
      <c r="E24" s="70" t="inlineStr">
        <is>
          <t>1404/12/29</t>
        </is>
      </c>
      <c r="F24" s="70" t="inlineStr">
        <is>
          <t>گزارش فعالیت هیئت مدیره دوره ۱۲ ماهه منتهی به  ۱۴۰۴/۱۲/۲۹ | ردیابی 1564049 | انتشار 1405/04/18 21:55</t>
        </is>
      </c>
      <c r="G24" s="70" t="inlineStr">
        <is>
          <t>SRC_JAM_1404_001</t>
        </is>
      </c>
      <c r="H24" s="70" t="inlineStr">
        <is>
          <t>1403/12/29</t>
        </is>
      </c>
      <c r="I24" s="70" t="inlineStr">
        <is>
          <t>1404/12/29</t>
        </is>
      </c>
      <c r="J24" s="70" t="n">
        <v>366</v>
      </c>
      <c r="K24" s="70" t="n">
        <v>0</v>
      </c>
      <c r="L24" s="70" t="inlineStr">
        <is>
          <t>تایید شده از سند</t>
        </is>
      </c>
      <c r="M24" s="70" t="n"/>
    </row>
    <row r="25" ht="29" customHeight="1" s="76">
      <c r="A25" s="71" t="inlineStr">
        <is>
          <t>F22</t>
        </is>
      </c>
      <c r="B25" s="71" t="inlineStr">
        <is>
          <t>ومعادن</t>
        </is>
      </c>
      <c r="C25" s="71" t="inlineStr">
        <is>
          <t>شرکت سرمایه گذاری توسعه معادن و فلزات</t>
        </is>
      </c>
      <c r="D25" s="71" t="inlineStr">
        <is>
          <t>1403/12/30</t>
        </is>
      </c>
      <c r="E25" s="71" t="inlineStr">
        <is>
          <t>1404/12/29</t>
        </is>
      </c>
      <c r="F25" s="71" t="inlineStr">
        <is>
          <t>گزارش فعالیت هیئت مدیره دوره ۱۲ ماهه منتهی به  ۱۴۰۴/۱۲/۲۹ | ردیابی 1563796 | انتشار 1405/04/17 21:16</t>
        </is>
      </c>
      <c r="G25" s="71" t="inlineStr">
        <is>
          <t>SRC_VMDN_1404_001</t>
        </is>
      </c>
      <c r="H25" s="71" t="inlineStr">
        <is>
          <t>1403/12/29</t>
        </is>
      </c>
      <c r="I25" s="71" t="inlineStr">
        <is>
          <t>1404/12/29</t>
        </is>
      </c>
      <c r="J25" s="71" t="n">
        <v>366</v>
      </c>
      <c r="K25" s="71" t="n">
        <v>0</v>
      </c>
      <c r="L25" s="71" t="inlineStr">
        <is>
          <t>تایید شده از سند</t>
        </is>
      </c>
      <c r="M25" s="71" t="n"/>
    </row>
    <row r="26" ht="29" customHeight="1" s="76">
      <c r="A26" s="70" t="inlineStr">
        <is>
          <t>F23</t>
        </is>
      </c>
      <c r="B26" s="70" t="inlineStr">
        <is>
          <t>وامید</t>
        </is>
      </c>
      <c r="C26" s="70" t="inlineStr">
        <is>
          <t>شرکت گروه مدیریت سرمایه گذاری امید</t>
        </is>
      </c>
      <c r="D26" s="70" t="inlineStr">
        <is>
          <t>1403/11/01</t>
        </is>
      </c>
      <c r="E26" s="70" t="inlineStr">
        <is>
          <t>1404/10/30</t>
        </is>
      </c>
      <c r="F26" s="70" t="inlineStr">
        <is>
          <t>گزارش فعالیت هیئت مدیره دوره ۱۲ ماهه منتهی به  ۱۴۰۴/۱۰/۳۰ | ردیابی 1542189 | انتشار 1405/04/01 14:28</t>
        </is>
      </c>
      <c r="G26" s="70" t="inlineStr">
        <is>
          <t>SRC_VAMD_1404_001</t>
        </is>
      </c>
      <c r="H26" s="70" t="inlineStr">
        <is>
          <t>1403/12/29</t>
        </is>
      </c>
      <c r="I26" s="70" t="inlineStr">
        <is>
          <t>1404/12/29</t>
        </is>
      </c>
      <c r="J26" s="70" t="n">
        <v>307</v>
      </c>
      <c r="K26" s="70" t="n">
        <v>59</v>
      </c>
      <c r="L26" s="70" t="inlineStr">
        <is>
          <t>تایید شده از سند</t>
        </is>
      </c>
      <c r="M26" s="70" t="inlineStr">
        <is>
          <t>سال مالی غیرتقویمی</t>
        </is>
      </c>
    </row>
    <row r="27" ht="29" customHeight="1" s="76">
      <c r="A27" s="71" t="inlineStr">
        <is>
          <t>F24</t>
        </is>
      </c>
      <c r="B27" s="71" t="inlineStr">
        <is>
          <t>خساپا</t>
        </is>
      </c>
      <c r="C27" s="71" t="inlineStr">
        <is>
          <t>شرکت ایرانی تولید اتومبیل سایپا</t>
        </is>
      </c>
      <c r="D27" s="71" t="inlineStr">
        <is>
          <t>1403/12/30</t>
        </is>
      </c>
      <c r="E27" s="71" t="inlineStr">
        <is>
          <t>1404/12/29</t>
        </is>
      </c>
      <c r="F27" s="71" t="inlineStr">
        <is>
          <t>گزارش فعالیت هیئت مدیره دوره ۱۲ ماهه منتهی به  ۱۴۰۴/۱۲/۲۹ | ردیابی 1573029 | انتشار ۱۴۰۵/۰۴/۳۱ ۰۶:۱۸:۳۴</t>
        </is>
      </c>
      <c r="G27" s="71" t="inlineStr">
        <is>
          <t>SRC_KHSP_1404_001</t>
        </is>
      </c>
      <c r="H27" s="71" t="inlineStr">
        <is>
          <t>1403/12/29</t>
        </is>
      </c>
      <c r="I27" s="71" t="inlineStr">
        <is>
          <t>1404/12/29</t>
        </is>
      </c>
      <c r="J27" s="71" t="n">
        <v>366</v>
      </c>
      <c r="K27" s="71" t="n">
        <v>0</v>
      </c>
      <c r="L27" s="71" t="inlineStr">
        <is>
          <t>تایید شده از سند</t>
        </is>
      </c>
      <c r="M27" s="71" t="n"/>
    </row>
    <row r="28" ht="29" customHeight="1" s="76">
      <c r="A28" s="70" t="inlineStr">
        <is>
          <t>F25</t>
        </is>
      </c>
      <c r="B28" s="70" t="inlineStr">
        <is>
          <t>همراه</t>
        </is>
      </c>
      <c r="C28" s="70" t="inlineStr">
        <is>
          <t>شرکت ارتباطات سیار ایران</t>
        </is>
      </c>
      <c r="D28" s="70" t="inlineStr">
        <is>
          <t>1403/12/30</t>
        </is>
      </c>
      <c r="E28" s="70" t="inlineStr">
        <is>
          <t>1404/12/29</t>
        </is>
      </c>
      <c r="F28" s="70" t="inlineStr">
        <is>
          <t>گزارش فعالیت هیئت مدیره دوره ۱۲ ماهه منتهی به  ۱۴۰۴/۱۲/۲۹ | ردیابی 1546925 | انتشار 1405/03/17 22:38</t>
        </is>
      </c>
      <c r="G28" s="70" t="inlineStr">
        <is>
          <t>SRC_HMRH_1404_001</t>
        </is>
      </c>
      <c r="H28" s="70" t="inlineStr">
        <is>
          <t>1403/12/29</t>
        </is>
      </c>
      <c r="I28" s="70" t="inlineStr">
        <is>
          <t>1404/12/29</t>
        </is>
      </c>
      <c r="J28" s="70" t="n">
        <v>366</v>
      </c>
      <c r="K28" s="70" t="n">
        <v>0</v>
      </c>
      <c r="L28" s="70" t="inlineStr">
        <is>
          <t>تایید شده از سند</t>
        </is>
      </c>
      <c r="M28" s="70" t="n"/>
    </row>
    <row r="29" ht="29" customHeight="1" s="76">
      <c r="A29" s="71" t="inlineStr">
        <is>
          <t>F26</t>
        </is>
      </c>
      <c r="B29" s="71" t="inlineStr">
        <is>
          <t>وبملت</t>
        </is>
      </c>
      <c r="C29" s="71" t="inlineStr">
        <is>
          <t>شرکت بانک ملت</t>
        </is>
      </c>
      <c r="D29" s="71" t="inlineStr">
        <is>
          <t>1403/12/30</t>
        </is>
      </c>
      <c r="E29" s="71" t="inlineStr">
        <is>
          <t>1404/12/29</t>
        </is>
      </c>
      <c r="F29" s="71" t="inlineStr">
        <is>
          <t>گزارش فعالیت هیئت مدیره دوره ۱۲ ماهه منتهی به  ۱۴۰۴/۱۲/۲۹ | ردیابی 1572964 | انتشار 1405/04/31 04:04</t>
        </is>
      </c>
      <c r="G29" s="71" t="inlineStr">
        <is>
          <t>SRC_MELT_1404_002</t>
        </is>
      </c>
      <c r="H29" s="71" t="inlineStr">
        <is>
          <t>1403/12/29</t>
        </is>
      </c>
      <c r="I29" s="71" t="inlineStr">
        <is>
          <t>1404/12/29</t>
        </is>
      </c>
      <c r="J29" s="71" t="n">
        <v>366</v>
      </c>
      <c r="K29" s="71" t="n">
        <v>0</v>
      </c>
      <c r="L29" s="71" t="inlineStr">
        <is>
          <t>تایید شده از سند</t>
        </is>
      </c>
      <c r="M29" s="71" t="n"/>
    </row>
    <row r="30" ht="29" customHeight="1" s="76">
      <c r="A30" s="70" t="inlineStr">
        <is>
          <t>F27</t>
        </is>
      </c>
      <c r="B30" s="70" t="inlineStr">
        <is>
          <t>وبصادر</t>
        </is>
      </c>
      <c r="C30" s="70" t="inlineStr">
        <is>
          <t>شرکت بانک صادرات ایران</t>
        </is>
      </c>
      <c r="D30" s="70" t="inlineStr">
        <is>
          <t>1403/12/30</t>
        </is>
      </c>
      <c r="E30" s="70" t="inlineStr">
        <is>
          <t>1404/12/29</t>
        </is>
      </c>
      <c r="F30" s="70" t="inlineStr">
        <is>
          <t>گزارش فعالیت هیئت مدیره دوره ۱۲ ماهه منتهی به  ۱۴۰۴/۱۲/۲۹ | ردیابی 1573026 | انتشار 1405/04/31 10:58</t>
        </is>
      </c>
      <c r="G30" s="70" t="inlineStr">
        <is>
          <t>SRC_VBSD_1404_001</t>
        </is>
      </c>
      <c r="H30" s="70" t="inlineStr">
        <is>
          <t>1403/12/29</t>
        </is>
      </c>
      <c r="I30" s="70" t="inlineStr">
        <is>
          <t>1404/12/29</t>
        </is>
      </c>
      <c r="J30" s="70" t="n">
        <v>366</v>
      </c>
      <c r="K30" s="70" t="n">
        <v>0</v>
      </c>
      <c r="L30" s="70" t="inlineStr">
        <is>
          <t>تایید شده از سند</t>
        </is>
      </c>
      <c r="M30" s="70" t="n"/>
    </row>
    <row r="31" ht="29" customHeight="1" s="76">
      <c r="A31" s="71" t="inlineStr">
        <is>
          <t>F28</t>
        </is>
      </c>
      <c r="B31" s="71" t="inlineStr">
        <is>
          <t>وپاسار</t>
        </is>
      </c>
      <c r="C31" s="71" t="inlineStr">
        <is>
          <t>شرکت بانک پاسارگاد</t>
        </is>
      </c>
      <c r="D31" s="71" t="inlineStr">
        <is>
          <t>1403/12/30</t>
        </is>
      </c>
      <c r="E31" s="71" t="inlineStr">
        <is>
          <t>1404/12/29</t>
        </is>
      </c>
      <c r="F31" s="71" t="inlineStr">
        <is>
          <t>تایید نشده: گزارش فعالیت هیئت مدیره FY1404 در آرشیو نیست؛ فقط سرنخ ICR (دوره ۱۲ ماهه منتهی به ۱۴۰۴/۱۲/۲۹)</t>
        </is>
      </c>
      <c r="G31" s="71" t="inlineStr">
        <is>
          <t>ندارد</t>
        </is>
      </c>
      <c r="H31" s="71" t="inlineStr">
        <is>
          <t>1403/12/29</t>
        </is>
      </c>
      <c r="I31" s="71" t="inlineStr">
        <is>
          <t>1404/12/29</t>
        </is>
      </c>
      <c r="J31" s="71" t="n">
        <v>366</v>
      </c>
      <c r="K31" s="71" t="n">
        <v>0</v>
      </c>
      <c r="L31" s="71" t="inlineStr">
        <is>
          <t>تایید نشده</t>
        </is>
      </c>
      <c r="M31" s="71" t="n"/>
    </row>
    <row r="32" ht="29" customHeight="1" s="76">
      <c r="A32" s="70" t="inlineStr">
        <is>
          <t>F29</t>
        </is>
      </c>
      <c r="B32" s="70" t="inlineStr">
        <is>
          <t>حکشتی</t>
        </is>
      </c>
      <c r="C32" s="70" t="inlineStr">
        <is>
          <t>شرکت کشتیرانی جمهوری اسلامی ایران</t>
        </is>
      </c>
      <c r="D32" s="70" t="inlineStr">
        <is>
          <t>1403/04/01</t>
        </is>
      </c>
      <c r="E32" s="70" t="inlineStr">
        <is>
          <t>1404/03/31</t>
        </is>
      </c>
      <c r="F32" s="70" t="inlineStr">
        <is>
          <t>گزارش فعالیت هیئت مدیره دوره ۱۲ ماهه منتهی به  ۱۴۰۴/۰۳/۳۱ | ردیابی 1413901 | انتشار 1404/07/09 18:40</t>
        </is>
      </c>
      <c r="G32" s="70" t="inlineStr">
        <is>
          <t>SRC_HKSH_1404_002</t>
        </is>
      </c>
      <c r="H32" s="70" t="inlineStr">
        <is>
          <t>1403/12/29</t>
        </is>
      </c>
      <c r="I32" s="70" t="inlineStr">
        <is>
          <t>1404/12/29</t>
        </is>
      </c>
      <c r="J32" s="70" t="n">
        <v>94</v>
      </c>
      <c r="K32" s="70" t="n">
        <v>272</v>
      </c>
      <c r="L32" s="70" t="inlineStr">
        <is>
          <t>تایید شده از سند</t>
        </is>
      </c>
      <c r="M32" s="70" t="inlineStr">
        <is>
          <t>سال مالی غیرتقویمی</t>
        </is>
      </c>
    </row>
    <row r="33" ht="29" customHeight="1" s="76">
      <c r="A33" s="71" t="inlineStr">
        <is>
          <t>F30</t>
        </is>
      </c>
      <c r="B33" s="71" t="inlineStr">
        <is>
          <t>شپدیس</t>
        </is>
      </c>
      <c r="C33" s="71" t="inlineStr">
        <is>
          <t>شرکت پترو شیمی پردیس</t>
        </is>
      </c>
      <c r="D33" s="71" t="inlineStr">
        <is>
          <t>1403/07/01</t>
        </is>
      </c>
      <c r="E33" s="71" t="inlineStr">
        <is>
          <t>1404/06/31</t>
        </is>
      </c>
      <c r="F33" s="71" t="inlineStr">
        <is>
          <t>گزارش فعالیت هیئت مدیره دوره ۱۲ ماهه منتهی به  ۱۴۰۴/۰۶/۳۱ | ردیابی 1454478 | انتشار 1404/09/19 14:48</t>
        </is>
      </c>
      <c r="G33" s="71" t="inlineStr">
        <is>
          <t>SRC_SHPD_1404_001</t>
        </is>
      </c>
      <c r="H33" s="71" t="inlineStr">
        <is>
          <t>1403/12/29</t>
        </is>
      </c>
      <c r="I33" s="71" t="inlineStr">
        <is>
          <t>1404/12/29</t>
        </is>
      </c>
      <c r="J33" s="71" t="n">
        <v>187</v>
      </c>
      <c r="K33" s="71" t="n">
        <v>179</v>
      </c>
      <c r="L33" s="71" t="inlineStr">
        <is>
          <t>تایید شده از سند</t>
        </is>
      </c>
      <c r="M33" s="71" t="inlineStr">
        <is>
          <t>سال مالی غیرتقویمی</t>
        </is>
      </c>
    </row>
  </sheetData>
  <mergeCells count="2">
    <mergeCell ref="A2:M2"/>
    <mergeCell ref="A1:M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U148"/>
  <sheetViews>
    <sheetView showGridLines="0" rightToLeft="1" workbookViewId="0">
      <pane xSplit="4" ySplit="3" topLeftCell="E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style="76" min="1" max="1"/>
    <col width="9" customWidth="1" style="76" min="2" max="2"/>
    <col width="26" customWidth="1" style="76" min="3" max="3"/>
    <col width="24" customWidth="1" style="76" min="4" max="4"/>
    <col width="12" customWidth="1" style="76" min="5" max="5"/>
    <col width="14" customWidth="1" style="76" min="6" max="6"/>
    <col width="10" customWidth="1" style="76" min="7" max="8"/>
    <col width="7" customWidth="1" style="76" min="9" max="9"/>
    <col width="22" customWidth="1" style="76" min="10" max="10"/>
    <col width="8" customWidth="1" style="76" min="11" max="11"/>
    <col width="10" customWidth="1" style="76" min="12" max="13"/>
    <col width="26" customWidth="1" style="76" min="14" max="14"/>
    <col width="30" customWidth="1" style="76" min="15" max="15"/>
    <col width="28" customWidth="1" style="76" min="16" max="16"/>
    <col width="7" customWidth="1" style="76" min="17" max="17"/>
    <col width="12" customWidth="1" style="76" min="18" max="18"/>
    <col width="34" customWidth="1" style="76" min="19" max="19"/>
    <col width="8" customWidth="1" style="76" min="20" max="21"/>
  </cols>
  <sheetData>
    <row r="1" ht="30" customHeight="1" s="76">
      <c r="A1" s="88" t="inlineStr">
        <is>
          <t>استقلال مستند اعضای هیئت مدیره و رئیس</t>
        </is>
      </c>
    </row>
    <row r="2" ht="30" customHeight="1" s="76">
      <c r="A2" s="85" t="inlineStr">
        <is>
          <t>لایه یک: برچسب صریح منبع (برای هیچ عضو هیئت مدیره در گزارش‌های FY1404 و اطلاعیه‌های ن۴۵ عبارت «عضو مستقل هیئت مدیره» یافت نشد؛ برچسب مستقل فقط برای اعضای کمیته‌ها دیده شد). لایه دو: تعریف عملیاتی OD1 (ثابت و بدون تنظیم بعدی): عضو موظف یا مدیرعامل هیئت مدیره دارای رابطه اشتغال مستند و غیرمستقل است؛ غیرموظف بودن، نمایندگی شخص حقوقی و عضویت در کمیته حسابرسی استقلال نمی‌سازد و مقدار UNKNOWN می‌ماند. متن رسمی دستورالعمل حاکمیت شرکتی فقط از رونوشت غیررسمی دیده شد و به عنوان مرجع نقل نشده است.</t>
        </is>
      </c>
    </row>
    <row r="3" ht="30" customHeight="1" s="76">
      <c r="A3" s="69" t="inlineStr">
        <is>
          <t>شناسه عضو</t>
        </is>
      </c>
      <c r="B3" s="69" t="inlineStr">
        <is>
          <t>نماد</t>
        </is>
      </c>
      <c r="C3" s="69" t="inlineStr">
        <is>
          <t>شخص حقوقی عضو</t>
        </is>
      </c>
      <c r="D3" s="69" t="inlineStr">
        <is>
          <t>نام شخص (نماینده یا عضو حقیقی)</t>
        </is>
      </c>
      <c r="E3" s="69" t="inlineStr">
        <is>
          <t>نوع</t>
        </is>
      </c>
      <c r="F3" s="69" t="inlineStr">
        <is>
          <t>سمت</t>
        </is>
      </c>
      <c r="G3" s="69" t="inlineStr">
        <is>
          <t>موظف/غیرموظف (ن۴۵)</t>
        </is>
      </c>
      <c r="H3" s="69" t="inlineStr">
        <is>
          <t>موظف/غیرموظف (گزارش)</t>
        </is>
      </c>
      <c r="I3" s="69" t="inlineStr">
        <is>
          <t>تعارض</t>
        </is>
      </c>
      <c r="J3" s="69" t="inlineStr">
        <is>
          <t>لایه۱ برچسب صریح</t>
        </is>
      </c>
      <c r="K3" s="69" t="inlineStr">
        <is>
          <t>دامنه برچسب</t>
        </is>
      </c>
      <c r="L3" s="69" t="inlineStr">
        <is>
          <t>عبارت دقیق</t>
        </is>
      </c>
      <c r="M3" s="69" t="inlineStr">
        <is>
          <t>دوره اعتبار</t>
        </is>
      </c>
      <c r="N3" s="69" t="inlineStr">
        <is>
          <t>منبع</t>
        </is>
      </c>
      <c r="O3" s="69" t="inlineStr">
        <is>
          <t>سایر روابط افشاشده (وابستگی به سهامدار)</t>
        </is>
      </c>
      <c r="P3" s="69" t="inlineStr">
        <is>
          <t>لایه۲ ارزیابی پژوهشگر</t>
        </is>
      </c>
      <c r="Q3" s="69" t="inlineStr">
        <is>
          <t>قاعده</t>
        </is>
      </c>
      <c r="R3" s="69" t="inlineStr">
        <is>
          <t>as-of</t>
        </is>
      </c>
      <c r="S3" s="69" t="inlineStr">
        <is>
          <t>دلیل</t>
        </is>
      </c>
      <c r="T3" s="69" t="inlineStr">
        <is>
          <t>مدیرعامل</t>
        </is>
      </c>
      <c r="U3" s="69" t="inlineStr">
        <is>
          <t>رئیس</t>
        </is>
      </c>
    </row>
    <row r="4" ht="29" customHeight="1" s="76">
      <c r="A4" s="70" t="inlineStr">
        <is>
          <t>F01-M1</t>
        </is>
      </c>
      <c r="B4" s="70" t="inlineStr">
        <is>
          <t>فملی</t>
        </is>
      </c>
      <c r="C4" s="70" t="inlineStr">
        <is>
          <t>سازمان توسعه و نوسازی معادن و صنایع معدنی ایران</t>
        </is>
      </c>
      <c r="D4" s="70" t="inlineStr">
        <is>
          <t>غلامرضا شافعی</t>
        </is>
      </c>
      <c r="E4" s="70" t="inlineStr">
        <is>
          <t>نماینده حقوقی</t>
        </is>
      </c>
      <c r="F4" s="70" t="inlineStr">
        <is>
          <t>رئیس هیئت مدیره</t>
        </is>
      </c>
      <c r="G4" s="70" t="inlineStr">
        <is>
          <t>غیر موظف</t>
        </is>
      </c>
      <c r="H4" s="70" t="inlineStr">
        <is>
          <t>غیر موظف</t>
        </is>
      </c>
      <c r="I4" s="70" t="inlineStr">
        <is>
          <t>خیر</t>
        </is>
      </c>
      <c r="J4" s="70" t="inlineStr">
        <is>
          <t>NO_EXPLICIT_BOARD_LABEL_FOUND</t>
        </is>
      </c>
      <c r="K4" s="70" t="inlineStr">
        <is>
          <t>board</t>
        </is>
      </c>
      <c r="L4" s="70" t="n"/>
      <c r="M4" s="70" t="n"/>
      <c r="N4" s="70" t="inlineStr">
        <is>
          <t>Type19 1388917 ؛ گزارش SRC_FMLI_1404_001</t>
        </is>
      </c>
      <c r="O4" s="70" t="n"/>
      <c r="P4" s="70" t="inlineStr">
        <is>
          <t>UNKNOWN</t>
        </is>
      </c>
      <c r="Q4" s="70" t="inlineStr">
        <is>
          <t>OD1</t>
        </is>
      </c>
      <c r="R4" s="70" t="inlineStr">
        <is>
          <t>1404/12/29</t>
        </is>
      </c>
      <c r="S4" s="70" t="n"/>
      <c r="T4" s="70" t="inlineStr">
        <is>
          <t>خیر</t>
        </is>
      </c>
      <c r="U4" s="70" t="inlineStr">
        <is>
          <t>بله</t>
        </is>
      </c>
    </row>
    <row r="5" ht="29" customHeight="1" s="76">
      <c r="A5" s="71" t="inlineStr">
        <is>
          <t>F01-M2</t>
        </is>
      </c>
      <c r="B5" s="71" t="inlineStr">
        <is>
          <t>فملی</t>
        </is>
      </c>
      <c r="C5" s="71" t="inlineStr">
        <is>
          <t>صندوق بازنشستگی شرکت ملی صنایع مس ایران</t>
        </is>
      </c>
      <c r="D5" s="71" t="inlineStr">
        <is>
          <t>سیدمصطفی فیض اردکانی</t>
        </is>
      </c>
      <c r="E5" s="71" t="inlineStr">
        <is>
          <t>نماینده حقوقی</t>
        </is>
      </c>
      <c r="F5" s="71" t="inlineStr">
        <is>
          <t>نایب رئیس هیئت مدیره</t>
        </is>
      </c>
      <c r="G5" s="71" t="inlineStr">
        <is>
          <t>موظف</t>
        </is>
      </c>
      <c r="H5" s="71" t="inlineStr">
        <is>
          <t>موظف</t>
        </is>
      </c>
      <c r="I5" s="71" t="inlineStr">
        <is>
          <t>خیر</t>
        </is>
      </c>
      <c r="J5" s="71" t="inlineStr">
        <is>
          <t>NO_EXPLICIT_BOARD_LABEL_FOUND</t>
        </is>
      </c>
      <c r="K5" s="71" t="inlineStr">
        <is>
          <t>board</t>
        </is>
      </c>
      <c r="L5" s="71" t="n"/>
      <c r="M5" s="71" t="n"/>
      <c r="N5" s="71" t="inlineStr">
        <is>
          <t>Type19 1388917 ؛ گزارش SRC_FMLI_1404_001</t>
        </is>
      </c>
      <c r="O5" s="71" t="n"/>
      <c r="P5" s="71" t="inlineStr">
        <is>
          <t>NOT_INDEPENDENT_DOCUMENTED_EXECUTIVE</t>
        </is>
      </c>
      <c r="Q5" s="71" t="inlineStr">
        <is>
          <t>OD1</t>
        </is>
      </c>
      <c r="R5" s="71" t="inlineStr">
        <is>
          <t>1404/12/29</t>
        </is>
      </c>
      <c r="S5" s="71" t="inlineStr">
        <is>
          <t>موظف در اطلاعیه ن۴۵; مدیرعامل عضو هیئت مدیره</t>
        </is>
      </c>
      <c r="T5" s="71" t="inlineStr">
        <is>
          <t>بله</t>
        </is>
      </c>
      <c r="U5" s="71" t="inlineStr">
        <is>
          <t>خیر</t>
        </is>
      </c>
    </row>
    <row r="6" ht="29" customHeight="1" s="76">
      <c r="A6" s="70" t="inlineStr">
        <is>
          <t>F01-M3</t>
        </is>
      </c>
      <c r="B6" s="70" t="inlineStr">
        <is>
          <t>فملی</t>
        </is>
      </c>
      <c r="C6" s="70" t="inlineStr">
        <is>
          <t>سرمایه گذاری استان ایلام</t>
        </is>
      </c>
      <c r="D6" s="70" t="inlineStr">
        <is>
          <t>سمیه خلوصی</t>
        </is>
      </c>
      <c r="E6" s="70" t="inlineStr">
        <is>
          <t>نماینده حقوقی</t>
        </is>
      </c>
      <c r="F6" s="70" t="inlineStr">
        <is>
          <t>عضو هیئت مدیره</t>
        </is>
      </c>
      <c r="G6" s="70" t="inlineStr">
        <is>
          <t>غیر موظف</t>
        </is>
      </c>
      <c r="H6" s="70" t="inlineStr">
        <is>
          <t>غیر موظف</t>
        </is>
      </c>
      <c r="I6" s="70" t="inlineStr">
        <is>
          <t>خیر</t>
        </is>
      </c>
      <c r="J6" s="70" t="inlineStr">
        <is>
          <t>NO_EXPLICIT_BOARD_LABEL_FOUND</t>
        </is>
      </c>
      <c r="K6" s="70" t="inlineStr">
        <is>
          <t>board</t>
        </is>
      </c>
      <c r="L6" s="70" t="n"/>
      <c r="M6" s="70" t="n"/>
      <c r="N6" s="70" t="inlineStr">
        <is>
          <t>Type19 1388917 ؛ گزارش SRC_FMLI_1404_001</t>
        </is>
      </c>
      <c r="O6" s="70" t="n"/>
      <c r="P6" s="70" t="inlineStr">
        <is>
          <t>UNKNOWN</t>
        </is>
      </c>
      <c r="Q6" s="70" t="inlineStr">
        <is>
          <t>OD1</t>
        </is>
      </c>
      <c r="R6" s="70" t="inlineStr">
        <is>
          <t>1404/12/29</t>
        </is>
      </c>
      <c r="S6" s="70" t="n"/>
      <c r="T6" s="70" t="inlineStr">
        <is>
          <t>خیر</t>
        </is>
      </c>
      <c r="U6" s="70" t="inlineStr">
        <is>
          <t>خیر</t>
        </is>
      </c>
    </row>
    <row r="7" ht="29" customHeight="1" s="76">
      <c r="A7" s="71" t="inlineStr">
        <is>
          <t>F01-M4</t>
        </is>
      </c>
      <c r="B7" s="71" t="inlineStr">
        <is>
          <t>فملی</t>
        </is>
      </c>
      <c r="C7" s="71" t="inlineStr">
        <is>
          <t>سرمایه گذاری استان آذربایجان شرقی</t>
        </is>
      </c>
      <c r="D7" s="71" t="inlineStr">
        <is>
          <t>شهریار متوکل</t>
        </is>
      </c>
      <c r="E7" s="71" t="inlineStr">
        <is>
          <t>نماینده حقوقی</t>
        </is>
      </c>
      <c r="F7" s="71" t="inlineStr">
        <is>
          <t>عضو هیئت مدیره</t>
        </is>
      </c>
      <c r="G7" s="71" t="inlineStr">
        <is>
          <t>موظف</t>
        </is>
      </c>
      <c r="H7" s="71" t="inlineStr">
        <is>
          <t>موظف</t>
        </is>
      </c>
      <c r="I7" s="71" t="inlineStr">
        <is>
          <t>خیر</t>
        </is>
      </c>
      <c r="J7" s="71" t="inlineStr">
        <is>
          <t>NO_EXPLICIT_BOARD_LABEL_FOUND</t>
        </is>
      </c>
      <c r="K7" s="71" t="inlineStr">
        <is>
          <t>board</t>
        </is>
      </c>
      <c r="L7" s="71" t="n"/>
      <c r="M7" s="71" t="n"/>
      <c r="N7" s="71" t="inlineStr">
        <is>
          <t>Type19 1388917 ؛ گزارش SRC_FMLI_1404_001</t>
        </is>
      </c>
      <c r="O7" s="71" t="n"/>
      <c r="P7" s="71" t="inlineStr">
        <is>
          <t>NOT_INDEPENDENT_DOCUMENTED_EXECUTIVE</t>
        </is>
      </c>
      <c r="Q7" s="71" t="inlineStr">
        <is>
          <t>OD1</t>
        </is>
      </c>
      <c r="R7" s="71" t="inlineStr">
        <is>
          <t>1404/12/29</t>
        </is>
      </c>
      <c r="S7" s="71" t="inlineStr">
        <is>
          <t>موظف در اطلاعیه ن۴۵</t>
        </is>
      </c>
      <c r="T7" s="71" t="inlineStr">
        <is>
          <t>خیر</t>
        </is>
      </c>
      <c r="U7" s="71" t="inlineStr">
        <is>
          <t>خیر</t>
        </is>
      </c>
    </row>
    <row r="8" ht="43.5" customHeight="1" s="76">
      <c r="A8" s="70" t="inlineStr">
        <is>
          <t>F01-M5</t>
        </is>
      </c>
      <c r="B8" s="70" t="inlineStr">
        <is>
          <t>فملی</t>
        </is>
      </c>
      <c r="C8" s="70" t="inlineStr">
        <is>
          <t>صندوق بازنشستگی وظیفه از کار افتادگی و پس انداز کارکنان بانکهای ملی و ادغام شده</t>
        </is>
      </c>
      <c r="D8" s="70" t="inlineStr">
        <is>
          <t>مهرداد محقق زاده</t>
        </is>
      </c>
      <c r="E8" s="70" t="inlineStr">
        <is>
          <t>نماینده حقوقی</t>
        </is>
      </c>
      <c r="F8" s="70" t="inlineStr">
        <is>
          <t>عضو هیئت مدیره</t>
        </is>
      </c>
      <c r="G8" s="70" t="inlineStr">
        <is>
          <t>غیر موظف</t>
        </is>
      </c>
      <c r="H8" s="70" t="inlineStr">
        <is>
          <t>غیر موظف</t>
        </is>
      </c>
      <c r="I8" s="70" t="inlineStr">
        <is>
          <t>خیر</t>
        </is>
      </c>
      <c r="J8" s="70" t="inlineStr">
        <is>
          <t>NO_EXPLICIT_BOARD_LABEL_FOUND</t>
        </is>
      </c>
      <c r="K8" s="70" t="inlineStr">
        <is>
          <t>board</t>
        </is>
      </c>
      <c r="L8" s="70" t="n"/>
      <c r="M8" s="70" t="n"/>
      <c r="N8" s="70" t="inlineStr">
        <is>
          <t>Type19 1388917 ؛ گزارش SRC_FMLI_1404_001</t>
        </is>
      </c>
      <c r="O8" s="70" t="n"/>
      <c r="P8" s="70" t="inlineStr">
        <is>
          <t>UNKNOWN</t>
        </is>
      </c>
      <c r="Q8" s="70" t="inlineStr">
        <is>
          <t>OD1</t>
        </is>
      </c>
      <c r="R8" s="70" t="inlineStr">
        <is>
          <t>1404/12/29</t>
        </is>
      </c>
      <c r="S8" s="70" t="n"/>
      <c r="T8" s="70" t="inlineStr">
        <is>
          <t>خیر</t>
        </is>
      </c>
      <c r="U8" s="70" t="inlineStr">
        <is>
          <t>خیر</t>
        </is>
      </c>
    </row>
    <row r="9" ht="29" customHeight="1" s="76">
      <c r="A9" s="71" t="inlineStr">
        <is>
          <t>F02-M1</t>
        </is>
      </c>
      <c r="B9" s="71" t="inlineStr">
        <is>
          <t>تاپیکو</t>
        </is>
      </c>
      <c r="C9" s="71" t="inlineStr">
        <is>
          <t>سرمایه گذاری تأمین اجتماعی</t>
        </is>
      </c>
      <c r="D9" s="71" t="inlineStr">
        <is>
          <t>(نماینده نامشخص)</t>
        </is>
      </c>
      <c r="E9" s="71" t="inlineStr">
        <is>
          <t>نماینده حقوقی</t>
        </is>
      </c>
      <c r="F9" s="71" t="inlineStr">
        <is>
          <t>نایب رئیس هیئت مدیره</t>
        </is>
      </c>
      <c r="G9" s="71" t="inlineStr">
        <is>
          <t>موظف</t>
        </is>
      </c>
      <c r="H9" s="71" t="n"/>
      <c r="I9" s="71" t="inlineStr">
        <is>
          <t>خیر</t>
        </is>
      </c>
      <c r="J9" s="71" t="inlineStr">
        <is>
          <t>NO_EXPLICIT_BOARD_LABEL_FOUND</t>
        </is>
      </c>
      <c r="K9" s="71" t="inlineStr">
        <is>
          <t>board</t>
        </is>
      </c>
      <c r="L9" s="71" t="n"/>
      <c r="M9" s="71" t="n"/>
      <c r="N9" s="71" t="inlineStr">
        <is>
          <t>Type19 1371339 ؛ گزارش SRC_TPIK_1404_002</t>
        </is>
      </c>
      <c r="O9" s="71" t="n"/>
      <c r="P9" s="71" t="inlineStr">
        <is>
          <t>NOT_INDEPENDENT_DOCUMENTED_EXECUTIVE</t>
        </is>
      </c>
      <c r="Q9" s="71" t="inlineStr">
        <is>
          <t>OD1</t>
        </is>
      </c>
      <c r="R9" s="71" t="inlineStr">
        <is>
          <t>1404/02/31</t>
        </is>
      </c>
      <c r="S9" s="71" t="inlineStr">
        <is>
          <t>موظف در اطلاعیه ن۴۵</t>
        </is>
      </c>
      <c r="T9" s="71" t="inlineStr">
        <is>
          <t>خیر</t>
        </is>
      </c>
      <c r="U9" s="71" t="inlineStr">
        <is>
          <t>خیر</t>
        </is>
      </c>
    </row>
    <row r="10" ht="29" customHeight="1" s="76">
      <c r="A10" s="70" t="inlineStr">
        <is>
          <t>F02-M2</t>
        </is>
      </c>
      <c r="B10" s="70" t="inlineStr">
        <is>
          <t>تاپیکو</t>
        </is>
      </c>
      <c r="C10" s="70" t="inlineStr">
        <is>
          <t>سرمایه گذاری صباتأمین</t>
        </is>
      </c>
      <c r="D10" s="70" t="inlineStr">
        <is>
          <t>اکبر محققی</t>
        </is>
      </c>
      <c r="E10" s="70" t="inlineStr">
        <is>
          <t>نماینده حقوقی</t>
        </is>
      </c>
      <c r="F10" s="70" t="inlineStr">
        <is>
          <t>عضو هیئت مدیره</t>
        </is>
      </c>
      <c r="G10" s="70" t="inlineStr">
        <is>
          <t>غیر موظف</t>
        </is>
      </c>
      <c r="H10" s="70" t="n"/>
      <c r="I10" s="70" t="inlineStr">
        <is>
          <t>خیر</t>
        </is>
      </c>
      <c r="J10" s="70" t="inlineStr">
        <is>
          <t>NO_EXPLICIT_BOARD_LABEL_FOUND</t>
        </is>
      </c>
      <c r="K10" s="70" t="inlineStr">
        <is>
          <t>board</t>
        </is>
      </c>
      <c r="L10" s="70" t="n"/>
      <c r="M10" s="70" t="n"/>
      <c r="N10" s="70" t="inlineStr">
        <is>
          <t>Type19 1371339 ؛ گزارش SRC_TPIK_1404_002</t>
        </is>
      </c>
      <c r="O10" s="70" t="n"/>
      <c r="P10" s="70" t="inlineStr">
        <is>
          <t>UNKNOWN</t>
        </is>
      </c>
      <c r="Q10" s="70" t="inlineStr">
        <is>
          <t>OD1</t>
        </is>
      </c>
      <c r="R10" s="70" t="inlineStr">
        <is>
          <t>1404/02/31</t>
        </is>
      </c>
      <c r="S10" s="70" t="n"/>
      <c r="T10" s="70" t="inlineStr">
        <is>
          <t>خیر</t>
        </is>
      </c>
      <c r="U10" s="70" t="inlineStr">
        <is>
          <t>خیر</t>
        </is>
      </c>
    </row>
    <row r="11" ht="29" customHeight="1" s="76">
      <c r="A11" s="71" t="inlineStr">
        <is>
          <t>F02-M3</t>
        </is>
      </c>
      <c r="B11" s="71" t="inlineStr">
        <is>
          <t>تاپیکو</t>
        </is>
      </c>
      <c r="C11" s="71" t="inlineStr">
        <is>
          <t>سرمایه گذاری صدر تامین</t>
        </is>
      </c>
      <c r="D11" s="71" t="inlineStr">
        <is>
          <t>محمدمهدی رحمتی</t>
        </is>
      </c>
      <c r="E11" s="71" t="inlineStr">
        <is>
          <t>نماینده حقوقی</t>
        </is>
      </c>
      <c r="F11" s="71" t="inlineStr">
        <is>
          <t>عضو هیئت مدیره</t>
        </is>
      </c>
      <c r="G11" s="71" t="inlineStr">
        <is>
          <t>غیر موظف</t>
        </is>
      </c>
      <c r="H11" s="71" t="inlineStr">
        <is>
          <t>غیر موظف</t>
        </is>
      </c>
      <c r="I11" s="71" t="inlineStr">
        <is>
          <t>خیر</t>
        </is>
      </c>
      <c r="J11" s="71" t="inlineStr">
        <is>
          <t>NO_EXPLICIT_BOARD_LABEL_FOUND</t>
        </is>
      </c>
      <c r="K11" s="71" t="inlineStr">
        <is>
          <t>board</t>
        </is>
      </c>
      <c r="L11" s="71" t="n"/>
      <c r="M11" s="71" t="n"/>
      <c r="N11" s="71" t="inlineStr">
        <is>
          <t>Type19 1371339 ؛ گزارش SRC_TPIK_1404_002</t>
        </is>
      </c>
      <c r="O11" s="71" t="n"/>
      <c r="P11" s="71" t="inlineStr">
        <is>
          <t>UNKNOWN</t>
        </is>
      </c>
      <c r="Q11" s="71" t="inlineStr">
        <is>
          <t>OD1</t>
        </is>
      </c>
      <c r="R11" s="71" t="inlineStr">
        <is>
          <t>1404/02/31</t>
        </is>
      </c>
      <c r="S11" s="71" t="n"/>
      <c r="T11" s="71" t="inlineStr">
        <is>
          <t>خیر</t>
        </is>
      </c>
      <c r="U11" s="71" t="inlineStr">
        <is>
          <t>خیر</t>
        </is>
      </c>
    </row>
    <row r="12" ht="29" customHeight="1" s="76">
      <c r="A12" s="70" t="inlineStr">
        <is>
          <t>F02-M4</t>
        </is>
      </c>
      <c r="B12" s="70" t="inlineStr">
        <is>
          <t>تاپیکو</t>
        </is>
      </c>
      <c r="C12" s="70" t="inlineStr">
        <is>
          <t>سرمایه گذاری سیمان تأمین</t>
        </is>
      </c>
      <c r="D12" s="70" t="inlineStr">
        <is>
          <t>هوشنگ ایزدی</t>
        </is>
      </c>
      <c r="E12" s="70" t="inlineStr">
        <is>
          <t>نماینده حقوقی</t>
        </is>
      </c>
      <c r="F12" s="70" t="inlineStr">
        <is>
          <t>عضو هیئت مدیره</t>
        </is>
      </c>
      <c r="G12" s="70" t="inlineStr">
        <is>
          <t>غیر موظف</t>
        </is>
      </c>
      <c r="H12" s="70" t="inlineStr">
        <is>
          <t>غیر موظف</t>
        </is>
      </c>
      <c r="I12" s="70" t="inlineStr">
        <is>
          <t>خیر</t>
        </is>
      </c>
      <c r="J12" s="70" t="inlineStr">
        <is>
          <t>NO_EXPLICIT_BOARD_LABEL_FOUND</t>
        </is>
      </c>
      <c r="K12" s="70" t="inlineStr">
        <is>
          <t>board</t>
        </is>
      </c>
      <c r="L12" s="70" t="n"/>
      <c r="M12" s="70" t="n"/>
      <c r="N12" s="70" t="inlineStr">
        <is>
          <t>Type19 1371339 ؛ گزارش SRC_TPIK_1404_002</t>
        </is>
      </c>
      <c r="O12" s="70" t="n"/>
      <c r="P12" s="70" t="inlineStr">
        <is>
          <t>UNKNOWN</t>
        </is>
      </c>
      <c r="Q12" s="70" t="inlineStr">
        <is>
          <t>OD1</t>
        </is>
      </c>
      <c r="R12" s="70" t="inlineStr">
        <is>
          <t>1404/02/31</t>
        </is>
      </c>
      <c r="S12" s="70" t="n"/>
      <c r="T12" s="70" t="inlineStr">
        <is>
          <t>خیر</t>
        </is>
      </c>
      <c r="U12" s="70" t="inlineStr">
        <is>
          <t>خیر</t>
        </is>
      </c>
    </row>
    <row r="13" ht="29" customHeight="1" s="76">
      <c r="A13" s="71" t="inlineStr">
        <is>
          <t>F02-M5</t>
        </is>
      </c>
      <c r="B13" s="71" t="inlineStr">
        <is>
          <t>تاپیکو</t>
        </is>
      </c>
      <c r="C13" s="71" t="inlineStr">
        <is>
          <t>سرمایه گذاری داروئی تامین</t>
        </is>
      </c>
      <c r="D13" s="71" t="inlineStr">
        <is>
          <t>جعفر ربیعی</t>
        </is>
      </c>
      <c r="E13" s="71" t="inlineStr">
        <is>
          <t>نماینده حقوقی</t>
        </is>
      </c>
      <c r="F13" s="71" t="inlineStr">
        <is>
          <t>رئیس هیئت مدیره</t>
        </is>
      </c>
      <c r="G13" s="71" t="inlineStr">
        <is>
          <t>غیر موظف</t>
        </is>
      </c>
      <c r="H13" s="71" t="inlineStr">
        <is>
          <t>غیر موظف</t>
        </is>
      </c>
      <c r="I13" s="71" t="inlineStr">
        <is>
          <t>خیر</t>
        </is>
      </c>
      <c r="J13" s="71" t="inlineStr">
        <is>
          <t>NO_EXPLICIT_BOARD_LABEL_FOUND</t>
        </is>
      </c>
      <c r="K13" s="71" t="inlineStr">
        <is>
          <t>board</t>
        </is>
      </c>
      <c r="L13" s="71" t="n"/>
      <c r="M13" s="71" t="n"/>
      <c r="N13" s="71" t="inlineStr">
        <is>
          <t>Type19 1371339 ؛ گزارش SRC_TPIK_1404_002</t>
        </is>
      </c>
      <c r="O13" s="71" t="n"/>
      <c r="P13" s="71" t="inlineStr">
        <is>
          <t>UNKNOWN</t>
        </is>
      </c>
      <c r="Q13" s="71" t="inlineStr">
        <is>
          <t>OD1</t>
        </is>
      </c>
      <c r="R13" s="71" t="inlineStr">
        <is>
          <t>1404/02/31</t>
        </is>
      </c>
      <c r="S13" s="71" t="n"/>
      <c r="T13" s="71" t="inlineStr">
        <is>
          <t>خیر</t>
        </is>
      </c>
      <c r="U13" s="71" t="inlineStr">
        <is>
          <t>بله</t>
        </is>
      </c>
    </row>
    <row r="14" ht="29" customHeight="1" s="76">
      <c r="A14" s="70" t="inlineStr">
        <is>
          <t>F03-M1</t>
        </is>
      </c>
      <c r="B14" s="70" t="inlineStr">
        <is>
          <t>فارس</t>
        </is>
      </c>
      <c r="C14" s="70" t="inlineStr">
        <is>
          <t>ملی صنایع پتروشیمی</t>
        </is>
      </c>
      <c r="D14" s="70" t="inlineStr">
        <is>
          <t>کیوان ایلکا</t>
        </is>
      </c>
      <c r="E14" s="70" t="inlineStr">
        <is>
          <t>نماینده حقوقی</t>
        </is>
      </c>
      <c r="F14" s="70" t="inlineStr">
        <is>
          <t>عضو هیئت مدیره</t>
        </is>
      </c>
      <c r="G14" s="70" t="inlineStr">
        <is>
          <t>موظف</t>
        </is>
      </c>
      <c r="H14" s="70" t="inlineStr">
        <is>
          <t>موظف</t>
        </is>
      </c>
      <c r="I14" s="70" t="inlineStr">
        <is>
          <t>خیر</t>
        </is>
      </c>
      <c r="J14" s="70" t="inlineStr">
        <is>
          <t>NO_EXPLICIT_BOARD_LABEL_FOUND</t>
        </is>
      </c>
      <c r="K14" s="70" t="inlineStr">
        <is>
          <t>board</t>
        </is>
      </c>
      <c r="L14" s="70" t="n"/>
      <c r="M14" s="70" t="n"/>
      <c r="N14" s="70" t="inlineStr">
        <is>
          <t>Type19 1417899 ؛ گزارش SRC_FARS_1404_001</t>
        </is>
      </c>
      <c r="O14" s="70" t="n"/>
      <c r="P14" s="70" t="inlineStr">
        <is>
          <t>NOT_INDEPENDENT_DOCUMENTED_EXECUTIVE</t>
        </is>
      </c>
      <c r="Q14" s="70" t="inlineStr">
        <is>
          <t>OD1</t>
        </is>
      </c>
      <c r="R14" s="70" t="inlineStr">
        <is>
          <t>1404/03/31</t>
        </is>
      </c>
      <c r="S14" s="70" t="inlineStr">
        <is>
          <t>موظف در اطلاعیه ن۴۵</t>
        </is>
      </c>
      <c r="T14" s="70" t="inlineStr">
        <is>
          <t>خیر</t>
        </is>
      </c>
      <c r="U14" s="70" t="inlineStr">
        <is>
          <t>خیر</t>
        </is>
      </c>
    </row>
    <row r="15" ht="29" customHeight="1" s="76">
      <c r="A15" s="71" t="inlineStr">
        <is>
          <t>F03-M2</t>
        </is>
      </c>
      <c r="B15" s="71" t="inlineStr">
        <is>
          <t>فارس</t>
        </is>
      </c>
      <c r="C15" s="71" t="inlineStr">
        <is>
          <t>سرمایه گذاری استان خراسان جنوبی</t>
        </is>
      </c>
      <c r="D15" s="71" t="inlineStr">
        <is>
          <t>حسین قربان زاده</t>
        </is>
      </c>
      <c r="E15" s="71" t="inlineStr">
        <is>
          <t>نماینده حقوقی</t>
        </is>
      </c>
      <c r="F15" s="71" t="inlineStr">
        <is>
          <t>عضو هیئت مدیره</t>
        </is>
      </c>
      <c r="G15" s="71" t="inlineStr">
        <is>
          <t>غیر موظف</t>
        </is>
      </c>
      <c r="H15" s="71" t="inlineStr">
        <is>
          <t>غیر موظف</t>
        </is>
      </c>
      <c r="I15" s="71" t="inlineStr">
        <is>
          <t>خیر</t>
        </is>
      </c>
      <c r="J15" s="71" t="inlineStr">
        <is>
          <t>NO_EXPLICIT_BOARD_LABEL_FOUND</t>
        </is>
      </c>
      <c r="K15" s="71" t="inlineStr">
        <is>
          <t>board</t>
        </is>
      </c>
      <c r="L15" s="71" t="n"/>
      <c r="M15" s="71" t="n"/>
      <c r="N15" s="71" t="inlineStr">
        <is>
          <t>Type19 1417899 ؛ گزارش SRC_FARS_1404_001</t>
        </is>
      </c>
      <c r="O15" s="71" t="n"/>
      <c r="P15" s="71" t="inlineStr">
        <is>
          <t>UNKNOWN</t>
        </is>
      </c>
      <c r="Q15" s="71" t="inlineStr">
        <is>
          <t>OD1</t>
        </is>
      </c>
      <c r="R15" s="71" t="inlineStr">
        <is>
          <t>1404/03/31</t>
        </is>
      </c>
      <c r="S15" s="71" t="n"/>
      <c r="T15" s="71" t="inlineStr">
        <is>
          <t>خیر</t>
        </is>
      </c>
      <c r="U15" s="71" t="inlineStr">
        <is>
          <t>خیر</t>
        </is>
      </c>
    </row>
    <row r="16" ht="29" customHeight="1" s="76">
      <c r="A16" s="70" t="inlineStr">
        <is>
          <t>F03-M3</t>
        </is>
      </c>
      <c r="B16" s="70" t="inlineStr">
        <is>
          <t>فارس</t>
        </is>
      </c>
      <c r="C16" s="70" t="inlineStr">
        <is>
          <t>سرمایه گذاری نفت و گاز و پتروشیمی تامین</t>
        </is>
      </c>
      <c r="D16" s="70" t="inlineStr">
        <is>
          <t>عبدالعلی علی عسکری</t>
        </is>
      </c>
      <c r="E16" s="70" t="inlineStr">
        <is>
          <t>نماینده حقوقی</t>
        </is>
      </c>
      <c r="F16" s="70" t="inlineStr">
        <is>
          <t>عضو هیئت مدیره</t>
        </is>
      </c>
      <c r="G16" s="70" t="inlineStr">
        <is>
          <t>غیر موظف</t>
        </is>
      </c>
      <c r="H16" s="70" t="inlineStr">
        <is>
          <t>موظف</t>
        </is>
      </c>
      <c r="I16" s="70" t="inlineStr">
        <is>
          <t>بله</t>
        </is>
      </c>
      <c r="J16" s="70" t="inlineStr">
        <is>
          <t>NO_EXPLICIT_BOARD_LABEL_FOUND</t>
        </is>
      </c>
      <c r="K16" s="70" t="inlineStr">
        <is>
          <t>board</t>
        </is>
      </c>
      <c r="L16" s="70" t="n"/>
      <c r="M16" s="70" t="n"/>
      <c r="N16" s="70" t="inlineStr">
        <is>
          <t>Type19 1417899 ؛ گزارش SRC_FARS_1404_001</t>
        </is>
      </c>
      <c r="O16" s="70" t="n"/>
      <c r="P16" s="70" t="inlineStr">
        <is>
          <t>CONFLICT_DUTY_STATUS</t>
        </is>
      </c>
      <c r="Q16" s="70" t="inlineStr">
        <is>
          <t>OD1</t>
        </is>
      </c>
      <c r="R16" s="70" t="inlineStr">
        <is>
          <t>1404/03/31</t>
        </is>
      </c>
      <c r="S16" s="70" t="inlineStr">
        <is>
          <t>گزارش: موظف در برابر ن۴۵: غیر موظف</t>
        </is>
      </c>
      <c r="T16" s="70" t="inlineStr">
        <is>
          <t>خیر</t>
        </is>
      </c>
      <c r="U16" s="70" t="inlineStr">
        <is>
          <t>خیر</t>
        </is>
      </c>
    </row>
    <row r="17" ht="29" customHeight="1" s="76">
      <c r="A17" s="71" t="inlineStr">
        <is>
          <t>F03-M4</t>
        </is>
      </c>
      <c r="B17" s="71" t="inlineStr">
        <is>
          <t>فارس</t>
        </is>
      </c>
      <c r="C17" s="71" t="inlineStr">
        <is>
          <t>توسعه نفت و گاز صبا کارون</t>
        </is>
      </c>
      <c r="D17" s="71" t="inlineStr">
        <is>
          <t>حسین حسین زاده</t>
        </is>
      </c>
      <c r="E17" s="71" t="inlineStr">
        <is>
          <t>نماینده حقوقی</t>
        </is>
      </c>
      <c r="F17" s="71" t="inlineStr">
        <is>
          <t>رئیس هیئت مدیره</t>
        </is>
      </c>
      <c r="G17" s="71" t="inlineStr">
        <is>
          <t>غیر موظف</t>
        </is>
      </c>
      <c r="H17" s="71" t="inlineStr">
        <is>
          <t>غیر موظف</t>
        </is>
      </c>
      <c r="I17" s="71" t="inlineStr">
        <is>
          <t>خیر</t>
        </is>
      </c>
      <c r="J17" s="71" t="inlineStr">
        <is>
          <t>NO_EXPLICIT_BOARD_LABEL_FOUND</t>
        </is>
      </c>
      <c r="K17" s="71" t="inlineStr">
        <is>
          <t>board</t>
        </is>
      </c>
      <c r="L17" s="71" t="n"/>
      <c r="M17" s="71" t="n"/>
      <c r="N17" s="71" t="inlineStr">
        <is>
          <t>Type19 1417899 ؛ گزارش SRC_FARS_1404_001</t>
        </is>
      </c>
      <c r="O17" s="71" t="n"/>
      <c r="P17" s="71" t="inlineStr">
        <is>
          <t>UNKNOWN</t>
        </is>
      </c>
      <c r="Q17" s="71" t="inlineStr">
        <is>
          <t>OD1</t>
        </is>
      </c>
      <c r="R17" s="71" t="inlineStr">
        <is>
          <t>1404/03/31</t>
        </is>
      </c>
      <c r="S17" s="71" t="n"/>
      <c r="T17" s="71" t="inlineStr">
        <is>
          <t>خیر</t>
        </is>
      </c>
      <c r="U17" s="71" t="inlineStr">
        <is>
          <t>بله</t>
        </is>
      </c>
    </row>
    <row r="18" ht="29" customHeight="1" s="76">
      <c r="A18" s="70" t="inlineStr">
        <is>
          <t>F03-M5</t>
        </is>
      </c>
      <c r="B18" s="70" t="inlineStr">
        <is>
          <t>فارس</t>
        </is>
      </c>
      <c r="C18" s="70" t="inlineStr">
        <is>
          <t>صندوق های بازنشستگی پس انداز و رفاه کارکنان صنعت نفت</t>
        </is>
      </c>
      <c r="D18" s="70" t="inlineStr">
        <is>
          <t>محمد شریعتمداری</t>
        </is>
      </c>
      <c r="E18" s="70" t="inlineStr">
        <is>
          <t>نماینده حقوقی</t>
        </is>
      </c>
      <c r="F18" s="70" t="inlineStr">
        <is>
          <t>نایب رئیس هیئت مدیره</t>
        </is>
      </c>
      <c r="G18" s="70" t="inlineStr">
        <is>
          <t>موظف</t>
        </is>
      </c>
      <c r="H18" s="70" t="inlineStr">
        <is>
          <t>موظف</t>
        </is>
      </c>
      <c r="I18" s="70" t="inlineStr">
        <is>
          <t>خیر</t>
        </is>
      </c>
      <c r="J18" s="70" t="inlineStr">
        <is>
          <t>NO_EXPLICIT_BOARD_LABEL_FOUND</t>
        </is>
      </c>
      <c r="K18" s="70" t="inlineStr">
        <is>
          <t>board</t>
        </is>
      </c>
      <c r="L18" s="70" t="n"/>
      <c r="M18" s="70" t="n"/>
      <c r="N18" s="70" t="inlineStr">
        <is>
          <t>Type19 1417899 ؛ گزارش SRC_FARS_1404_001</t>
        </is>
      </c>
      <c r="O18" s="70" t="n"/>
      <c r="P18" s="70" t="inlineStr">
        <is>
          <t>NOT_INDEPENDENT_DOCUMENTED_EXECUTIVE</t>
        </is>
      </c>
      <c r="Q18" s="70" t="inlineStr">
        <is>
          <t>OD1</t>
        </is>
      </c>
      <c r="R18" s="70" t="inlineStr">
        <is>
          <t>1404/03/31</t>
        </is>
      </c>
      <c r="S18" s="70" t="inlineStr">
        <is>
          <t>موظف در اطلاعیه ن۴۵; مدیرعامل عضو هیئت مدیره</t>
        </is>
      </c>
      <c r="T18" s="70" t="inlineStr">
        <is>
          <t>بله</t>
        </is>
      </c>
      <c r="U18" s="70" t="inlineStr">
        <is>
          <t>خیر</t>
        </is>
      </c>
    </row>
    <row r="19" ht="29" customHeight="1" s="76">
      <c r="A19" s="71" t="inlineStr">
        <is>
          <t>F04-M1</t>
        </is>
      </c>
      <c r="B19" s="71" t="inlineStr">
        <is>
          <t>خودرو</t>
        </is>
      </c>
      <c r="C19" s="71" t="inlineStr">
        <is>
          <t>خدمات گستر صبا انرژی</t>
        </is>
      </c>
      <c r="D19" s="71" t="inlineStr">
        <is>
          <t>عبداله سلطانی ثانی</t>
        </is>
      </c>
      <c r="E19" s="71" t="inlineStr">
        <is>
          <t>نماینده حقوقی</t>
        </is>
      </c>
      <c r="F19" s="71" t="inlineStr">
        <is>
          <t>عضو هیئت مدیره</t>
        </is>
      </c>
      <c r="G19" s="71" t="inlineStr">
        <is>
          <t>غیر موظف</t>
        </is>
      </c>
      <c r="H19" s="71" t="inlineStr">
        <is>
          <t>موظف</t>
        </is>
      </c>
      <c r="I19" s="71" t="inlineStr">
        <is>
          <t>بله</t>
        </is>
      </c>
      <c r="J19" s="71" t="inlineStr">
        <is>
          <t>NO_EXPLICIT_BOARD_LABEL_FOUND</t>
        </is>
      </c>
      <c r="K19" s="71" t="inlineStr">
        <is>
          <t>board</t>
        </is>
      </c>
      <c r="L19" s="71" t="n"/>
      <c r="M19" s="71" t="n"/>
      <c r="N19" s="71" t="inlineStr">
        <is>
          <t>Type19 1417850 ؛ گزارش SRC_IKCO_1404_001</t>
        </is>
      </c>
      <c r="O19" s="71" t="n"/>
      <c r="P19" s="71" t="inlineStr">
        <is>
          <t>CONFLICT_DUTY_STATUS</t>
        </is>
      </c>
      <c r="Q19" s="71" t="inlineStr">
        <is>
          <t>OD1</t>
        </is>
      </c>
      <c r="R19" s="71" t="inlineStr">
        <is>
          <t>1404/12/29</t>
        </is>
      </c>
      <c r="S19" s="71" t="inlineStr">
        <is>
          <t>گزارش: موظف در برابر ن۴۵: غیر موظف</t>
        </is>
      </c>
      <c r="T19" s="71" t="inlineStr">
        <is>
          <t>خیر</t>
        </is>
      </c>
      <c r="U19" s="71" t="inlineStr">
        <is>
          <t>خیر</t>
        </is>
      </c>
    </row>
    <row r="20" ht="29" customHeight="1" s="76">
      <c r="A20" s="70" t="inlineStr">
        <is>
          <t>F04-M2</t>
        </is>
      </c>
      <c r="B20" s="70" t="inlineStr">
        <is>
          <t>خودرو</t>
        </is>
      </c>
      <c r="C20" s="70" t="inlineStr">
        <is>
          <t>مدیریت سرمایه گذاری ملی ایران</t>
        </is>
      </c>
      <c r="D20" s="70" t="inlineStr">
        <is>
          <t>عادل پیرمحمدی</t>
        </is>
      </c>
      <c r="E20" s="70" t="inlineStr">
        <is>
          <t>نماینده حقوقی</t>
        </is>
      </c>
      <c r="F20" s="70" t="inlineStr">
        <is>
          <t>عضو هیئت مدیره</t>
        </is>
      </c>
      <c r="G20" s="70" t="inlineStr">
        <is>
          <t>موظف</t>
        </is>
      </c>
      <c r="H20" s="70" t="inlineStr">
        <is>
          <t>موظف</t>
        </is>
      </c>
      <c r="I20" s="70" t="inlineStr">
        <is>
          <t>خیر</t>
        </is>
      </c>
      <c r="J20" s="70" t="inlineStr">
        <is>
          <t>NO_EXPLICIT_BOARD_LABEL_FOUND</t>
        </is>
      </c>
      <c r="K20" s="70" t="inlineStr">
        <is>
          <t>board</t>
        </is>
      </c>
      <c r="L20" s="70" t="n"/>
      <c r="M20" s="70" t="n"/>
      <c r="N20" s="70" t="inlineStr">
        <is>
          <t>Type19 1417850 ؛ گزارش SRC_IKCO_1404_001</t>
        </is>
      </c>
      <c r="O20" s="70" t="n"/>
      <c r="P20" s="70" t="inlineStr">
        <is>
          <t>NOT_INDEPENDENT_DOCUMENTED_EXECUTIVE</t>
        </is>
      </c>
      <c r="Q20" s="70" t="inlineStr">
        <is>
          <t>OD1</t>
        </is>
      </c>
      <c r="R20" s="70" t="inlineStr">
        <is>
          <t>1404/12/29</t>
        </is>
      </c>
      <c r="S20" s="70" t="inlineStr">
        <is>
          <t>موظف در اطلاعیه ن۴۵; مدیرعامل عضو هیئت مدیره</t>
        </is>
      </c>
      <c r="T20" s="70" t="inlineStr">
        <is>
          <t>بله</t>
        </is>
      </c>
      <c r="U20" s="70" t="inlineStr">
        <is>
          <t>خیر</t>
        </is>
      </c>
    </row>
    <row r="21" ht="29" customHeight="1" s="76">
      <c r="A21" s="71" t="inlineStr">
        <is>
          <t>F04-M3</t>
        </is>
      </c>
      <c r="B21" s="71" t="inlineStr">
        <is>
          <t>خودرو</t>
        </is>
      </c>
      <c r="C21" s="71" t="inlineStr">
        <is>
          <t>سرمایه گذاری گنجینه ایرانیان</t>
        </is>
      </c>
      <c r="D21" s="71" t="inlineStr">
        <is>
          <t>حامد نائیجی</t>
        </is>
      </c>
      <c r="E21" s="71" t="inlineStr">
        <is>
          <t>نماینده حقوقی</t>
        </is>
      </c>
      <c r="F21" s="71" t="inlineStr">
        <is>
          <t>عضو هیئت مدیره</t>
        </is>
      </c>
      <c r="G21" s="71" t="inlineStr">
        <is>
          <t>غیر موظف</t>
        </is>
      </c>
      <c r="H21" s="71" t="inlineStr">
        <is>
          <t>غیر موظف</t>
        </is>
      </c>
      <c r="I21" s="71" t="inlineStr">
        <is>
          <t>خیر</t>
        </is>
      </c>
      <c r="J21" s="71" t="inlineStr">
        <is>
          <t>NO_EXPLICIT_BOARD_LABEL_FOUND</t>
        </is>
      </c>
      <c r="K21" s="71" t="inlineStr">
        <is>
          <t>board</t>
        </is>
      </c>
      <c r="L21" s="71" t="n"/>
      <c r="M21" s="71" t="n"/>
      <c r="N21" s="71" t="inlineStr">
        <is>
          <t>Type19 1417850 ؛ گزارش SRC_IKCO_1404_001</t>
        </is>
      </c>
      <c r="O21" s="71" t="n"/>
      <c r="P21" s="71" t="inlineStr">
        <is>
          <t>UNKNOWN</t>
        </is>
      </c>
      <c r="Q21" s="71" t="inlineStr">
        <is>
          <t>OD1</t>
        </is>
      </c>
      <c r="R21" s="71" t="inlineStr">
        <is>
          <t>1404/12/29</t>
        </is>
      </c>
      <c r="S21" s="71" t="n"/>
      <c r="T21" s="71" t="inlineStr">
        <is>
          <t>خیر</t>
        </is>
      </c>
      <c r="U21" s="71" t="inlineStr">
        <is>
          <t>خیر</t>
        </is>
      </c>
    </row>
    <row r="22" ht="29" customHeight="1" s="76">
      <c r="A22" s="70" t="inlineStr">
        <is>
          <t>F04-M4</t>
        </is>
      </c>
      <c r="B22" s="70" t="inlineStr">
        <is>
          <t>خودرو</t>
        </is>
      </c>
      <c r="C22" s="70" t="inlineStr">
        <is>
          <t>بهینه سازان بهمن</t>
        </is>
      </c>
      <c r="D22" s="70" t="inlineStr">
        <is>
          <t>یوسف الهی شکیب</t>
        </is>
      </c>
      <c r="E22" s="70" t="inlineStr">
        <is>
          <t>نماینده حقوقی</t>
        </is>
      </c>
      <c r="F22" s="70" t="inlineStr">
        <is>
          <t>رئیس هیئت مدیره</t>
        </is>
      </c>
      <c r="G22" s="70" t="inlineStr">
        <is>
          <t>غیر موظف</t>
        </is>
      </c>
      <c r="H22" s="70" t="inlineStr">
        <is>
          <t>غیر موظف</t>
        </is>
      </c>
      <c r="I22" s="70" t="inlineStr">
        <is>
          <t>خیر</t>
        </is>
      </c>
      <c r="J22" s="70" t="inlineStr">
        <is>
          <t>NO_EXPLICIT_BOARD_LABEL_FOUND</t>
        </is>
      </c>
      <c r="K22" s="70" t="inlineStr">
        <is>
          <t>board</t>
        </is>
      </c>
      <c r="L22" s="70" t="n"/>
      <c r="M22" s="70" t="n"/>
      <c r="N22" s="70" t="inlineStr">
        <is>
          <t>Type19 1417850 ؛ گزارش SRC_IKCO_1404_001</t>
        </is>
      </c>
      <c r="O22" s="70" t="n"/>
      <c r="P22" s="70" t="inlineStr">
        <is>
          <t>UNKNOWN</t>
        </is>
      </c>
      <c r="Q22" s="70" t="inlineStr">
        <is>
          <t>OD1</t>
        </is>
      </c>
      <c r="R22" s="70" t="inlineStr">
        <is>
          <t>1404/12/29</t>
        </is>
      </c>
      <c r="S22" s="70" t="n"/>
      <c r="T22" s="70" t="inlineStr">
        <is>
          <t>خیر</t>
        </is>
      </c>
      <c r="U22" s="70" t="inlineStr">
        <is>
          <t>بله</t>
        </is>
      </c>
    </row>
    <row r="23" ht="29" customHeight="1" s="76">
      <c r="A23" s="71" t="inlineStr">
        <is>
          <t>F04-M5</t>
        </is>
      </c>
      <c r="B23" s="71" t="inlineStr">
        <is>
          <t>خودرو</t>
        </is>
      </c>
      <c r="C23" s="71" t="inlineStr">
        <is>
          <t>اعتبار آفرین</t>
        </is>
      </c>
      <c r="D23" s="71" t="inlineStr">
        <is>
          <t>جمشید ایمانی کتک لاهیجانی</t>
        </is>
      </c>
      <c r="E23" s="71" t="inlineStr">
        <is>
          <t>نماینده حقوقی</t>
        </is>
      </c>
      <c r="F23" s="71" t="inlineStr">
        <is>
          <t>نایب رئیس هیئت مدیره</t>
        </is>
      </c>
      <c r="G23" s="71" t="inlineStr">
        <is>
          <t>موظف</t>
        </is>
      </c>
      <c r="H23" s="71" t="n"/>
      <c r="I23" s="71" t="inlineStr">
        <is>
          <t>خیر</t>
        </is>
      </c>
      <c r="J23" s="71" t="inlineStr">
        <is>
          <t>NO_EXPLICIT_BOARD_LABEL_FOUND</t>
        </is>
      </c>
      <c r="K23" s="71" t="inlineStr">
        <is>
          <t>board</t>
        </is>
      </c>
      <c r="L23" s="71" t="n"/>
      <c r="M23" s="71" t="n"/>
      <c r="N23" s="71" t="inlineStr">
        <is>
          <t>Type19 1417850 ؛ گزارش SRC_IKCO_1404_001</t>
        </is>
      </c>
      <c r="O23" s="71" t="n"/>
      <c r="P23" s="71" t="inlineStr">
        <is>
          <t>NOT_INDEPENDENT_DOCUMENTED_EXECUTIVE</t>
        </is>
      </c>
      <c r="Q23" s="71" t="inlineStr">
        <is>
          <t>OD1</t>
        </is>
      </c>
      <c r="R23" s="71" t="inlineStr">
        <is>
          <t>1404/12/29</t>
        </is>
      </c>
      <c r="S23" s="71" t="inlineStr">
        <is>
          <t>موظف در اطلاعیه ن۴۵</t>
        </is>
      </c>
      <c r="T23" s="71" t="inlineStr">
        <is>
          <t>خیر</t>
        </is>
      </c>
      <c r="U23" s="71" t="inlineStr">
        <is>
          <t>خیر</t>
        </is>
      </c>
    </row>
    <row r="24" ht="29" customHeight="1" s="76">
      <c r="A24" s="70" t="inlineStr">
        <is>
          <t>F05-M1</t>
        </is>
      </c>
      <c r="B24" s="70" t="inlineStr">
        <is>
          <t>زاگرس</t>
        </is>
      </c>
      <c r="C24" s="70" t="inlineStr">
        <is>
          <t>گروه گسترش نفت و گاز پارسیان</t>
        </is>
      </c>
      <c r="D24" s="70" t="inlineStr">
        <is>
          <t>متین دیداری</t>
        </is>
      </c>
      <c r="E24" s="70" t="inlineStr">
        <is>
          <t>نماینده حقوقی</t>
        </is>
      </c>
      <c r="F24" s="70" t="inlineStr">
        <is>
          <t>نایب رئیس هیئت مدیره</t>
        </is>
      </c>
      <c r="G24" s="70" t="inlineStr">
        <is>
          <t>موظف</t>
        </is>
      </c>
      <c r="H24" s="70" t="inlineStr">
        <is>
          <t>موظف</t>
        </is>
      </c>
      <c r="I24" s="70" t="inlineStr">
        <is>
          <t>خیر</t>
        </is>
      </c>
      <c r="J24" s="70" t="inlineStr">
        <is>
          <t>NO_EXPLICIT_BOARD_LABEL_FOUND</t>
        </is>
      </c>
      <c r="K24" s="70" t="inlineStr">
        <is>
          <t>board</t>
        </is>
      </c>
      <c r="L24" s="70" t="n"/>
      <c r="M24" s="70" t="n"/>
      <c r="N24" s="70" t="inlineStr">
        <is>
          <t>Type19 1461380 ؛ گزارش SRC_ZGRS_1404_001</t>
        </is>
      </c>
      <c r="O24" s="70" t="inlineStr">
        <is>
          <t>شرکت گروه گسترش نفت و گاز پارسیان</t>
        </is>
      </c>
      <c r="P24" s="70" t="inlineStr">
        <is>
          <t>NOT_INDEPENDENT_DOCUMENTED_EXECUTIVE</t>
        </is>
      </c>
      <c r="Q24" s="70" t="inlineStr">
        <is>
          <t>OD1</t>
        </is>
      </c>
      <c r="R24" s="70" t="inlineStr">
        <is>
          <t>1404/12/29</t>
        </is>
      </c>
      <c r="S24" s="70" t="inlineStr">
        <is>
          <t>موظف در اطلاعیه ن۴۵; مدیرعامل عضو هیئت مدیره</t>
        </is>
      </c>
      <c r="T24" s="70" t="inlineStr">
        <is>
          <t>بله</t>
        </is>
      </c>
      <c r="U24" s="70" t="inlineStr">
        <is>
          <t>خیر</t>
        </is>
      </c>
    </row>
    <row r="25" ht="29" customHeight="1" s="76">
      <c r="A25" s="71" t="inlineStr">
        <is>
          <t>F05-M2</t>
        </is>
      </c>
      <c r="B25" s="71" t="inlineStr">
        <is>
          <t>زاگرس</t>
        </is>
      </c>
      <c r="C25" s="71" t="inlineStr">
        <is>
          <t>گروه صنعتی شیمی پوشینه</t>
        </is>
      </c>
      <c r="D25" s="71" t="inlineStr">
        <is>
          <t>سیدمجید سیدیان</t>
        </is>
      </c>
      <c r="E25" s="71" t="inlineStr">
        <is>
          <t>نماینده حقوقی</t>
        </is>
      </c>
      <c r="F25" s="71" t="inlineStr">
        <is>
          <t>عضو هیئت مدیره</t>
        </is>
      </c>
      <c r="G25" s="71" t="inlineStr">
        <is>
          <t>غیر موظف</t>
        </is>
      </c>
      <c r="H25" s="71" t="inlineStr">
        <is>
          <t>غیر موظف</t>
        </is>
      </c>
      <c r="I25" s="71" t="inlineStr">
        <is>
          <t>خیر</t>
        </is>
      </c>
      <c r="J25" s="71" t="inlineStr">
        <is>
          <t>NO_EXPLICIT_BOARD_LABEL_FOUND</t>
        </is>
      </c>
      <c r="K25" s="71" t="inlineStr">
        <is>
          <t>board</t>
        </is>
      </c>
      <c r="L25" s="71" t="n"/>
      <c r="M25" s="71" t="n"/>
      <c r="N25" s="71" t="inlineStr">
        <is>
          <t>Type19 1461380 ؛ گزارش SRC_ZGRS_1404_001</t>
        </is>
      </c>
      <c r="O25" s="71" t="inlineStr">
        <is>
          <t>شرکت گروه صنعتی شیمی پوشینه</t>
        </is>
      </c>
      <c r="P25" s="71" t="inlineStr">
        <is>
          <t>UNKNOWN</t>
        </is>
      </c>
      <c r="Q25" s="71" t="inlineStr">
        <is>
          <t>OD1</t>
        </is>
      </c>
      <c r="R25" s="71" t="inlineStr">
        <is>
          <t>1404/12/29</t>
        </is>
      </c>
      <c r="S25" s="71" t="n"/>
      <c r="T25" s="71" t="inlineStr">
        <is>
          <t>خیر</t>
        </is>
      </c>
      <c r="U25" s="71" t="inlineStr">
        <is>
          <t>خیر</t>
        </is>
      </c>
    </row>
    <row r="26" ht="29" customHeight="1" s="76">
      <c r="A26" s="70" t="inlineStr">
        <is>
          <t>F05-M3</t>
        </is>
      </c>
      <c r="B26" s="70" t="inlineStr">
        <is>
          <t>زاگرس</t>
        </is>
      </c>
      <c r="C26" s="70" t="inlineStr">
        <is>
          <t>سرمایه گذاری هامون سپاهان</t>
        </is>
      </c>
      <c r="D26" s="70" t="inlineStr">
        <is>
          <t>سیدجعفر هاشمی</t>
        </is>
      </c>
      <c r="E26" s="70" t="inlineStr">
        <is>
          <t>نماینده حقوقی</t>
        </is>
      </c>
      <c r="F26" s="70" t="inlineStr">
        <is>
          <t>عضو هیئت مدیره</t>
        </is>
      </c>
      <c r="G26" s="70" t="inlineStr">
        <is>
          <t>غیر موظف</t>
        </is>
      </c>
      <c r="H26" s="70" t="inlineStr">
        <is>
          <t>غیر موظف</t>
        </is>
      </c>
      <c r="I26" s="70" t="inlineStr">
        <is>
          <t>خیر</t>
        </is>
      </c>
      <c r="J26" s="70" t="inlineStr">
        <is>
          <t>NO_EXPLICIT_BOARD_LABEL_FOUND</t>
        </is>
      </c>
      <c r="K26" s="70" t="inlineStr">
        <is>
          <t>board</t>
        </is>
      </c>
      <c r="L26" s="70" t="n"/>
      <c r="M26" s="70" t="n"/>
      <c r="N26" s="70" t="inlineStr">
        <is>
          <t>Type19 1461380 ؛ گزارش SRC_ZGRS_1404_001</t>
        </is>
      </c>
      <c r="O26" s="70" t="inlineStr">
        <is>
          <t>شرکت سرمایه گذاری هامون سپاهان</t>
        </is>
      </c>
      <c r="P26" s="70" t="inlineStr">
        <is>
          <t>UNKNOWN</t>
        </is>
      </c>
      <c r="Q26" s="70" t="inlineStr">
        <is>
          <t>OD1</t>
        </is>
      </c>
      <c r="R26" s="70" t="inlineStr">
        <is>
          <t>1404/12/29</t>
        </is>
      </c>
      <c r="S26" s="70" t="n"/>
      <c r="T26" s="70" t="inlineStr">
        <is>
          <t>خیر</t>
        </is>
      </c>
      <c r="U26" s="70" t="inlineStr">
        <is>
          <t>خیر</t>
        </is>
      </c>
    </row>
    <row r="27" ht="29" customHeight="1" s="76">
      <c r="A27" s="71" t="inlineStr">
        <is>
          <t>F05-M4</t>
        </is>
      </c>
      <c r="B27" s="71" t="inlineStr">
        <is>
          <t>زاگرس</t>
        </is>
      </c>
      <c r="C27" s="71" t="inlineStr">
        <is>
          <t>صادرفر</t>
        </is>
      </c>
      <c r="D27" s="71" t="inlineStr">
        <is>
          <t>محمدحسین مغازه ای</t>
        </is>
      </c>
      <c r="E27" s="71" t="inlineStr">
        <is>
          <t>نماینده حقوقی</t>
        </is>
      </c>
      <c r="F27" s="71" t="inlineStr">
        <is>
          <t>عضو هیئت مدیره</t>
        </is>
      </c>
      <c r="G27" s="71" t="inlineStr">
        <is>
          <t>غیر موظف</t>
        </is>
      </c>
      <c r="H27" s="71" t="inlineStr">
        <is>
          <t>غیر موظف</t>
        </is>
      </c>
      <c r="I27" s="71" t="inlineStr">
        <is>
          <t>خیر</t>
        </is>
      </c>
      <c r="J27" s="71" t="inlineStr">
        <is>
          <t>NO_EXPLICIT_BOARD_LABEL_FOUND</t>
        </is>
      </c>
      <c r="K27" s="71" t="inlineStr">
        <is>
          <t>board</t>
        </is>
      </c>
      <c r="L27" s="71" t="n"/>
      <c r="M27" s="71" t="n"/>
      <c r="N27" s="71" t="inlineStr">
        <is>
          <t>Type19 1461380 ؛ گزارش SRC_ZGRS_1404_001</t>
        </is>
      </c>
      <c r="O27" s="71" t="inlineStr">
        <is>
          <t>شرکت صادرفر</t>
        </is>
      </c>
      <c r="P27" s="71" t="inlineStr">
        <is>
          <t>UNKNOWN</t>
        </is>
      </c>
      <c r="Q27" s="71" t="inlineStr">
        <is>
          <t>OD1</t>
        </is>
      </c>
      <c r="R27" s="71" t="inlineStr">
        <is>
          <t>1404/12/29</t>
        </is>
      </c>
      <c r="S27" s="71" t="n"/>
      <c r="T27" s="71" t="inlineStr">
        <is>
          <t>خیر</t>
        </is>
      </c>
      <c r="U27" s="71" t="inlineStr">
        <is>
          <t>خیر</t>
        </is>
      </c>
    </row>
    <row r="28" ht="29" customHeight="1" s="76">
      <c r="A28" s="70" t="inlineStr">
        <is>
          <t>F05-M5</t>
        </is>
      </c>
      <c r="B28" s="70" t="inlineStr">
        <is>
          <t>زاگرس</t>
        </is>
      </c>
      <c r="C28" s="70" t="inlineStr">
        <is>
          <t>مجتمع صنعتی نفت و گاز صبا جم کنگان</t>
        </is>
      </c>
      <c r="D28" s="70" t="inlineStr">
        <is>
          <t>عماد صدیقی</t>
        </is>
      </c>
      <c r="E28" s="70" t="inlineStr">
        <is>
          <t>نماینده حقوقی</t>
        </is>
      </c>
      <c r="F28" s="70" t="inlineStr">
        <is>
          <t>رئیس هیئت مدیره</t>
        </is>
      </c>
      <c r="G28" s="70" t="inlineStr">
        <is>
          <t>غیر موظف</t>
        </is>
      </c>
      <c r="H28" s="70" t="inlineStr">
        <is>
          <t>غیر موظف</t>
        </is>
      </c>
      <c r="I28" s="70" t="inlineStr">
        <is>
          <t>خیر</t>
        </is>
      </c>
      <c r="J28" s="70" t="inlineStr">
        <is>
          <t>NO_EXPLICIT_BOARD_LABEL_FOUND</t>
        </is>
      </c>
      <c r="K28" s="70" t="inlineStr">
        <is>
          <t>board</t>
        </is>
      </c>
      <c r="L28" s="70" t="n"/>
      <c r="M28" s="70" t="n"/>
      <c r="N28" s="70" t="inlineStr">
        <is>
          <t>Type19 1461380 ؛ گزارش SRC_ZGRS_1404_001</t>
        </is>
      </c>
      <c r="O28" s="70" t="inlineStr">
        <is>
          <t>شرکت مجتمع صنعتی نفت و گاز کنگان جم صبا</t>
        </is>
      </c>
      <c r="P28" s="70" t="inlineStr">
        <is>
          <t>UNKNOWN</t>
        </is>
      </c>
      <c r="Q28" s="70" t="inlineStr">
        <is>
          <t>OD1</t>
        </is>
      </c>
      <c r="R28" s="70" t="inlineStr">
        <is>
          <t>1404/12/29</t>
        </is>
      </c>
      <c r="S28" s="70" t="n"/>
      <c r="T28" s="70" t="inlineStr">
        <is>
          <t>خیر</t>
        </is>
      </c>
      <c r="U28" s="70" t="inlineStr">
        <is>
          <t>بله</t>
        </is>
      </c>
    </row>
    <row r="29" ht="29" customHeight="1" s="76">
      <c r="A29" s="71" t="inlineStr">
        <is>
          <t>F06-M1</t>
        </is>
      </c>
      <c r="B29" s="71" t="inlineStr">
        <is>
          <t>شبندر</t>
        </is>
      </c>
      <c r="C29" s="71" t="inlineStr">
        <is>
          <t>توسعه پیشرو رفاه پردیس</t>
        </is>
      </c>
      <c r="D29" s="71" t="inlineStr">
        <is>
          <t>اسحاق جعفری</t>
        </is>
      </c>
      <c r="E29" s="71" t="inlineStr">
        <is>
          <t>نماینده حقوقی</t>
        </is>
      </c>
      <c r="F29" s="71" t="inlineStr">
        <is>
          <t>عضو هیئت مدیره</t>
        </is>
      </c>
      <c r="G29" s="71" t="inlineStr">
        <is>
          <t>موظف</t>
        </is>
      </c>
      <c r="H29" s="71" t="n"/>
      <c r="I29" s="71" t="inlineStr">
        <is>
          <t>خیر</t>
        </is>
      </c>
      <c r="J29" s="71" t="inlineStr">
        <is>
          <t>NO_EXPLICIT_BOARD_LABEL_FOUND</t>
        </is>
      </c>
      <c r="K29" s="71" t="inlineStr">
        <is>
          <t>board</t>
        </is>
      </c>
      <c r="L29" s="71" t="n"/>
      <c r="M29" s="71" t="n"/>
      <c r="N29" s="71" t="inlineStr">
        <is>
          <t>Type19 1472522</t>
        </is>
      </c>
      <c r="O29" s="71" t="n"/>
      <c r="P29" s="71" t="inlineStr">
        <is>
          <t>NOT_INDEPENDENT_DOCUMENTED_EXECUTIVE</t>
        </is>
      </c>
      <c r="Q29" s="71" t="inlineStr">
        <is>
          <t>OD1</t>
        </is>
      </c>
      <c r="R29" s="71" t="inlineStr">
        <is>
          <t>1404/12/29</t>
        </is>
      </c>
      <c r="S29" s="71" t="inlineStr">
        <is>
          <t>موظف در اطلاعیه ن۴۵</t>
        </is>
      </c>
      <c r="T29" s="71" t="inlineStr">
        <is>
          <t>خیر</t>
        </is>
      </c>
      <c r="U29" s="71" t="inlineStr">
        <is>
          <t>خیر</t>
        </is>
      </c>
    </row>
    <row r="30" ht="29" customHeight="1" s="76">
      <c r="A30" s="70" t="inlineStr">
        <is>
          <t>F06-M2</t>
        </is>
      </c>
      <c r="B30" s="70" t="inlineStr">
        <is>
          <t>شبندر</t>
        </is>
      </c>
      <c r="C30" s="70" t="inlineStr">
        <is>
          <t>سرمایه گذاری توسعه سرمایه رفاه</t>
        </is>
      </c>
      <c r="D30" s="70" t="inlineStr">
        <is>
          <t>احمد هاشمی</t>
        </is>
      </c>
      <c r="E30" s="70" t="inlineStr">
        <is>
          <t>نماینده حقوقی</t>
        </is>
      </c>
      <c r="F30" s="70" t="inlineStr">
        <is>
          <t>نایب رئیس هیئت مدیره</t>
        </is>
      </c>
      <c r="G30" s="70" t="inlineStr">
        <is>
          <t>موظف</t>
        </is>
      </c>
      <c r="H30" s="70" t="n"/>
      <c r="I30" s="70" t="inlineStr">
        <is>
          <t>خیر</t>
        </is>
      </c>
      <c r="J30" s="70" t="inlineStr">
        <is>
          <t>NO_EXPLICIT_BOARD_LABEL_FOUND</t>
        </is>
      </c>
      <c r="K30" s="70" t="inlineStr">
        <is>
          <t>board</t>
        </is>
      </c>
      <c r="L30" s="70" t="n"/>
      <c r="M30" s="70" t="n"/>
      <c r="N30" s="70" t="inlineStr">
        <is>
          <t>Type19 1472522</t>
        </is>
      </c>
      <c r="O30" s="70" t="n"/>
      <c r="P30" s="70" t="inlineStr">
        <is>
          <t>NOT_INDEPENDENT_DOCUMENTED_EXECUTIVE</t>
        </is>
      </c>
      <c r="Q30" s="70" t="inlineStr">
        <is>
          <t>OD1</t>
        </is>
      </c>
      <c r="R30" s="70" t="inlineStr">
        <is>
          <t>1404/12/29</t>
        </is>
      </c>
      <c r="S30" s="70" t="inlineStr">
        <is>
          <t>موظف در اطلاعیه ن۴۵; مدیرعامل عضو هیئت مدیره</t>
        </is>
      </c>
      <c r="T30" s="70" t="inlineStr">
        <is>
          <t>بله</t>
        </is>
      </c>
      <c r="U30" s="70" t="inlineStr">
        <is>
          <t>خیر</t>
        </is>
      </c>
    </row>
    <row r="31" ht="29" customHeight="1" s="76">
      <c r="A31" s="71" t="inlineStr">
        <is>
          <t>F06-M3</t>
        </is>
      </c>
      <c r="B31" s="71" t="inlineStr">
        <is>
          <t>شبندر</t>
        </is>
      </c>
      <c r="C31" s="71" t="inlineStr">
        <is>
          <t>بانک صادرات ایران</t>
        </is>
      </c>
      <c r="D31" s="71" t="inlineStr">
        <is>
          <t>سیدحامد اکبری</t>
        </is>
      </c>
      <c r="E31" s="71" t="inlineStr">
        <is>
          <t>نماینده حقوقی</t>
        </is>
      </c>
      <c r="F31" s="71" t="inlineStr">
        <is>
          <t>عضو هیئت مدیره</t>
        </is>
      </c>
      <c r="G31" s="71" t="inlineStr">
        <is>
          <t>غیر موظف</t>
        </is>
      </c>
      <c r="H31" s="71" t="n"/>
      <c r="I31" s="71" t="inlineStr">
        <is>
          <t>خیر</t>
        </is>
      </c>
      <c r="J31" s="71" t="inlineStr">
        <is>
          <t>NO_EXPLICIT_BOARD_LABEL_FOUND</t>
        </is>
      </c>
      <c r="K31" s="71" t="inlineStr">
        <is>
          <t>board</t>
        </is>
      </c>
      <c r="L31" s="71" t="n"/>
      <c r="M31" s="71" t="n"/>
      <c r="N31" s="71" t="inlineStr">
        <is>
          <t>Type19 1472522</t>
        </is>
      </c>
      <c r="O31" s="71" t="n"/>
      <c r="P31" s="71" t="inlineStr">
        <is>
          <t>UNKNOWN</t>
        </is>
      </c>
      <c r="Q31" s="71" t="inlineStr">
        <is>
          <t>OD1</t>
        </is>
      </c>
      <c r="R31" s="71" t="inlineStr">
        <is>
          <t>1404/12/29</t>
        </is>
      </c>
      <c r="S31" s="71" t="n"/>
      <c r="T31" s="71" t="inlineStr">
        <is>
          <t>خیر</t>
        </is>
      </c>
      <c r="U31" s="71" t="inlineStr">
        <is>
          <t>خیر</t>
        </is>
      </c>
    </row>
    <row r="32" ht="29" customHeight="1" s="76">
      <c r="A32" s="70" t="inlineStr">
        <is>
          <t>F06-M4</t>
        </is>
      </c>
      <c r="B32" s="70" t="inlineStr">
        <is>
          <t>شبندر</t>
        </is>
      </c>
      <c r="C32" s="70" t="inlineStr">
        <is>
          <t>سرمایه گذاری استان بوشهر</t>
        </is>
      </c>
      <c r="D32" s="70" t="inlineStr">
        <is>
          <t>محمد صادقی</t>
        </is>
      </c>
      <c r="E32" s="70" t="inlineStr">
        <is>
          <t>نماینده حقوقی</t>
        </is>
      </c>
      <c r="F32" s="70" t="inlineStr">
        <is>
          <t>رئیس هیئت مدیره</t>
        </is>
      </c>
      <c r="G32" s="70" t="inlineStr">
        <is>
          <t>غیر موظف</t>
        </is>
      </c>
      <c r="H32" s="70" t="n"/>
      <c r="I32" s="70" t="inlineStr">
        <is>
          <t>خیر</t>
        </is>
      </c>
      <c r="J32" s="70" t="inlineStr">
        <is>
          <t>NO_EXPLICIT_BOARD_LABEL_FOUND</t>
        </is>
      </c>
      <c r="K32" s="70" t="inlineStr">
        <is>
          <t>board</t>
        </is>
      </c>
      <c r="L32" s="70" t="n"/>
      <c r="M32" s="70" t="n"/>
      <c r="N32" s="70" t="inlineStr">
        <is>
          <t>Type19 1472522</t>
        </is>
      </c>
      <c r="O32" s="70" t="n"/>
      <c r="P32" s="70" t="inlineStr">
        <is>
          <t>UNKNOWN</t>
        </is>
      </c>
      <c r="Q32" s="70" t="inlineStr">
        <is>
          <t>OD1</t>
        </is>
      </c>
      <c r="R32" s="70" t="inlineStr">
        <is>
          <t>1404/12/29</t>
        </is>
      </c>
      <c r="S32" s="70" t="n"/>
      <c r="T32" s="70" t="inlineStr">
        <is>
          <t>خیر</t>
        </is>
      </c>
      <c r="U32" s="70" t="inlineStr">
        <is>
          <t>بله</t>
        </is>
      </c>
    </row>
    <row r="33" ht="29" customHeight="1" s="76">
      <c r="A33" s="71" t="inlineStr">
        <is>
          <t>F06-M5</t>
        </is>
      </c>
      <c r="B33" s="71" t="inlineStr">
        <is>
          <t>شبندر</t>
        </is>
      </c>
      <c r="C33" s="71" t="inlineStr">
        <is>
          <t>سرمایه گذاری هامون سپاهان</t>
        </is>
      </c>
      <c r="D33" s="71" t="inlineStr">
        <is>
          <t>عبدالوهاب ارامش</t>
        </is>
      </c>
      <c r="E33" s="71" t="inlineStr">
        <is>
          <t>نماینده حقوقی</t>
        </is>
      </c>
      <c r="F33" s="71" t="inlineStr">
        <is>
          <t>عضو هیئت مدیره</t>
        </is>
      </c>
      <c r="G33" s="71" t="inlineStr">
        <is>
          <t>غیر موظف</t>
        </is>
      </c>
      <c r="H33" s="71" t="n"/>
      <c r="I33" s="71" t="inlineStr">
        <is>
          <t>خیر</t>
        </is>
      </c>
      <c r="J33" s="71" t="inlineStr">
        <is>
          <t>NO_EXPLICIT_BOARD_LABEL_FOUND</t>
        </is>
      </c>
      <c r="K33" s="71" t="inlineStr">
        <is>
          <t>board</t>
        </is>
      </c>
      <c r="L33" s="71" t="n"/>
      <c r="M33" s="71" t="n"/>
      <c r="N33" s="71" t="inlineStr">
        <is>
          <t>Type19 1472522</t>
        </is>
      </c>
      <c r="O33" s="71" t="n"/>
      <c r="P33" s="71" t="inlineStr">
        <is>
          <t>UNKNOWN</t>
        </is>
      </c>
      <c r="Q33" s="71" t="inlineStr">
        <is>
          <t>OD1</t>
        </is>
      </c>
      <c r="R33" s="71" t="inlineStr">
        <is>
          <t>1404/12/29</t>
        </is>
      </c>
      <c r="S33" s="71" t="n"/>
      <c r="T33" s="71" t="inlineStr">
        <is>
          <t>خیر</t>
        </is>
      </c>
      <c r="U33" s="71" t="inlineStr">
        <is>
          <t>خیر</t>
        </is>
      </c>
    </row>
    <row r="34" ht="29" customHeight="1" s="76">
      <c r="A34" s="70" t="inlineStr">
        <is>
          <t>F07-M1</t>
        </is>
      </c>
      <c r="B34" s="70" t="inlineStr">
        <is>
          <t>پارس</t>
        </is>
      </c>
      <c r="C34" s="70" t="inlineStr">
        <is>
          <t>گروه گسترش نفت و گاز پارسیان</t>
        </is>
      </c>
      <c r="D34" s="70" t="inlineStr">
        <is>
          <t>ابراهیم صادقی</t>
        </is>
      </c>
      <c r="E34" s="70" t="inlineStr">
        <is>
          <t>نماینده حقوقی</t>
        </is>
      </c>
      <c r="F34" s="70" t="inlineStr">
        <is>
          <t>عضو هیئت مدیره</t>
        </is>
      </c>
      <c r="G34" s="70" t="inlineStr">
        <is>
          <t>غیر موظف</t>
        </is>
      </c>
      <c r="H34" s="70" t="n"/>
      <c r="I34" s="70" t="inlineStr">
        <is>
          <t>خیر</t>
        </is>
      </c>
      <c r="J34" s="70" t="inlineStr">
        <is>
          <t>NO_EXPLICIT_BOARD_LABEL_FOUND</t>
        </is>
      </c>
      <c r="K34" s="70" t="inlineStr">
        <is>
          <t>board</t>
        </is>
      </c>
      <c r="L34" s="70" t="n"/>
      <c r="M34" s="70" t="n"/>
      <c r="N34" s="70" t="inlineStr">
        <is>
          <t>Type19 1423115 ؛ گزارش SRC_PARS_1404_001</t>
        </is>
      </c>
      <c r="O34" s="70" t="n"/>
      <c r="P34" s="70" t="inlineStr">
        <is>
          <t>UNKNOWN</t>
        </is>
      </c>
      <c r="Q34" s="70" t="inlineStr">
        <is>
          <t>OD1</t>
        </is>
      </c>
      <c r="R34" s="70" t="inlineStr">
        <is>
          <t>1404/12/29</t>
        </is>
      </c>
      <c r="S34" s="70" t="n"/>
      <c r="T34" s="70" t="inlineStr">
        <is>
          <t>خیر</t>
        </is>
      </c>
      <c r="U34" s="70" t="inlineStr">
        <is>
          <t>خیر</t>
        </is>
      </c>
    </row>
    <row r="35" ht="29" customHeight="1" s="76">
      <c r="A35" s="71" t="inlineStr">
        <is>
          <t>F07-M2</t>
        </is>
      </c>
      <c r="B35" s="71" t="inlineStr">
        <is>
          <t>پارس</t>
        </is>
      </c>
      <c r="C35" s="71" t="inlineStr">
        <is>
          <t>سرمایه گذاری غدیر</t>
        </is>
      </c>
      <c r="D35" s="71" t="inlineStr">
        <is>
          <t>رضا فرزادی</t>
        </is>
      </c>
      <c r="E35" s="71" t="inlineStr">
        <is>
          <t>نماینده حقوقی</t>
        </is>
      </c>
      <c r="F35" s="71" t="inlineStr">
        <is>
          <t>عضو هیئت مدیره</t>
        </is>
      </c>
      <c r="G35" s="71" t="inlineStr">
        <is>
          <t>غیر موظف</t>
        </is>
      </c>
      <c r="H35" s="71" t="n"/>
      <c r="I35" s="71" t="inlineStr">
        <is>
          <t>خیر</t>
        </is>
      </c>
      <c r="J35" s="71" t="inlineStr">
        <is>
          <t>NO_EXPLICIT_BOARD_LABEL_FOUND</t>
        </is>
      </c>
      <c r="K35" s="71" t="inlineStr">
        <is>
          <t>board</t>
        </is>
      </c>
      <c r="L35" s="71" t="n"/>
      <c r="M35" s="71" t="n"/>
      <c r="N35" s="71" t="inlineStr">
        <is>
          <t>Type19 1423115 ؛ گزارش SRC_PARS_1404_001</t>
        </is>
      </c>
      <c r="O35" s="71" t="n"/>
      <c r="P35" s="71" t="inlineStr">
        <is>
          <t>UNKNOWN</t>
        </is>
      </c>
      <c r="Q35" s="71" t="inlineStr">
        <is>
          <t>OD1</t>
        </is>
      </c>
      <c r="R35" s="71" t="inlineStr">
        <is>
          <t>1404/12/29</t>
        </is>
      </c>
      <c r="S35" s="71" t="n"/>
      <c r="T35" s="71" t="inlineStr">
        <is>
          <t>خیر</t>
        </is>
      </c>
      <c r="U35" s="71" t="inlineStr">
        <is>
          <t>خیر</t>
        </is>
      </c>
    </row>
    <row r="36" ht="29" customHeight="1" s="76">
      <c r="A36" s="70" t="inlineStr">
        <is>
          <t>F07-M3</t>
        </is>
      </c>
      <c r="B36" s="70" t="inlineStr">
        <is>
          <t>پارس</t>
        </is>
      </c>
      <c r="C36" s="70" t="inlineStr">
        <is>
          <t>پتروشیمی کارون</t>
        </is>
      </c>
      <c r="D36" s="70" t="inlineStr">
        <is>
          <t>یداله مصدقی فرد</t>
        </is>
      </c>
      <c r="E36" s="70" t="inlineStr">
        <is>
          <t>نماینده حقوقی</t>
        </is>
      </c>
      <c r="F36" s="70" t="inlineStr">
        <is>
          <t>رئیس هیئت مدیره</t>
        </is>
      </c>
      <c r="G36" s="70" t="inlineStr">
        <is>
          <t>غیر موظف</t>
        </is>
      </c>
      <c r="H36" s="70" t="n"/>
      <c r="I36" s="70" t="inlineStr">
        <is>
          <t>خیر</t>
        </is>
      </c>
      <c r="J36" s="70" t="inlineStr">
        <is>
          <t>NO_EXPLICIT_BOARD_LABEL_FOUND</t>
        </is>
      </c>
      <c r="K36" s="70" t="inlineStr">
        <is>
          <t>board</t>
        </is>
      </c>
      <c r="L36" s="70" t="n"/>
      <c r="M36" s="70" t="n"/>
      <c r="N36" s="70" t="inlineStr">
        <is>
          <t>Type19 1423115 ؛ گزارش SRC_PARS_1404_001</t>
        </is>
      </c>
      <c r="O36" s="70" t="n"/>
      <c r="P36" s="70" t="inlineStr">
        <is>
          <t>UNKNOWN</t>
        </is>
      </c>
      <c r="Q36" s="70" t="inlineStr">
        <is>
          <t>OD1</t>
        </is>
      </c>
      <c r="R36" s="70" t="inlineStr">
        <is>
          <t>1404/12/29</t>
        </is>
      </c>
      <c r="S36" s="70" t="n"/>
      <c r="T36" s="70" t="inlineStr">
        <is>
          <t>خیر</t>
        </is>
      </c>
      <c r="U36" s="70" t="inlineStr">
        <is>
          <t>بله</t>
        </is>
      </c>
    </row>
    <row r="37" ht="29" customHeight="1" s="76">
      <c r="A37" s="71" t="inlineStr">
        <is>
          <t>F07-M4</t>
        </is>
      </c>
      <c r="B37" s="71" t="inlineStr">
        <is>
          <t>پارس</t>
        </is>
      </c>
      <c r="C37" s="71" t="inlineStr">
        <is>
          <t>پتروشیمی هنگام</t>
        </is>
      </c>
      <c r="D37" s="71" t="inlineStr">
        <is>
          <t>محمدرضا حیدرزاده</t>
        </is>
      </c>
      <c r="E37" s="71" t="inlineStr">
        <is>
          <t>نماینده حقوقی</t>
        </is>
      </c>
      <c r="F37" s="71" t="inlineStr">
        <is>
          <t>عضو هیئت مدیره</t>
        </is>
      </c>
      <c r="G37" s="71" t="inlineStr">
        <is>
          <t>غیر موظف</t>
        </is>
      </c>
      <c r="H37" s="71" t="n"/>
      <c r="I37" s="71" t="inlineStr">
        <is>
          <t>خیر</t>
        </is>
      </c>
      <c r="J37" s="71" t="inlineStr">
        <is>
          <t>NO_EXPLICIT_BOARD_LABEL_FOUND</t>
        </is>
      </c>
      <c r="K37" s="71" t="inlineStr">
        <is>
          <t>board</t>
        </is>
      </c>
      <c r="L37" s="71" t="n"/>
      <c r="M37" s="71" t="n"/>
      <c r="N37" s="71" t="inlineStr">
        <is>
          <t>Type19 1423115 ؛ گزارش SRC_PARS_1404_001</t>
        </is>
      </c>
      <c r="O37" s="71" t="n"/>
      <c r="P37" s="71" t="inlineStr">
        <is>
          <t>UNKNOWN</t>
        </is>
      </c>
      <c r="Q37" s="71" t="inlineStr">
        <is>
          <t>OD1</t>
        </is>
      </c>
      <c r="R37" s="71" t="inlineStr">
        <is>
          <t>1404/12/29</t>
        </is>
      </c>
      <c r="S37" s="71" t="n"/>
      <c r="T37" s="71" t="inlineStr">
        <is>
          <t>خیر</t>
        </is>
      </c>
      <c r="U37" s="71" t="inlineStr">
        <is>
          <t>خیر</t>
        </is>
      </c>
    </row>
    <row r="38" ht="29" customHeight="1" s="76">
      <c r="A38" s="70" t="inlineStr">
        <is>
          <t>F07-M5</t>
        </is>
      </c>
      <c r="B38" s="70" t="inlineStr">
        <is>
          <t>پارس</t>
        </is>
      </c>
      <c r="C38" s="70" t="inlineStr">
        <is>
          <t>پتروشیمی هرمز خلیج فارس</t>
        </is>
      </c>
      <c r="D38" s="70" t="inlineStr">
        <is>
          <t>عبدالکریم پهلوانی</t>
        </is>
      </c>
      <c r="E38" s="70" t="inlineStr">
        <is>
          <t>نماینده حقوقی</t>
        </is>
      </c>
      <c r="F38" s="70" t="inlineStr">
        <is>
          <t>نایب رئیس هیئت مدیره</t>
        </is>
      </c>
      <c r="G38" s="70" t="inlineStr">
        <is>
          <t>موظف</t>
        </is>
      </c>
      <c r="H38" s="70" t="n"/>
      <c r="I38" s="70" t="inlineStr">
        <is>
          <t>خیر</t>
        </is>
      </c>
      <c r="J38" s="70" t="inlineStr">
        <is>
          <t>NO_EXPLICIT_BOARD_LABEL_FOUND</t>
        </is>
      </c>
      <c r="K38" s="70" t="inlineStr">
        <is>
          <t>board</t>
        </is>
      </c>
      <c r="L38" s="70" t="n"/>
      <c r="M38" s="70" t="n"/>
      <c r="N38" s="70" t="inlineStr">
        <is>
          <t>Type19 1423115 ؛ گزارش SRC_PARS_1404_001</t>
        </is>
      </c>
      <c r="O38" s="70" t="n"/>
      <c r="P38" s="70" t="inlineStr">
        <is>
          <t>NOT_INDEPENDENT_DOCUMENTED_EXECUTIVE</t>
        </is>
      </c>
      <c r="Q38" s="70" t="inlineStr">
        <is>
          <t>OD1</t>
        </is>
      </c>
      <c r="R38" s="70" t="inlineStr">
        <is>
          <t>1404/12/29</t>
        </is>
      </c>
      <c r="S38" s="70" t="inlineStr">
        <is>
          <t>موظف در اطلاعیه ن۴۵; مدیرعامل عضو هیئت مدیره</t>
        </is>
      </c>
      <c r="T38" s="70" t="inlineStr">
        <is>
          <t>بله</t>
        </is>
      </c>
      <c r="U38" s="70" t="inlineStr">
        <is>
          <t>خیر</t>
        </is>
      </c>
    </row>
    <row r="39" ht="29" customHeight="1" s="76">
      <c r="A39" s="71" t="inlineStr">
        <is>
          <t>F08-M1</t>
        </is>
      </c>
      <c r="B39" s="71" t="inlineStr">
        <is>
          <t>شتران</t>
        </is>
      </c>
      <c r="C39" s="71" t="inlineStr">
        <is>
          <t>ملی پالایش و پخش فرآورده های نفتی ایران</t>
        </is>
      </c>
      <c r="D39" s="71" t="inlineStr">
        <is>
          <t>محمدعلی دادور</t>
        </is>
      </c>
      <c r="E39" s="71" t="inlineStr">
        <is>
          <t>نماینده حقوقی</t>
        </is>
      </c>
      <c r="F39" s="71" t="inlineStr">
        <is>
          <t>رئیس هیئت مدیره</t>
        </is>
      </c>
      <c r="G39" s="71" t="inlineStr">
        <is>
          <t>غیر موظف</t>
        </is>
      </c>
      <c r="H39" s="71" t="inlineStr">
        <is>
          <t>غیر موظف</t>
        </is>
      </c>
      <c r="I39" s="71" t="inlineStr">
        <is>
          <t>خیر</t>
        </is>
      </c>
      <c r="J39" s="71" t="inlineStr">
        <is>
          <t>NO_EXPLICIT_BOARD_LABEL_FOUND</t>
        </is>
      </c>
      <c r="K39" s="71" t="inlineStr">
        <is>
          <t>board</t>
        </is>
      </c>
      <c r="L39" s="71" t="n"/>
      <c r="M39" s="71" t="n"/>
      <c r="N39" s="71" t="inlineStr">
        <is>
          <t>Type19 1389607 ؛ گزارش SRC_SHTR_1404_002</t>
        </is>
      </c>
      <c r="O39" s="71" t="n"/>
      <c r="P39" s="71" t="inlineStr">
        <is>
          <t>UNKNOWN</t>
        </is>
      </c>
      <c r="Q39" s="71" t="inlineStr">
        <is>
          <t>OD1</t>
        </is>
      </c>
      <c r="R39" s="71" t="inlineStr">
        <is>
          <t>1404/12/29</t>
        </is>
      </c>
      <c r="S39" s="71" t="n"/>
      <c r="T39" s="71" t="inlineStr">
        <is>
          <t>خیر</t>
        </is>
      </c>
      <c r="U39" s="71" t="inlineStr">
        <is>
          <t>بله</t>
        </is>
      </c>
    </row>
    <row r="40" ht="29" customHeight="1" s="76">
      <c r="A40" s="70" t="inlineStr">
        <is>
          <t>F08-M2</t>
        </is>
      </c>
      <c r="B40" s="70" t="inlineStr">
        <is>
          <t>شتران</t>
        </is>
      </c>
      <c r="C40" s="70" t="inlineStr">
        <is>
          <t>سرمایه گذاری استان فارس</t>
        </is>
      </c>
      <c r="D40" s="70" t="inlineStr">
        <is>
          <t>میثم قاسمی</t>
        </is>
      </c>
      <c r="E40" s="70" t="inlineStr">
        <is>
          <t>نماینده حقوقی</t>
        </is>
      </c>
      <c r="F40" s="70" t="inlineStr">
        <is>
          <t>عضو هیئت مدیره</t>
        </is>
      </c>
      <c r="G40" s="70" t="inlineStr">
        <is>
          <t>غیر موظف</t>
        </is>
      </c>
      <c r="H40" s="70" t="inlineStr">
        <is>
          <t>غیر موظف</t>
        </is>
      </c>
      <c r="I40" s="70" t="inlineStr">
        <is>
          <t>خیر</t>
        </is>
      </c>
      <c r="J40" s="70" t="inlineStr">
        <is>
          <t>NO_EXPLICIT_BOARD_LABEL_FOUND</t>
        </is>
      </c>
      <c r="K40" s="70" t="inlineStr">
        <is>
          <t>board</t>
        </is>
      </c>
      <c r="L40" s="70" t="n"/>
      <c r="M40" s="70" t="n"/>
      <c r="N40" s="70" t="inlineStr">
        <is>
          <t>Type19 1389607 ؛ گزارش SRC_SHTR_1404_002</t>
        </is>
      </c>
      <c r="O40" s="70" t="n"/>
      <c r="P40" s="70" t="inlineStr">
        <is>
          <t>UNKNOWN</t>
        </is>
      </c>
      <c r="Q40" s="70" t="inlineStr">
        <is>
          <t>OD1</t>
        </is>
      </c>
      <c r="R40" s="70" t="inlineStr">
        <is>
          <t>1404/12/29</t>
        </is>
      </c>
      <c r="S40" s="70" t="n"/>
      <c r="T40" s="70" t="inlineStr">
        <is>
          <t>خیر</t>
        </is>
      </c>
      <c r="U40" s="70" t="inlineStr">
        <is>
          <t>خیر</t>
        </is>
      </c>
    </row>
    <row r="41" ht="29" customHeight="1" s="76">
      <c r="A41" s="71" t="inlineStr">
        <is>
          <t>F08-M3</t>
        </is>
      </c>
      <c r="B41" s="71" t="inlineStr">
        <is>
          <t>شتران</t>
        </is>
      </c>
      <c r="C41" s="71" t="inlineStr">
        <is>
          <t>سرمایه گذاری عدالت استان مازندران</t>
        </is>
      </c>
      <c r="D41" s="71" t="inlineStr">
        <is>
          <t>عباس محسنی نیکوگفتار</t>
        </is>
      </c>
      <c r="E41" s="71" t="inlineStr">
        <is>
          <t>نماینده حقوقی</t>
        </is>
      </c>
      <c r="F41" s="71" t="inlineStr">
        <is>
          <t>عضو هیئت مدیره</t>
        </is>
      </c>
      <c r="G41" s="71" t="inlineStr">
        <is>
          <t>موظف</t>
        </is>
      </c>
      <c r="H41" s="71" t="inlineStr">
        <is>
          <t>موظف</t>
        </is>
      </c>
      <c r="I41" s="71" t="inlineStr">
        <is>
          <t>خیر</t>
        </is>
      </c>
      <c r="J41" s="71" t="inlineStr">
        <is>
          <t>NO_EXPLICIT_BOARD_LABEL_FOUND</t>
        </is>
      </c>
      <c r="K41" s="71" t="inlineStr">
        <is>
          <t>board</t>
        </is>
      </c>
      <c r="L41" s="71" t="n"/>
      <c r="M41" s="71" t="n"/>
      <c r="N41" s="71" t="inlineStr">
        <is>
          <t>Type19 1389607 ؛ گزارش SRC_SHTR_1404_002</t>
        </is>
      </c>
      <c r="O41" s="71" t="n"/>
      <c r="P41" s="71" t="inlineStr">
        <is>
          <t>NOT_INDEPENDENT_DOCUMENTED_EXECUTIVE</t>
        </is>
      </c>
      <c r="Q41" s="71" t="inlineStr">
        <is>
          <t>OD1</t>
        </is>
      </c>
      <c r="R41" s="71" t="inlineStr">
        <is>
          <t>1404/12/29</t>
        </is>
      </c>
      <c r="S41" s="71" t="inlineStr">
        <is>
          <t>موظف در اطلاعیه ن۴۵; مدیرعامل عضو هیئت مدیره</t>
        </is>
      </c>
      <c r="T41" s="71" t="inlineStr">
        <is>
          <t>بله</t>
        </is>
      </c>
      <c r="U41" s="71" t="inlineStr">
        <is>
          <t>خیر</t>
        </is>
      </c>
    </row>
    <row r="42" ht="29" customHeight="1" s="76">
      <c r="A42" s="70" t="inlineStr">
        <is>
          <t>F08-M4</t>
        </is>
      </c>
      <c r="B42" s="70" t="inlineStr">
        <is>
          <t>شتران</t>
        </is>
      </c>
      <c r="C42" s="70" t="inlineStr">
        <is>
          <t>سرمایه گذاری استان لرستان</t>
        </is>
      </c>
      <c r="D42" s="70" t="inlineStr">
        <is>
          <t>فریدون ورشوساز</t>
        </is>
      </c>
      <c r="E42" s="70" t="inlineStr">
        <is>
          <t>نماینده حقوقی</t>
        </is>
      </c>
      <c r="F42" s="70" t="inlineStr">
        <is>
          <t>عضو هیئت مدیره</t>
        </is>
      </c>
      <c r="G42" s="70" t="inlineStr">
        <is>
          <t>موظف</t>
        </is>
      </c>
      <c r="H42" s="70" t="inlineStr">
        <is>
          <t>موظف</t>
        </is>
      </c>
      <c r="I42" s="70" t="inlineStr">
        <is>
          <t>خیر</t>
        </is>
      </c>
      <c r="J42" s="70" t="inlineStr">
        <is>
          <t>NO_EXPLICIT_BOARD_LABEL_FOUND</t>
        </is>
      </c>
      <c r="K42" s="70" t="inlineStr">
        <is>
          <t>board</t>
        </is>
      </c>
      <c r="L42" s="70" t="n"/>
      <c r="M42" s="70" t="n"/>
      <c r="N42" s="70" t="inlineStr">
        <is>
          <t>Type19 1389607 ؛ گزارش SRC_SHTR_1404_002</t>
        </is>
      </c>
      <c r="O42" s="70" t="n"/>
      <c r="P42" s="70" t="inlineStr">
        <is>
          <t>NOT_INDEPENDENT_DOCUMENTED_EXECUTIVE</t>
        </is>
      </c>
      <c r="Q42" s="70" t="inlineStr">
        <is>
          <t>OD1</t>
        </is>
      </c>
      <c r="R42" s="70" t="inlineStr">
        <is>
          <t>1404/12/29</t>
        </is>
      </c>
      <c r="S42" s="70" t="inlineStr">
        <is>
          <t>موظف در اطلاعیه ن۴۵</t>
        </is>
      </c>
      <c r="T42" s="70" t="inlineStr">
        <is>
          <t>خیر</t>
        </is>
      </c>
      <c r="U42" s="70" t="inlineStr">
        <is>
          <t>خیر</t>
        </is>
      </c>
    </row>
    <row r="43" ht="29" customHeight="1" s="76">
      <c r="A43" s="71" t="inlineStr">
        <is>
          <t>F08-M5</t>
        </is>
      </c>
      <c r="B43" s="71" t="inlineStr">
        <is>
          <t>شتران</t>
        </is>
      </c>
      <c r="C43" s="71" t="inlineStr">
        <is>
          <t>سرمایه گذاری استان چهارمحال و بختیاری</t>
        </is>
      </c>
      <c r="D43" s="71" t="inlineStr">
        <is>
          <t>محمدمجتبی حاجی سالم</t>
        </is>
      </c>
      <c r="E43" s="71" t="inlineStr">
        <is>
          <t>نماینده حقوقی</t>
        </is>
      </c>
      <c r="F43" s="71" t="inlineStr">
        <is>
          <t>نایب رئیس هیئت مدیره</t>
        </is>
      </c>
      <c r="G43" s="71" t="inlineStr">
        <is>
          <t>غیر موظف</t>
        </is>
      </c>
      <c r="H43" s="71" t="inlineStr">
        <is>
          <t>غیر موظف</t>
        </is>
      </c>
      <c r="I43" s="71" t="inlineStr">
        <is>
          <t>خیر</t>
        </is>
      </c>
      <c r="J43" s="71" t="inlineStr">
        <is>
          <t>NO_EXPLICIT_BOARD_LABEL_FOUND</t>
        </is>
      </c>
      <c r="K43" s="71" t="inlineStr">
        <is>
          <t>board</t>
        </is>
      </c>
      <c r="L43" s="71" t="n"/>
      <c r="M43" s="71" t="n"/>
      <c r="N43" s="71" t="inlineStr">
        <is>
          <t>Type19 1389607 ؛ گزارش SRC_SHTR_1404_002</t>
        </is>
      </c>
      <c r="O43" s="71" t="n"/>
      <c r="P43" s="71" t="inlineStr">
        <is>
          <t>UNKNOWN</t>
        </is>
      </c>
      <c r="Q43" s="71" t="inlineStr">
        <is>
          <t>OD1</t>
        </is>
      </c>
      <c r="R43" s="71" t="inlineStr">
        <is>
          <t>1404/12/29</t>
        </is>
      </c>
      <c r="S43" s="71" t="n"/>
      <c r="T43" s="71" t="inlineStr">
        <is>
          <t>خیر</t>
        </is>
      </c>
      <c r="U43" s="71" t="inlineStr">
        <is>
          <t>خیر</t>
        </is>
      </c>
    </row>
    <row r="44" ht="29" customHeight="1" s="76">
      <c r="A44" s="70" t="inlineStr">
        <is>
          <t>F09-M1</t>
        </is>
      </c>
      <c r="B44" s="70" t="inlineStr">
        <is>
          <t>وتجارت</t>
        </is>
      </c>
      <c r="C44" s="70" t="n"/>
      <c r="D44" s="70" t="inlineStr">
        <is>
          <t>علی کی لانی</t>
        </is>
      </c>
      <c r="E44" s="70" t="inlineStr">
        <is>
          <t>حقیقی</t>
        </is>
      </c>
      <c r="F44" s="70" t="inlineStr">
        <is>
          <t>عضو هیئت مدیره</t>
        </is>
      </c>
      <c r="G44" s="70" t="inlineStr">
        <is>
          <t>موظف</t>
        </is>
      </c>
      <c r="H44" s="70" t="inlineStr">
        <is>
          <t>موظف</t>
        </is>
      </c>
      <c r="I44" s="70" t="inlineStr">
        <is>
          <t>خیر</t>
        </is>
      </c>
      <c r="J44" s="70" t="inlineStr">
        <is>
          <t>NO_EXPLICIT_BOARD_LABEL_FOUND</t>
        </is>
      </c>
      <c r="K44" s="70" t="inlineStr">
        <is>
          <t>board</t>
        </is>
      </c>
      <c r="L44" s="70" t="n"/>
      <c r="M44" s="70" t="n"/>
      <c r="N44" s="70" t="inlineStr">
        <is>
          <t>Type19 1444154 ؛ گزارش SRC_VTEJ_1404_001</t>
        </is>
      </c>
      <c r="O44" s="70" t="n"/>
      <c r="P44" s="70" t="inlineStr">
        <is>
          <t>NOT_INDEPENDENT_DOCUMENTED_EXECUTIVE</t>
        </is>
      </c>
      <c r="Q44" s="70" t="inlineStr">
        <is>
          <t>OD1</t>
        </is>
      </c>
      <c r="R44" s="70" t="inlineStr">
        <is>
          <t>1404/12/29</t>
        </is>
      </c>
      <c r="S44" s="70" t="inlineStr">
        <is>
          <t>موظف در اطلاعیه ن۴۵</t>
        </is>
      </c>
      <c r="T44" s="70" t="inlineStr">
        <is>
          <t>خیر</t>
        </is>
      </c>
      <c r="U44" s="70" t="inlineStr">
        <is>
          <t>خیر</t>
        </is>
      </c>
    </row>
    <row r="45" ht="29" customHeight="1" s="76">
      <c r="A45" s="71" t="inlineStr">
        <is>
          <t>F09-M2</t>
        </is>
      </c>
      <c r="B45" s="71" t="inlineStr">
        <is>
          <t>وتجارت</t>
        </is>
      </c>
      <c r="C45" s="71" t="n"/>
      <c r="D45" s="71" t="inlineStr">
        <is>
          <t>مرتضی ترک تبریزی</t>
        </is>
      </c>
      <c r="E45" s="71" t="inlineStr">
        <is>
          <t>حقیقی</t>
        </is>
      </c>
      <c r="F45" s="71" t="inlineStr">
        <is>
          <t>رئیس هیئت مدیره</t>
        </is>
      </c>
      <c r="G45" s="71" t="inlineStr">
        <is>
          <t>موظف</t>
        </is>
      </c>
      <c r="H45" s="71" t="inlineStr">
        <is>
          <t>موظف</t>
        </is>
      </c>
      <c r="I45" s="71" t="inlineStr">
        <is>
          <t>خیر</t>
        </is>
      </c>
      <c r="J45" s="71" t="inlineStr">
        <is>
          <t>NO_EXPLICIT_BOARD_LABEL_FOUND</t>
        </is>
      </c>
      <c r="K45" s="71" t="inlineStr">
        <is>
          <t>board</t>
        </is>
      </c>
      <c r="L45" s="71" t="n"/>
      <c r="M45" s="71" t="n"/>
      <c r="N45" s="71" t="inlineStr">
        <is>
          <t>Type19 1444154 ؛ گزارش SRC_VTEJ_1404_001</t>
        </is>
      </c>
      <c r="O45" s="71" t="n"/>
      <c r="P45" s="71" t="inlineStr">
        <is>
          <t>NOT_INDEPENDENT_DOCUMENTED_EXECUTIVE</t>
        </is>
      </c>
      <c r="Q45" s="71" t="inlineStr">
        <is>
          <t>OD1</t>
        </is>
      </c>
      <c r="R45" s="71" t="inlineStr">
        <is>
          <t>1404/12/29</t>
        </is>
      </c>
      <c r="S45" s="71" t="inlineStr">
        <is>
          <t>موظف در اطلاعیه ن۴۵</t>
        </is>
      </c>
      <c r="T45" s="71" t="inlineStr">
        <is>
          <t>خیر</t>
        </is>
      </c>
      <c r="U45" s="71" t="inlineStr">
        <is>
          <t>بله</t>
        </is>
      </c>
    </row>
    <row r="46" ht="29" customHeight="1" s="76">
      <c r="A46" s="70" t="inlineStr">
        <is>
          <t>F09-M3</t>
        </is>
      </c>
      <c r="B46" s="70" t="inlineStr">
        <is>
          <t>وتجارت</t>
        </is>
      </c>
      <c r="C46" s="70" t="n"/>
      <c r="D46" s="70" t="inlineStr">
        <is>
          <t>هادی اخلاقی فیض آثار</t>
        </is>
      </c>
      <c r="E46" s="70" t="inlineStr">
        <is>
          <t>حقیقی</t>
        </is>
      </c>
      <c r="F46" s="70" t="inlineStr">
        <is>
          <t>عضو هیئت مدیره</t>
        </is>
      </c>
      <c r="G46" s="70" t="inlineStr">
        <is>
          <t>موظف</t>
        </is>
      </c>
      <c r="H46" s="70" t="inlineStr">
        <is>
          <t>موظف</t>
        </is>
      </c>
      <c r="I46" s="70" t="inlineStr">
        <is>
          <t>خیر</t>
        </is>
      </c>
      <c r="J46" s="70" t="inlineStr">
        <is>
          <t>NO_EXPLICIT_BOARD_LABEL_FOUND</t>
        </is>
      </c>
      <c r="K46" s="70" t="inlineStr">
        <is>
          <t>board</t>
        </is>
      </c>
      <c r="L46" s="70" t="n"/>
      <c r="M46" s="70" t="n"/>
      <c r="N46" s="70" t="inlineStr">
        <is>
          <t>Type19 1444154 ؛ گزارش SRC_VTEJ_1404_001</t>
        </is>
      </c>
      <c r="O46" s="70" t="n"/>
      <c r="P46" s="70" t="inlineStr">
        <is>
          <t>NOT_INDEPENDENT_DOCUMENTED_EXECUTIVE</t>
        </is>
      </c>
      <c r="Q46" s="70" t="inlineStr">
        <is>
          <t>OD1</t>
        </is>
      </c>
      <c r="R46" s="70" t="inlineStr">
        <is>
          <t>1404/12/29</t>
        </is>
      </c>
      <c r="S46" s="70" t="inlineStr">
        <is>
          <t>موظف در اطلاعیه ن۴۵; مدیرعامل عضو هیئت مدیره</t>
        </is>
      </c>
      <c r="T46" s="70" t="inlineStr">
        <is>
          <t>بله</t>
        </is>
      </c>
      <c r="U46" s="70" t="inlineStr">
        <is>
          <t>خیر</t>
        </is>
      </c>
    </row>
    <row r="47" ht="29" customHeight="1" s="76">
      <c r="A47" s="71" t="inlineStr">
        <is>
          <t>F09-M4</t>
        </is>
      </c>
      <c r="B47" s="71" t="inlineStr">
        <is>
          <t>وتجارت</t>
        </is>
      </c>
      <c r="C47" s="71" t="n"/>
      <c r="D47" s="71" t="inlineStr">
        <is>
          <t>سیدمهدی حسینی دولت آبادی</t>
        </is>
      </c>
      <c r="E47" s="71" t="inlineStr">
        <is>
          <t>حقیقی</t>
        </is>
      </c>
      <c r="F47" s="71" t="inlineStr">
        <is>
          <t>عضو هیئت مدیره</t>
        </is>
      </c>
      <c r="G47" s="71" t="inlineStr">
        <is>
          <t>موظف</t>
        </is>
      </c>
      <c r="H47" s="71" t="inlineStr">
        <is>
          <t>موظف</t>
        </is>
      </c>
      <c r="I47" s="71" t="inlineStr">
        <is>
          <t>خیر</t>
        </is>
      </c>
      <c r="J47" s="71" t="inlineStr">
        <is>
          <t>NO_EXPLICIT_BOARD_LABEL_FOUND</t>
        </is>
      </c>
      <c r="K47" s="71" t="inlineStr">
        <is>
          <t>board</t>
        </is>
      </c>
      <c r="L47" s="71" t="n"/>
      <c r="M47" s="71" t="n"/>
      <c r="N47" s="71" t="inlineStr">
        <is>
          <t>Type19 1444154 ؛ گزارش SRC_VTEJ_1404_001</t>
        </is>
      </c>
      <c r="O47" s="71" t="n"/>
      <c r="P47" s="71" t="inlineStr">
        <is>
          <t>NOT_INDEPENDENT_DOCUMENTED_EXECUTIVE</t>
        </is>
      </c>
      <c r="Q47" s="71" t="inlineStr">
        <is>
          <t>OD1</t>
        </is>
      </c>
      <c r="R47" s="71" t="inlineStr">
        <is>
          <t>1404/12/29</t>
        </is>
      </c>
      <c r="S47" s="71" t="inlineStr">
        <is>
          <t>موظف در اطلاعیه ن۴۵</t>
        </is>
      </c>
      <c r="T47" s="71" t="inlineStr">
        <is>
          <t>خیر</t>
        </is>
      </c>
      <c r="U47" s="71" t="inlineStr">
        <is>
          <t>خیر</t>
        </is>
      </c>
    </row>
    <row r="48" ht="29" customHeight="1" s="76">
      <c r="A48" s="70" t="inlineStr">
        <is>
          <t>F10-M1</t>
        </is>
      </c>
      <c r="B48" s="70" t="inlineStr">
        <is>
          <t>رمپنا</t>
        </is>
      </c>
      <c r="C48" s="70" t="inlineStr">
        <is>
          <t>سرمایه گذاری ثروت آفرین صبا</t>
        </is>
      </c>
      <c r="D48" s="70" t="inlineStr">
        <is>
          <t>محمدرضا اولی</t>
        </is>
      </c>
      <c r="E48" s="70" t="inlineStr">
        <is>
          <t>نماینده حقوقی</t>
        </is>
      </c>
      <c r="F48" s="70" t="inlineStr">
        <is>
          <t>رئیس هیئت مدیره</t>
        </is>
      </c>
      <c r="G48" s="70" t="inlineStr">
        <is>
          <t>غیر موظف</t>
        </is>
      </c>
      <c r="H48" s="70" t="n"/>
      <c r="I48" s="70" t="inlineStr">
        <is>
          <t>خیر</t>
        </is>
      </c>
      <c r="J48" s="70" t="inlineStr">
        <is>
          <t>NO_EXPLICIT_BOARD_LABEL_FOUND</t>
        </is>
      </c>
      <c r="K48" s="70" t="inlineStr">
        <is>
          <t>board</t>
        </is>
      </c>
      <c r="L48" s="70" t="n"/>
      <c r="M48" s="70" t="n"/>
      <c r="N48" s="70" t="inlineStr">
        <is>
          <t>Type19 1482306</t>
        </is>
      </c>
      <c r="O48" s="70" t="n"/>
      <c r="P48" s="70" t="inlineStr">
        <is>
          <t>UNKNOWN</t>
        </is>
      </c>
      <c r="Q48" s="70" t="inlineStr">
        <is>
          <t>OD1</t>
        </is>
      </c>
      <c r="R48" s="70" t="inlineStr">
        <is>
          <t>1404/12/29</t>
        </is>
      </c>
      <c r="S48" s="70" t="n"/>
      <c r="T48" s="70" t="inlineStr">
        <is>
          <t>خیر</t>
        </is>
      </c>
      <c r="U48" s="70" t="inlineStr">
        <is>
          <t>بله</t>
        </is>
      </c>
    </row>
    <row r="49" ht="29" customHeight="1" s="76">
      <c r="A49" s="71" t="inlineStr">
        <is>
          <t>F10-M2</t>
        </is>
      </c>
      <c r="B49" s="71" t="inlineStr">
        <is>
          <t>رمپنا</t>
        </is>
      </c>
      <c r="C49" s="71" t="inlineStr">
        <is>
          <t>سرمایه گذاری استان گلستان</t>
        </is>
      </c>
      <c r="D49" s="71" t="inlineStr">
        <is>
          <t>ابوالفضل عسگری</t>
        </is>
      </c>
      <c r="E49" s="71" t="inlineStr">
        <is>
          <t>نماینده حقوقی</t>
        </is>
      </c>
      <c r="F49" s="71" t="inlineStr">
        <is>
          <t>عضو هیئت مدیره</t>
        </is>
      </c>
      <c r="G49" s="71" t="inlineStr">
        <is>
          <t>غیر موظف</t>
        </is>
      </c>
      <c r="H49" s="71" t="n"/>
      <c r="I49" s="71" t="inlineStr">
        <is>
          <t>خیر</t>
        </is>
      </c>
      <c r="J49" s="71" t="inlineStr">
        <is>
          <t>NO_EXPLICIT_BOARD_LABEL_FOUND</t>
        </is>
      </c>
      <c r="K49" s="71" t="inlineStr">
        <is>
          <t>board</t>
        </is>
      </c>
      <c r="L49" s="71" t="n"/>
      <c r="M49" s="71" t="n"/>
      <c r="N49" s="71" t="inlineStr">
        <is>
          <t>Type19 1482306</t>
        </is>
      </c>
      <c r="O49" s="71" t="n"/>
      <c r="P49" s="71" t="inlineStr">
        <is>
          <t>UNKNOWN</t>
        </is>
      </c>
      <c r="Q49" s="71" t="inlineStr">
        <is>
          <t>OD1</t>
        </is>
      </c>
      <c r="R49" s="71" t="inlineStr">
        <is>
          <t>1404/12/29</t>
        </is>
      </c>
      <c r="S49" s="71" t="n"/>
      <c r="T49" s="71" t="inlineStr">
        <is>
          <t>خیر</t>
        </is>
      </c>
      <c r="U49" s="71" t="inlineStr">
        <is>
          <t>خیر</t>
        </is>
      </c>
    </row>
    <row r="50" ht="29" customHeight="1" s="76">
      <c r="A50" s="70" t="inlineStr">
        <is>
          <t>F10-M3</t>
        </is>
      </c>
      <c r="B50" s="70" t="inlineStr">
        <is>
          <t>رمپنا</t>
        </is>
      </c>
      <c r="C50" s="70" t="inlineStr">
        <is>
          <t>مدبر رضوی</t>
        </is>
      </c>
      <c r="D50" s="70" t="inlineStr">
        <is>
          <t>محمد اولیاء</t>
        </is>
      </c>
      <c r="E50" s="70" t="inlineStr">
        <is>
          <t>نماینده حقوقی</t>
        </is>
      </c>
      <c r="F50" s="70" t="inlineStr">
        <is>
          <t>نایب رئیس هیئت مدیره</t>
        </is>
      </c>
      <c r="G50" s="70" t="inlineStr">
        <is>
          <t>موظف</t>
        </is>
      </c>
      <c r="H50" s="70" t="n"/>
      <c r="I50" s="70" t="inlineStr">
        <is>
          <t>خیر</t>
        </is>
      </c>
      <c r="J50" s="70" t="inlineStr">
        <is>
          <t>NO_EXPLICIT_BOARD_LABEL_FOUND</t>
        </is>
      </c>
      <c r="K50" s="70" t="inlineStr">
        <is>
          <t>board</t>
        </is>
      </c>
      <c r="L50" s="70" t="n"/>
      <c r="M50" s="70" t="n"/>
      <c r="N50" s="70" t="inlineStr">
        <is>
          <t>Type19 1482306</t>
        </is>
      </c>
      <c r="O50" s="70" t="n"/>
      <c r="P50" s="70" t="inlineStr">
        <is>
          <t>NOT_INDEPENDENT_DOCUMENTED_EXECUTIVE</t>
        </is>
      </c>
      <c r="Q50" s="70" t="inlineStr">
        <is>
          <t>OD1</t>
        </is>
      </c>
      <c r="R50" s="70" t="inlineStr">
        <is>
          <t>1404/12/29</t>
        </is>
      </c>
      <c r="S50" s="70" t="inlineStr">
        <is>
          <t>موظف در اطلاعیه ن۴۵; مدیرعامل عضو هیئت مدیره</t>
        </is>
      </c>
      <c r="T50" s="70" t="inlineStr">
        <is>
          <t>بله</t>
        </is>
      </c>
      <c r="U50" s="70" t="inlineStr">
        <is>
          <t>خیر</t>
        </is>
      </c>
    </row>
    <row r="51" ht="29" customHeight="1" s="76">
      <c r="A51" s="71" t="inlineStr">
        <is>
          <t>F10-M4</t>
        </is>
      </c>
      <c r="B51" s="71" t="inlineStr">
        <is>
          <t>رمپنا</t>
        </is>
      </c>
      <c r="C51" s="71" t="inlineStr">
        <is>
          <t>سرمایه گذاری پیشگامان سریر رضوی</t>
        </is>
      </c>
      <c r="D51" s="71" t="inlineStr">
        <is>
          <t>خلیل بهبهانی</t>
        </is>
      </c>
      <c r="E51" s="71" t="inlineStr">
        <is>
          <t>نماینده حقوقی</t>
        </is>
      </c>
      <c r="F51" s="71" t="inlineStr">
        <is>
          <t>عضو هیئت مدیره</t>
        </is>
      </c>
      <c r="G51" s="71" t="inlineStr">
        <is>
          <t>غیر موظف</t>
        </is>
      </c>
      <c r="H51" s="71" t="n"/>
      <c r="I51" s="71" t="inlineStr">
        <is>
          <t>خیر</t>
        </is>
      </c>
      <c r="J51" s="71" t="inlineStr">
        <is>
          <t>NO_EXPLICIT_BOARD_LABEL_FOUND</t>
        </is>
      </c>
      <c r="K51" s="71" t="inlineStr">
        <is>
          <t>board</t>
        </is>
      </c>
      <c r="L51" s="71" t="n"/>
      <c r="M51" s="71" t="n"/>
      <c r="N51" s="71" t="inlineStr">
        <is>
          <t>Type19 1482306</t>
        </is>
      </c>
      <c r="O51" s="71" t="n"/>
      <c r="P51" s="71" t="inlineStr">
        <is>
          <t>UNKNOWN</t>
        </is>
      </c>
      <c r="Q51" s="71" t="inlineStr">
        <is>
          <t>OD1</t>
        </is>
      </c>
      <c r="R51" s="71" t="inlineStr">
        <is>
          <t>1404/12/29</t>
        </is>
      </c>
      <c r="S51" s="71" t="n"/>
      <c r="T51" s="71" t="inlineStr">
        <is>
          <t>خیر</t>
        </is>
      </c>
      <c r="U51" s="71" t="inlineStr">
        <is>
          <t>خیر</t>
        </is>
      </c>
    </row>
    <row r="52" ht="29" customHeight="1" s="76">
      <c r="A52" s="70" t="inlineStr">
        <is>
          <t>F10-M5</t>
        </is>
      </c>
      <c r="B52" s="70" t="inlineStr">
        <is>
          <t>رمپنا</t>
        </is>
      </c>
      <c r="C52" s="70" t="inlineStr">
        <is>
          <t>کسب و کار رضوی</t>
        </is>
      </c>
      <c r="D52" s="70" t="inlineStr">
        <is>
          <t>امیر هامونی</t>
        </is>
      </c>
      <c r="E52" s="70" t="inlineStr">
        <is>
          <t>نماینده حقوقی</t>
        </is>
      </c>
      <c r="F52" s="70" t="inlineStr">
        <is>
          <t>عضو هیئت مدیره</t>
        </is>
      </c>
      <c r="G52" s="70" t="inlineStr">
        <is>
          <t>غیر موظف</t>
        </is>
      </c>
      <c r="H52" s="70" t="n"/>
      <c r="I52" s="70" t="inlineStr">
        <is>
          <t>خیر</t>
        </is>
      </c>
      <c r="J52" s="70" t="inlineStr">
        <is>
          <t>NO_EXPLICIT_BOARD_LABEL_FOUND</t>
        </is>
      </c>
      <c r="K52" s="70" t="inlineStr">
        <is>
          <t>board</t>
        </is>
      </c>
      <c r="L52" s="70" t="n"/>
      <c r="M52" s="70" t="n"/>
      <c r="N52" s="70" t="inlineStr">
        <is>
          <t>Type19 1482306</t>
        </is>
      </c>
      <c r="O52" s="70" t="n"/>
      <c r="P52" s="70" t="inlineStr">
        <is>
          <t>UNKNOWN</t>
        </is>
      </c>
      <c r="Q52" s="70" t="inlineStr">
        <is>
          <t>OD1</t>
        </is>
      </c>
      <c r="R52" s="70" t="inlineStr">
        <is>
          <t>1404/12/29</t>
        </is>
      </c>
      <c r="S52" s="70" t="n"/>
      <c r="T52" s="70" t="inlineStr">
        <is>
          <t>خیر</t>
        </is>
      </c>
      <c r="U52" s="70" t="inlineStr">
        <is>
          <t>خیر</t>
        </is>
      </c>
    </row>
    <row r="53" ht="29" customHeight="1" s="76">
      <c r="A53" s="71" t="inlineStr">
        <is>
          <t>F11-M1</t>
        </is>
      </c>
      <c r="B53" s="71" t="inlineStr">
        <is>
          <t>فخوز</t>
        </is>
      </c>
      <c r="C53" s="71" t="inlineStr">
        <is>
          <t>گروه توسعه اقتصادی پایندگان</t>
        </is>
      </c>
      <c r="D53" s="71" t="inlineStr">
        <is>
          <t>امین ابراهیمی</t>
        </is>
      </c>
      <c r="E53" s="71" t="inlineStr">
        <is>
          <t>نماینده حقوقی</t>
        </is>
      </c>
      <c r="F53" s="71" t="inlineStr">
        <is>
          <t>نایب رئیس هیئت مدیره</t>
        </is>
      </c>
      <c r="G53" s="71" t="inlineStr">
        <is>
          <t>موظف</t>
        </is>
      </c>
      <c r="H53" s="71" t="inlineStr">
        <is>
          <t>موظف</t>
        </is>
      </c>
      <c r="I53" s="71" t="inlineStr">
        <is>
          <t>خیر</t>
        </is>
      </c>
      <c r="J53" s="71" t="inlineStr">
        <is>
          <t>NO_EXPLICIT_BOARD_LABEL_FOUND</t>
        </is>
      </c>
      <c r="K53" s="71" t="inlineStr">
        <is>
          <t>board</t>
        </is>
      </c>
      <c r="L53" s="71" t="n"/>
      <c r="M53" s="71" t="n"/>
      <c r="N53" s="71" t="inlineStr">
        <is>
          <t>Type19 1393004 ؛ گزارش SRC_FKHZ_1404_001</t>
        </is>
      </c>
      <c r="O53" s="71" t="n"/>
      <c r="P53" s="71" t="inlineStr">
        <is>
          <t>NOT_INDEPENDENT_DOCUMENTED_EXECUTIVE</t>
        </is>
      </c>
      <c r="Q53" s="71" t="inlineStr">
        <is>
          <t>OD1</t>
        </is>
      </c>
      <c r="R53" s="71" t="inlineStr">
        <is>
          <t>1404/12/29</t>
        </is>
      </c>
      <c r="S53" s="71" t="inlineStr">
        <is>
          <t>موظف در اطلاعیه ن۴۵; مدیرعامل عضو هیئت مدیره</t>
        </is>
      </c>
      <c r="T53" s="71" t="inlineStr">
        <is>
          <t>بله</t>
        </is>
      </c>
      <c r="U53" s="71" t="inlineStr">
        <is>
          <t>خیر</t>
        </is>
      </c>
    </row>
    <row r="54" ht="29" customHeight="1" s="76">
      <c r="A54" s="70" t="inlineStr">
        <is>
          <t>F11-M2</t>
        </is>
      </c>
      <c r="B54" s="70" t="inlineStr">
        <is>
          <t>فخوز</t>
        </is>
      </c>
      <c r="C54" s="70" t="inlineStr">
        <is>
          <t>سرمایه گذاری استان خوزستان</t>
        </is>
      </c>
      <c r="D54" s="70" t="inlineStr">
        <is>
          <t>عبدالمجید شریفی</t>
        </is>
      </c>
      <c r="E54" s="70" t="inlineStr">
        <is>
          <t>نماینده حقوقی</t>
        </is>
      </c>
      <c r="F54" s="70" t="inlineStr">
        <is>
          <t>عضو هیئت مدیره</t>
        </is>
      </c>
      <c r="G54" s="70" t="inlineStr">
        <is>
          <t>غیر موظف</t>
        </is>
      </c>
      <c r="H54" s="70" t="inlineStr">
        <is>
          <t>غیر موظف</t>
        </is>
      </c>
      <c r="I54" s="70" t="inlineStr">
        <is>
          <t>خیر</t>
        </is>
      </c>
      <c r="J54" s="70" t="inlineStr">
        <is>
          <t>NO_EXPLICIT_BOARD_LABEL_FOUND</t>
        </is>
      </c>
      <c r="K54" s="70" t="inlineStr">
        <is>
          <t>board</t>
        </is>
      </c>
      <c r="L54" s="70" t="n"/>
      <c r="M54" s="70" t="n"/>
      <c r="N54" s="70" t="inlineStr">
        <is>
          <t>Type19 1393004 ؛ گزارش SRC_FKHZ_1404_001</t>
        </is>
      </c>
      <c r="O54" s="70" t="n"/>
      <c r="P54" s="70" t="inlineStr">
        <is>
          <t>UNKNOWN</t>
        </is>
      </c>
      <c r="Q54" s="70" t="inlineStr">
        <is>
          <t>OD1</t>
        </is>
      </c>
      <c r="R54" s="70" t="inlineStr">
        <is>
          <t>1404/12/29</t>
        </is>
      </c>
      <c r="S54" s="70" t="n"/>
      <c r="T54" s="70" t="inlineStr">
        <is>
          <t>خیر</t>
        </is>
      </c>
      <c r="U54" s="70" t="inlineStr">
        <is>
          <t>خیر</t>
        </is>
      </c>
    </row>
    <row r="55" ht="29" customHeight="1" s="76">
      <c r="A55" s="71" t="inlineStr">
        <is>
          <t>F11-M3</t>
        </is>
      </c>
      <c r="B55" s="71" t="inlineStr">
        <is>
          <t>فخوز</t>
        </is>
      </c>
      <c r="C55" s="71" t="inlineStr">
        <is>
          <t>سرمایه گذاری سامان مجد</t>
        </is>
      </c>
      <c r="D55" s="71" t="inlineStr">
        <is>
          <t>محمد شهسواری</t>
        </is>
      </c>
      <c r="E55" s="71" t="inlineStr">
        <is>
          <t>نماینده حقوقی</t>
        </is>
      </c>
      <c r="F55" s="71" t="inlineStr">
        <is>
          <t>رئیس هیئت مدیره</t>
        </is>
      </c>
      <c r="G55" s="71" t="inlineStr">
        <is>
          <t>غیر موظف</t>
        </is>
      </c>
      <c r="H55" s="71" t="n"/>
      <c r="I55" s="71" t="inlineStr">
        <is>
          <t>خیر</t>
        </is>
      </c>
      <c r="J55" s="71" t="inlineStr">
        <is>
          <t>NO_EXPLICIT_BOARD_LABEL_FOUND</t>
        </is>
      </c>
      <c r="K55" s="71" t="inlineStr">
        <is>
          <t>board</t>
        </is>
      </c>
      <c r="L55" s="71" t="n"/>
      <c r="M55" s="71" t="n"/>
      <c r="N55" s="71" t="inlineStr">
        <is>
          <t>Type19 1393004 ؛ گزارش SRC_FKHZ_1404_001</t>
        </is>
      </c>
      <c r="O55" s="71" t="n"/>
      <c r="P55" s="71" t="inlineStr">
        <is>
          <t>UNKNOWN</t>
        </is>
      </c>
      <c r="Q55" s="71" t="inlineStr">
        <is>
          <t>OD1</t>
        </is>
      </c>
      <c r="R55" s="71" t="inlineStr">
        <is>
          <t>1404/12/29</t>
        </is>
      </c>
      <c r="S55" s="71" t="n"/>
      <c r="T55" s="71" t="inlineStr">
        <is>
          <t>خیر</t>
        </is>
      </c>
      <c r="U55" s="71" t="inlineStr">
        <is>
          <t>بله</t>
        </is>
      </c>
    </row>
    <row r="56" ht="29" customHeight="1" s="76">
      <c r="A56" s="70" t="inlineStr">
        <is>
          <t>F11-M4</t>
        </is>
      </c>
      <c r="B56" s="70" t="inlineStr">
        <is>
          <t>فخوز</t>
        </is>
      </c>
      <c r="C56" s="70" t="inlineStr">
        <is>
          <t>پیشران کسب و کار شریف</t>
        </is>
      </c>
      <c r="D56" s="70" t="inlineStr">
        <is>
          <t>سیدمحسن هاطلی اصفهانی</t>
        </is>
      </c>
      <c r="E56" s="70" t="inlineStr">
        <is>
          <t>نماینده حقوقی</t>
        </is>
      </c>
      <c r="F56" s="70" t="inlineStr">
        <is>
          <t>عضو هیئت مدیره</t>
        </is>
      </c>
      <c r="G56" s="70" t="inlineStr">
        <is>
          <t>غیر موظف</t>
        </is>
      </c>
      <c r="H56" s="70" t="n"/>
      <c r="I56" s="70" t="inlineStr">
        <is>
          <t>خیر</t>
        </is>
      </c>
      <c r="J56" s="70" t="inlineStr">
        <is>
          <t>NO_EXPLICIT_BOARD_LABEL_FOUND</t>
        </is>
      </c>
      <c r="K56" s="70" t="inlineStr">
        <is>
          <t>board</t>
        </is>
      </c>
      <c r="L56" s="70" t="n"/>
      <c r="M56" s="70" t="n"/>
      <c r="N56" s="70" t="inlineStr">
        <is>
          <t>Type19 1393004 ؛ گزارش SRC_FKHZ_1404_001</t>
        </is>
      </c>
      <c r="O56" s="70" t="n"/>
      <c r="P56" s="70" t="inlineStr">
        <is>
          <t>UNKNOWN</t>
        </is>
      </c>
      <c r="Q56" s="70" t="inlineStr">
        <is>
          <t>OD1</t>
        </is>
      </c>
      <c r="R56" s="70" t="inlineStr">
        <is>
          <t>1404/12/29</t>
        </is>
      </c>
      <c r="S56" s="70" t="n"/>
      <c r="T56" s="70" t="inlineStr">
        <is>
          <t>خیر</t>
        </is>
      </c>
      <c r="U56" s="70" t="inlineStr">
        <is>
          <t>خیر</t>
        </is>
      </c>
    </row>
    <row r="57" ht="29" customHeight="1" s="76">
      <c r="A57" s="71" t="inlineStr">
        <is>
          <t>F11-M5</t>
        </is>
      </c>
      <c r="B57" s="71" t="inlineStr">
        <is>
          <t>فخوز</t>
        </is>
      </c>
      <c r="C57" s="71" t="inlineStr">
        <is>
          <t>همراه سیر فردیس</t>
        </is>
      </c>
      <c r="D57" s="71" t="inlineStr">
        <is>
          <t>ابوذر شکری</t>
        </is>
      </c>
      <c r="E57" s="71" t="inlineStr">
        <is>
          <t>نماینده حقوقی</t>
        </is>
      </c>
      <c r="F57" s="71" t="inlineStr">
        <is>
          <t>عضو هیئت مدیره</t>
        </is>
      </c>
      <c r="G57" s="71" t="inlineStr">
        <is>
          <t>غیر موظف</t>
        </is>
      </c>
      <c r="H57" s="71" t="n"/>
      <c r="I57" s="71" t="inlineStr">
        <is>
          <t>خیر</t>
        </is>
      </c>
      <c r="J57" s="71" t="inlineStr">
        <is>
          <t>NO_EXPLICIT_BOARD_LABEL_FOUND</t>
        </is>
      </c>
      <c r="K57" s="71" t="inlineStr">
        <is>
          <t>board</t>
        </is>
      </c>
      <c r="L57" s="71" t="n"/>
      <c r="M57" s="71" t="n"/>
      <c r="N57" s="71" t="inlineStr">
        <is>
          <t>Type19 1393004 ؛ گزارش SRC_FKHZ_1404_001</t>
        </is>
      </c>
      <c r="O57" s="71" t="n"/>
      <c r="P57" s="71" t="inlineStr">
        <is>
          <t>UNKNOWN</t>
        </is>
      </c>
      <c r="Q57" s="71" t="inlineStr">
        <is>
          <t>OD1</t>
        </is>
      </c>
      <c r="R57" s="71" t="inlineStr">
        <is>
          <t>1404/12/29</t>
        </is>
      </c>
      <c r="S57" s="71" t="n"/>
      <c r="T57" s="71" t="inlineStr">
        <is>
          <t>خیر</t>
        </is>
      </c>
      <c r="U57" s="71" t="inlineStr">
        <is>
          <t>خیر</t>
        </is>
      </c>
    </row>
    <row r="58" ht="29" customHeight="1" s="76">
      <c r="A58" s="70" t="inlineStr">
        <is>
          <t>F12-M1</t>
        </is>
      </c>
      <c r="B58" s="70" t="inlineStr">
        <is>
          <t>شستا</t>
        </is>
      </c>
      <c r="C58" s="70" t="inlineStr">
        <is>
          <t>سازمان تامین اجتماعی</t>
        </is>
      </c>
      <c r="D58" s="70" t="inlineStr">
        <is>
          <t>محمدرضا سعیدی</t>
        </is>
      </c>
      <c r="E58" s="70" t="inlineStr">
        <is>
          <t>نماینده حقوقی</t>
        </is>
      </c>
      <c r="F58" s="70" t="inlineStr">
        <is>
          <t>نایب رئیس هیئت مدیره</t>
        </is>
      </c>
      <c r="G58" s="70" t="inlineStr">
        <is>
          <t>موظف</t>
        </is>
      </c>
      <c r="H58" s="70" t="inlineStr">
        <is>
          <t>موظف</t>
        </is>
      </c>
      <c r="I58" s="70" t="inlineStr">
        <is>
          <t>خیر</t>
        </is>
      </c>
      <c r="J58" s="70" t="inlineStr">
        <is>
          <t>NO_EXPLICIT_BOARD_LABEL_FOUND</t>
        </is>
      </c>
      <c r="K58" s="70" t="inlineStr">
        <is>
          <t>board</t>
        </is>
      </c>
      <c r="L58" s="70" t="n"/>
      <c r="M58" s="70" t="n"/>
      <c r="N58" s="70" t="inlineStr">
        <is>
          <t>Type19 1320931 ؛ گزارش SRC_SHST_1404_001</t>
        </is>
      </c>
      <c r="O58" s="70" t="n"/>
      <c r="P58" s="70" t="inlineStr">
        <is>
          <t>NOT_INDEPENDENT_DOCUMENTED_EXECUTIVE</t>
        </is>
      </c>
      <c r="Q58" s="70" t="inlineStr">
        <is>
          <t>OD1</t>
        </is>
      </c>
      <c r="R58" s="70" t="inlineStr">
        <is>
          <t>1404/03/31</t>
        </is>
      </c>
      <c r="S58" s="70" t="inlineStr">
        <is>
          <t>موظف در اطلاعیه ن۴۵; مدیرعامل عضو هیئت مدیره</t>
        </is>
      </c>
      <c r="T58" s="70" t="inlineStr">
        <is>
          <t>بله</t>
        </is>
      </c>
      <c r="U58" s="70" t="inlineStr">
        <is>
          <t>خیر</t>
        </is>
      </c>
    </row>
    <row r="59" ht="29" customHeight="1" s="76">
      <c r="A59" s="71" t="inlineStr">
        <is>
          <t>F12-M2</t>
        </is>
      </c>
      <c r="B59" s="71" t="inlineStr">
        <is>
          <t>شستا</t>
        </is>
      </c>
      <c r="C59" s="71" t="inlineStr">
        <is>
          <t>املاک ومستغلات تامین اجتماعی</t>
        </is>
      </c>
      <c r="D59" s="71" t="inlineStr">
        <is>
          <t>سیاوش افضلی</t>
        </is>
      </c>
      <c r="E59" s="71" t="inlineStr">
        <is>
          <t>نماینده حقوقی</t>
        </is>
      </c>
      <c r="F59" s="71" t="inlineStr">
        <is>
          <t>عضو هیئت مدیره</t>
        </is>
      </c>
      <c r="G59" s="71" t="inlineStr">
        <is>
          <t>غیر موظف</t>
        </is>
      </c>
      <c r="H59" s="71" t="n"/>
      <c r="I59" s="71" t="inlineStr">
        <is>
          <t>خیر</t>
        </is>
      </c>
      <c r="J59" s="71" t="inlineStr">
        <is>
          <t>NO_EXPLICIT_BOARD_LABEL_FOUND</t>
        </is>
      </c>
      <c r="K59" s="71" t="inlineStr">
        <is>
          <t>board</t>
        </is>
      </c>
      <c r="L59" s="71" t="n"/>
      <c r="M59" s="71" t="n"/>
      <c r="N59" s="71" t="inlineStr">
        <is>
          <t>Type19 1320931 ؛ گزارش SRC_SHST_1404_001</t>
        </is>
      </c>
      <c r="O59" s="71" t="n"/>
      <c r="P59" s="71" t="inlineStr">
        <is>
          <t>UNKNOWN</t>
        </is>
      </c>
      <c r="Q59" s="71" t="inlineStr">
        <is>
          <t>OD1</t>
        </is>
      </c>
      <c r="R59" s="71" t="inlineStr">
        <is>
          <t>1404/03/31</t>
        </is>
      </c>
      <c r="S59" s="71" t="n"/>
      <c r="T59" s="71" t="inlineStr">
        <is>
          <t>خیر</t>
        </is>
      </c>
      <c r="U59" s="71" t="inlineStr">
        <is>
          <t>خیر</t>
        </is>
      </c>
    </row>
    <row r="60" ht="29" customHeight="1" s="76">
      <c r="A60" s="70" t="inlineStr">
        <is>
          <t>F12-M3</t>
        </is>
      </c>
      <c r="B60" s="70" t="inlineStr">
        <is>
          <t>شستا</t>
        </is>
      </c>
      <c r="C60" s="70" t="inlineStr">
        <is>
          <t>سرمایه گذاری خانه سازی ایران</t>
        </is>
      </c>
      <c r="D60" s="70" t="inlineStr">
        <is>
          <t>غلام رضا رحیمی</t>
        </is>
      </c>
      <c r="E60" s="70" t="inlineStr">
        <is>
          <t>نماینده حقوقی</t>
        </is>
      </c>
      <c r="F60" s="70" t="inlineStr">
        <is>
          <t>رئیس هیئت مدیره</t>
        </is>
      </c>
      <c r="G60" s="70" t="inlineStr">
        <is>
          <t>غیر موظف</t>
        </is>
      </c>
      <c r="H60" s="70" t="n"/>
      <c r="I60" s="70" t="inlineStr">
        <is>
          <t>خیر</t>
        </is>
      </c>
      <c r="J60" s="70" t="inlineStr">
        <is>
          <t>NO_EXPLICIT_BOARD_LABEL_FOUND</t>
        </is>
      </c>
      <c r="K60" s="70" t="inlineStr">
        <is>
          <t>board</t>
        </is>
      </c>
      <c r="L60" s="70" t="n"/>
      <c r="M60" s="70" t="n"/>
      <c r="N60" s="70" t="inlineStr">
        <is>
          <t>Type19 1320931 ؛ گزارش SRC_SHST_1404_001</t>
        </is>
      </c>
      <c r="O60" s="70" t="n"/>
      <c r="P60" s="70" t="inlineStr">
        <is>
          <t>UNKNOWN</t>
        </is>
      </c>
      <c r="Q60" s="70" t="inlineStr">
        <is>
          <t>OD1</t>
        </is>
      </c>
      <c r="R60" s="70" t="inlineStr">
        <is>
          <t>1404/03/31</t>
        </is>
      </c>
      <c r="S60" s="70" t="n"/>
      <c r="T60" s="70" t="inlineStr">
        <is>
          <t>خیر</t>
        </is>
      </c>
      <c r="U60" s="70" t="inlineStr">
        <is>
          <t>بله</t>
        </is>
      </c>
    </row>
    <row r="61" ht="29" customHeight="1" s="76">
      <c r="A61" s="71" t="inlineStr">
        <is>
          <t>F12-M4</t>
        </is>
      </c>
      <c r="B61" s="71" t="inlineStr">
        <is>
          <t>شستا</t>
        </is>
      </c>
      <c r="C61" s="71" t="inlineStr">
        <is>
          <t>خدمات بهداشتی درمانی میلاد سلامت تهران</t>
        </is>
      </c>
      <c r="D61" s="71" t="inlineStr">
        <is>
          <t>عادل دهدشتی</t>
        </is>
      </c>
      <c r="E61" s="71" t="inlineStr">
        <is>
          <t>نماینده حقوقی</t>
        </is>
      </c>
      <c r="F61" s="71" t="inlineStr">
        <is>
          <t>عضو هیئت مدیره</t>
        </is>
      </c>
      <c r="G61" s="71" t="inlineStr">
        <is>
          <t>غیر موظف</t>
        </is>
      </c>
      <c r="H61" s="71" t="n"/>
      <c r="I61" s="71" t="inlineStr">
        <is>
          <t>خیر</t>
        </is>
      </c>
      <c r="J61" s="71" t="inlineStr">
        <is>
          <t>NO_EXPLICIT_BOARD_LABEL_FOUND</t>
        </is>
      </c>
      <c r="K61" s="71" t="inlineStr">
        <is>
          <t>board</t>
        </is>
      </c>
      <c r="L61" s="71" t="n"/>
      <c r="M61" s="71" t="n"/>
      <c r="N61" s="71" t="inlineStr">
        <is>
          <t>Type19 1320931 ؛ گزارش SRC_SHST_1404_001</t>
        </is>
      </c>
      <c r="O61" s="71" t="n"/>
      <c r="P61" s="71" t="inlineStr">
        <is>
          <t>UNKNOWN</t>
        </is>
      </c>
      <c r="Q61" s="71" t="inlineStr">
        <is>
          <t>OD1</t>
        </is>
      </c>
      <c r="R61" s="71" t="inlineStr">
        <is>
          <t>1404/03/31</t>
        </is>
      </c>
      <c r="S61" s="71" t="n"/>
      <c r="T61" s="71" t="inlineStr">
        <is>
          <t>خیر</t>
        </is>
      </c>
      <c r="U61" s="71" t="inlineStr">
        <is>
          <t>خیر</t>
        </is>
      </c>
    </row>
    <row r="62" ht="29" customHeight="1" s="76">
      <c r="A62" s="70" t="inlineStr">
        <is>
          <t>F12-M5</t>
        </is>
      </c>
      <c r="B62" s="70" t="inlineStr">
        <is>
          <t>شستا</t>
        </is>
      </c>
      <c r="C62" s="70" t="inlineStr">
        <is>
          <t>رفاه گستر تامین اجتماعی</t>
        </is>
      </c>
      <c r="D62" s="70" t="inlineStr">
        <is>
          <t>علیرضا چناری</t>
        </is>
      </c>
      <c r="E62" s="70" t="inlineStr">
        <is>
          <t>نماینده حقوقی</t>
        </is>
      </c>
      <c r="F62" s="70" t="inlineStr">
        <is>
          <t>عضو هیئت مدیره</t>
        </is>
      </c>
      <c r="G62" s="70" t="inlineStr">
        <is>
          <t>موظف</t>
        </is>
      </c>
      <c r="H62" s="70" t="inlineStr">
        <is>
          <t>موظف</t>
        </is>
      </c>
      <c r="I62" s="70" t="inlineStr">
        <is>
          <t>خیر</t>
        </is>
      </c>
      <c r="J62" s="70" t="inlineStr">
        <is>
          <t>NO_EXPLICIT_BOARD_LABEL_FOUND</t>
        </is>
      </c>
      <c r="K62" s="70" t="inlineStr">
        <is>
          <t>board</t>
        </is>
      </c>
      <c r="L62" s="70" t="n"/>
      <c r="M62" s="70" t="n"/>
      <c r="N62" s="70" t="inlineStr">
        <is>
          <t>Type19 1320931 ؛ گزارش SRC_SHST_1404_001</t>
        </is>
      </c>
      <c r="O62" s="70" t="n"/>
      <c r="P62" s="70" t="inlineStr">
        <is>
          <t>NOT_INDEPENDENT_DOCUMENTED_EXECUTIVE</t>
        </is>
      </c>
      <c r="Q62" s="70" t="inlineStr">
        <is>
          <t>OD1</t>
        </is>
      </c>
      <c r="R62" s="70" t="inlineStr">
        <is>
          <t>1404/03/31</t>
        </is>
      </c>
      <c r="S62" s="70" t="inlineStr">
        <is>
          <t>موظف در اطلاعیه ن۴۵</t>
        </is>
      </c>
      <c r="T62" s="70" t="inlineStr">
        <is>
          <t>خیر</t>
        </is>
      </c>
      <c r="U62" s="70" t="inlineStr">
        <is>
          <t>خیر</t>
        </is>
      </c>
    </row>
    <row r="63" ht="29" customHeight="1" s="76">
      <c r="A63" s="71" t="inlineStr">
        <is>
          <t>F13-M1</t>
        </is>
      </c>
      <c r="B63" s="71" t="inlineStr">
        <is>
          <t>شپنا</t>
        </is>
      </c>
      <c r="C63" s="71" t="inlineStr">
        <is>
          <t>سرمایه گذاری استان چهارمحال و بختیاری</t>
        </is>
      </c>
      <c r="D63" s="71" t="inlineStr">
        <is>
          <t>عنایت اله نصیری جهان آباد</t>
        </is>
      </c>
      <c r="E63" s="71" t="inlineStr">
        <is>
          <t>نماینده حقوقی</t>
        </is>
      </c>
      <c r="F63" s="71" t="inlineStr">
        <is>
          <t>عضو هیئت مدیره</t>
        </is>
      </c>
      <c r="G63" s="71" t="inlineStr">
        <is>
          <t>موظف</t>
        </is>
      </c>
      <c r="H63" s="71" t="n"/>
      <c r="I63" s="71" t="inlineStr">
        <is>
          <t>خیر</t>
        </is>
      </c>
      <c r="J63" s="71" t="inlineStr">
        <is>
          <t>NO_EXPLICIT_BOARD_LABEL_FOUND</t>
        </is>
      </c>
      <c r="K63" s="71" t="inlineStr">
        <is>
          <t>board</t>
        </is>
      </c>
      <c r="L63" s="71" t="n"/>
      <c r="M63" s="71" t="n"/>
      <c r="N63" s="71" t="inlineStr">
        <is>
          <t>Type19 1428503</t>
        </is>
      </c>
      <c r="O63" s="71" t="n"/>
      <c r="P63" s="71" t="inlineStr">
        <is>
          <t>NOT_INDEPENDENT_DOCUMENTED_EXECUTIVE</t>
        </is>
      </c>
      <c r="Q63" s="71" t="inlineStr">
        <is>
          <t>OD1</t>
        </is>
      </c>
      <c r="R63" s="71" t="inlineStr">
        <is>
          <t>1404/12/29</t>
        </is>
      </c>
      <c r="S63" s="71" t="inlineStr">
        <is>
          <t>موظف در اطلاعیه ن۴۵</t>
        </is>
      </c>
      <c r="T63" s="71" t="inlineStr">
        <is>
          <t>خیر</t>
        </is>
      </c>
      <c r="U63" s="71" t="inlineStr">
        <is>
          <t>خیر</t>
        </is>
      </c>
    </row>
    <row r="64" ht="29" customHeight="1" s="76">
      <c r="A64" s="70" t="inlineStr">
        <is>
          <t>F13-M2</t>
        </is>
      </c>
      <c r="B64" s="70" t="inlineStr">
        <is>
          <t>شپنا</t>
        </is>
      </c>
      <c r="C64" s="70" t="inlineStr">
        <is>
          <t>آوای پردیس سلامت</t>
        </is>
      </c>
      <c r="D64" s="70" t="inlineStr">
        <is>
          <t>سیدمحمود سیدی</t>
        </is>
      </c>
      <c r="E64" s="70" t="inlineStr">
        <is>
          <t>نماینده حقوقی</t>
        </is>
      </c>
      <c r="F64" s="70" t="inlineStr">
        <is>
          <t>عضو هیئت مدیره</t>
        </is>
      </c>
      <c r="G64" s="70" t="inlineStr">
        <is>
          <t>غیر موظف</t>
        </is>
      </c>
      <c r="H64" s="70" t="n"/>
      <c r="I64" s="70" t="inlineStr">
        <is>
          <t>خیر</t>
        </is>
      </c>
      <c r="J64" s="70" t="inlineStr">
        <is>
          <t>NO_EXPLICIT_BOARD_LABEL_FOUND</t>
        </is>
      </c>
      <c r="K64" s="70" t="inlineStr">
        <is>
          <t>board</t>
        </is>
      </c>
      <c r="L64" s="70" t="n"/>
      <c r="M64" s="70" t="n"/>
      <c r="N64" s="70" t="inlineStr">
        <is>
          <t>Type19 1428503</t>
        </is>
      </c>
      <c r="O64" s="70" t="n"/>
      <c r="P64" s="70" t="inlineStr">
        <is>
          <t>UNKNOWN</t>
        </is>
      </c>
      <c r="Q64" s="70" t="inlineStr">
        <is>
          <t>OD1</t>
        </is>
      </c>
      <c r="R64" s="70" t="inlineStr">
        <is>
          <t>1404/12/29</t>
        </is>
      </c>
      <c r="S64" s="70" t="n"/>
      <c r="T64" s="70" t="inlineStr">
        <is>
          <t>خیر</t>
        </is>
      </c>
      <c r="U64" s="70" t="inlineStr">
        <is>
          <t>خیر</t>
        </is>
      </c>
    </row>
    <row r="65" ht="29" customHeight="1" s="76">
      <c r="A65" s="71" t="inlineStr">
        <is>
          <t>F13-M3</t>
        </is>
      </c>
      <c r="B65" s="71" t="inlineStr">
        <is>
          <t>شپنا</t>
        </is>
      </c>
      <c r="C65" s="71" t="inlineStr">
        <is>
          <t>توسعه سرمایه رفاه</t>
        </is>
      </c>
      <c r="D65" s="71" t="inlineStr">
        <is>
          <t>امید جلیل پور</t>
        </is>
      </c>
      <c r="E65" s="71" t="inlineStr">
        <is>
          <t>نماینده حقوقی</t>
        </is>
      </c>
      <c r="F65" s="71" t="inlineStr">
        <is>
          <t>عضو هیئت مدیره</t>
        </is>
      </c>
      <c r="G65" s="71" t="inlineStr">
        <is>
          <t>غیر موظف</t>
        </is>
      </c>
      <c r="H65" s="71" t="n"/>
      <c r="I65" s="71" t="inlineStr">
        <is>
          <t>خیر</t>
        </is>
      </c>
      <c r="J65" s="71" t="inlineStr">
        <is>
          <t>NO_EXPLICIT_BOARD_LABEL_FOUND</t>
        </is>
      </c>
      <c r="K65" s="71" t="inlineStr">
        <is>
          <t>board</t>
        </is>
      </c>
      <c r="L65" s="71" t="n"/>
      <c r="M65" s="71" t="n"/>
      <c r="N65" s="71" t="inlineStr">
        <is>
          <t>Type19 1428503</t>
        </is>
      </c>
      <c r="O65" s="71" t="n"/>
      <c r="P65" s="71" t="inlineStr">
        <is>
          <t>UNKNOWN</t>
        </is>
      </c>
      <c r="Q65" s="71" t="inlineStr">
        <is>
          <t>OD1</t>
        </is>
      </c>
      <c r="R65" s="71" t="inlineStr">
        <is>
          <t>1404/12/29</t>
        </is>
      </c>
      <c r="S65" s="71" t="n"/>
      <c r="T65" s="71" t="inlineStr">
        <is>
          <t>خیر</t>
        </is>
      </c>
      <c r="U65" s="71" t="inlineStr">
        <is>
          <t>خیر</t>
        </is>
      </c>
    </row>
    <row r="66" ht="29" customHeight="1" s="76">
      <c r="A66" s="70" t="inlineStr">
        <is>
          <t>F13-M4</t>
        </is>
      </c>
      <c r="B66" s="70" t="inlineStr">
        <is>
          <t>شپنا</t>
        </is>
      </c>
      <c r="C66" s="70" t="inlineStr">
        <is>
          <t>سرمایه گذاری ایرانیان</t>
        </is>
      </c>
      <c r="D66" s="70" t="inlineStr">
        <is>
          <t>غلامرضا باقری دیزج</t>
        </is>
      </c>
      <c r="E66" s="70" t="inlineStr">
        <is>
          <t>نماینده حقوقی</t>
        </is>
      </c>
      <c r="F66" s="70" t="inlineStr">
        <is>
          <t>نایب رئیس هیئت مدیره</t>
        </is>
      </c>
      <c r="G66" s="70" t="inlineStr">
        <is>
          <t>موظف</t>
        </is>
      </c>
      <c r="H66" s="70" t="n"/>
      <c r="I66" s="70" t="inlineStr">
        <is>
          <t>خیر</t>
        </is>
      </c>
      <c r="J66" s="70" t="inlineStr">
        <is>
          <t>NO_EXPLICIT_BOARD_LABEL_FOUND</t>
        </is>
      </c>
      <c r="K66" s="70" t="inlineStr">
        <is>
          <t>board</t>
        </is>
      </c>
      <c r="L66" s="70" t="n"/>
      <c r="M66" s="70" t="n"/>
      <c r="N66" s="70" t="inlineStr">
        <is>
          <t>Type19 1428503</t>
        </is>
      </c>
      <c r="O66" s="70" t="n"/>
      <c r="P66" s="70" t="inlineStr">
        <is>
          <t>NOT_INDEPENDENT_DOCUMENTED_EXECUTIVE</t>
        </is>
      </c>
      <c r="Q66" s="70" t="inlineStr">
        <is>
          <t>OD1</t>
        </is>
      </c>
      <c r="R66" s="70" t="inlineStr">
        <is>
          <t>1404/12/29</t>
        </is>
      </c>
      <c r="S66" s="70" t="inlineStr">
        <is>
          <t>موظف در اطلاعیه ن۴۵; مدیرعامل عضو هیئت مدیره</t>
        </is>
      </c>
      <c r="T66" s="70" t="inlineStr">
        <is>
          <t>بله</t>
        </is>
      </c>
      <c r="U66" s="70" t="inlineStr">
        <is>
          <t>خیر</t>
        </is>
      </c>
    </row>
    <row r="67" ht="29" customHeight="1" s="76">
      <c r="A67" s="71" t="inlineStr">
        <is>
          <t>F13-M5</t>
        </is>
      </c>
      <c r="B67" s="71" t="inlineStr">
        <is>
          <t>شپنا</t>
        </is>
      </c>
      <c r="C67" s="71" t="inlineStr">
        <is>
          <t>گروه پتروشیمی تابان فردا</t>
        </is>
      </c>
      <c r="D67" s="71" t="inlineStr">
        <is>
          <t>فرهاد امین دهقان</t>
        </is>
      </c>
      <c r="E67" s="71" t="inlineStr">
        <is>
          <t>نماینده حقوقی</t>
        </is>
      </c>
      <c r="F67" s="71" t="inlineStr">
        <is>
          <t>رئیس هیئت مدیره</t>
        </is>
      </c>
      <c r="G67" s="71" t="inlineStr">
        <is>
          <t>غیر موظف</t>
        </is>
      </c>
      <c r="H67" s="71" t="n"/>
      <c r="I67" s="71" t="inlineStr">
        <is>
          <t>خیر</t>
        </is>
      </c>
      <c r="J67" s="71" t="inlineStr">
        <is>
          <t>NO_EXPLICIT_BOARD_LABEL_FOUND</t>
        </is>
      </c>
      <c r="K67" s="71" t="inlineStr">
        <is>
          <t>board</t>
        </is>
      </c>
      <c r="L67" s="71" t="n"/>
      <c r="M67" s="71" t="n"/>
      <c r="N67" s="71" t="inlineStr">
        <is>
          <t>Type19 1428503</t>
        </is>
      </c>
      <c r="O67" s="71" t="n"/>
      <c r="P67" s="71" t="inlineStr">
        <is>
          <t>UNKNOWN</t>
        </is>
      </c>
      <c r="Q67" s="71" t="inlineStr">
        <is>
          <t>OD1</t>
        </is>
      </c>
      <c r="R67" s="71" t="inlineStr">
        <is>
          <t>1404/12/29</t>
        </is>
      </c>
      <c r="S67" s="71" t="n"/>
      <c r="T67" s="71" t="inlineStr">
        <is>
          <t>خیر</t>
        </is>
      </c>
      <c r="U67" s="71" t="inlineStr">
        <is>
          <t>بله</t>
        </is>
      </c>
    </row>
    <row r="68" ht="29" customHeight="1" s="76">
      <c r="A68" s="70" t="inlineStr">
        <is>
          <t>F14-M1</t>
        </is>
      </c>
      <c r="B68" s="70" t="inlineStr">
        <is>
          <t>وغدیر</t>
        </is>
      </c>
      <c r="C68" s="70" t="inlineStr">
        <is>
          <t>توسعه و مدیریت سرمایه صبا</t>
        </is>
      </c>
      <c r="D68" s="70" t="inlineStr">
        <is>
          <t>متین دیداری</t>
        </is>
      </c>
      <c r="E68" s="70" t="inlineStr">
        <is>
          <t>نماینده حقوقی</t>
        </is>
      </c>
      <c r="F68" s="70" t="inlineStr">
        <is>
          <t>عضو هیئت مدیره</t>
        </is>
      </c>
      <c r="G68" s="70" t="inlineStr">
        <is>
          <t>غیر موظف</t>
        </is>
      </c>
      <c r="H68" s="70" t="inlineStr">
        <is>
          <t>غیر موظف</t>
        </is>
      </c>
      <c r="I68" s="70" t="inlineStr">
        <is>
          <t>خیر</t>
        </is>
      </c>
      <c r="J68" s="70" t="inlineStr">
        <is>
          <t>NO_EXPLICIT_BOARD_LABEL_FOUND</t>
        </is>
      </c>
      <c r="K68" s="70" t="inlineStr">
        <is>
          <t>board</t>
        </is>
      </c>
      <c r="L68" s="70" t="n"/>
      <c r="M68" s="70" t="n"/>
      <c r="N68" s="70" t="inlineStr">
        <is>
          <t>Type19 1405584 ؛ گزارش SRC_VGHD_1404_001</t>
        </is>
      </c>
      <c r="O68" s="70" t="n"/>
      <c r="P68" s="70" t="inlineStr">
        <is>
          <t>UNKNOWN</t>
        </is>
      </c>
      <c r="Q68" s="70" t="inlineStr">
        <is>
          <t>OD1</t>
        </is>
      </c>
      <c r="R68" s="70" t="inlineStr">
        <is>
          <t>1404/09/30</t>
        </is>
      </c>
      <c r="S68" s="70" t="n"/>
      <c r="T68" s="70" t="inlineStr">
        <is>
          <t>خیر</t>
        </is>
      </c>
      <c r="U68" s="70" t="inlineStr">
        <is>
          <t>خیر</t>
        </is>
      </c>
    </row>
    <row r="69" ht="29" customHeight="1" s="76">
      <c r="A69" s="71" t="inlineStr">
        <is>
          <t>F14-M2</t>
        </is>
      </c>
      <c r="B69" s="71" t="inlineStr">
        <is>
          <t>وغدیر</t>
        </is>
      </c>
      <c r="C69" s="71" t="inlineStr">
        <is>
          <t>سرمایه گذاری تجاری شستان</t>
        </is>
      </c>
      <c r="D69" s="71" t="inlineStr">
        <is>
          <t>مهدی ریاضی کلاهدوزمحله</t>
        </is>
      </c>
      <c r="E69" s="71" t="inlineStr">
        <is>
          <t>نماینده حقوقی</t>
        </is>
      </c>
      <c r="F69" s="71" t="inlineStr">
        <is>
          <t>عضو هیئت مدیره</t>
        </is>
      </c>
      <c r="G69" s="71" t="inlineStr">
        <is>
          <t>غیر موظف</t>
        </is>
      </c>
      <c r="H69" s="71" t="inlineStr">
        <is>
          <t>غیر موظف</t>
        </is>
      </c>
      <c r="I69" s="71" t="inlineStr">
        <is>
          <t>خیر</t>
        </is>
      </c>
      <c r="J69" s="71" t="inlineStr">
        <is>
          <t>NO_EXPLICIT_BOARD_LABEL_FOUND</t>
        </is>
      </c>
      <c r="K69" s="71" t="inlineStr">
        <is>
          <t>board</t>
        </is>
      </c>
      <c r="L69" s="71" t="n"/>
      <c r="M69" s="71" t="n"/>
      <c r="N69" s="71" t="inlineStr">
        <is>
          <t>Type19 1405584 ؛ گزارش SRC_VGHD_1404_001</t>
        </is>
      </c>
      <c r="O69" s="71" t="n"/>
      <c r="P69" s="71" t="inlineStr">
        <is>
          <t>UNKNOWN</t>
        </is>
      </c>
      <c r="Q69" s="71" t="inlineStr">
        <is>
          <t>OD1</t>
        </is>
      </c>
      <c r="R69" s="71" t="inlineStr">
        <is>
          <t>1404/09/30</t>
        </is>
      </c>
      <c r="S69" s="71" t="n"/>
      <c r="T69" s="71" t="inlineStr">
        <is>
          <t>خیر</t>
        </is>
      </c>
      <c r="U69" s="71" t="inlineStr">
        <is>
          <t>خیر</t>
        </is>
      </c>
    </row>
    <row r="70" ht="43.5" customHeight="1" s="76">
      <c r="A70" s="70" t="inlineStr">
        <is>
          <t>F14-M3</t>
        </is>
      </c>
      <c r="B70" s="70" t="inlineStr">
        <is>
          <t>وغدیر</t>
        </is>
      </c>
      <c r="C70" s="70" t="inlineStr">
        <is>
          <t>صندوق بازنشستگی وظیفه از کار افتادگی و پس انداز کارکنان بانکهای ملی و ادغام شده</t>
        </is>
      </c>
      <c r="D70" s="70" t="inlineStr">
        <is>
          <t>علی اکبر مصطفی پور</t>
        </is>
      </c>
      <c r="E70" s="70" t="inlineStr">
        <is>
          <t>نماینده حقوقی</t>
        </is>
      </c>
      <c r="F70" s="70" t="inlineStr">
        <is>
          <t>نایب رئیس هیئت مدیره</t>
        </is>
      </c>
      <c r="G70" s="70" t="inlineStr">
        <is>
          <t>غیر موظف</t>
        </is>
      </c>
      <c r="H70" s="70" t="inlineStr">
        <is>
          <t>غیر موظف</t>
        </is>
      </c>
      <c r="I70" s="70" t="inlineStr">
        <is>
          <t>خیر</t>
        </is>
      </c>
      <c r="J70" s="70" t="inlineStr">
        <is>
          <t>NO_EXPLICIT_BOARD_LABEL_FOUND</t>
        </is>
      </c>
      <c r="K70" s="70" t="inlineStr">
        <is>
          <t>board</t>
        </is>
      </c>
      <c r="L70" s="70" t="n"/>
      <c r="M70" s="70" t="n"/>
      <c r="N70" s="70" t="inlineStr">
        <is>
          <t>Type19 1405584 ؛ گزارش SRC_VGHD_1404_001</t>
        </is>
      </c>
      <c r="O70" s="70" t="n"/>
      <c r="P70" s="70" t="inlineStr">
        <is>
          <t>UNKNOWN</t>
        </is>
      </c>
      <c r="Q70" s="70" t="inlineStr">
        <is>
          <t>OD1</t>
        </is>
      </c>
      <c r="R70" s="70" t="inlineStr">
        <is>
          <t>1404/09/30</t>
        </is>
      </c>
      <c r="S70" s="70" t="n"/>
      <c r="T70" s="70" t="inlineStr">
        <is>
          <t>خیر</t>
        </is>
      </c>
      <c r="U70" s="70" t="inlineStr">
        <is>
          <t>خیر</t>
        </is>
      </c>
    </row>
    <row r="71" ht="29" customHeight="1" s="76">
      <c r="A71" s="71" t="inlineStr">
        <is>
          <t>F14-M4</t>
        </is>
      </c>
      <c r="B71" s="71" t="inlineStr">
        <is>
          <t>وغدیر</t>
        </is>
      </c>
      <c r="C71" s="71" t="inlineStr">
        <is>
          <t>صندوق بازنشستگی نیروهای مسلح</t>
        </is>
      </c>
      <c r="D71" s="71" t="inlineStr">
        <is>
          <t>سیدمجید هدایت</t>
        </is>
      </c>
      <c r="E71" s="71" t="inlineStr">
        <is>
          <t>نماینده حقوقی</t>
        </is>
      </c>
      <c r="F71" s="71" t="inlineStr">
        <is>
          <t>عضو هیئت مدیره</t>
        </is>
      </c>
      <c r="G71" s="71" t="inlineStr">
        <is>
          <t>موظف</t>
        </is>
      </c>
      <c r="H71" s="71" t="inlineStr">
        <is>
          <t>موظف</t>
        </is>
      </c>
      <c r="I71" s="71" t="inlineStr">
        <is>
          <t>خیر</t>
        </is>
      </c>
      <c r="J71" s="71" t="inlineStr">
        <is>
          <t>NO_EXPLICIT_BOARD_LABEL_FOUND</t>
        </is>
      </c>
      <c r="K71" s="71" t="inlineStr">
        <is>
          <t>board</t>
        </is>
      </c>
      <c r="L71" s="71" t="n"/>
      <c r="M71" s="71" t="n"/>
      <c r="N71" s="71" t="inlineStr">
        <is>
          <t>Type19 1405584 ؛ گزارش SRC_VGHD_1404_001</t>
        </is>
      </c>
      <c r="O71" s="71" t="n"/>
      <c r="P71" s="71" t="inlineStr">
        <is>
          <t>NOT_INDEPENDENT_DOCUMENTED_EXECUTIVE</t>
        </is>
      </c>
      <c r="Q71" s="71" t="inlineStr">
        <is>
          <t>OD1</t>
        </is>
      </c>
      <c r="R71" s="71" t="inlineStr">
        <is>
          <t>1404/09/30</t>
        </is>
      </c>
      <c r="S71" s="71" t="inlineStr">
        <is>
          <t>موظف در اطلاعیه ن۴۵; مدیرعامل عضو هیئت مدیره</t>
        </is>
      </c>
      <c r="T71" s="71" t="inlineStr">
        <is>
          <t>بله</t>
        </is>
      </c>
      <c r="U71" s="71" t="inlineStr">
        <is>
          <t>خیر</t>
        </is>
      </c>
    </row>
    <row r="72" ht="29" customHeight="1" s="76">
      <c r="A72" s="70" t="inlineStr">
        <is>
          <t>F14-M5</t>
        </is>
      </c>
      <c r="B72" s="70" t="inlineStr">
        <is>
          <t>وغدیر</t>
        </is>
      </c>
      <c r="C72" s="70" t="inlineStr">
        <is>
          <t>صندوق بیمه عمر و حوادث نیروهای مسلح</t>
        </is>
      </c>
      <c r="D72" s="70" t="inlineStr">
        <is>
          <t>احد امیری</t>
        </is>
      </c>
      <c r="E72" s="70" t="inlineStr">
        <is>
          <t>نماینده حقوقی</t>
        </is>
      </c>
      <c r="F72" s="70" t="inlineStr">
        <is>
          <t>رئیس هیئت مدیره</t>
        </is>
      </c>
      <c r="G72" s="70" t="inlineStr">
        <is>
          <t>غیر موظف</t>
        </is>
      </c>
      <c r="H72" s="70" t="inlineStr">
        <is>
          <t>غیر موظف</t>
        </is>
      </c>
      <c r="I72" s="70" t="inlineStr">
        <is>
          <t>خیر</t>
        </is>
      </c>
      <c r="J72" s="70" t="inlineStr">
        <is>
          <t>NO_EXPLICIT_BOARD_LABEL_FOUND</t>
        </is>
      </c>
      <c r="K72" s="70" t="inlineStr">
        <is>
          <t>board</t>
        </is>
      </c>
      <c r="L72" s="70" t="n"/>
      <c r="M72" s="70" t="n"/>
      <c r="N72" s="70" t="inlineStr">
        <is>
          <t>Type19 1405584 ؛ گزارش SRC_VGHD_1404_001</t>
        </is>
      </c>
      <c r="O72" s="70" t="n"/>
      <c r="P72" s="70" t="inlineStr">
        <is>
          <t>UNKNOWN</t>
        </is>
      </c>
      <c r="Q72" s="70" t="inlineStr">
        <is>
          <t>OD1</t>
        </is>
      </c>
      <c r="R72" s="70" t="inlineStr">
        <is>
          <t>1404/09/30</t>
        </is>
      </c>
      <c r="S72" s="70" t="n"/>
      <c r="T72" s="70" t="inlineStr">
        <is>
          <t>خیر</t>
        </is>
      </c>
      <c r="U72" s="70" t="inlineStr">
        <is>
          <t>بله</t>
        </is>
      </c>
    </row>
    <row r="73" ht="29" customHeight="1" s="76">
      <c r="A73" s="71" t="inlineStr">
        <is>
          <t>F15-M1</t>
        </is>
      </c>
      <c r="B73" s="71" t="inlineStr">
        <is>
          <t>نوری</t>
        </is>
      </c>
      <c r="C73" s="71" t="inlineStr">
        <is>
          <t>سرمایه گذاری نفت و گاز و پتروشیمی تامین</t>
        </is>
      </c>
      <c r="D73" s="71" t="inlineStr">
        <is>
          <t>صالح رحیمی</t>
        </is>
      </c>
      <c r="E73" s="71" t="inlineStr">
        <is>
          <t>نماینده حقوقی</t>
        </is>
      </c>
      <c r="F73" s="71" t="inlineStr">
        <is>
          <t>عضو هیئت مدیره</t>
        </is>
      </c>
      <c r="G73" s="71" t="inlineStr">
        <is>
          <t>غیر موظف</t>
        </is>
      </c>
      <c r="H73" s="71" t="n"/>
      <c r="I73" s="71" t="inlineStr">
        <is>
          <t>خیر</t>
        </is>
      </c>
      <c r="J73" s="71" t="inlineStr">
        <is>
          <t>NO_EXPLICIT_BOARD_LABEL_FOUND</t>
        </is>
      </c>
      <c r="K73" s="71" t="inlineStr">
        <is>
          <t>board</t>
        </is>
      </c>
      <c r="L73" s="71" t="n"/>
      <c r="M73" s="71" t="n"/>
      <c r="N73" s="71" t="inlineStr">
        <is>
          <t>Type19 1582361 ؛ گزارش SRC_NOOR_1404_007</t>
        </is>
      </c>
      <c r="O73" s="71" t="n"/>
      <c r="P73" s="71" t="inlineStr">
        <is>
          <t>UNKNOWN</t>
        </is>
      </c>
      <c r="Q73" s="71" t="inlineStr">
        <is>
          <t>OD1</t>
        </is>
      </c>
      <c r="R73" s="71" t="inlineStr">
        <is>
          <t>1404/12/29</t>
        </is>
      </c>
      <c r="S73" s="71" t="n"/>
      <c r="T73" s="71" t="inlineStr">
        <is>
          <t>خیر</t>
        </is>
      </c>
      <c r="U73" s="71" t="inlineStr">
        <is>
          <t>خیر</t>
        </is>
      </c>
    </row>
    <row r="74" ht="29" customHeight="1" s="76">
      <c r="A74" s="70" t="inlineStr">
        <is>
          <t>F15-M2</t>
        </is>
      </c>
      <c r="B74" s="70" t="inlineStr">
        <is>
          <t>نوری</t>
        </is>
      </c>
      <c r="C74" s="70" t="inlineStr">
        <is>
          <t>صنایع پتروشیمی دهدشت</t>
        </is>
      </c>
      <c r="D74" s="70" t="inlineStr">
        <is>
          <t>حسام خوشبین فر</t>
        </is>
      </c>
      <c r="E74" s="70" t="inlineStr">
        <is>
          <t>نماینده حقوقی</t>
        </is>
      </c>
      <c r="F74" s="70" t="inlineStr">
        <is>
          <t>عضو هیئت مدیره</t>
        </is>
      </c>
      <c r="G74" s="70" t="inlineStr">
        <is>
          <t>غیر موظف</t>
        </is>
      </c>
      <c r="H74" s="70" t="n"/>
      <c r="I74" s="70" t="inlineStr">
        <is>
          <t>خیر</t>
        </is>
      </c>
      <c r="J74" s="70" t="inlineStr">
        <is>
          <t>NO_EXPLICIT_BOARD_LABEL_FOUND</t>
        </is>
      </c>
      <c r="K74" s="70" t="inlineStr">
        <is>
          <t>board</t>
        </is>
      </c>
      <c r="L74" s="70" t="n"/>
      <c r="M74" s="70" t="n"/>
      <c r="N74" s="70" t="inlineStr">
        <is>
          <t>Type19 1582361 ؛ گزارش SRC_NOOR_1404_007</t>
        </is>
      </c>
      <c r="O74" s="70" t="n"/>
      <c r="P74" s="70" t="inlineStr">
        <is>
          <t>UNKNOWN</t>
        </is>
      </c>
      <c r="Q74" s="70" t="inlineStr">
        <is>
          <t>OD1</t>
        </is>
      </c>
      <c r="R74" s="70" t="inlineStr">
        <is>
          <t>1404/12/29</t>
        </is>
      </c>
      <c r="S74" s="70" t="n"/>
      <c r="T74" s="70" t="inlineStr">
        <is>
          <t>خیر</t>
        </is>
      </c>
      <c r="U74" s="70" t="inlineStr">
        <is>
          <t>خیر</t>
        </is>
      </c>
    </row>
    <row r="75" ht="29" customHeight="1" s="76">
      <c r="A75" s="71" t="inlineStr">
        <is>
          <t>F15-M3</t>
        </is>
      </c>
      <c r="B75" s="71" t="inlineStr">
        <is>
          <t>نوری</t>
        </is>
      </c>
      <c r="C75" s="71" t="inlineStr">
        <is>
          <t>پالایش گاز هویزه خلیج فارس</t>
        </is>
      </c>
      <c r="D75" s="71" t="inlineStr">
        <is>
          <t>تقی صانعی</t>
        </is>
      </c>
      <c r="E75" s="71" t="inlineStr">
        <is>
          <t>نماینده حقوقی</t>
        </is>
      </c>
      <c r="F75" s="71" t="inlineStr">
        <is>
          <t>رئیس هیئت مدیره</t>
        </is>
      </c>
      <c r="G75" s="71" t="inlineStr">
        <is>
          <t>غیر موظف</t>
        </is>
      </c>
      <c r="H75" s="71" t="n"/>
      <c r="I75" s="71" t="inlineStr">
        <is>
          <t>خیر</t>
        </is>
      </c>
      <c r="J75" s="71" t="inlineStr">
        <is>
          <t>NO_EXPLICIT_BOARD_LABEL_FOUND</t>
        </is>
      </c>
      <c r="K75" s="71" t="inlineStr">
        <is>
          <t>board</t>
        </is>
      </c>
      <c r="L75" s="71" t="n"/>
      <c r="M75" s="71" t="n"/>
      <c r="N75" s="71" t="inlineStr">
        <is>
          <t>Type19 1582361 ؛ گزارش SRC_NOOR_1404_007</t>
        </is>
      </c>
      <c r="O75" s="71" t="n"/>
      <c r="P75" s="71" t="inlineStr">
        <is>
          <t>UNKNOWN</t>
        </is>
      </c>
      <c r="Q75" s="71" t="inlineStr">
        <is>
          <t>OD1</t>
        </is>
      </c>
      <c r="R75" s="71" t="inlineStr">
        <is>
          <t>1404/12/29</t>
        </is>
      </c>
      <c r="S75" s="71" t="n"/>
      <c r="T75" s="71" t="inlineStr">
        <is>
          <t>خیر</t>
        </is>
      </c>
      <c r="U75" s="71" t="inlineStr">
        <is>
          <t>بله</t>
        </is>
      </c>
    </row>
    <row r="76" ht="29" customHeight="1" s="76">
      <c r="A76" s="70" t="inlineStr">
        <is>
          <t>F15-M4</t>
        </is>
      </c>
      <c r="B76" s="70" t="inlineStr">
        <is>
          <t>نوری</t>
        </is>
      </c>
      <c r="C76" s="70" t="inlineStr">
        <is>
          <t>پتروشیمی الماس ماهشهر</t>
        </is>
      </c>
      <c r="D76" s="70" t="inlineStr">
        <is>
          <t>فریدون امیری</t>
        </is>
      </c>
      <c r="E76" s="70" t="inlineStr">
        <is>
          <t>نماینده حقوقی</t>
        </is>
      </c>
      <c r="F76" s="70" t="inlineStr">
        <is>
          <t>عضو هیئت مدیره</t>
        </is>
      </c>
      <c r="G76" s="70" t="inlineStr">
        <is>
          <t>غیر موظف</t>
        </is>
      </c>
      <c r="H76" s="70" t="n"/>
      <c r="I76" s="70" t="inlineStr">
        <is>
          <t>خیر</t>
        </is>
      </c>
      <c r="J76" s="70" t="inlineStr">
        <is>
          <t>NO_EXPLICIT_BOARD_LABEL_FOUND</t>
        </is>
      </c>
      <c r="K76" s="70" t="inlineStr">
        <is>
          <t>board</t>
        </is>
      </c>
      <c r="L76" s="70" t="n"/>
      <c r="M76" s="70" t="n"/>
      <c r="N76" s="70" t="inlineStr">
        <is>
          <t>Type19 1582361 ؛ گزارش SRC_NOOR_1404_007</t>
        </is>
      </c>
      <c r="O76" s="70" t="n"/>
      <c r="P76" s="70" t="inlineStr">
        <is>
          <t>UNKNOWN</t>
        </is>
      </c>
      <c r="Q76" s="70" t="inlineStr">
        <is>
          <t>OD1</t>
        </is>
      </c>
      <c r="R76" s="70" t="inlineStr">
        <is>
          <t>1404/12/29</t>
        </is>
      </c>
      <c r="S76" s="70" t="n"/>
      <c r="T76" s="70" t="inlineStr">
        <is>
          <t>خیر</t>
        </is>
      </c>
      <c r="U76" s="70" t="inlineStr">
        <is>
          <t>خیر</t>
        </is>
      </c>
    </row>
    <row r="77" ht="29" customHeight="1" s="76">
      <c r="A77" s="71" t="inlineStr">
        <is>
          <t>F15-M5</t>
        </is>
      </c>
      <c r="B77" s="71" t="inlineStr">
        <is>
          <t>نوری</t>
        </is>
      </c>
      <c r="C77" s="71" t="inlineStr">
        <is>
          <t>پالایش گاز بیدبلند خلیج فارس</t>
        </is>
      </c>
      <c r="D77" s="71" t="inlineStr">
        <is>
          <t>غلامرضا جمشیدی</t>
        </is>
      </c>
      <c r="E77" s="71" t="inlineStr">
        <is>
          <t>نماینده حقوقی</t>
        </is>
      </c>
      <c r="F77" s="71" t="inlineStr">
        <is>
          <t>نایب رئیس هیئت مدیره</t>
        </is>
      </c>
      <c r="G77" s="71" t="inlineStr">
        <is>
          <t>موظف</t>
        </is>
      </c>
      <c r="H77" s="71" t="n"/>
      <c r="I77" s="71" t="inlineStr">
        <is>
          <t>خیر</t>
        </is>
      </c>
      <c r="J77" s="71" t="inlineStr">
        <is>
          <t>NO_EXPLICIT_BOARD_LABEL_FOUND</t>
        </is>
      </c>
      <c r="K77" s="71" t="inlineStr">
        <is>
          <t>board</t>
        </is>
      </c>
      <c r="L77" s="71" t="n"/>
      <c r="M77" s="71" t="n"/>
      <c r="N77" s="71" t="inlineStr">
        <is>
          <t>Type19 1582361 ؛ گزارش SRC_NOOR_1404_007</t>
        </is>
      </c>
      <c r="O77" s="71" t="n"/>
      <c r="P77" s="71" t="inlineStr">
        <is>
          <t>NOT_INDEPENDENT_DOCUMENTED_EXECUTIVE</t>
        </is>
      </c>
      <c r="Q77" s="71" t="inlineStr">
        <is>
          <t>OD1</t>
        </is>
      </c>
      <c r="R77" s="71" t="inlineStr">
        <is>
          <t>1404/12/29</t>
        </is>
      </c>
      <c r="S77" s="71" t="inlineStr">
        <is>
          <t>موظف در اطلاعیه ن۴۵; مدیرعامل عضو هیئت مدیره</t>
        </is>
      </c>
      <c r="T77" s="71" t="inlineStr">
        <is>
          <t>بله</t>
        </is>
      </c>
      <c r="U77" s="71" t="inlineStr">
        <is>
          <t>خیر</t>
        </is>
      </c>
    </row>
    <row r="78" ht="29" customHeight="1" s="76">
      <c r="A78" s="70" t="inlineStr">
        <is>
          <t>F16-M1</t>
        </is>
      </c>
      <c r="B78" s="70" t="inlineStr">
        <is>
          <t>فولاد</t>
        </is>
      </c>
      <c r="C78" s="70" t="inlineStr">
        <is>
          <t>سازمان توسعه و نوسازی معادن و صنایع معدنی ایران</t>
        </is>
      </c>
      <c r="D78" s="70" t="inlineStr">
        <is>
          <t>محسن صالحی نیا</t>
        </is>
      </c>
      <c r="E78" s="70" t="inlineStr">
        <is>
          <t>نماینده حقوقی</t>
        </is>
      </c>
      <c r="F78" s="70" t="inlineStr">
        <is>
          <t>نایب رئیس هیئت مدیره</t>
        </is>
      </c>
      <c r="G78" s="70" t="inlineStr">
        <is>
          <t>غیر موظف</t>
        </is>
      </c>
      <c r="H78" s="70" t="inlineStr">
        <is>
          <t>غیر موظف</t>
        </is>
      </c>
      <c r="I78" s="70" t="inlineStr">
        <is>
          <t>خیر</t>
        </is>
      </c>
      <c r="J78" s="70" t="inlineStr">
        <is>
          <t>NO_EXPLICIT_BOARD_LABEL_FOUND</t>
        </is>
      </c>
      <c r="K78" s="70" t="inlineStr">
        <is>
          <t>board</t>
        </is>
      </c>
      <c r="L78" s="70" t="n"/>
      <c r="M78" s="70" t="n"/>
      <c r="N78" s="70" t="inlineStr">
        <is>
          <t>Type19 1464295 ؛ گزارش SRC_FOLD_1404_002</t>
        </is>
      </c>
      <c r="O78" s="70" t="n"/>
      <c r="P78" s="70" t="inlineStr">
        <is>
          <t>UNKNOWN</t>
        </is>
      </c>
      <c r="Q78" s="70" t="inlineStr">
        <is>
          <t>OD1</t>
        </is>
      </c>
      <c r="R78" s="70" t="inlineStr">
        <is>
          <t>1404/12/29</t>
        </is>
      </c>
      <c r="S78" s="70" t="n"/>
      <c r="T78" s="70" t="inlineStr">
        <is>
          <t>خیر</t>
        </is>
      </c>
      <c r="U78" s="70" t="inlineStr">
        <is>
          <t>خیر</t>
        </is>
      </c>
    </row>
    <row r="79" ht="29" customHeight="1" s="76">
      <c r="A79" s="71" t="inlineStr">
        <is>
          <t>F16-M2</t>
        </is>
      </c>
      <c r="B79" s="71" t="inlineStr">
        <is>
          <t>فولاد</t>
        </is>
      </c>
      <c r="C79" s="71" t="inlineStr">
        <is>
          <t>سرمایه گذاری استان اصفهان</t>
        </is>
      </c>
      <c r="D79" s="71" t="inlineStr">
        <is>
          <t>محمدحسین مقیمی</t>
        </is>
      </c>
      <c r="E79" s="71" t="inlineStr">
        <is>
          <t>نماینده حقوقی</t>
        </is>
      </c>
      <c r="F79" s="71" t="inlineStr">
        <is>
          <t>رئیس هیئت مدیره</t>
        </is>
      </c>
      <c r="G79" s="71" t="inlineStr">
        <is>
          <t>غیر موظف</t>
        </is>
      </c>
      <c r="H79" s="71" t="inlineStr">
        <is>
          <t>غیر موظف</t>
        </is>
      </c>
      <c r="I79" s="71" t="inlineStr">
        <is>
          <t>خیر</t>
        </is>
      </c>
      <c r="J79" s="71" t="inlineStr">
        <is>
          <t>NO_EXPLICIT_BOARD_LABEL_FOUND</t>
        </is>
      </c>
      <c r="K79" s="71" t="inlineStr">
        <is>
          <t>board</t>
        </is>
      </c>
      <c r="L79" s="71" t="n"/>
      <c r="M79" s="71" t="n"/>
      <c r="N79" s="71" t="inlineStr">
        <is>
          <t>Type19 1464295 ؛ گزارش SRC_FOLD_1404_002</t>
        </is>
      </c>
      <c r="O79" s="71" t="n"/>
      <c r="P79" s="71" t="inlineStr">
        <is>
          <t>UNKNOWN</t>
        </is>
      </c>
      <c r="Q79" s="71" t="inlineStr">
        <is>
          <t>OD1</t>
        </is>
      </c>
      <c r="R79" s="71" t="inlineStr">
        <is>
          <t>1404/12/29</t>
        </is>
      </c>
      <c r="S79" s="71" t="n"/>
      <c r="T79" s="71" t="inlineStr">
        <is>
          <t>خیر</t>
        </is>
      </c>
      <c r="U79" s="71" t="inlineStr">
        <is>
          <t>بله</t>
        </is>
      </c>
    </row>
    <row r="80" ht="29" customHeight="1" s="76">
      <c r="A80" s="70" t="inlineStr">
        <is>
          <t>F16-M3</t>
        </is>
      </c>
      <c r="B80" s="70" t="inlineStr">
        <is>
          <t>فولاد</t>
        </is>
      </c>
      <c r="C80" s="70" t="inlineStr">
        <is>
          <t>بهسازان انرژی تدبیر زنگان</t>
        </is>
      </c>
      <c r="D80" s="70" t="inlineStr">
        <is>
          <t>علی افشین</t>
        </is>
      </c>
      <c r="E80" s="70" t="inlineStr">
        <is>
          <t>نماینده حقوقی</t>
        </is>
      </c>
      <c r="F80" s="70" t="inlineStr">
        <is>
          <t>عضو هیئت مدیره</t>
        </is>
      </c>
      <c r="G80" s="70" t="inlineStr">
        <is>
          <t>غیر موظف</t>
        </is>
      </c>
      <c r="H80" s="70" t="inlineStr">
        <is>
          <t>غیر موظف</t>
        </is>
      </c>
      <c r="I80" s="70" t="inlineStr">
        <is>
          <t>خیر</t>
        </is>
      </c>
      <c r="J80" s="70" t="inlineStr">
        <is>
          <t>NO_EXPLICIT_BOARD_LABEL_FOUND</t>
        </is>
      </c>
      <c r="K80" s="70" t="inlineStr">
        <is>
          <t>board</t>
        </is>
      </c>
      <c r="L80" s="70" t="n"/>
      <c r="M80" s="70" t="n"/>
      <c r="N80" s="70" t="inlineStr">
        <is>
          <t>Type19 1464295 ؛ گزارش SRC_FOLD_1404_002</t>
        </is>
      </c>
      <c r="O80" s="70" t="n"/>
      <c r="P80" s="70" t="inlineStr">
        <is>
          <t>UNKNOWN</t>
        </is>
      </c>
      <c r="Q80" s="70" t="inlineStr">
        <is>
          <t>OD1</t>
        </is>
      </c>
      <c r="R80" s="70" t="inlineStr">
        <is>
          <t>1404/12/29</t>
        </is>
      </c>
      <c r="S80" s="70" t="n"/>
      <c r="T80" s="70" t="inlineStr">
        <is>
          <t>خیر</t>
        </is>
      </c>
      <c r="U80" s="70" t="inlineStr">
        <is>
          <t>خیر</t>
        </is>
      </c>
    </row>
    <row r="81" ht="29" customHeight="1" s="76">
      <c r="A81" s="71" t="inlineStr">
        <is>
          <t>F16-M4</t>
        </is>
      </c>
      <c r="B81" s="71" t="inlineStr">
        <is>
          <t>فولاد</t>
        </is>
      </c>
      <c r="C81" s="71" t="inlineStr">
        <is>
          <t>ملی صنایع مس ایران</t>
        </is>
      </c>
      <c r="D81" s="71" t="inlineStr">
        <is>
          <t>سعید زرندی</t>
        </is>
      </c>
      <c r="E81" s="71" t="inlineStr">
        <is>
          <t>نماینده حقوقی</t>
        </is>
      </c>
      <c r="F81" s="71" t="inlineStr">
        <is>
          <t>عضو هیئت مدیره</t>
        </is>
      </c>
      <c r="G81" s="71" t="inlineStr">
        <is>
          <t>موظف</t>
        </is>
      </c>
      <c r="H81" s="71" t="inlineStr">
        <is>
          <t>موظف</t>
        </is>
      </c>
      <c r="I81" s="71" t="inlineStr">
        <is>
          <t>خیر</t>
        </is>
      </c>
      <c r="J81" s="71" t="inlineStr">
        <is>
          <t>NO_EXPLICIT_BOARD_LABEL_FOUND</t>
        </is>
      </c>
      <c r="K81" s="71" t="inlineStr">
        <is>
          <t>board</t>
        </is>
      </c>
      <c r="L81" s="71" t="n"/>
      <c r="M81" s="71" t="n"/>
      <c r="N81" s="71" t="inlineStr">
        <is>
          <t>Type19 1464295 ؛ گزارش SRC_FOLD_1404_002</t>
        </is>
      </c>
      <c r="O81" s="71" t="n"/>
      <c r="P81" s="71" t="inlineStr">
        <is>
          <t>NOT_INDEPENDENT_DOCUMENTED_EXECUTIVE</t>
        </is>
      </c>
      <c r="Q81" s="71" t="inlineStr">
        <is>
          <t>OD1</t>
        </is>
      </c>
      <c r="R81" s="71" t="inlineStr">
        <is>
          <t>1404/12/29</t>
        </is>
      </c>
      <c r="S81" s="71" t="inlineStr">
        <is>
          <t>موظف در اطلاعیه ن۴۵; مدیرعامل عضو هیئت مدیره</t>
        </is>
      </c>
      <c r="T81" s="71" t="inlineStr">
        <is>
          <t>بله</t>
        </is>
      </c>
      <c r="U81" s="71" t="inlineStr">
        <is>
          <t>خیر</t>
        </is>
      </c>
    </row>
    <row r="82" ht="29" customHeight="1" s="76">
      <c r="A82" s="70" t="inlineStr">
        <is>
          <t>F16-M5</t>
        </is>
      </c>
      <c r="B82" s="70" t="inlineStr">
        <is>
          <t>فولاد</t>
        </is>
      </c>
      <c r="C82" s="70" t="inlineStr">
        <is>
          <t>سرمایه گذاری توسعه سرمایه رفاه</t>
        </is>
      </c>
      <c r="D82" s="70" t="inlineStr">
        <is>
          <t>مهدی زحمت کش</t>
        </is>
      </c>
      <c r="E82" s="70" t="inlineStr">
        <is>
          <t>نماینده حقوقی</t>
        </is>
      </c>
      <c r="F82" s="70" t="inlineStr">
        <is>
          <t>عضو هیئت مدیره</t>
        </is>
      </c>
      <c r="G82" s="70" t="inlineStr">
        <is>
          <t>غیر موظف</t>
        </is>
      </c>
      <c r="H82" s="70" t="inlineStr">
        <is>
          <t>غیر موظف</t>
        </is>
      </c>
      <c r="I82" s="70" t="inlineStr">
        <is>
          <t>خیر</t>
        </is>
      </c>
      <c r="J82" s="70" t="inlineStr">
        <is>
          <t>NO_EXPLICIT_BOARD_LABEL_FOUND</t>
        </is>
      </c>
      <c r="K82" s="70" t="inlineStr">
        <is>
          <t>board</t>
        </is>
      </c>
      <c r="L82" s="70" t="n"/>
      <c r="M82" s="70" t="n"/>
      <c r="N82" s="70" t="inlineStr">
        <is>
          <t>Type19 1464295 ؛ گزارش SRC_FOLD_1404_002</t>
        </is>
      </c>
      <c r="O82" s="70" t="n"/>
      <c r="P82" s="70" t="inlineStr">
        <is>
          <t>UNKNOWN</t>
        </is>
      </c>
      <c r="Q82" s="70" t="inlineStr">
        <is>
          <t>OD1</t>
        </is>
      </c>
      <c r="R82" s="70" t="inlineStr">
        <is>
          <t>1404/12/29</t>
        </is>
      </c>
      <c r="S82" s="70" t="n"/>
      <c r="T82" s="70" t="inlineStr">
        <is>
          <t>خیر</t>
        </is>
      </c>
      <c r="U82" s="70" t="inlineStr">
        <is>
          <t>خیر</t>
        </is>
      </c>
    </row>
    <row r="83" ht="29" customHeight="1" s="76">
      <c r="A83" s="71" t="inlineStr">
        <is>
          <t>F17-M1</t>
        </is>
      </c>
      <c r="B83" s="71" t="inlineStr">
        <is>
          <t>کچاد</t>
        </is>
      </c>
      <c r="C83" s="71" t="inlineStr">
        <is>
          <t>گروه مدیریت سرمایه گذاری امید</t>
        </is>
      </c>
      <c r="D83" s="71" t="inlineStr">
        <is>
          <t>محمدرضا تابش</t>
        </is>
      </c>
      <c r="E83" s="71" t="inlineStr">
        <is>
          <t>نماینده حقوقی</t>
        </is>
      </c>
      <c r="F83" s="71" t="inlineStr">
        <is>
          <t>رئیس هیئت مدیره</t>
        </is>
      </c>
      <c r="G83" s="71" t="inlineStr">
        <is>
          <t>غیر موظف</t>
        </is>
      </c>
      <c r="H83" s="71" t="inlineStr">
        <is>
          <t>غیر موظف</t>
        </is>
      </c>
      <c r="I83" s="71" t="inlineStr">
        <is>
          <t>خیر</t>
        </is>
      </c>
      <c r="J83" s="71" t="inlineStr">
        <is>
          <t>NO_EXPLICIT_BOARD_LABEL_FOUND</t>
        </is>
      </c>
      <c r="K83" s="71" t="inlineStr">
        <is>
          <t>board</t>
        </is>
      </c>
      <c r="L83" s="71" t="n"/>
      <c r="M83" s="71" t="n"/>
      <c r="N83" s="71" t="inlineStr">
        <is>
          <t>Type19 1391765 ؛ گزارش SRC_KCHD_1404_001</t>
        </is>
      </c>
      <c r="O83" s="71" t="n"/>
      <c r="P83" s="71" t="inlineStr">
        <is>
          <t>UNKNOWN</t>
        </is>
      </c>
      <c r="Q83" s="71" t="inlineStr">
        <is>
          <t>OD1</t>
        </is>
      </c>
      <c r="R83" s="71" t="inlineStr">
        <is>
          <t>1404/09/30</t>
        </is>
      </c>
      <c r="S83" s="71" t="n"/>
      <c r="T83" s="71" t="inlineStr">
        <is>
          <t>خیر</t>
        </is>
      </c>
      <c r="U83" s="71" t="inlineStr">
        <is>
          <t>بله</t>
        </is>
      </c>
    </row>
    <row r="84" ht="29" customHeight="1" s="76">
      <c r="A84" s="70" t="inlineStr">
        <is>
          <t>F17-M2</t>
        </is>
      </c>
      <c r="B84" s="70" t="inlineStr">
        <is>
          <t>کچاد</t>
        </is>
      </c>
      <c r="C84" s="70" t="inlineStr">
        <is>
          <t>سرمایه گذاری توسعه معادن و فلزات</t>
        </is>
      </c>
      <c r="D84" s="70" t="inlineStr">
        <is>
          <t>فرید دهقانی</t>
        </is>
      </c>
      <c r="E84" s="70" t="inlineStr">
        <is>
          <t>نماینده حقوقی</t>
        </is>
      </c>
      <c r="F84" s="70" t="inlineStr">
        <is>
          <t>عضو هیئت مدیره</t>
        </is>
      </c>
      <c r="G84" s="70" t="inlineStr">
        <is>
          <t>موظف</t>
        </is>
      </c>
      <c r="H84" s="70" t="n"/>
      <c r="I84" s="70" t="inlineStr">
        <is>
          <t>خیر</t>
        </is>
      </c>
      <c r="J84" s="70" t="inlineStr">
        <is>
          <t>NO_EXPLICIT_BOARD_LABEL_FOUND</t>
        </is>
      </c>
      <c r="K84" s="70" t="inlineStr">
        <is>
          <t>board</t>
        </is>
      </c>
      <c r="L84" s="70" t="n"/>
      <c r="M84" s="70" t="n"/>
      <c r="N84" s="70" t="inlineStr">
        <is>
          <t>Type19 1391765 ؛ گزارش SRC_KCHD_1404_001</t>
        </is>
      </c>
      <c r="O84" s="70" t="n"/>
      <c r="P84" s="70" t="inlineStr">
        <is>
          <t>NOT_INDEPENDENT_DOCUMENTED_EXECUTIVE</t>
        </is>
      </c>
      <c r="Q84" s="70" t="inlineStr">
        <is>
          <t>OD1</t>
        </is>
      </c>
      <c r="R84" s="70" t="inlineStr">
        <is>
          <t>1404/09/30</t>
        </is>
      </c>
      <c r="S84" s="70" t="inlineStr">
        <is>
          <t>موظف در اطلاعیه ن۴۵; مدیرعامل عضو هیئت مدیره</t>
        </is>
      </c>
      <c r="T84" s="70" t="inlineStr">
        <is>
          <t>بله</t>
        </is>
      </c>
      <c r="U84" s="70" t="inlineStr">
        <is>
          <t>خیر</t>
        </is>
      </c>
    </row>
    <row r="85" ht="29" customHeight="1" s="76">
      <c r="A85" s="71" t="inlineStr">
        <is>
          <t>F17-M3</t>
        </is>
      </c>
      <c r="B85" s="71" t="inlineStr">
        <is>
          <t>کچاد</t>
        </is>
      </c>
      <c r="C85" s="71" t="inlineStr">
        <is>
          <t>سرمایه گذاری سپه</t>
        </is>
      </c>
      <c r="D85" s="71" t="inlineStr">
        <is>
          <t>حامد دهقانان</t>
        </is>
      </c>
      <c r="E85" s="71" t="inlineStr">
        <is>
          <t>نماینده حقوقی</t>
        </is>
      </c>
      <c r="F85" s="71" t="inlineStr">
        <is>
          <t>نایب رئیس هیئت مدیره</t>
        </is>
      </c>
      <c r="G85" s="71" t="inlineStr">
        <is>
          <t>موظف</t>
        </is>
      </c>
      <c r="H85" s="71" t="n"/>
      <c r="I85" s="71" t="inlineStr">
        <is>
          <t>خیر</t>
        </is>
      </c>
      <c r="J85" s="71" t="inlineStr">
        <is>
          <t>NO_EXPLICIT_BOARD_LABEL_FOUND</t>
        </is>
      </c>
      <c r="K85" s="71" t="inlineStr">
        <is>
          <t>board</t>
        </is>
      </c>
      <c r="L85" s="71" t="n"/>
      <c r="M85" s="71" t="n"/>
      <c r="N85" s="71" t="inlineStr">
        <is>
          <t>Type19 1391765 ؛ گزارش SRC_KCHD_1404_001</t>
        </is>
      </c>
      <c r="O85" s="71" t="n"/>
      <c r="P85" s="71" t="inlineStr">
        <is>
          <t>NOT_INDEPENDENT_DOCUMENTED_EXECUTIVE</t>
        </is>
      </c>
      <c r="Q85" s="71" t="inlineStr">
        <is>
          <t>OD1</t>
        </is>
      </c>
      <c r="R85" s="71" t="inlineStr">
        <is>
          <t>1404/09/30</t>
        </is>
      </c>
      <c r="S85" s="71" t="inlineStr">
        <is>
          <t>موظف در اطلاعیه ن۴۵</t>
        </is>
      </c>
      <c r="T85" s="71" t="inlineStr">
        <is>
          <t>خیر</t>
        </is>
      </c>
      <c r="U85" s="71" t="inlineStr">
        <is>
          <t>خیر</t>
        </is>
      </c>
    </row>
    <row r="86" ht="29" customHeight="1" s="76">
      <c r="A86" s="70" t="inlineStr">
        <is>
          <t>F17-M4</t>
        </is>
      </c>
      <c r="B86" s="70" t="inlineStr">
        <is>
          <t>کچاد</t>
        </is>
      </c>
      <c r="C86" s="70" t="inlineStr">
        <is>
          <t>فولاد مبارکه اصفهان</t>
        </is>
      </c>
      <c r="D86" s="70" t="inlineStr">
        <is>
          <t>مهدی آقاپوربی شک</t>
        </is>
      </c>
      <c r="E86" s="70" t="inlineStr">
        <is>
          <t>نماینده حقوقی</t>
        </is>
      </c>
      <c r="F86" s="70" t="inlineStr">
        <is>
          <t>عضو هیئت مدیره</t>
        </is>
      </c>
      <c r="G86" s="70" t="inlineStr">
        <is>
          <t>غیر موظف</t>
        </is>
      </c>
      <c r="H86" s="70" t="n"/>
      <c r="I86" s="70" t="inlineStr">
        <is>
          <t>خیر</t>
        </is>
      </c>
      <c r="J86" s="70" t="inlineStr">
        <is>
          <t>NO_EXPLICIT_BOARD_LABEL_FOUND</t>
        </is>
      </c>
      <c r="K86" s="70" t="inlineStr">
        <is>
          <t>board</t>
        </is>
      </c>
      <c r="L86" s="70" t="n"/>
      <c r="M86" s="70" t="n"/>
      <c r="N86" s="70" t="inlineStr">
        <is>
          <t>Type19 1391765 ؛ گزارش SRC_KCHD_1404_001</t>
        </is>
      </c>
      <c r="O86" s="70" t="n"/>
      <c r="P86" s="70" t="inlineStr">
        <is>
          <t>UNKNOWN</t>
        </is>
      </c>
      <c r="Q86" s="70" t="inlineStr">
        <is>
          <t>OD1</t>
        </is>
      </c>
      <c r="R86" s="70" t="inlineStr">
        <is>
          <t>1404/09/30</t>
        </is>
      </c>
      <c r="S86" s="70" t="n"/>
      <c r="T86" s="70" t="inlineStr">
        <is>
          <t>خیر</t>
        </is>
      </c>
      <c r="U86" s="70" t="inlineStr">
        <is>
          <t>خیر</t>
        </is>
      </c>
    </row>
    <row r="87" ht="29" customHeight="1" s="76">
      <c r="A87" s="71" t="inlineStr">
        <is>
          <t>F17-M5</t>
        </is>
      </c>
      <c r="B87" s="71" t="inlineStr">
        <is>
          <t>کچاد</t>
        </is>
      </c>
      <c r="C87" s="71" t="inlineStr">
        <is>
          <t>سرمایه گذاری استان خوزستان</t>
        </is>
      </c>
      <c r="D87" s="71" t="inlineStr">
        <is>
          <t>خدایار کریم نژادسرخی</t>
        </is>
      </c>
      <c r="E87" s="71" t="inlineStr">
        <is>
          <t>نماینده حقوقی</t>
        </is>
      </c>
      <c r="F87" s="71" t="inlineStr">
        <is>
          <t>عضو هیئت مدیره</t>
        </is>
      </c>
      <c r="G87" s="71" t="inlineStr">
        <is>
          <t>غیر موظف</t>
        </is>
      </c>
      <c r="H87" s="71" t="n"/>
      <c r="I87" s="71" t="inlineStr">
        <is>
          <t>خیر</t>
        </is>
      </c>
      <c r="J87" s="71" t="inlineStr">
        <is>
          <t>NO_EXPLICIT_BOARD_LABEL_FOUND</t>
        </is>
      </c>
      <c r="K87" s="71" t="inlineStr">
        <is>
          <t>board</t>
        </is>
      </c>
      <c r="L87" s="71" t="n"/>
      <c r="M87" s="71" t="n"/>
      <c r="N87" s="71" t="inlineStr">
        <is>
          <t>Type19 1391765 ؛ گزارش SRC_KCHD_1404_001</t>
        </is>
      </c>
      <c r="O87" s="71" t="n"/>
      <c r="P87" s="71" t="inlineStr">
        <is>
          <t>UNKNOWN</t>
        </is>
      </c>
      <c r="Q87" s="71" t="inlineStr">
        <is>
          <t>OD1</t>
        </is>
      </c>
      <c r="R87" s="71" t="inlineStr">
        <is>
          <t>1404/09/30</t>
        </is>
      </c>
      <c r="S87" s="71" t="n"/>
      <c r="T87" s="71" t="inlineStr">
        <is>
          <t>خیر</t>
        </is>
      </c>
      <c r="U87" s="71" t="inlineStr">
        <is>
          <t>خیر</t>
        </is>
      </c>
    </row>
    <row r="88" ht="29" customHeight="1" s="76">
      <c r="A88" s="70" t="inlineStr">
        <is>
          <t>F18-M1</t>
        </is>
      </c>
      <c r="B88" s="70" t="inlineStr">
        <is>
          <t>کگل</t>
        </is>
      </c>
      <c r="C88" s="70" t="inlineStr">
        <is>
          <t>فولاد مبارکه اصفهان</t>
        </is>
      </c>
      <c r="D88" s="70" t="inlineStr">
        <is>
          <t>حمیدرضا فولادگر</t>
        </is>
      </c>
      <c r="E88" s="70" t="inlineStr">
        <is>
          <t>نماینده حقوقی</t>
        </is>
      </c>
      <c r="F88" s="70" t="inlineStr">
        <is>
          <t>عضو هیئت مدیره</t>
        </is>
      </c>
      <c r="G88" s="70" t="inlineStr">
        <is>
          <t>غیر موظف</t>
        </is>
      </c>
      <c r="H88" s="70" t="inlineStr">
        <is>
          <t>غیر موظف</t>
        </is>
      </c>
      <c r="I88" s="70" t="inlineStr">
        <is>
          <t>خیر</t>
        </is>
      </c>
      <c r="J88" s="70" t="inlineStr">
        <is>
          <t>NO_EXPLICIT_BOARD_LABEL_FOUND</t>
        </is>
      </c>
      <c r="K88" s="70" t="inlineStr">
        <is>
          <t>board</t>
        </is>
      </c>
      <c r="L88" s="70" t="n"/>
      <c r="M88" s="70" t="n"/>
      <c r="N88" s="70" t="inlineStr">
        <is>
          <t>Type19 1414920 ؛ گزارش SRC_KGOL_1404_001</t>
        </is>
      </c>
      <c r="O88" s="70" t="n"/>
      <c r="P88" s="70" t="inlineStr">
        <is>
          <t>UNKNOWN</t>
        </is>
      </c>
      <c r="Q88" s="70" t="inlineStr">
        <is>
          <t>OD1</t>
        </is>
      </c>
      <c r="R88" s="70" t="inlineStr">
        <is>
          <t>1404/09/30</t>
        </is>
      </c>
      <c r="S88" s="70" t="n"/>
      <c r="T88" s="70" t="inlineStr">
        <is>
          <t>خیر</t>
        </is>
      </c>
      <c r="U88" s="70" t="inlineStr">
        <is>
          <t>خیر</t>
        </is>
      </c>
    </row>
    <row r="89" ht="29" customHeight="1" s="76">
      <c r="A89" s="71" t="inlineStr">
        <is>
          <t>F18-M2</t>
        </is>
      </c>
      <c r="B89" s="71" t="inlineStr">
        <is>
          <t>کگل</t>
        </is>
      </c>
      <c r="C89" s="71" t="inlineStr">
        <is>
          <t>گروه مدیریت سرمایه گذاری امید</t>
        </is>
      </c>
      <c r="D89" s="71" t="inlineStr">
        <is>
          <t>مجتبی رضاخواه</t>
        </is>
      </c>
      <c r="E89" s="71" t="inlineStr">
        <is>
          <t>نماینده حقوقی</t>
        </is>
      </c>
      <c r="F89" s="71" t="inlineStr">
        <is>
          <t>رئیس هیئت مدیره</t>
        </is>
      </c>
      <c r="G89" s="71" t="inlineStr">
        <is>
          <t>غیر موظف</t>
        </is>
      </c>
      <c r="H89" s="71" t="inlineStr">
        <is>
          <t>غیر موظف</t>
        </is>
      </c>
      <c r="I89" s="71" t="inlineStr">
        <is>
          <t>خیر</t>
        </is>
      </c>
      <c r="J89" s="71" t="inlineStr">
        <is>
          <t>NO_EXPLICIT_BOARD_LABEL_FOUND</t>
        </is>
      </c>
      <c r="K89" s="71" t="inlineStr">
        <is>
          <t>board</t>
        </is>
      </c>
      <c r="L89" s="71" t="n"/>
      <c r="M89" s="71" t="n"/>
      <c r="N89" s="71" t="inlineStr">
        <is>
          <t>Type19 1414920 ؛ گزارش SRC_KGOL_1404_001</t>
        </is>
      </c>
      <c r="O89" s="71" t="n"/>
      <c r="P89" s="71" t="inlineStr">
        <is>
          <t>UNKNOWN</t>
        </is>
      </c>
      <c r="Q89" s="71" t="inlineStr">
        <is>
          <t>OD1</t>
        </is>
      </c>
      <c r="R89" s="71" t="inlineStr">
        <is>
          <t>1404/09/30</t>
        </is>
      </c>
      <c r="S89" s="71" t="n"/>
      <c r="T89" s="71" t="inlineStr">
        <is>
          <t>خیر</t>
        </is>
      </c>
      <c r="U89" s="71" t="inlineStr">
        <is>
          <t>بله</t>
        </is>
      </c>
    </row>
    <row r="90" ht="29" customHeight="1" s="76">
      <c r="A90" s="70" t="inlineStr">
        <is>
          <t>F18-M3</t>
        </is>
      </c>
      <c r="B90" s="70" t="inlineStr">
        <is>
          <t>کگل</t>
        </is>
      </c>
      <c r="C90" s="70" t="inlineStr">
        <is>
          <t>سرمایه گذاری توسعه معادن و فلزات</t>
        </is>
      </c>
      <c r="D90" s="70" t="inlineStr">
        <is>
          <t>ایمان عتیقی</t>
        </is>
      </c>
      <c r="E90" s="70" t="inlineStr">
        <is>
          <t>نماینده حقوقی</t>
        </is>
      </c>
      <c r="F90" s="70" t="inlineStr">
        <is>
          <t>عضو هیئت مدیره</t>
        </is>
      </c>
      <c r="G90" s="70" t="inlineStr">
        <is>
          <t>موظف</t>
        </is>
      </c>
      <c r="H90" s="70" t="inlineStr">
        <is>
          <t>موظف</t>
        </is>
      </c>
      <c r="I90" s="70" t="inlineStr">
        <is>
          <t>خیر</t>
        </is>
      </c>
      <c r="J90" s="70" t="inlineStr">
        <is>
          <t>NO_EXPLICIT_BOARD_LABEL_FOUND</t>
        </is>
      </c>
      <c r="K90" s="70" t="inlineStr">
        <is>
          <t>board</t>
        </is>
      </c>
      <c r="L90" s="70" t="n"/>
      <c r="M90" s="70" t="n"/>
      <c r="N90" s="70" t="inlineStr">
        <is>
          <t>Type19 1414920 ؛ گزارش SRC_KGOL_1404_001</t>
        </is>
      </c>
      <c r="O90" s="70" t="n"/>
      <c r="P90" s="70" t="inlineStr">
        <is>
          <t>NOT_INDEPENDENT_DOCUMENTED_EXECUTIVE</t>
        </is>
      </c>
      <c r="Q90" s="70" t="inlineStr">
        <is>
          <t>OD1</t>
        </is>
      </c>
      <c r="R90" s="70" t="inlineStr">
        <is>
          <t>1404/09/30</t>
        </is>
      </c>
      <c r="S90" s="70" t="inlineStr">
        <is>
          <t>موظف در اطلاعیه ن۴۵; مدیرعامل عضو هیئت مدیره</t>
        </is>
      </c>
      <c r="T90" s="70" t="inlineStr">
        <is>
          <t>بله</t>
        </is>
      </c>
      <c r="U90" s="70" t="inlineStr">
        <is>
          <t>خیر</t>
        </is>
      </c>
    </row>
    <row r="91" ht="29" customHeight="1" s="76">
      <c r="A91" s="71" t="inlineStr">
        <is>
          <t>F18-M4</t>
        </is>
      </c>
      <c r="B91" s="71" t="inlineStr">
        <is>
          <t>کگل</t>
        </is>
      </c>
      <c r="C91" s="71" t="inlineStr">
        <is>
          <t>توسعه معدنی و صنعتی صبانور</t>
        </is>
      </c>
      <c r="D91" s="71" t="inlineStr">
        <is>
          <t>محمد امید</t>
        </is>
      </c>
      <c r="E91" s="71" t="inlineStr">
        <is>
          <t>نماینده حقوقی</t>
        </is>
      </c>
      <c r="F91" s="71" t="inlineStr">
        <is>
          <t>عضو هیئت مدیره</t>
        </is>
      </c>
      <c r="G91" s="71" t="inlineStr">
        <is>
          <t>غیر موظف</t>
        </is>
      </c>
      <c r="H91" s="71" t="inlineStr">
        <is>
          <t>غیر موظف</t>
        </is>
      </c>
      <c r="I91" s="71" t="inlineStr">
        <is>
          <t>خیر</t>
        </is>
      </c>
      <c r="J91" s="71" t="inlineStr">
        <is>
          <t>NO_EXPLICIT_BOARD_LABEL_FOUND</t>
        </is>
      </c>
      <c r="K91" s="71" t="inlineStr">
        <is>
          <t>board</t>
        </is>
      </c>
      <c r="L91" s="71" t="n"/>
      <c r="M91" s="71" t="n"/>
      <c r="N91" s="71" t="inlineStr">
        <is>
          <t>Type19 1414920 ؛ گزارش SRC_KGOL_1404_001</t>
        </is>
      </c>
      <c r="O91" s="71" t="n"/>
      <c r="P91" s="71" t="inlineStr">
        <is>
          <t>UNKNOWN</t>
        </is>
      </c>
      <c r="Q91" s="71" t="inlineStr">
        <is>
          <t>OD1</t>
        </is>
      </c>
      <c r="R91" s="71" t="inlineStr">
        <is>
          <t>1404/09/30</t>
        </is>
      </c>
      <c r="S91" s="71" t="n"/>
      <c r="T91" s="71" t="inlineStr">
        <is>
          <t>خیر</t>
        </is>
      </c>
      <c r="U91" s="71" t="inlineStr">
        <is>
          <t>خیر</t>
        </is>
      </c>
    </row>
    <row r="92" ht="29" customHeight="1" s="76">
      <c r="A92" s="70" t="inlineStr">
        <is>
          <t>F18-M5</t>
        </is>
      </c>
      <c r="B92" s="70" t="inlineStr">
        <is>
          <t>کگل</t>
        </is>
      </c>
      <c r="C92" s="70" t="inlineStr">
        <is>
          <t>سرمایه گذاری سپه</t>
        </is>
      </c>
      <c r="D92" s="70" t="inlineStr">
        <is>
          <t>محمدحسین ایران منش</t>
        </is>
      </c>
      <c r="E92" s="70" t="inlineStr">
        <is>
          <t>نماینده حقوقی</t>
        </is>
      </c>
      <c r="F92" s="70" t="inlineStr">
        <is>
          <t>نایب رئیس هیئت مدیره</t>
        </is>
      </c>
      <c r="G92" s="70" t="inlineStr">
        <is>
          <t>موظف</t>
        </is>
      </c>
      <c r="H92" s="70" t="inlineStr">
        <is>
          <t>موظف</t>
        </is>
      </c>
      <c r="I92" s="70" t="inlineStr">
        <is>
          <t>خیر</t>
        </is>
      </c>
      <c r="J92" s="70" t="inlineStr">
        <is>
          <t>NO_EXPLICIT_BOARD_LABEL_FOUND</t>
        </is>
      </c>
      <c r="K92" s="70" t="inlineStr">
        <is>
          <t>board</t>
        </is>
      </c>
      <c r="L92" s="70" t="n"/>
      <c r="M92" s="70" t="n"/>
      <c r="N92" s="70" t="inlineStr">
        <is>
          <t>Type19 1414920 ؛ گزارش SRC_KGOL_1404_001</t>
        </is>
      </c>
      <c r="O92" s="70" t="n"/>
      <c r="P92" s="70" t="inlineStr">
        <is>
          <t>NOT_INDEPENDENT_DOCUMENTED_EXECUTIVE</t>
        </is>
      </c>
      <c r="Q92" s="70" t="inlineStr">
        <is>
          <t>OD1</t>
        </is>
      </c>
      <c r="R92" s="70" t="inlineStr">
        <is>
          <t>1404/09/30</t>
        </is>
      </c>
      <c r="S92" s="70" t="inlineStr">
        <is>
          <t>موظف در اطلاعیه ن۴۵</t>
        </is>
      </c>
      <c r="T92" s="70" t="inlineStr">
        <is>
          <t>خیر</t>
        </is>
      </c>
      <c r="U92" s="70" t="inlineStr">
        <is>
          <t>خیر</t>
        </is>
      </c>
    </row>
    <row r="93" ht="29" customHeight="1" s="76">
      <c r="A93" s="71" t="inlineStr">
        <is>
          <t>F19-M1</t>
        </is>
      </c>
      <c r="B93" s="71" t="inlineStr">
        <is>
          <t>پارسان</t>
        </is>
      </c>
      <c r="C93" s="71" t="inlineStr">
        <is>
          <t>سرمایه گذاری غدیر</t>
        </is>
      </c>
      <c r="D93" s="71" t="inlineStr">
        <is>
          <t>سیدجعفر هاشمی</t>
        </is>
      </c>
      <c r="E93" s="71" t="inlineStr">
        <is>
          <t>نماینده حقوقی</t>
        </is>
      </c>
      <c r="F93" s="71" t="inlineStr">
        <is>
          <t>عضو هیئت مدیره</t>
        </is>
      </c>
      <c r="G93" s="71" t="inlineStr">
        <is>
          <t>موظف</t>
        </is>
      </c>
      <c r="H93" s="71" t="inlineStr">
        <is>
          <t>موظف</t>
        </is>
      </c>
      <c r="I93" s="71" t="inlineStr">
        <is>
          <t>خیر</t>
        </is>
      </c>
      <c r="J93" s="71" t="inlineStr">
        <is>
          <t>NO_EXPLICIT_BOARD_LABEL_FOUND</t>
        </is>
      </c>
      <c r="K93" s="71" t="inlineStr">
        <is>
          <t>board</t>
        </is>
      </c>
      <c r="L93" s="71" t="n"/>
      <c r="M93" s="71" t="n"/>
      <c r="N93" s="71" t="inlineStr">
        <is>
          <t>Type19 1451719 ؛ گزارش SRC_PRSN_1404_007</t>
        </is>
      </c>
      <c r="O93" s="71" t="n"/>
      <c r="P93" s="71" t="inlineStr">
        <is>
          <t>NOT_INDEPENDENT_DOCUMENTED_EXECUTIVE</t>
        </is>
      </c>
      <c r="Q93" s="71" t="inlineStr">
        <is>
          <t>OD1</t>
        </is>
      </c>
      <c r="R93" s="71" t="inlineStr">
        <is>
          <t>1404/06/31</t>
        </is>
      </c>
      <c r="S93" s="71" t="inlineStr">
        <is>
          <t>موظف در اطلاعیه ن۴۵; مدیرعامل عضو هیئت مدیره</t>
        </is>
      </c>
      <c r="T93" s="71" t="inlineStr">
        <is>
          <t>بله</t>
        </is>
      </c>
      <c r="U93" s="71" t="inlineStr">
        <is>
          <t>خیر</t>
        </is>
      </c>
    </row>
    <row r="94" ht="29" customHeight="1" s="76">
      <c r="A94" s="70" t="inlineStr">
        <is>
          <t>F19-M2</t>
        </is>
      </c>
      <c r="B94" s="70" t="inlineStr">
        <is>
          <t>پارسان</t>
        </is>
      </c>
      <c r="C94" s="70" t="inlineStr">
        <is>
          <t>سرمایه گذاری اعتضاد غدیر</t>
        </is>
      </c>
      <c r="D94" s="70" t="inlineStr">
        <is>
          <t>رحیم اسماعیلی دانا</t>
        </is>
      </c>
      <c r="E94" s="70" t="inlineStr">
        <is>
          <t>نماینده حقوقی</t>
        </is>
      </c>
      <c r="F94" s="70" t="inlineStr">
        <is>
          <t>نایب رئیس هیئت مدیره</t>
        </is>
      </c>
      <c r="G94" s="70" t="inlineStr">
        <is>
          <t>غیر موظف</t>
        </is>
      </c>
      <c r="H94" s="70" t="inlineStr">
        <is>
          <t>غیر موظف</t>
        </is>
      </c>
      <c r="I94" s="70" t="inlineStr">
        <is>
          <t>خیر</t>
        </is>
      </c>
      <c r="J94" s="70" t="inlineStr">
        <is>
          <t>NO_EXPLICIT_BOARD_LABEL_FOUND</t>
        </is>
      </c>
      <c r="K94" s="70" t="inlineStr">
        <is>
          <t>board</t>
        </is>
      </c>
      <c r="L94" s="70" t="n"/>
      <c r="M94" s="70" t="n"/>
      <c r="N94" s="70" t="inlineStr">
        <is>
          <t>Type19 1451719 ؛ گزارش SRC_PRSN_1404_007</t>
        </is>
      </c>
      <c r="O94" s="70" t="n"/>
      <c r="P94" s="70" t="inlineStr">
        <is>
          <t>UNKNOWN</t>
        </is>
      </c>
      <c r="Q94" s="70" t="inlineStr">
        <is>
          <t>OD1</t>
        </is>
      </c>
      <c r="R94" s="70" t="inlineStr">
        <is>
          <t>1404/06/31</t>
        </is>
      </c>
      <c r="S94" s="70" t="n"/>
      <c r="T94" s="70" t="inlineStr">
        <is>
          <t>خیر</t>
        </is>
      </c>
      <c r="U94" s="70" t="inlineStr">
        <is>
          <t>خیر</t>
        </is>
      </c>
    </row>
    <row r="95" ht="29" customHeight="1" s="76">
      <c r="A95" s="71" t="inlineStr">
        <is>
          <t>F19-M3</t>
        </is>
      </c>
      <c r="B95" s="71" t="inlineStr">
        <is>
          <t>پارسان</t>
        </is>
      </c>
      <c r="C95" s="71" t="inlineStr">
        <is>
          <t>دریابان جنوب ایران کیش</t>
        </is>
      </c>
      <c r="D95" s="71" t="inlineStr">
        <is>
          <t>علی مهری پرگو</t>
        </is>
      </c>
      <c r="E95" s="71" t="inlineStr">
        <is>
          <t>نماینده حقوقی</t>
        </is>
      </c>
      <c r="F95" s="71" t="inlineStr">
        <is>
          <t>عضو هیئت مدیره</t>
        </is>
      </c>
      <c r="G95" s="71" t="inlineStr">
        <is>
          <t>غیر موظف</t>
        </is>
      </c>
      <c r="H95" s="71" t="n"/>
      <c r="I95" s="71" t="inlineStr">
        <is>
          <t>خیر</t>
        </is>
      </c>
      <c r="J95" s="71" t="inlineStr">
        <is>
          <t>NO_EXPLICIT_BOARD_LABEL_FOUND</t>
        </is>
      </c>
      <c r="K95" s="71" t="inlineStr">
        <is>
          <t>board</t>
        </is>
      </c>
      <c r="L95" s="71" t="n"/>
      <c r="M95" s="71" t="n"/>
      <c r="N95" s="71" t="inlineStr">
        <is>
          <t>Type19 1451719 ؛ گزارش SRC_PRSN_1404_007</t>
        </is>
      </c>
      <c r="O95" s="71" t="n"/>
      <c r="P95" s="71" t="inlineStr">
        <is>
          <t>UNKNOWN</t>
        </is>
      </c>
      <c r="Q95" s="71" t="inlineStr">
        <is>
          <t>OD1</t>
        </is>
      </c>
      <c r="R95" s="71" t="inlineStr">
        <is>
          <t>1404/06/31</t>
        </is>
      </c>
      <c r="S95" s="71" t="n"/>
      <c r="T95" s="71" t="inlineStr">
        <is>
          <t>خیر</t>
        </is>
      </c>
      <c r="U95" s="71" t="inlineStr">
        <is>
          <t>خیر</t>
        </is>
      </c>
    </row>
    <row r="96" ht="29" customHeight="1" s="76">
      <c r="A96" s="70" t="inlineStr">
        <is>
          <t>F19-M4</t>
        </is>
      </c>
      <c r="B96" s="70" t="inlineStr">
        <is>
          <t>پارسان</t>
        </is>
      </c>
      <c r="C96" s="70" t="inlineStr">
        <is>
          <t>صنعتی و بازرگانی غدیر</t>
        </is>
      </c>
      <c r="D96" s="70" t="inlineStr">
        <is>
          <t>علیرضا غلامی</t>
        </is>
      </c>
      <c r="E96" s="70" t="inlineStr">
        <is>
          <t>نماینده حقوقی</t>
        </is>
      </c>
      <c r="F96" s="70" t="inlineStr">
        <is>
          <t>عضو هیئت مدیره</t>
        </is>
      </c>
      <c r="G96" s="70" t="inlineStr">
        <is>
          <t>غیر موظف</t>
        </is>
      </c>
      <c r="H96" s="70" t="n"/>
      <c r="I96" s="70" t="inlineStr">
        <is>
          <t>خیر</t>
        </is>
      </c>
      <c r="J96" s="70" t="inlineStr">
        <is>
          <t>NO_EXPLICIT_BOARD_LABEL_FOUND</t>
        </is>
      </c>
      <c r="K96" s="70" t="inlineStr">
        <is>
          <t>board</t>
        </is>
      </c>
      <c r="L96" s="70" t="n"/>
      <c r="M96" s="70" t="n"/>
      <c r="N96" s="70" t="inlineStr">
        <is>
          <t>Type19 1451719 ؛ گزارش SRC_PRSN_1404_007</t>
        </is>
      </c>
      <c r="O96" s="70" t="n"/>
      <c r="P96" s="70" t="inlineStr">
        <is>
          <t>UNKNOWN</t>
        </is>
      </c>
      <c r="Q96" s="70" t="inlineStr">
        <is>
          <t>OD1</t>
        </is>
      </c>
      <c r="R96" s="70" t="inlineStr">
        <is>
          <t>1404/06/31</t>
        </is>
      </c>
      <c r="S96" s="70" t="n"/>
      <c r="T96" s="70" t="inlineStr">
        <is>
          <t>خیر</t>
        </is>
      </c>
      <c r="U96" s="70" t="inlineStr">
        <is>
          <t>خیر</t>
        </is>
      </c>
    </row>
    <row r="97" ht="29" customHeight="1" s="76">
      <c r="A97" s="71" t="inlineStr">
        <is>
          <t>F19-M5</t>
        </is>
      </c>
      <c r="B97" s="71" t="inlineStr">
        <is>
          <t>پارسان</t>
        </is>
      </c>
      <c r="C97" s="71" t="inlineStr">
        <is>
          <t>سرمایه گذاری مهرگان تامین پارس</t>
        </is>
      </c>
      <c r="D97" s="71" t="inlineStr">
        <is>
          <t>احد امیری</t>
        </is>
      </c>
      <c r="E97" s="71" t="inlineStr">
        <is>
          <t>نماینده حقوقی</t>
        </is>
      </c>
      <c r="F97" s="71" t="inlineStr">
        <is>
          <t>رئیس هیئت مدیره</t>
        </is>
      </c>
      <c r="G97" s="71" t="inlineStr">
        <is>
          <t>غیر موظف</t>
        </is>
      </c>
      <c r="H97" s="71" t="inlineStr">
        <is>
          <t>غیر موظف</t>
        </is>
      </c>
      <c r="I97" s="71" t="inlineStr">
        <is>
          <t>خیر</t>
        </is>
      </c>
      <c r="J97" s="71" t="inlineStr">
        <is>
          <t>NO_EXPLICIT_BOARD_LABEL_FOUND</t>
        </is>
      </c>
      <c r="K97" s="71" t="inlineStr">
        <is>
          <t>board</t>
        </is>
      </c>
      <c r="L97" s="71" t="n"/>
      <c r="M97" s="71" t="n"/>
      <c r="N97" s="71" t="inlineStr">
        <is>
          <t>Type19 1451719 ؛ گزارش SRC_PRSN_1404_007</t>
        </is>
      </c>
      <c r="O97" s="71" t="n"/>
      <c r="P97" s="71" t="inlineStr">
        <is>
          <t>UNKNOWN</t>
        </is>
      </c>
      <c r="Q97" s="71" t="inlineStr">
        <is>
          <t>OD1</t>
        </is>
      </c>
      <c r="R97" s="71" t="inlineStr">
        <is>
          <t>1404/06/31</t>
        </is>
      </c>
      <c r="S97" s="71" t="n"/>
      <c r="T97" s="71" t="inlineStr">
        <is>
          <t>خیر</t>
        </is>
      </c>
      <c r="U97" s="71" t="inlineStr">
        <is>
          <t>بله</t>
        </is>
      </c>
    </row>
    <row r="98" ht="29" customHeight="1" s="76">
      <c r="A98" s="70" t="inlineStr">
        <is>
          <t>F20-M1</t>
        </is>
      </c>
      <c r="B98" s="70" t="inlineStr">
        <is>
          <t>اخابر</t>
        </is>
      </c>
      <c r="C98" s="70" t="inlineStr">
        <is>
          <t>وزارت امور اقتصادی و دارایی</t>
        </is>
      </c>
      <c r="D98" s="70" t="inlineStr">
        <is>
          <t>محمد جعفرپورترشیزی</t>
        </is>
      </c>
      <c r="E98" s="70" t="inlineStr">
        <is>
          <t>نماینده حقوقی</t>
        </is>
      </c>
      <c r="F98" s="70" t="inlineStr">
        <is>
          <t>عضو هیئت مدیره</t>
        </is>
      </c>
      <c r="G98" s="70" t="inlineStr">
        <is>
          <t>موظف</t>
        </is>
      </c>
      <c r="H98" s="70" t="n"/>
      <c r="I98" s="70" t="inlineStr">
        <is>
          <t>خیر</t>
        </is>
      </c>
      <c r="J98" s="70" t="inlineStr">
        <is>
          <t>NO_EXPLICIT_BOARD_LABEL_FOUND</t>
        </is>
      </c>
      <c r="K98" s="70" t="inlineStr">
        <is>
          <t>board</t>
        </is>
      </c>
      <c r="L98" s="70" t="n"/>
      <c r="M98" s="70" t="n"/>
      <c r="N98" s="70" t="inlineStr">
        <is>
          <t>Type19 1432680</t>
        </is>
      </c>
      <c r="O98" s="70" t="n"/>
      <c r="P98" s="70" t="inlineStr">
        <is>
          <t>NOT_INDEPENDENT_DOCUMENTED_EXECUTIVE</t>
        </is>
      </c>
      <c r="Q98" s="70" t="inlineStr">
        <is>
          <t>OD1</t>
        </is>
      </c>
      <c r="R98" s="70" t="inlineStr">
        <is>
          <t>1404/12/29</t>
        </is>
      </c>
      <c r="S98" s="70" t="inlineStr">
        <is>
          <t>موظف در اطلاعیه ن۴۵; مدیرعامل عضو هیئت مدیره</t>
        </is>
      </c>
      <c r="T98" s="70" t="inlineStr">
        <is>
          <t>بله</t>
        </is>
      </c>
      <c r="U98" s="70" t="inlineStr">
        <is>
          <t>خیر</t>
        </is>
      </c>
    </row>
    <row r="99" ht="29" customHeight="1" s="76">
      <c r="A99" s="71" t="inlineStr">
        <is>
          <t>F20-M2</t>
        </is>
      </c>
      <c r="B99" s="71" t="inlineStr">
        <is>
          <t>اخابر</t>
        </is>
      </c>
      <c r="C99" s="71" t="inlineStr">
        <is>
          <t>توسعه اعتماد مبین</t>
        </is>
      </c>
      <c r="D99" s="71" t="inlineStr">
        <is>
          <t>سیداسداله دهناد</t>
        </is>
      </c>
      <c r="E99" s="71" t="inlineStr">
        <is>
          <t>نماینده حقوقی</t>
        </is>
      </c>
      <c r="F99" s="71" t="inlineStr">
        <is>
          <t>نایب رئیس هیئت مدیره</t>
        </is>
      </c>
      <c r="G99" s="71" t="inlineStr">
        <is>
          <t>غیر موظف</t>
        </is>
      </c>
      <c r="H99" s="71" t="n"/>
      <c r="I99" s="71" t="inlineStr">
        <is>
          <t>خیر</t>
        </is>
      </c>
      <c r="J99" s="71" t="inlineStr">
        <is>
          <t>NO_EXPLICIT_BOARD_LABEL_FOUND</t>
        </is>
      </c>
      <c r="K99" s="71" t="inlineStr">
        <is>
          <t>board</t>
        </is>
      </c>
      <c r="L99" s="71" t="n"/>
      <c r="M99" s="71" t="n"/>
      <c r="N99" s="71" t="inlineStr">
        <is>
          <t>Type19 1432680</t>
        </is>
      </c>
      <c r="O99" s="71" t="n"/>
      <c r="P99" s="71" t="inlineStr">
        <is>
          <t>UNKNOWN</t>
        </is>
      </c>
      <c r="Q99" s="71" t="inlineStr">
        <is>
          <t>OD1</t>
        </is>
      </c>
      <c r="R99" s="71" t="inlineStr">
        <is>
          <t>1404/12/29</t>
        </is>
      </c>
      <c r="S99" s="71" t="n"/>
      <c r="T99" s="71" t="inlineStr">
        <is>
          <t>خیر</t>
        </is>
      </c>
      <c r="U99" s="71" t="inlineStr">
        <is>
          <t>خیر</t>
        </is>
      </c>
    </row>
    <row r="100" ht="29" customHeight="1" s="76">
      <c r="A100" s="70" t="inlineStr">
        <is>
          <t>F20-M3</t>
        </is>
      </c>
      <c r="B100" s="70" t="inlineStr">
        <is>
          <t>اخابر</t>
        </is>
      </c>
      <c r="C100" s="70" t="inlineStr">
        <is>
          <t>سرمایه گذاری استان تهران</t>
        </is>
      </c>
      <c r="D100" s="70" t="inlineStr">
        <is>
          <t>رضا خضردوست</t>
        </is>
      </c>
      <c r="E100" s="70" t="inlineStr">
        <is>
          <t>نماینده حقوقی</t>
        </is>
      </c>
      <c r="F100" s="70" t="inlineStr">
        <is>
          <t>عضو هیئت مدیره</t>
        </is>
      </c>
      <c r="G100" s="70" t="inlineStr">
        <is>
          <t>غیر موظف</t>
        </is>
      </c>
      <c r="H100" s="70" t="n"/>
      <c r="I100" s="70" t="inlineStr">
        <is>
          <t>خیر</t>
        </is>
      </c>
      <c r="J100" s="70" t="inlineStr">
        <is>
          <t>NO_EXPLICIT_BOARD_LABEL_FOUND</t>
        </is>
      </c>
      <c r="K100" s="70" t="inlineStr">
        <is>
          <t>board</t>
        </is>
      </c>
      <c r="L100" s="70" t="n"/>
      <c r="M100" s="70" t="n"/>
      <c r="N100" s="70" t="inlineStr">
        <is>
          <t>Type19 1432680</t>
        </is>
      </c>
      <c r="O100" s="70" t="n"/>
      <c r="P100" s="70" t="inlineStr">
        <is>
          <t>UNKNOWN</t>
        </is>
      </c>
      <c r="Q100" s="70" t="inlineStr">
        <is>
          <t>OD1</t>
        </is>
      </c>
      <c r="R100" s="70" t="inlineStr">
        <is>
          <t>1404/12/29</t>
        </is>
      </c>
      <c r="S100" s="70" t="n"/>
      <c r="T100" s="70" t="inlineStr">
        <is>
          <t>خیر</t>
        </is>
      </c>
      <c r="U100" s="70" t="inlineStr">
        <is>
          <t>خیر</t>
        </is>
      </c>
    </row>
    <row r="101" ht="29" customHeight="1" s="76">
      <c r="A101" s="71" t="inlineStr">
        <is>
          <t>F20-M4</t>
        </is>
      </c>
      <c r="B101" s="71" t="inlineStr">
        <is>
          <t>اخابر</t>
        </is>
      </c>
      <c r="C101" s="71" t="inlineStr">
        <is>
          <t>فراز و فرود اقتصاد آینده</t>
        </is>
      </c>
      <c r="D101" s="71" t="inlineStr">
        <is>
          <t>ابراهیم محمودزاده</t>
        </is>
      </c>
      <c r="E101" s="71" t="inlineStr">
        <is>
          <t>نماینده حقوقی</t>
        </is>
      </c>
      <c r="F101" s="71" t="inlineStr">
        <is>
          <t>رئیس هیئت مدیره</t>
        </is>
      </c>
      <c r="G101" s="71" t="inlineStr">
        <is>
          <t>غیر موظف</t>
        </is>
      </c>
      <c r="H101" s="71" t="n"/>
      <c r="I101" s="71" t="inlineStr">
        <is>
          <t>خیر</t>
        </is>
      </c>
      <c r="J101" s="71" t="inlineStr">
        <is>
          <t>NO_EXPLICIT_BOARD_LABEL_FOUND</t>
        </is>
      </c>
      <c r="K101" s="71" t="inlineStr">
        <is>
          <t>board</t>
        </is>
      </c>
      <c r="L101" s="71" t="n"/>
      <c r="M101" s="71" t="n"/>
      <c r="N101" s="71" t="inlineStr">
        <is>
          <t>Type19 1432680</t>
        </is>
      </c>
      <c r="O101" s="71" t="n"/>
      <c r="P101" s="71" t="inlineStr">
        <is>
          <t>UNKNOWN</t>
        </is>
      </c>
      <c r="Q101" s="71" t="inlineStr">
        <is>
          <t>OD1</t>
        </is>
      </c>
      <c r="R101" s="71" t="inlineStr">
        <is>
          <t>1404/12/29</t>
        </is>
      </c>
      <c r="S101" s="71" t="n"/>
      <c r="T101" s="71" t="inlineStr">
        <is>
          <t>خیر</t>
        </is>
      </c>
      <c r="U101" s="71" t="inlineStr">
        <is>
          <t>بله</t>
        </is>
      </c>
    </row>
    <row r="102" ht="29" customHeight="1" s="76">
      <c r="A102" s="70" t="inlineStr">
        <is>
          <t>F20-M5</t>
        </is>
      </c>
      <c r="B102" s="70" t="inlineStr">
        <is>
          <t>اخابر</t>
        </is>
      </c>
      <c r="C102" s="70" t="inlineStr">
        <is>
          <t>امین اعتماد پیشرو</t>
        </is>
      </c>
      <c r="D102" s="70" t="inlineStr">
        <is>
          <t>علی اصغر طراوتی</t>
        </is>
      </c>
      <c r="E102" s="70" t="inlineStr">
        <is>
          <t>نماینده حقوقی</t>
        </is>
      </c>
      <c r="F102" s="70" t="inlineStr">
        <is>
          <t>عضو هیئت مدیره</t>
        </is>
      </c>
      <c r="G102" s="70" t="inlineStr">
        <is>
          <t>غیر موظف</t>
        </is>
      </c>
      <c r="H102" s="70" t="n"/>
      <c r="I102" s="70" t="inlineStr">
        <is>
          <t>خیر</t>
        </is>
      </c>
      <c r="J102" s="70" t="inlineStr">
        <is>
          <t>NO_EXPLICIT_BOARD_LABEL_FOUND</t>
        </is>
      </c>
      <c r="K102" s="70" t="inlineStr">
        <is>
          <t>board</t>
        </is>
      </c>
      <c r="L102" s="70" t="n"/>
      <c r="M102" s="70" t="n"/>
      <c r="N102" s="70" t="inlineStr">
        <is>
          <t>Type19 1432680</t>
        </is>
      </c>
      <c r="O102" s="70" t="n"/>
      <c r="P102" s="70" t="inlineStr">
        <is>
          <t>UNKNOWN</t>
        </is>
      </c>
      <c r="Q102" s="70" t="inlineStr">
        <is>
          <t>OD1</t>
        </is>
      </c>
      <c r="R102" s="70" t="inlineStr">
        <is>
          <t>1404/12/29</t>
        </is>
      </c>
      <c r="S102" s="70" t="n"/>
      <c r="T102" s="70" t="inlineStr">
        <is>
          <t>خیر</t>
        </is>
      </c>
      <c r="U102" s="70" t="inlineStr">
        <is>
          <t>خیر</t>
        </is>
      </c>
    </row>
    <row r="103" ht="29" customHeight="1" s="76">
      <c r="A103" s="71" t="inlineStr">
        <is>
          <t>F21-M1</t>
        </is>
      </c>
      <c r="B103" s="71" t="inlineStr">
        <is>
          <t>جم</t>
        </is>
      </c>
      <c r="C103" s="71" t="inlineStr">
        <is>
          <t>صبا انرژی جهان گستر</t>
        </is>
      </c>
      <c r="D103" s="71" t="inlineStr">
        <is>
          <t>امیر اکبری</t>
        </is>
      </c>
      <c r="E103" s="71" t="inlineStr">
        <is>
          <t>نماینده حقوقی</t>
        </is>
      </c>
      <c r="F103" s="71" t="inlineStr">
        <is>
          <t>نایب رئیس هیئت مدیره</t>
        </is>
      </c>
      <c r="G103" s="71" t="inlineStr">
        <is>
          <t>موظف</t>
        </is>
      </c>
      <c r="H103" s="71" t="n"/>
      <c r="I103" s="71" t="inlineStr">
        <is>
          <t>خیر</t>
        </is>
      </c>
      <c r="J103" s="71" t="inlineStr">
        <is>
          <t>NO_EXPLICIT_BOARD_LABEL_FOUND</t>
        </is>
      </c>
      <c r="K103" s="71" t="inlineStr">
        <is>
          <t>board</t>
        </is>
      </c>
      <c r="L103" s="71" t="n"/>
      <c r="M103" s="71" t="n"/>
      <c r="N103" s="71" t="inlineStr">
        <is>
          <t>Type19 1527389 ؛ گزارش SRC_JAM_1404_001</t>
        </is>
      </c>
      <c r="O103" s="71" t="n"/>
      <c r="P103" s="71" t="inlineStr">
        <is>
          <t>NOT_INDEPENDENT_DOCUMENTED_EXECUTIVE</t>
        </is>
      </c>
      <c r="Q103" s="71" t="inlineStr">
        <is>
          <t>OD1</t>
        </is>
      </c>
      <c r="R103" s="71" t="inlineStr">
        <is>
          <t>1404/12/29</t>
        </is>
      </c>
      <c r="S103" s="71" t="inlineStr">
        <is>
          <t>موظف در اطلاعیه ن۴۵; مدیرعامل عضو هیئت مدیره</t>
        </is>
      </c>
      <c r="T103" s="71" t="inlineStr">
        <is>
          <t>بله</t>
        </is>
      </c>
      <c r="U103" s="71" t="inlineStr">
        <is>
          <t>خیر</t>
        </is>
      </c>
    </row>
    <row r="104" ht="29" customHeight="1" s="76">
      <c r="A104" s="70" t="inlineStr">
        <is>
          <t>F21-M2</t>
        </is>
      </c>
      <c r="B104" s="70" t="inlineStr">
        <is>
          <t>جم</t>
        </is>
      </c>
      <c r="C104" s="70" t="inlineStr">
        <is>
          <t>کاوشگران بازار سرمایه</t>
        </is>
      </c>
      <c r="D104" s="70" t="inlineStr">
        <is>
          <t>محمدسجاد سیاهکارزاده</t>
        </is>
      </c>
      <c r="E104" s="70" t="inlineStr">
        <is>
          <t>نماینده حقوقی</t>
        </is>
      </c>
      <c r="F104" s="70" t="inlineStr">
        <is>
          <t>رئیس هیئت مدیره</t>
        </is>
      </c>
      <c r="G104" s="70" t="inlineStr">
        <is>
          <t>غیر موظف</t>
        </is>
      </c>
      <c r="H104" s="70" t="n"/>
      <c r="I104" s="70" t="inlineStr">
        <is>
          <t>خیر</t>
        </is>
      </c>
      <c r="J104" s="70" t="inlineStr">
        <is>
          <t>NO_EXPLICIT_BOARD_LABEL_FOUND</t>
        </is>
      </c>
      <c r="K104" s="70" t="inlineStr">
        <is>
          <t>board</t>
        </is>
      </c>
      <c r="L104" s="70" t="n"/>
      <c r="M104" s="70" t="n"/>
      <c r="N104" s="70" t="inlineStr">
        <is>
          <t>Type19 1527389 ؛ گزارش SRC_JAM_1404_001</t>
        </is>
      </c>
      <c r="O104" s="70" t="n"/>
      <c r="P104" s="70" t="inlineStr">
        <is>
          <t>UNKNOWN</t>
        </is>
      </c>
      <c r="Q104" s="70" t="inlineStr">
        <is>
          <t>OD1</t>
        </is>
      </c>
      <c r="R104" s="70" t="inlineStr">
        <is>
          <t>1404/12/29</t>
        </is>
      </c>
      <c r="S104" s="70" t="n"/>
      <c r="T104" s="70" t="inlineStr">
        <is>
          <t>خیر</t>
        </is>
      </c>
      <c r="U104" s="70" t="inlineStr">
        <is>
          <t>بله</t>
        </is>
      </c>
    </row>
    <row r="105" ht="29" customHeight="1" s="76">
      <c r="A105" s="71" t="inlineStr">
        <is>
          <t>F21-M3</t>
        </is>
      </c>
      <c r="B105" s="71" t="inlineStr">
        <is>
          <t>جم</t>
        </is>
      </c>
      <c r="C105" s="71" t="inlineStr">
        <is>
          <t>سرمایه گذاری استان اردبیل</t>
        </is>
      </c>
      <c r="D105" s="71" t="inlineStr">
        <is>
          <t>مهدی قربانی</t>
        </is>
      </c>
      <c r="E105" s="71" t="inlineStr">
        <is>
          <t>نماینده حقوقی</t>
        </is>
      </c>
      <c r="F105" s="71" t="inlineStr">
        <is>
          <t>عضو هیئت مدیره</t>
        </is>
      </c>
      <c r="G105" s="71" t="inlineStr">
        <is>
          <t>غیر موظف</t>
        </is>
      </c>
      <c r="H105" s="71" t="n"/>
      <c r="I105" s="71" t="inlineStr">
        <is>
          <t>خیر</t>
        </is>
      </c>
      <c r="J105" s="71" t="inlineStr">
        <is>
          <t>NO_EXPLICIT_BOARD_LABEL_FOUND</t>
        </is>
      </c>
      <c r="K105" s="71" t="inlineStr">
        <is>
          <t>board</t>
        </is>
      </c>
      <c r="L105" s="71" t="n"/>
      <c r="M105" s="71" t="n"/>
      <c r="N105" s="71" t="inlineStr">
        <is>
          <t>Type19 1527389 ؛ گزارش SRC_JAM_1404_001</t>
        </is>
      </c>
      <c r="O105" s="71" t="n"/>
      <c r="P105" s="71" t="inlineStr">
        <is>
          <t>UNKNOWN</t>
        </is>
      </c>
      <c r="Q105" s="71" t="inlineStr">
        <is>
          <t>OD1</t>
        </is>
      </c>
      <c r="R105" s="71" t="inlineStr">
        <is>
          <t>1404/12/29</t>
        </is>
      </c>
      <c r="S105" s="71" t="n"/>
      <c r="T105" s="71" t="inlineStr">
        <is>
          <t>خیر</t>
        </is>
      </c>
      <c r="U105" s="71" t="inlineStr">
        <is>
          <t>خیر</t>
        </is>
      </c>
    </row>
    <row r="106" ht="29" customHeight="1" s="76">
      <c r="A106" s="70" t="inlineStr">
        <is>
          <t>F21-M4</t>
        </is>
      </c>
      <c r="B106" s="70" t="inlineStr">
        <is>
          <t>جم</t>
        </is>
      </c>
      <c r="C106" s="70" t="inlineStr">
        <is>
          <t>خدمات گستر صبا انرژی</t>
        </is>
      </c>
      <c r="D106" s="70" t="inlineStr">
        <is>
          <t>حسن معینی</t>
        </is>
      </c>
      <c r="E106" s="70" t="inlineStr">
        <is>
          <t>نماینده حقوقی</t>
        </is>
      </c>
      <c r="F106" s="70" t="inlineStr">
        <is>
          <t>عضو هیئت مدیره</t>
        </is>
      </c>
      <c r="G106" s="70" t="inlineStr">
        <is>
          <t>موظف</t>
        </is>
      </c>
      <c r="H106" s="70" t="n"/>
      <c r="I106" s="70" t="inlineStr">
        <is>
          <t>خیر</t>
        </is>
      </c>
      <c r="J106" s="70" t="inlineStr">
        <is>
          <t>NO_EXPLICIT_BOARD_LABEL_FOUND</t>
        </is>
      </c>
      <c r="K106" s="70" t="inlineStr">
        <is>
          <t>board</t>
        </is>
      </c>
      <c r="L106" s="70" t="n"/>
      <c r="M106" s="70" t="n"/>
      <c r="N106" s="70" t="inlineStr">
        <is>
          <t>Type19 1527389 ؛ گزارش SRC_JAM_1404_001</t>
        </is>
      </c>
      <c r="O106" s="70" t="n"/>
      <c r="P106" s="70" t="inlineStr">
        <is>
          <t>NOT_INDEPENDENT_DOCUMENTED_EXECUTIVE</t>
        </is>
      </c>
      <c r="Q106" s="70" t="inlineStr">
        <is>
          <t>OD1</t>
        </is>
      </c>
      <c r="R106" s="70" t="inlineStr">
        <is>
          <t>1404/12/29</t>
        </is>
      </c>
      <c r="S106" s="70" t="inlineStr">
        <is>
          <t>موظف در اطلاعیه ن۴۵</t>
        </is>
      </c>
      <c r="T106" s="70" t="inlineStr">
        <is>
          <t>خیر</t>
        </is>
      </c>
      <c r="U106" s="70" t="inlineStr">
        <is>
          <t>خیر</t>
        </is>
      </c>
    </row>
    <row r="107" ht="29" customHeight="1" s="76">
      <c r="A107" s="71" t="inlineStr">
        <is>
          <t>F21-M5</t>
        </is>
      </c>
      <c r="B107" s="71" t="inlineStr">
        <is>
          <t>جم</t>
        </is>
      </c>
      <c r="C107" s="71" t="inlineStr">
        <is>
          <t>گسترش تجارت هامون</t>
        </is>
      </c>
      <c r="D107" s="71" t="inlineStr">
        <is>
          <t>متین دیداری</t>
        </is>
      </c>
      <c r="E107" s="71" t="inlineStr">
        <is>
          <t>نماینده حقوقی</t>
        </is>
      </c>
      <c r="F107" s="71" t="inlineStr">
        <is>
          <t>عضو هیئت مدیره</t>
        </is>
      </c>
      <c r="G107" s="71" t="inlineStr">
        <is>
          <t>غیر موظف</t>
        </is>
      </c>
      <c r="H107" s="71" t="n"/>
      <c r="I107" s="71" t="inlineStr">
        <is>
          <t>خیر</t>
        </is>
      </c>
      <c r="J107" s="71" t="inlineStr">
        <is>
          <t>NO_EXPLICIT_BOARD_LABEL_FOUND</t>
        </is>
      </c>
      <c r="K107" s="71" t="inlineStr">
        <is>
          <t>board</t>
        </is>
      </c>
      <c r="L107" s="71" t="n"/>
      <c r="M107" s="71" t="n"/>
      <c r="N107" s="71" t="inlineStr">
        <is>
          <t>Type19 1527389 ؛ گزارش SRC_JAM_1404_001</t>
        </is>
      </c>
      <c r="O107" s="71" t="n"/>
      <c r="P107" s="71" t="inlineStr">
        <is>
          <t>UNKNOWN</t>
        </is>
      </c>
      <c r="Q107" s="71" t="inlineStr">
        <is>
          <t>OD1</t>
        </is>
      </c>
      <c r="R107" s="71" t="inlineStr">
        <is>
          <t>1404/12/29</t>
        </is>
      </c>
      <c r="S107" s="71" t="n"/>
      <c r="T107" s="71" t="inlineStr">
        <is>
          <t>خیر</t>
        </is>
      </c>
      <c r="U107" s="71" t="inlineStr">
        <is>
          <t>خیر</t>
        </is>
      </c>
    </row>
    <row r="108" ht="29" customHeight="1" s="76">
      <c r="A108" s="70" t="inlineStr">
        <is>
          <t>F22-M1</t>
        </is>
      </c>
      <c r="B108" s="70" t="inlineStr">
        <is>
          <t>ومعادن</t>
        </is>
      </c>
      <c r="C108" s="70" t="inlineStr">
        <is>
          <t>فولاد مبارکه اصفهان</t>
        </is>
      </c>
      <c r="D108" s="70" t="inlineStr">
        <is>
          <t>محمد آقاجانلو</t>
        </is>
      </c>
      <c r="E108" s="70" t="inlineStr">
        <is>
          <t>نماینده حقوقی</t>
        </is>
      </c>
      <c r="F108" s="70" t="inlineStr">
        <is>
          <t>رئیس هیئت مدیره</t>
        </is>
      </c>
      <c r="G108" s="70" t="inlineStr">
        <is>
          <t>غیر موظف</t>
        </is>
      </c>
      <c r="H108" s="70" t="inlineStr">
        <is>
          <t>غیر موظف</t>
        </is>
      </c>
      <c r="I108" s="70" t="inlineStr">
        <is>
          <t>خیر</t>
        </is>
      </c>
      <c r="J108" s="70" t="inlineStr">
        <is>
          <t>NO_EXPLICIT_BOARD_LABEL_FOUND</t>
        </is>
      </c>
      <c r="K108" s="70" t="inlineStr">
        <is>
          <t>board</t>
        </is>
      </c>
      <c r="L108" s="70" t="n"/>
      <c r="M108" s="70" t="n"/>
      <c r="N108" s="70" t="inlineStr">
        <is>
          <t>Type19 1426875 ؛ گزارش SRC_VMDN_1404_001</t>
        </is>
      </c>
      <c r="O108" s="70" t="n"/>
      <c r="P108" s="70" t="inlineStr">
        <is>
          <t>UNKNOWN</t>
        </is>
      </c>
      <c r="Q108" s="70" t="inlineStr">
        <is>
          <t>OD1</t>
        </is>
      </c>
      <c r="R108" s="70" t="inlineStr">
        <is>
          <t>1404/12/29</t>
        </is>
      </c>
      <c r="S108" s="70" t="n"/>
      <c r="T108" s="70" t="inlineStr">
        <is>
          <t>خیر</t>
        </is>
      </c>
      <c r="U108" s="70" t="inlineStr">
        <is>
          <t>بله</t>
        </is>
      </c>
    </row>
    <row r="109" ht="29" customHeight="1" s="76">
      <c r="A109" s="71" t="inlineStr">
        <is>
          <t>F22-M2</t>
        </is>
      </c>
      <c r="B109" s="71" t="inlineStr">
        <is>
          <t>ومعادن</t>
        </is>
      </c>
      <c r="C109" s="71" t="inlineStr">
        <is>
          <t>معدنی و صنعتی فولاد سنگ مبارکه اصفهان</t>
        </is>
      </c>
      <c r="D109" s="71" t="inlineStr">
        <is>
          <t>سجاد طهماسبی</t>
        </is>
      </c>
      <c r="E109" s="71" t="inlineStr">
        <is>
          <t>نماینده حقوقی</t>
        </is>
      </c>
      <c r="F109" s="71" t="inlineStr">
        <is>
          <t>عضو هیئت مدیره</t>
        </is>
      </c>
      <c r="G109" s="71" t="inlineStr">
        <is>
          <t>غیر موظف</t>
        </is>
      </c>
      <c r="H109" s="71" t="inlineStr">
        <is>
          <t>غیر موظف</t>
        </is>
      </c>
      <c r="I109" s="71" t="inlineStr">
        <is>
          <t>خیر</t>
        </is>
      </c>
      <c r="J109" s="71" t="inlineStr">
        <is>
          <t>NO_EXPLICIT_BOARD_LABEL_FOUND</t>
        </is>
      </c>
      <c r="K109" s="71" t="inlineStr">
        <is>
          <t>board</t>
        </is>
      </c>
      <c r="L109" s="71" t="n"/>
      <c r="M109" s="71" t="n"/>
      <c r="N109" s="71" t="inlineStr">
        <is>
          <t>Type19 1426875 ؛ گزارش SRC_VMDN_1404_001</t>
        </is>
      </c>
      <c r="O109" s="71" t="n"/>
      <c r="P109" s="71" t="inlineStr">
        <is>
          <t>UNKNOWN</t>
        </is>
      </c>
      <c r="Q109" s="71" t="inlineStr">
        <is>
          <t>OD1</t>
        </is>
      </c>
      <c r="R109" s="71" t="inlineStr">
        <is>
          <t>1404/12/29</t>
        </is>
      </c>
      <c r="S109" s="71" t="n"/>
      <c r="T109" s="71" t="inlineStr">
        <is>
          <t>خیر</t>
        </is>
      </c>
      <c r="U109" s="71" t="inlineStr">
        <is>
          <t>خیر</t>
        </is>
      </c>
    </row>
    <row r="110" ht="29" customHeight="1" s="76">
      <c r="A110" s="70" t="inlineStr">
        <is>
          <t>F22-M3</t>
        </is>
      </c>
      <c r="B110" s="70" t="inlineStr">
        <is>
          <t>ومعادن</t>
        </is>
      </c>
      <c r="C110" s="70" t="inlineStr">
        <is>
          <t>فولاد هرمزگان جنوب</t>
        </is>
      </c>
      <c r="D110" s="70" t="inlineStr">
        <is>
          <t>اردشیر سعدمحمدی</t>
        </is>
      </c>
      <c r="E110" s="70" t="inlineStr">
        <is>
          <t>نماینده حقوقی</t>
        </is>
      </c>
      <c r="F110" s="70" t="inlineStr">
        <is>
          <t>عضو هیئت مدیره</t>
        </is>
      </c>
      <c r="G110" s="70" t="inlineStr">
        <is>
          <t>موظف</t>
        </is>
      </c>
      <c r="H110" s="70" t="inlineStr">
        <is>
          <t>موظف</t>
        </is>
      </c>
      <c r="I110" s="70" t="inlineStr">
        <is>
          <t>خیر</t>
        </is>
      </c>
      <c r="J110" s="70" t="inlineStr">
        <is>
          <t>NO_EXPLICIT_BOARD_LABEL_FOUND</t>
        </is>
      </c>
      <c r="K110" s="70" t="inlineStr">
        <is>
          <t>board</t>
        </is>
      </c>
      <c r="L110" s="70" t="n"/>
      <c r="M110" s="70" t="n"/>
      <c r="N110" s="70" t="inlineStr">
        <is>
          <t>Type19 1426875 ؛ گزارش SRC_VMDN_1404_001</t>
        </is>
      </c>
      <c r="O110" s="70" t="n"/>
      <c r="P110" s="70" t="inlineStr">
        <is>
          <t>NOT_INDEPENDENT_DOCUMENTED_EXECUTIVE</t>
        </is>
      </c>
      <c r="Q110" s="70" t="inlineStr">
        <is>
          <t>OD1</t>
        </is>
      </c>
      <c r="R110" s="70" t="inlineStr">
        <is>
          <t>1404/12/29</t>
        </is>
      </c>
      <c r="S110" s="70" t="inlineStr">
        <is>
          <t>موظف در اطلاعیه ن۴۵; مدیرعامل عضو هیئت مدیره</t>
        </is>
      </c>
      <c r="T110" s="70" t="inlineStr">
        <is>
          <t>بله</t>
        </is>
      </c>
      <c r="U110" s="70" t="inlineStr">
        <is>
          <t>خیر</t>
        </is>
      </c>
    </row>
    <row r="111" ht="29" customHeight="1" s="76">
      <c r="A111" s="71" t="inlineStr">
        <is>
          <t>F22-M4</t>
        </is>
      </c>
      <c r="B111" s="71" t="inlineStr">
        <is>
          <t>ومعادن</t>
        </is>
      </c>
      <c r="C111" s="71" t="inlineStr">
        <is>
          <t>سرمایه گذاری ملی ایران</t>
        </is>
      </c>
      <c r="D111" s="71" t="inlineStr">
        <is>
          <t>محمدرضا درخشنده</t>
        </is>
      </c>
      <c r="E111" s="71" t="inlineStr">
        <is>
          <t>نماینده حقوقی</t>
        </is>
      </c>
      <c r="F111" s="71" t="inlineStr">
        <is>
          <t>عضو هیئت مدیره</t>
        </is>
      </c>
      <c r="G111" s="71" t="inlineStr">
        <is>
          <t>موظف</t>
        </is>
      </c>
      <c r="H111" s="71" t="inlineStr">
        <is>
          <t>موظف</t>
        </is>
      </c>
      <c r="I111" s="71" t="inlineStr">
        <is>
          <t>خیر</t>
        </is>
      </c>
      <c r="J111" s="71" t="inlineStr">
        <is>
          <t>NO_EXPLICIT_BOARD_LABEL_FOUND</t>
        </is>
      </c>
      <c r="K111" s="71" t="inlineStr">
        <is>
          <t>board</t>
        </is>
      </c>
      <c r="L111" s="71" t="n"/>
      <c r="M111" s="71" t="n"/>
      <c r="N111" s="71" t="inlineStr">
        <is>
          <t>Type19 1426875 ؛ گزارش SRC_VMDN_1404_001</t>
        </is>
      </c>
      <c r="O111" s="71" t="n"/>
      <c r="P111" s="71" t="inlineStr">
        <is>
          <t>NOT_INDEPENDENT_DOCUMENTED_EXECUTIVE</t>
        </is>
      </c>
      <c r="Q111" s="71" t="inlineStr">
        <is>
          <t>OD1</t>
        </is>
      </c>
      <c r="R111" s="71" t="inlineStr">
        <is>
          <t>1404/12/29</t>
        </is>
      </c>
      <c r="S111" s="71" t="inlineStr">
        <is>
          <t>موظف در اطلاعیه ن۴۵</t>
        </is>
      </c>
      <c r="T111" s="71" t="inlineStr">
        <is>
          <t>خیر</t>
        </is>
      </c>
      <c r="U111" s="71" t="inlineStr">
        <is>
          <t>خیر</t>
        </is>
      </c>
    </row>
    <row r="112" ht="29" customHeight="1" s="76">
      <c r="A112" s="70" t="inlineStr">
        <is>
          <t>F22-M5</t>
        </is>
      </c>
      <c r="B112" s="70" t="inlineStr">
        <is>
          <t>ومعادن</t>
        </is>
      </c>
      <c r="C112" s="70" t="inlineStr">
        <is>
          <t>سرمایه گذاری ارشک</t>
        </is>
      </c>
      <c r="D112" s="70" t="inlineStr">
        <is>
          <t>محمد کلانتری</t>
        </is>
      </c>
      <c r="E112" s="70" t="inlineStr">
        <is>
          <t>نماینده حقوقی</t>
        </is>
      </c>
      <c r="F112" s="70" t="inlineStr">
        <is>
          <t>نایب رئیس هیئت مدیره</t>
        </is>
      </c>
      <c r="G112" s="70" t="inlineStr">
        <is>
          <t>غیر موظف</t>
        </is>
      </c>
      <c r="H112" s="70" t="inlineStr">
        <is>
          <t>غیر موظف</t>
        </is>
      </c>
      <c r="I112" s="70" t="inlineStr">
        <is>
          <t>خیر</t>
        </is>
      </c>
      <c r="J112" s="70" t="inlineStr">
        <is>
          <t>NO_EXPLICIT_BOARD_LABEL_FOUND</t>
        </is>
      </c>
      <c r="K112" s="70" t="inlineStr">
        <is>
          <t>board</t>
        </is>
      </c>
      <c r="L112" s="70" t="n"/>
      <c r="M112" s="70" t="n"/>
      <c r="N112" s="70" t="inlineStr">
        <is>
          <t>Type19 1426875 ؛ گزارش SRC_VMDN_1404_001</t>
        </is>
      </c>
      <c r="O112" s="70" t="n"/>
      <c r="P112" s="70" t="inlineStr">
        <is>
          <t>UNKNOWN</t>
        </is>
      </c>
      <c r="Q112" s="70" t="inlineStr">
        <is>
          <t>OD1</t>
        </is>
      </c>
      <c r="R112" s="70" t="inlineStr">
        <is>
          <t>1404/12/29</t>
        </is>
      </c>
      <c r="S112" s="70" t="n"/>
      <c r="T112" s="70" t="inlineStr">
        <is>
          <t>خیر</t>
        </is>
      </c>
      <c r="U112" s="70" t="inlineStr">
        <is>
          <t>خیر</t>
        </is>
      </c>
    </row>
    <row r="113" ht="29" customHeight="1" s="76">
      <c r="A113" s="71" t="inlineStr">
        <is>
          <t>F23-M1</t>
        </is>
      </c>
      <c r="B113" s="71" t="inlineStr">
        <is>
          <t>وامید</t>
        </is>
      </c>
      <c r="C113" s="71" t="inlineStr">
        <is>
          <t>بانک سپه</t>
        </is>
      </c>
      <c r="D113" s="71" t="inlineStr">
        <is>
          <t>سیدبابک ابراهیمی</t>
        </is>
      </c>
      <c r="E113" s="71" t="inlineStr">
        <is>
          <t>نماینده حقوقی</t>
        </is>
      </c>
      <c r="F113" s="71" t="inlineStr">
        <is>
          <t>عضو هیئت مدیره</t>
        </is>
      </c>
      <c r="G113" s="71" t="inlineStr">
        <is>
          <t>موظف</t>
        </is>
      </c>
      <c r="H113" s="71" t="n"/>
      <c r="I113" s="71" t="inlineStr">
        <is>
          <t>خیر</t>
        </is>
      </c>
      <c r="J113" s="71" t="inlineStr">
        <is>
          <t>NO_EXPLICIT_BOARD_LABEL_FOUND</t>
        </is>
      </c>
      <c r="K113" s="71" t="inlineStr">
        <is>
          <t>board</t>
        </is>
      </c>
      <c r="L113" s="71" t="n"/>
      <c r="M113" s="71" t="n"/>
      <c r="N113" s="71" t="inlineStr">
        <is>
          <t>Type19 1401521</t>
        </is>
      </c>
      <c r="O113" s="71" t="n"/>
      <c r="P113" s="71" t="inlineStr">
        <is>
          <t>NOT_INDEPENDENT_DOCUMENTED_EXECUTIVE</t>
        </is>
      </c>
      <c r="Q113" s="71" t="inlineStr">
        <is>
          <t>OD1</t>
        </is>
      </c>
      <c r="R113" s="71" t="inlineStr">
        <is>
          <t>1404/10/30</t>
        </is>
      </c>
      <c r="S113" s="71" t="inlineStr">
        <is>
          <t>موظف در اطلاعیه ن۴۵; مدیرعامل عضو هیئت مدیره</t>
        </is>
      </c>
      <c r="T113" s="71" t="inlineStr">
        <is>
          <t>بله</t>
        </is>
      </c>
      <c r="U113" s="71" t="inlineStr">
        <is>
          <t>خیر</t>
        </is>
      </c>
    </row>
    <row r="114" ht="29" customHeight="1" s="76">
      <c r="A114" s="70" t="inlineStr">
        <is>
          <t>F23-M2</t>
        </is>
      </c>
      <c r="B114" s="70" t="inlineStr">
        <is>
          <t>وامید</t>
        </is>
      </c>
      <c r="C114" s="70" t="inlineStr">
        <is>
          <t>گروه مالی سپه</t>
        </is>
      </c>
      <c r="D114" s="70" t="inlineStr">
        <is>
          <t>محمدعلی یزدان جو</t>
        </is>
      </c>
      <c r="E114" s="70" t="inlineStr">
        <is>
          <t>نماینده حقوقی</t>
        </is>
      </c>
      <c r="F114" s="70" t="inlineStr">
        <is>
          <t>نایب رئیس هیئت مدیره</t>
        </is>
      </c>
      <c r="G114" s="70" t="inlineStr">
        <is>
          <t>غیر موظف</t>
        </is>
      </c>
      <c r="H114" s="70" t="n"/>
      <c r="I114" s="70" t="inlineStr">
        <is>
          <t>خیر</t>
        </is>
      </c>
      <c r="J114" s="70" t="inlineStr">
        <is>
          <t>NO_EXPLICIT_BOARD_LABEL_FOUND</t>
        </is>
      </c>
      <c r="K114" s="70" t="inlineStr">
        <is>
          <t>board</t>
        </is>
      </c>
      <c r="L114" s="70" t="n"/>
      <c r="M114" s="70" t="n"/>
      <c r="N114" s="70" t="inlineStr">
        <is>
          <t>Type19 1401521</t>
        </is>
      </c>
      <c r="O114" s="70" t="n"/>
      <c r="P114" s="70" t="inlineStr">
        <is>
          <t>UNKNOWN</t>
        </is>
      </c>
      <c r="Q114" s="70" t="inlineStr">
        <is>
          <t>OD1</t>
        </is>
      </c>
      <c r="R114" s="70" t="inlineStr">
        <is>
          <t>1404/10/30</t>
        </is>
      </c>
      <c r="S114" s="70" t="n"/>
      <c r="T114" s="70" t="inlineStr">
        <is>
          <t>خیر</t>
        </is>
      </c>
      <c r="U114" s="70" t="inlineStr">
        <is>
          <t>خیر</t>
        </is>
      </c>
    </row>
    <row r="115" ht="43.5" customHeight="1" s="76">
      <c r="A115" s="71" t="inlineStr">
        <is>
          <t>F23-M3</t>
        </is>
      </c>
      <c r="B115" s="71" t="inlineStr">
        <is>
          <t>وامید</t>
        </is>
      </c>
      <c r="C115" s="71" t="inlineStr">
        <is>
          <t>صندوق بازنشستگی وظیفه از کار افتادگی و پس انداز کارکنان بانکهای ملی و ادغام شده</t>
        </is>
      </c>
      <c r="D115" s="71" t="inlineStr">
        <is>
          <t>حامد دهقانان</t>
        </is>
      </c>
      <c r="E115" s="71" t="inlineStr">
        <is>
          <t>نماینده حقوقی</t>
        </is>
      </c>
      <c r="F115" s="71" t="inlineStr">
        <is>
          <t>عضو هیئت مدیره</t>
        </is>
      </c>
      <c r="G115" s="71" t="inlineStr">
        <is>
          <t>غیر موظف</t>
        </is>
      </c>
      <c r="H115" s="71" t="n"/>
      <c r="I115" s="71" t="inlineStr">
        <is>
          <t>خیر</t>
        </is>
      </c>
      <c r="J115" s="71" t="inlineStr">
        <is>
          <t>NO_EXPLICIT_BOARD_LABEL_FOUND</t>
        </is>
      </c>
      <c r="K115" s="71" t="inlineStr">
        <is>
          <t>board</t>
        </is>
      </c>
      <c r="L115" s="71" t="n"/>
      <c r="M115" s="71" t="n"/>
      <c r="N115" s="71" t="inlineStr">
        <is>
          <t>Type19 1401521</t>
        </is>
      </c>
      <c r="O115" s="71" t="n"/>
      <c r="P115" s="71" t="inlineStr">
        <is>
          <t>UNKNOWN</t>
        </is>
      </c>
      <c r="Q115" s="71" t="inlineStr">
        <is>
          <t>OD1</t>
        </is>
      </c>
      <c r="R115" s="71" t="inlineStr">
        <is>
          <t>1404/10/30</t>
        </is>
      </c>
      <c r="S115" s="71" t="n"/>
      <c r="T115" s="71" t="inlineStr">
        <is>
          <t>خیر</t>
        </is>
      </c>
      <c r="U115" s="71" t="inlineStr">
        <is>
          <t>خیر</t>
        </is>
      </c>
    </row>
    <row r="116" ht="29" customHeight="1" s="76">
      <c r="A116" s="70" t="inlineStr">
        <is>
          <t>F23-M4</t>
        </is>
      </c>
      <c r="B116" s="70" t="inlineStr">
        <is>
          <t>وامید</t>
        </is>
      </c>
      <c r="C116" s="70" t="inlineStr">
        <is>
          <t>گروه خدمات کارکنان سپه نوین</t>
        </is>
      </c>
      <c r="D116" s="70" t="inlineStr">
        <is>
          <t>سیدمصطفی سیدهاشمی</t>
        </is>
      </c>
      <c r="E116" s="70" t="inlineStr">
        <is>
          <t>نماینده حقوقی</t>
        </is>
      </c>
      <c r="F116" s="70" t="inlineStr">
        <is>
          <t>رئیس هیئت مدیره</t>
        </is>
      </c>
      <c r="G116" s="70" t="inlineStr">
        <is>
          <t>غیر موظف</t>
        </is>
      </c>
      <c r="H116" s="70" t="n"/>
      <c r="I116" s="70" t="inlineStr">
        <is>
          <t>خیر</t>
        </is>
      </c>
      <c r="J116" s="70" t="inlineStr">
        <is>
          <t>NO_EXPLICIT_BOARD_LABEL_FOUND</t>
        </is>
      </c>
      <c r="K116" s="70" t="inlineStr">
        <is>
          <t>board</t>
        </is>
      </c>
      <c r="L116" s="70" t="n"/>
      <c r="M116" s="70" t="n"/>
      <c r="N116" s="70" t="inlineStr">
        <is>
          <t>Type19 1401521</t>
        </is>
      </c>
      <c r="O116" s="70" t="n"/>
      <c r="P116" s="70" t="inlineStr">
        <is>
          <t>UNKNOWN</t>
        </is>
      </c>
      <c r="Q116" s="70" t="inlineStr">
        <is>
          <t>OD1</t>
        </is>
      </c>
      <c r="R116" s="70" t="inlineStr">
        <is>
          <t>1404/10/30</t>
        </is>
      </c>
      <c r="S116" s="70" t="n"/>
      <c r="T116" s="70" t="inlineStr">
        <is>
          <t>خیر</t>
        </is>
      </c>
      <c r="U116" s="70" t="inlineStr">
        <is>
          <t>بله</t>
        </is>
      </c>
    </row>
    <row r="117" ht="29" customHeight="1" s="76">
      <c r="A117" s="71" t="inlineStr">
        <is>
          <t>F23-M5</t>
        </is>
      </c>
      <c r="B117" s="71" t="inlineStr">
        <is>
          <t>وامید</t>
        </is>
      </c>
      <c r="C117" s="71" t="inlineStr">
        <is>
          <t>توسعه کسب و کار مهستان</t>
        </is>
      </c>
      <c r="D117" s="71" t="inlineStr">
        <is>
          <t>وحید خاشعی ورنامخواستی</t>
        </is>
      </c>
      <c r="E117" s="71" t="inlineStr">
        <is>
          <t>نماینده حقوقی</t>
        </is>
      </c>
      <c r="F117" s="71" t="inlineStr">
        <is>
          <t>عضو هیئت مدیره</t>
        </is>
      </c>
      <c r="G117" s="71" t="inlineStr">
        <is>
          <t>موظف</t>
        </is>
      </c>
      <c r="H117" s="71" t="n"/>
      <c r="I117" s="71" t="inlineStr">
        <is>
          <t>خیر</t>
        </is>
      </c>
      <c r="J117" s="71" t="inlineStr">
        <is>
          <t>NO_EXPLICIT_BOARD_LABEL_FOUND</t>
        </is>
      </c>
      <c r="K117" s="71" t="inlineStr">
        <is>
          <t>board</t>
        </is>
      </c>
      <c r="L117" s="71" t="n"/>
      <c r="M117" s="71" t="n"/>
      <c r="N117" s="71" t="inlineStr">
        <is>
          <t>Type19 1401521</t>
        </is>
      </c>
      <c r="O117" s="71" t="n"/>
      <c r="P117" s="71" t="inlineStr">
        <is>
          <t>NOT_INDEPENDENT_DOCUMENTED_EXECUTIVE</t>
        </is>
      </c>
      <c r="Q117" s="71" t="inlineStr">
        <is>
          <t>OD1</t>
        </is>
      </c>
      <c r="R117" s="71" t="inlineStr">
        <is>
          <t>1404/10/30</t>
        </is>
      </c>
      <c r="S117" s="71" t="inlineStr">
        <is>
          <t>موظف در اطلاعیه ن۴۵</t>
        </is>
      </c>
      <c r="T117" s="71" t="inlineStr">
        <is>
          <t>خیر</t>
        </is>
      </c>
      <c r="U117" s="71" t="inlineStr">
        <is>
          <t>خیر</t>
        </is>
      </c>
    </row>
    <row r="118" ht="29" customHeight="1" s="76">
      <c r="A118" s="70" t="inlineStr">
        <is>
          <t>F24-M1</t>
        </is>
      </c>
      <c r="B118" s="70" t="inlineStr">
        <is>
          <t>خساپا</t>
        </is>
      </c>
      <c r="C118" s="70" t="inlineStr">
        <is>
          <t>سرمایه گذاری گروه صنعتی رنا</t>
        </is>
      </c>
      <c r="D118" s="70" t="inlineStr">
        <is>
          <t>رحیم علیشاهی</t>
        </is>
      </c>
      <c r="E118" s="70" t="inlineStr">
        <is>
          <t>نماینده حقوقی</t>
        </is>
      </c>
      <c r="F118" s="70" t="inlineStr">
        <is>
          <t>عضو هیئت مدیره</t>
        </is>
      </c>
      <c r="G118" s="70" t="inlineStr">
        <is>
          <t>غیر موظف</t>
        </is>
      </c>
      <c r="H118" s="70" t="n"/>
      <c r="I118" s="70" t="inlineStr">
        <is>
          <t>خیر</t>
        </is>
      </c>
      <c r="J118" s="70" t="inlineStr">
        <is>
          <t>NO_EXPLICIT_BOARD_LABEL_FOUND</t>
        </is>
      </c>
      <c r="K118" s="70" t="inlineStr">
        <is>
          <t>board</t>
        </is>
      </c>
      <c r="L118" s="70" t="n"/>
      <c r="M118" s="70" t="n"/>
      <c r="N118" s="70" t="inlineStr">
        <is>
          <t>Type19 1386511</t>
        </is>
      </c>
      <c r="O118" s="70" t="n"/>
      <c r="P118" s="70" t="inlineStr">
        <is>
          <t>UNKNOWN</t>
        </is>
      </c>
      <c r="Q118" s="70" t="inlineStr">
        <is>
          <t>OD1</t>
        </is>
      </c>
      <c r="R118" s="70" t="inlineStr">
        <is>
          <t>1404/12/29</t>
        </is>
      </c>
      <c r="S118" s="70" t="n"/>
      <c r="T118" s="70" t="inlineStr">
        <is>
          <t>خیر</t>
        </is>
      </c>
      <c r="U118" s="70" t="inlineStr">
        <is>
          <t>خیر</t>
        </is>
      </c>
    </row>
    <row r="119" ht="29" customHeight="1" s="76">
      <c r="A119" s="71" t="inlineStr">
        <is>
          <t>F24-M2</t>
        </is>
      </c>
      <c r="B119" s="71" t="inlineStr">
        <is>
          <t>خساپا</t>
        </is>
      </c>
      <c r="C119" s="71" t="inlineStr">
        <is>
          <t>گروه سرمایه گذاری کارکنان سایپا</t>
        </is>
      </c>
      <c r="D119" s="71" t="inlineStr">
        <is>
          <t>علی شیخ زاده</t>
        </is>
      </c>
      <c r="E119" s="71" t="inlineStr">
        <is>
          <t>نماینده حقوقی</t>
        </is>
      </c>
      <c r="F119" s="71" t="inlineStr">
        <is>
          <t>نایب رئیس هیئت مدیره</t>
        </is>
      </c>
      <c r="G119" s="71" t="inlineStr">
        <is>
          <t>موظف</t>
        </is>
      </c>
      <c r="H119" s="71" t="n"/>
      <c r="I119" s="71" t="inlineStr">
        <is>
          <t>خیر</t>
        </is>
      </c>
      <c r="J119" s="71" t="inlineStr">
        <is>
          <t>NO_EXPLICIT_BOARD_LABEL_FOUND</t>
        </is>
      </c>
      <c r="K119" s="71" t="inlineStr">
        <is>
          <t>board</t>
        </is>
      </c>
      <c r="L119" s="71" t="n"/>
      <c r="M119" s="71" t="n"/>
      <c r="N119" s="71" t="inlineStr">
        <is>
          <t>Type19 1386511</t>
        </is>
      </c>
      <c r="O119" s="71" t="n"/>
      <c r="P119" s="71" t="inlineStr">
        <is>
          <t>NOT_INDEPENDENT_DOCUMENTED_EXECUTIVE</t>
        </is>
      </c>
      <c r="Q119" s="71" t="inlineStr">
        <is>
          <t>OD1</t>
        </is>
      </c>
      <c r="R119" s="71" t="inlineStr">
        <is>
          <t>1404/12/29</t>
        </is>
      </c>
      <c r="S119" s="71" t="inlineStr">
        <is>
          <t>موظف در اطلاعیه ن۴۵; مدیرعامل عضو هیئت مدیره</t>
        </is>
      </c>
      <c r="T119" s="71" t="inlineStr">
        <is>
          <t>بله</t>
        </is>
      </c>
      <c r="U119" s="71" t="inlineStr">
        <is>
          <t>خیر</t>
        </is>
      </c>
    </row>
    <row r="120" ht="29" customHeight="1" s="76">
      <c r="A120" s="70" t="inlineStr">
        <is>
          <t>F24-M3</t>
        </is>
      </c>
      <c r="B120" s="70" t="inlineStr">
        <is>
          <t>خساپا</t>
        </is>
      </c>
      <c r="C120" s="70" t="inlineStr">
        <is>
          <t>صندوق حمایت وبازنشستگی کارکنان فولاد</t>
        </is>
      </c>
      <c r="D120" s="70" t="inlineStr">
        <is>
          <t>مجید بهرامی</t>
        </is>
      </c>
      <c r="E120" s="70" t="inlineStr">
        <is>
          <t>نماینده حقوقی</t>
        </is>
      </c>
      <c r="F120" s="70" t="inlineStr">
        <is>
          <t>عضو هیئت مدیره</t>
        </is>
      </c>
      <c r="G120" s="70" t="inlineStr">
        <is>
          <t>غیر موظف</t>
        </is>
      </c>
      <c r="H120" s="70" t="n"/>
      <c r="I120" s="70" t="inlineStr">
        <is>
          <t>خیر</t>
        </is>
      </c>
      <c r="J120" s="70" t="inlineStr">
        <is>
          <t>NO_EXPLICIT_BOARD_LABEL_FOUND</t>
        </is>
      </c>
      <c r="K120" s="70" t="inlineStr">
        <is>
          <t>board</t>
        </is>
      </c>
      <c r="L120" s="70" t="n"/>
      <c r="M120" s="70" t="n"/>
      <c r="N120" s="70" t="inlineStr">
        <is>
          <t>Type19 1386511</t>
        </is>
      </c>
      <c r="O120" s="70" t="n"/>
      <c r="P120" s="70" t="inlineStr">
        <is>
          <t>UNKNOWN</t>
        </is>
      </c>
      <c r="Q120" s="70" t="inlineStr">
        <is>
          <t>OD1</t>
        </is>
      </c>
      <c r="R120" s="70" t="inlineStr">
        <is>
          <t>1404/12/29</t>
        </is>
      </c>
      <c r="S120" s="70" t="n"/>
      <c r="T120" s="70" t="inlineStr">
        <is>
          <t>خیر</t>
        </is>
      </c>
      <c r="U120" s="70" t="inlineStr">
        <is>
          <t>خیر</t>
        </is>
      </c>
    </row>
    <row r="121" ht="29" customHeight="1" s="76">
      <c r="A121" s="71" t="inlineStr">
        <is>
          <t>F24-M4</t>
        </is>
      </c>
      <c r="B121" s="71" t="inlineStr">
        <is>
          <t>خساپا</t>
        </is>
      </c>
      <c r="C121" s="71" t="inlineStr">
        <is>
          <t>توسعه سرمایه رادین</t>
        </is>
      </c>
      <c r="D121" s="71" t="inlineStr">
        <is>
          <t>مهدی رادمنش</t>
        </is>
      </c>
      <c r="E121" s="71" t="inlineStr">
        <is>
          <t>نماینده حقوقی</t>
        </is>
      </c>
      <c r="F121" s="71" t="inlineStr">
        <is>
          <t>عضو هیئت مدیره</t>
        </is>
      </c>
      <c r="G121" s="71" t="inlineStr">
        <is>
          <t>موظف</t>
        </is>
      </c>
      <c r="H121" s="71" t="n"/>
      <c r="I121" s="71" t="inlineStr">
        <is>
          <t>خیر</t>
        </is>
      </c>
      <c r="J121" s="71" t="inlineStr">
        <is>
          <t>NO_EXPLICIT_BOARD_LABEL_FOUND</t>
        </is>
      </c>
      <c r="K121" s="71" t="inlineStr">
        <is>
          <t>board</t>
        </is>
      </c>
      <c r="L121" s="71" t="n"/>
      <c r="M121" s="71" t="n"/>
      <c r="N121" s="71" t="inlineStr">
        <is>
          <t>Type19 1386511</t>
        </is>
      </c>
      <c r="O121" s="71" t="n"/>
      <c r="P121" s="71" t="inlineStr">
        <is>
          <t>NOT_INDEPENDENT_DOCUMENTED_EXECUTIVE</t>
        </is>
      </c>
      <c r="Q121" s="71" t="inlineStr">
        <is>
          <t>OD1</t>
        </is>
      </c>
      <c r="R121" s="71" t="inlineStr">
        <is>
          <t>1404/12/29</t>
        </is>
      </c>
      <c r="S121" s="71" t="inlineStr">
        <is>
          <t>موظف در اطلاعیه ن۴۵</t>
        </is>
      </c>
      <c r="T121" s="71" t="inlineStr">
        <is>
          <t>خیر</t>
        </is>
      </c>
      <c r="U121" s="71" t="inlineStr">
        <is>
          <t>خیر</t>
        </is>
      </c>
    </row>
    <row r="122" ht="29" customHeight="1" s="76">
      <c r="A122" s="70" t="inlineStr">
        <is>
          <t>F24-M5</t>
        </is>
      </c>
      <c r="B122" s="70" t="inlineStr">
        <is>
          <t>خساپا</t>
        </is>
      </c>
      <c r="C122" s="70" t="inlineStr">
        <is>
          <t>سازمان مدیریت صنعتی</t>
        </is>
      </c>
      <c r="D122" s="70" t="inlineStr">
        <is>
          <t>کورش پرویزیان</t>
        </is>
      </c>
      <c r="E122" s="70" t="inlineStr">
        <is>
          <t>نماینده حقوقی</t>
        </is>
      </c>
      <c r="F122" s="70" t="inlineStr">
        <is>
          <t>رئیس هیئت مدیره</t>
        </is>
      </c>
      <c r="G122" s="70" t="inlineStr">
        <is>
          <t>غیر موظف</t>
        </is>
      </c>
      <c r="H122" s="70" t="n"/>
      <c r="I122" s="70" t="inlineStr">
        <is>
          <t>خیر</t>
        </is>
      </c>
      <c r="J122" s="70" t="inlineStr">
        <is>
          <t>NO_EXPLICIT_BOARD_LABEL_FOUND</t>
        </is>
      </c>
      <c r="K122" s="70" t="inlineStr">
        <is>
          <t>board</t>
        </is>
      </c>
      <c r="L122" s="70" t="n"/>
      <c r="M122" s="70" t="n"/>
      <c r="N122" s="70" t="inlineStr">
        <is>
          <t>Type19 1386511</t>
        </is>
      </c>
      <c r="O122" s="70" t="n"/>
      <c r="P122" s="70" t="inlineStr">
        <is>
          <t>UNKNOWN</t>
        </is>
      </c>
      <c r="Q122" s="70" t="inlineStr">
        <is>
          <t>OD1</t>
        </is>
      </c>
      <c r="R122" s="70" t="inlineStr">
        <is>
          <t>1404/12/29</t>
        </is>
      </c>
      <c r="S122" s="70" t="n"/>
      <c r="T122" s="70" t="inlineStr">
        <is>
          <t>خیر</t>
        </is>
      </c>
      <c r="U122" s="70" t="inlineStr">
        <is>
          <t>بله</t>
        </is>
      </c>
    </row>
    <row r="123" ht="29" customHeight="1" s="76">
      <c r="A123" s="71" t="inlineStr">
        <is>
          <t>F25-M1</t>
        </is>
      </c>
      <c r="B123" s="71" t="inlineStr">
        <is>
          <t>همراه</t>
        </is>
      </c>
      <c r="C123" s="71" t="inlineStr">
        <is>
          <t>مخابرات ایران</t>
        </is>
      </c>
      <c r="D123" s="71" t="inlineStr">
        <is>
          <t>حجت اله نیکی ملکی</t>
        </is>
      </c>
      <c r="E123" s="71" t="inlineStr">
        <is>
          <t>نماینده حقوقی</t>
        </is>
      </c>
      <c r="F123" s="71" t="inlineStr">
        <is>
          <t>عضو هیئت مدیره</t>
        </is>
      </c>
      <c r="G123" s="71" t="inlineStr">
        <is>
          <t>موظف</t>
        </is>
      </c>
      <c r="H123" s="71" t="inlineStr">
        <is>
          <t>موظف</t>
        </is>
      </c>
      <c r="I123" s="71" t="inlineStr">
        <is>
          <t>خیر</t>
        </is>
      </c>
      <c r="J123" s="71" t="inlineStr">
        <is>
          <t>NO_EXPLICIT_BOARD_LABEL_FOUND</t>
        </is>
      </c>
      <c r="K123" s="71" t="inlineStr">
        <is>
          <t>board</t>
        </is>
      </c>
      <c r="L123" s="71" t="n"/>
      <c r="M123" s="71" t="n"/>
      <c r="N123" s="71" t="inlineStr">
        <is>
          <t>Type19 1352932 ؛ گزارش SRC_HMRH_1404_001</t>
        </is>
      </c>
      <c r="O123" s="71" t="n"/>
      <c r="P123" s="71" t="inlineStr">
        <is>
          <t>NOT_INDEPENDENT_DOCUMENTED_EXECUTIVE</t>
        </is>
      </c>
      <c r="Q123" s="71" t="inlineStr">
        <is>
          <t>OD1</t>
        </is>
      </c>
      <c r="R123" s="71" t="inlineStr">
        <is>
          <t>1404/12/29</t>
        </is>
      </c>
      <c r="S123" s="71" t="inlineStr">
        <is>
          <t>موظف در اطلاعیه ن۴۵</t>
        </is>
      </c>
      <c r="T123" s="71" t="inlineStr">
        <is>
          <t>خیر</t>
        </is>
      </c>
      <c r="U123" s="71" t="inlineStr">
        <is>
          <t>خیر</t>
        </is>
      </c>
    </row>
    <row r="124" ht="29" customHeight="1" s="76">
      <c r="A124" s="70" t="inlineStr">
        <is>
          <t>F25-M2</t>
        </is>
      </c>
      <c r="B124" s="70" t="inlineStr">
        <is>
          <t>همراه</t>
        </is>
      </c>
      <c r="C124" s="70" t="inlineStr">
        <is>
          <t>سرمایه گذاری مهر اقتصاد مبین</t>
        </is>
      </c>
      <c r="D124" s="70" t="inlineStr">
        <is>
          <t>محمد پیری</t>
        </is>
      </c>
      <c r="E124" s="70" t="inlineStr">
        <is>
          <t>نماینده حقوقی</t>
        </is>
      </c>
      <c r="F124" s="70" t="inlineStr">
        <is>
          <t>نایب رئیس هیئت مدیره</t>
        </is>
      </c>
      <c r="G124" s="70" t="inlineStr">
        <is>
          <t>غیر موظف</t>
        </is>
      </c>
      <c r="H124" s="70" t="inlineStr">
        <is>
          <t>غیر موظف</t>
        </is>
      </c>
      <c r="I124" s="70" t="inlineStr">
        <is>
          <t>خیر</t>
        </is>
      </c>
      <c r="J124" s="70" t="inlineStr">
        <is>
          <t>NO_EXPLICIT_BOARD_LABEL_FOUND</t>
        </is>
      </c>
      <c r="K124" s="70" t="inlineStr">
        <is>
          <t>board</t>
        </is>
      </c>
      <c r="L124" s="70" t="n"/>
      <c r="M124" s="70" t="n"/>
      <c r="N124" s="70" t="inlineStr">
        <is>
          <t>Type19 1352932 ؛ گزارش SRC_HMRH_1404_001</t>
        </is>
      </c>
      <c r="O124" s="70" t="n"/>
      <c r="P124" s="70" t="inlineStr">
        <is>
          <t>UNKNOWN</t>
        </is>
      </c>
      <c r="Q124" s="70" t="inlineStr">
        <is>
          <t>OD1</t>
        </is>
      </c>
      <c r="R124" s="70" t="inlineStr">
        <is>
          <t>1404/12/29</t>
        </is>
      </c>
      <c r="S124" s="70" t="n"/>
      <c r="T124" s="70" t="inlineStr">
        <is>
          <t>خیر</t>
        </is>
      </c>
      <c r="U124" s="70" t="inlineStr">
        <is>
          <t>خیر</t>
        </is>
      </c>
    </row>
    <row r="125" ht="29" customHeight="1" s="76">
      <c r="A125" s="71" t="inlineStr">
        <is>
          <t>F25-M3</t>
        </is>
      </c>
      <c r="B125" s="71" t="inlineStr">
        <is>
          <t>همراه</t>
        </is>
      </c>
      <c r="C125" s="71" t="inlineStr">
        <is>
          <t>گسترش الکترونیک تدبیر ایران</t>
        </is>
      </c>
      <c r="D125" s="71" t="inlineStr">
        <is>
          <t>علی بقائی</t>
        </is>
      </c>
      <c r="E125" s="71" t="inlineStr">
        <is>
          <t>نماینده حقوقی</t>
        </is>
      </c>
      <c r="F125" s="71" t="inlineStr">
        <is>
          <t>رئیس هیئت مدیره</t>
        </is>
      </c>
      <c r="G125" s="71" t="inlineStr">
        <is>
          <t>غیر موظف</t>
        </is>
      </c>
      <c r="H125" s="71" t="inlineStr">
        <is>
          <t>غیر موظف</t>
        </is>
      </c>
      <c r="I125" s="71" t="inlineStr">
        <is>
          <t>خیر</t>
        </is>
      </c>
      <c r="J125" s="71" t="inlineStr">
        <is>
          <t>NO_EXPLICIT_BOARD_LABEL_FOUND</t>
        </is>
      </c>
      <c r="K125" s="71" t="inlineStr">
        <is>
          <t>board</t>
        </is>
      </c>
      <c r="L125" s="71" t="n"/>
      <c r="M125" s="71" t="n"/>
      <c r="N125" s="71" t="inlineStr">
        <is>
          <t>Type19 1352932 ؛ گزارش SRC_HMRH_1404_001</t>
        </is>
      </c>
      <c r="O125" s="71" t="n"/>
      <c r="P125" s="71" t="inlineStr">
        <is>
          <t>UNKNOWN</t>
        </is>
      </c>
      <c r="Q125" s="71" t="inlineStr">
        <is>
          <t>OD1</t>
        </is>
      </c>
      <c r="R125" s="71" t="inlineStr">
        <is>
          <t>1404/12/29</t>
        </is>
      </c>
      <c r="S125" s="71" t="n"/>
      <c r="T125" s="71" t="inlineStr">
        <is>
          <t>خیر</t>
        </is>
      </c>
      <c r="U125" s="71" t="inlineStr">
        <is>
          <t>بله</t>
        </is>
      </c>
    </row>
    <row r="126" ht="29" customHeight="1" s="76">
      <c r="A126" s="70" t="inlineStr">
        <is>
          <t>F25-M4</t>
        </is>
      </c>
      <c r="B126" s="70" t="inlineStr">
        <is>
          <t>همراه</t>
        </is>
      </c>
      <c r="C126" s="70" t="inlineStr">
        <is>
          <t>گسترش خدمات ارتباطات کارا شاب</t>
        </is>
      </c>
      <c r="D126" s="70" t="inlineStr">
        <is>
          <t>حسین میرزاپور</t>
        </is>
      </c>
      <c r="E126" s="70" t="inlineStr">
        <is>
          <t>نماینده حقوقی</t>
        </is>
      </c>
      <c r="F126" s="70" t="inlineStr">
        <is>
          <t>عضو هیئت مدیره</t>
        </is>
      </c>
      <c r="G126" s="70" t="inlineStr">
        <is>
          <t>غیر موظف</t>
        </is>
      </c>
      <c r="H126" s="70" t="inlineStr">
        <is>
          <t>غیر موظف</t>
        </is>
      </c>
      <c r="I126" s="70" t="inlineStr">
        <is>
          <t>خیر</t>
        </is>
      </c>
      <c r="J126" s="70" t="inlineStr">
        <is>
          <t>NO_EXPLICIT_BOARD_LABEL_FOUND</t>
        </is>
      </c>
      <c r="K126" s="70" t="inlineStr">
        <is>
          <t>board</t>
        </is>
      </c>
      <c r="L126" s="70" t="n"/>
      <c r="M126" s="70" t="n"/>
      <c r="N126" s="70" t="inlineStr">
        <is>
          <t>Type19 1352932 ؛ گزارش SRC_HMRH_1404_001</t>
        </is>
      </c>
      <c r="O126" s="70" t="n"/>
      <c r="P126" s="70" t="inlineStr">
        <is>
          <t>UNKNOWN</t>
        </is>
      </c>
      <c r="Q126" s="70" t="inlineStr">
        <is>
          <t>OD1</t>
        </is>
      </c>
      <c r="R126" s="70" t="inlineStr">
        <is>
          <t>1404/12/29</t>
        </is>
      </c>
      <c r="S126" s="70" t="n"/>
      <c r="T126" s="70" t="inlineStr">
        <is>
          <t>خیر</t>
        </is>
      </c>
      <c r="U126" s="70" t="inlineStr">
        <is>
          <t>خیر</t>
        </is>
      </c>
    </row>
    <row r="127" ht="29" customHeight="1" s="76">
      <c r="A127" s="71" t="inlineStr">
        <is>
          <t>F25-M5</t>
        </is>
      </c>
      <c r="B127" s="71" t="inlineStr">
        <is>
          <t>همراه</t>
        </is>
      </c>
      <c r="C127" s="71" t="inlineStr">
        <is>
          <t>مدیریت سامان سازه غدیر</t>
        </is>
      </c>
      <c r="D127" s="71" t="inlineStr">
        <is>
          <t>مهدی اخوان بهابادی</t>
        </is>
      </c>
      <c r="E127" s="71" t="inlineStr">
        <is>
          <t>نماینده حقوقی</t>
        </is>
      </c>
      <c r="F127" s="71" t="inlineStr">
        <is>
          <t>عضو هیئت مدیره</t>
        </is>
      </c>
      <c r="G127" s="71" t="inlineStr">
        <is>
          <t>موظف</t>
        </is>
      </c>
      <c r="H127" s="71" t="inlineStr">
        <is>
          <t>موظف</t>
        </is>
      </c>
      <c r="I127" s="71" t="inlineStr">
        <is>
          <t>خیر</t>
        </is>
      </c>
      <c r="J127" s="71" t="inlineStr">
        <is>
          <t>NO_EXPLICIT_BOARD_LABEL_FOUND</t>
        </is>
      </c>
      <c r="K127" s="71" t="inlineStr">
        <is>
          <t>board</t>
        </is>
      </c>
      <c r="L127" s="71" t="n"/>
      <c r="M127" s="71" t="n"/>
      <c r="N127" s="71" t="inlineStr">
        <is>
          <t>Type19 1352932 ؛ گزارش SRC_HMRH_1404_001</t>
        </is>
      </c>
      <c r="O127" s="71" t="n"/>
      <c r="P127" s="71" t="inlineStr">
        <is>
          <t>NOT_INDEPENDENT_DOCUMENTED_EXECUTIVE</t>
        </is>
      </c>
      <c r="Q127" s="71" t="inlineStr">
        <is>
          <t>OD1</t>
        </is>
      </c>
      <c r="R127" s="71" t="inlineStr">
        <is>
          <t>1404/12/29</t>
        </is>
      </c>
      <c r="S127" s="71" t="inlineStr">
        <is>
          <t>موظف در اطلاعیه ن۴۵; مدیرعامل عضو هیئت مدیره</t>
        </is>
      </c>
      <c r="T127" s="71" t="inlineStr">
        <is>
          <t>بله</t>
        </is>
      </c>
      <c r="U127" s="71" t="inlineStr">
        <is>
          <t>خیر</t>
        </is>
      </c>
    </row>
    <row r="128" ht="29" customHeight="1" s="76">
      <c r="A128" s="70" t="inlineStr">
        <is>
          <t>F26-M1</t>
        </is>
      </c>
      <c r="B128" s="70" t="inlineStr">
        <is>
          <t>وبملت</t>
        </is>
      </c>
      <c r="C128" s="70" t="n"/>
      <c r="D128" s="70" t="inlineStr">
        <is>
          <t>سیدکاظم چاوشی</t>
        </is>
      </c>
      <c r="E128" s="70" t="inlineStr">
        <is>
          <t>حقیقی</t>
        </is>
      </c>
      <c r="F128" s="70" t="inlineStr">
        <is>
          <t>نایب رئیس هیئت مدیره</t>
        </is>
      </c>
      <c r="G128" s="70" t="inlineStr">
        <is>
          <t>موظف</t>
        </is>
      </c>
      <c r="H128" s="70" t="n"/>
      <c r="I128" s="70" t="inlineStr">
        <is>
          <t>خیر</t>
        </is>
      </c>
      <c r="J128" s="70" t="inlineStr">
        <is>
          <t>NO_EXPLICIT_BOARD_LABEL_FOUND</t>
        </is>
      </c>
      <c r="K128" s="70" t="inlineStr">
        <is>
          <t>board</t>
        </is>
      </c>
      <c r="L128" s="70" t="n"/>
      <c r="M128" s="70" t="n"/>
      <c r="N128" s="70" t="inlineStr">
        <is>
          <t>Type19 1397174</t>
        </is>
      </c>
      <c r="O128" s="70" t="n"/>
      <c r="P128" s="70" t="inlineStr">
        <is>
          <t>NOT_INDEPENDENT_DOCUMENTED_EXECUTIVE</t>
        </is>
      </c>
      <c r="Q128" s="70" t="inlineStr">
        <is>
          <t>OD1</t>
        </is>
      </c>
      <c r="R128" s="70" t="inlineStr">
        <is>
          <t>1404/12/29</t>
        </is>
      </c>
      <c r="S128" s="70" t="inlineStr">
        <is>
          <t>موظف در اطلاعیه ن۴۵</t>
        </is>
      </c>
      <c r="T128" s="70" t="inlineStr">
        <is>
          <t>خیر</t>
        </is>
      </c>
      <c r="U128" s="70" t="inlineStr">
        <is>
          <t>خیر</t>
        </is>
      </c>
    </row>
    <row r="129" ht="29" customHeight="1" s="76">
      <c r="A129" s="71" t="inlineStr">
        <is>
          <t>F26-M2</t>
        </is>
      </c>
      <c r="B129" s="71" t="inlineStr">
        <is>
          <t>وبملت</t>
        </is>
      </c>
      <c r="C129" s="71" t="n"/>
      <c r="D129" s="71" t="inlineStr">
        <is>
          <t>مسعود نصراصفهانی</t>
        </is>
      </c>
      <c r="E129" s="71" t="inlineStr">
        <is>
          <t>حقیقی</t>
        </is>
      </c>
      <c r="F129" s="71" t="inlineStr">
        <is>
          <t>رئیس هیئت مدیره</t>
        </is>
      </c>
      <c r="G129" s="71" t="inlineStr">
        <is>
          <t>موظف</t>
        </is>
      </c>
      <c r="H129" s="71" t="n"/>
      <c r="I129" s="71" t="inlineStr">
        <is>
          <t>خیر</t>
        </is>
      </c>
      <c r="J129" s="71" t="inlineStr">
        <is>
          <t>NO_EXPLICIT_BOARD_LABEL_FOUND</t>
        </is>
      </c>
      <c r="K129" s="71" t="inlineStr">
        <is>
          <t>board</t>
        </is>
      </c>
      <c r="L129" s="71" t="n"/>
      <c r="M129" s="71" t="n"/>
      <c r="N129" s="71" t="inlineStr">
        <is>
          <t>Type19 1397174</t>
        </is>
      </c>
      <c r="O129" s="71" t="n"/>
      <c r="P129" s="71" t="inlineStr">
        <is>
          <t>NOT_INDEPENDENT_DOCUMENTED_EXECUTIVE</t>
        </is>
      </c>
      <c r="Q129" s="71" t="inlineStr">
        <is>
          <t>OD1</t>
        </is>
      </c>
      <c r="R129" s="71" t="inlineStr">
        <is>
          <t>1404/12/29</t>
        </is>
      </c>
      <c r="S129" s="71" t="inlineStr">
        <is>
          <t>موظف در اطلاعیه ن۴۵</t>
        </is>
      </c>
      <c r="T129" s="71" t="inlineStr">
        <is>
          <t>خیر</t>
        </is>
      </c>
      <c r="U129" s="71" t="inlineStr">
        <is>
          <t>بله</t>
        </is>
      </c>
    </row>
    <row r="130" ht="29" customHeight="1" s="76">
      <c r="A130" s="70" t="inlineStr">
        <is>
          <t>F26-M3</t>
        </is>
      </c>
      <c r="B130" s="70" t="inlineStr">
        <is>
          <t>وبملت</t>
        </is>
      </c>
      <c r="C130" s="70" t="n"/>
      <c r="D130" s="70" t="inlineStr">
        <is>
          <t>عباس اشرف نژاد</t>
        </is>
      </c>
      <c r="E130" s="70" t="inlineStr">
        <is>
          <t>حقیقی</t>
        </is>
      </c>
      <c r="F130" s="70" t="inlineStr">
        <is>
          <t>عضو هیئت مدیره</t>
        </is>
      </c>
      <c r="G130" s="70" t="inlineStr">
        <is>
          <t>موظف</t>
        </is>
      </c>
      <c r="H130" s="70" t="n"/>
      <c r="I130" s="70" t="inlineStr">
        <is>
          <t>خیر</t>
        </is>
      </c>
      <c r="J130" s="70" t="inlineStr">
        <is>
          <t>NO_EXPLICIT_BOARD_LABEL_FOUND</t>
        </is>
      </c>
      <c r="K130" s="70" t="inlineStr">
        <is>
          <t>board</t>
        </is>
      </c>
      <c r="L130" s="70" t="n"/>
      <c r="M130" s="70" t="n"/>
      <c r="N130" s="70" t="inlineStr">
        <is>
          <t>Type19 1397174</t>
        </is>
      </c>
      <c r="O130" s="70" t="n"/>
      <c r="P130" s="70" t="inlineStr">
        <is>
          <t>NOT_INDEPENDENT_DOCUMENTED_EXECUTIVE</t>
        </is>
      </c>
      <c r="Q130" s="70" t="inlineStr">
        <is>
          <t>OD1</t>
        </is>
      </c>
      <c r="R130" s="70" t="inlineStr">
        <is>
          <t>1404/12/29</t>
        </is>
      </c>
      <c r="S130" s="70" t="inlineStr">
        <is>
          <t>موظف در اطلاعیه ن۴۵</t>
        </is>
      </c>
      <c r="T130" s="70" t="inlineStr">
        <is>
          <t>خیر</t>
        </is>
      </c>
      <c r="U130" s="70" t="inlineStr">
        <is>
          <t>خیر</t>
        </is>
      </c>
    </row>
    <row r="131" ht="29" customHeight="1" s="76">
      <c r="A131" s="71" t="inlineStr">
        <is>
          <t>F26-M4</t>
        </is>
      </c>
      <c r="B131" s="71" t="inlineStr">
        <is>
          <t>وبملت</t>
        </is>
      </c>
      <c r="C131" s="71" t="n"/>
      <c r="D131" s="71" t="inlineStr">
        <is>
          <t>سیدرضا موسوی</t>
        </is>
      </c>
      <c r="E131" s="71" t="inlineStr">
        <is>
          <t>حقیقی</t>
        </is>
      </c>
      <c r="F131" s="71" t="inlineStr">
        <is>
          <t>عضو هیئت مدیره</t>
        </is>
      </c>
      <c r="G131" s="71" t="inlineStr">
        <is>
          <t>موظف</t>
        </is>
      </c>
      <c r="H131" s="71" t="n"/>
      <c r="I131" s="71" t="inlineStr">
        <is>
          <t>خیر</t>
        </is>
      </c>
      <c r="J131" s="71" t="inlineStr">
        <is>
          <t>NO_EXPLICIT_BOARD_LABEL_FOUND</t>
        </is>
      </c>
      <c r="K131" s="71" t="inlineStr">
        <is>
          <t>board</t>
        </is>
      </c>
      <c r="L131" s="71" t="n"/>
      <c r="M131" s="71" t="n"/>
      <c r="N131" s="71" t="inlineStr">
        <is>
          <t>Type19 1397174</t>
        </is>
      </c>
      <c r="O131" s="71" t="n"/>
      <c r="P131" s="71" t="inlineStr">
        <is>
          <t>NOT_INDEPENDENT_DOCUMENTED_EXECUTIVE</t>
        </is>
      </c>
      <c r="Q131" s="71" t="inlineStr">
        <is>
          <t>OD1</t>
        </is>
      </c>
      <c r="R131" s="71" t="inlineStr">
        <is>
          <t>1404/12/29</t>
        </is>
      </c>
      <c r="S131" s="71" t="inlineStr">
        <is>
          <t>موظف در اطلاعیه ن۴۵</t>
        </is>
      </c>
      <c r="T131" s="71" t="inlineStr">
        <is>
          <t>خیر</t>
        </is>
      </c>
      <c r="U131" s="71" t="inlineStr">
        <is>
          <t>خیر</t>
        </is>
      </c>
    </row>
    <row r="132" ht="29" customHeight="1" s="76">
      <c r="A132" s="70" t="inlineStr">
        <is>
          <t>F26-M5</t>
        </is>
      </c>
      <c r="B132" s="70" t="inlineStr">
        <is>
          <t>وبملت</t>
        </is>
      </c>
      <c r="C132" s="70" t="n"/>
      <c r="D132" s="70" t="inlineStr">
        <is>
          <t>فرشید فرخ نژاد</t>
        </is>
      </c>
      <c r="E132" s="70" t="inlineStr">
        <is>
          <t>حقیقی</t>
        </is>
      </c>
      <c r="F132" s="70" t="inlineStr">
        <is>
          <t>عضو هیئت مدیره</t>
        </is>
      </c>
      <c r="G132" s="70" t="inlineStr">
        <is>
          <t>موظف</t>
        </is>
      </c>
      <c r="H132" s="70" t="n"/>
      <c r="I132" s="70" t="inlineStr">
        <is>
          <t>خیر</t>
        </is>
      </c>
      <c r="J132" s="70" t="inlineStr">
        <is>
          <t>NO_EXPLICIT_BOARD_LABEL_FOUND</t>
        </is>
      </c>
      <c r="K132" s="70" t="inlineStr">
        <is>
          <t>board</t>
        </is>
      </c>
      <c r="L132" s="70" t="n"/>
      <c r="M132" s="70" t="n"/>
      <c r="N132" s="70" t="inlineStr">
        <is>
          <t>Type19 1397174</t>
        </is>
      </c>
      <c r="O132" s="70" t="n"/>
      <c r="P132" s="70" t="inlineStr">
        <is>
          <t>NOT_INDEPENDENT_DOCUMENTED_EXECUTIVE</t>
        </is>
      </c>
      <c r="Q132" s="70" t="inlineStr">
        <is>
          <t>OD1</t>
        </is>
      </c>
      <c r="R132" s="70" t="inlineStr">
        <is>
          <t>1404/12/29</t>
        </is>
      </c>
      <c r="S132" s="70" t="inlineStr">
        <is>
          <t>موظف در اطلاعیه ن۴۵; مدیرعامل عضو هیئت مدیره</t>
        </is>
      </c>
      <c r="T132" s="70" t="inlineStr">
        <is>
          <t>بله</t>
        </is>
      </c>
      <c r="U132" s="70" t="inlineStr">
        <is>
          <t>خیر</t>
        </is>
      </c>
    </row>
    <row r="133" ht="29" customHeight="1" s="76">
      <c r="A133" s="71" t="inlineStr">
        <is>
          <t>F27-M1</t>
        </is>
      </c>
      <c r="B133" s="71" t="inlineStr">
        <is>
          <t>وبصادر</t>
        </is>
      </c>
      <c r="C133" s="71" t="n"/>
      <c r="D133" s="71" t="inlineStr">
        <is>
          <t>یاسر مرادی</t>
        </is>
      </c>
      <c r="E133" s="71" t="inlineStr">
        <is>
          <t>حقیقی</t>
        </is>
      </c>
      <c r="F133" s="71" t="inlineStr">
        <is>
          <t>عضو هیئت مدیره</t>
        </is>
      </c>
      <c r="G133" s="71" t="inlineStr">
        <is>
          <t>موظف</t>
        </is>
      </c>
      <c r="H133" s="71" t="n"/>
      <c r="I133" s="71" t="inlineStr">
        <is>
          <t>خیر</t>
        </is>
      </c>
      <c r="J133" s="71" t="inlineStr">
        <is>
          <t>NO_EXPLICIT_BOARD_LABEL_FOUND</t>
        </is>
      </c>
      <c r="K133" s="71" t="inlineStr">
        <is>
          <t>board</t>
        </is>
      </c>
      <c r="L133" s="71" t="n"/>
      <c r="M133" s="71" t="n"/>
      <c r="N133" s="71" t="inlineStr">
        <is>
          <t>Type19 1321081 ؛ گزارش SRC_VBSD_1404_001</t>
        </is>
      </c>
      <c r="O133" s="71" t="n"/>
      <c r="P133" s="71" t="inlineStr">
        <is>
          <t>NOT_INDEPENDENT_DOCUMENTED_EXECUTIVE</t>
        </is>
      </c>
      <c r="Q133" s="71" t="inlineStr">
        <is>
          <t>OD1</t>
        </is>
      </c>
      <c r="R133" s="71" t="inlineStr">
        <is>
          <t>1404/12/29</t>
        </is>
      </c>
      <c r="S133" s="71" t="inlineStr">
        <is>
          <t>موظف در اطلاعیه ن۴۵</t>
        </is>
      </c>
      <c r="T133" s="71" t="inlineStr">
        <is>
          <t>خیر</t>
        </is>
      </c>
      <c r="U133" s="71" t="inlineStr">
        <is>
          <t>خیر</t>
        </is>
      </c>
    </row>
    <row r="134" ht="29" customHeight="1" s="76">
      <c r="A134" s="70" t="inlineStr">
        <is>
          <t>F27-M2</t>
        </is>
      </c>
      <c r="B134" s="70" t="inlineStr">
        <is>
          <t>وبصادر</t>
        </is>
      </c>
      <c r="C134" s="70" t="n"/>
      <c r="D134" s="70" t="inlineStr">
        <is>
          <t>محسن سیفی کفشگری</t>
        </is>
      </c>
      <c r="E134" s="70" t="inlineStr">
        <is>
          <t>حقیقی</t>
        </is>
      </c>
      <c r="F134" s="70" t="inlineStr">
        <is>
          <t>عضو هیئت مدیره</t>
        </is>
      </c>
      <c r="G134" s="70" t="inlineStr">
        <is>
          <t>موظف</t>
        </is>
      </c>
      <c r="H134" s="70" t="inlineStr">
        <is>
          <t>موظف</t>
        </is>
      </c>
      <c r="I134" s="70" t="inlineStr">
        <is>
          <t>خیر</t>
        </is>
      </c>
      <c r="J134" s="70" t="inlineStr">
        <is>
          <t>NO_EXPLICIT_BOARD_LABEL_FOUND</t>
        </is>
      </c>
      <c r="K134" s="70" t="inlineStr">
        <is>
          <t>board</t>
        </is>
      </c>
      <c r="L134" s="70" t="n"/>
      <c r="M134" s="70" t="n"/>
      <c r="N134" s="70" t="inlineStr">
        <is>
          <t>Type19 1321081 ؛ گزارش SRC_VBSD_1404_001</t>
        </is>
      </c>
      <c r="O134" s="70" t="n"/>
      <c r="P134" s="70" t="inlineStr">
        <is>
          <t>NOT_INDEPENDENT_DOCUMENTED_EXECUTIVE</t>
        </is>
      </c>
      <c r="Q134" s="70" t="inlineStr">
        <is>
          <t>OD1</t>
        </is>
      </c>
      <c r="R134" s="70" t="inlineStr">
        <is>
          <t>1404/12/29</t>
        </is>
      </c>
      <c r="S134" s="70" t="inlineStr">
        <is>
          <t>موظف در اطلاعیه ن۴۵; مدیرعامل عضو هیئت مدیره</t>
        </is>
      </c>
      <c r="T134" s="70" t="inlineStr">
        <is>
          <t>بله</t>
        </is>
      </c>
      <c r="U134" s="70" t="inlineStr">
        <is>
          <t>خیر</t>
        </is>
      </c>
    </row>
    <row r="135" ht="29" customHeight="1" s="76">
      <c r="A135" s="71" t="inlineStr">
        <is>
          <t>F27-M3</t>
        </is>
      </c>
      <c r="B135" s="71" t="inlineStr">
        <is>
          <t>وبصادر</t>
        </is>
      </c>
      <c r="C135" s="71" t="n"/>
      <c r="D135" s="71" t="inlineStr">
        <is>
          <t>قربان اسکندری کبودان</t>
        </is>
      </c>
      <c r="E135" s="71" t="inlineStr">
        <is>
          <t>حقیقی</t>
        </is>
      </c>
      <c r="F135" s="71" t="inlineStr">
        <is>
          <t>رئیس هیئت مدیره</t>
        </is>
      </c>
      <c r="G135" s="71" t="inlineStr">
        <is>
          <t>موظف</t>
        </is>
      </c>
      <c r="H135" s="71" t="inlineStr">
        <is>
          <t>موظف</t>
        </is>
      </c>
      <c r="I135" s="71" t="inlineStr">
        <is>
          <t>خیر</t>
        </is>
      </c>
      <c r="J135" s="71" t="inlineStr">
        <is>
          <t>NO_EXPLICIT_BOARD_LABEL_FOUND</t>
        </is>
      </c>
      <c r="K135" s="71" t="inlineStr">
        <is>
          <t>board</t>
        </is>
      </c>
      <c r="L135" s="71" t="n"/>
      <c r="M135" s="71" t="n"/>
      <c r="N135" s="71" t="inlineStr">
        <is>
          <t>Type19 1321081 ؛ گزارش SRC_VBSD_1404_001</t>
        </is>
      </c>
      <c r="O135" s="71" t="n"/>
      <c r="P135" s="71" t="inlineStr">
        <is>
          <t>NOT_INDEPENDENT_DOCUMENTED_EXECUTIVE</t>
        </is>
      </c>
      <c r="Q135" s="71" t="inlineStr">
        <is>
          <t>OD1</t>
        </is>
      </c>
      <c r="R135" s="71" t="inlineStr">
        <is>
          <t>1404/12/29</t>
        </is>
      </c>
      <c r="S135" s="71" t="inlineStr">
        <is>
          <t>موظف در اطلاعیه ن۴۵</t>
        </is>
      </c>
      <c r="T135" s="71" t="inlineStr">
        <is>
          <t>خیر</t>
        </is>
      </c>
      <c r="U135" s="71" t="inlineStr">
        <is>
          <t>بله</t>
        </is>
      </c>
    </row>
    <row r="136" ht="29" customHeight="1" s="76">
      <c r="A136" s="70" t="inlineStr">
        <is>
          <t>F27-M4</t>
        </is>
      </c>
      <c r="B136" s="70" t="inlineStr">
        <is>
          <t>وبصادر</t>
        </is>
      </c>
      <c r="C136" s="70" t="n"/>
      <c r="D136" s="70" t="inlineStr">
        <is>
          <t>محمد وطن پور</t>
        </is>
      </c>
      <c r="E136" s="70" t="inlineStr">
        <is>
          <t>حقیقی</t>
        </is>
      </c>
      <c r="F136" s="70" t="inlineStr">
        <is>
          <t>عضو هیئت مدیره</t>
        </is>
      </c>
      <c r="G136" s="70" t="inlineStr">
        <is>
          <t>موظف</t>
        </is>
      </c>
      <c r="H136" s="70" t="inlineStr">
        <is>
          <t>موظف</t>
        </is>
      </c>
      <c r="I136" s="70" t="inlineStr">
        <is>
          <t>خیر</t>
        </is>
      </c>
      <c r="J136" s="70" t="inlineStr">
        <is>
          <t>NO_EXPLICIT_BOARD_LABEL_FOUND</t>
        </is>
      </c>
      <c r="K136" s="70" t="inlineStr">
        <is>
          <t>board</t>
        </is>
      </c>
      <c r="L136" s="70" t="n"/>
      <c r="M136" s="70" t="n"/>
      <c r="N136" s="70" t="inlineStr">
        <is>
          <t>Type19 1321081 ؛ گزارش SRC_VBSD_1404_001</t>
        </is>
      </c>
      <c r="O136" s="70" t="n"/>
      <c r="P136" s="70" t="inlineStr">
        <is>
          <t>NOT_INDEPENDENT_DOCUMENTED_EXECUTIVE</t>
        </is>
      </c>
      <c r="Q136" s="70" t="inlineStr">
        <is>
          <t>OD1</t>
        </is>
      </c>
      <c r="R136" s="70" t="inlineStr">
        <is>
          <t>1404/12/29</t>
        </is>
      </c>
      <c r="S136" s="70" t="inlineStr">
        <is>
          <t>موظف در اطلاعیه ن۴۵</t>
        </is>
      </c>
      <c r="T136" s="70" t="inlineStr">
        <is>
          <t>خیر</t>
        </is>
      </c>
      <c r="U136" s="70" t="inlineStr">
        <is>
          <t>خیر</t>
        </is>
      </c>
    </row>
    <row r="137" ht="29" customHeight="1" s="76">
      <c r="A137" s="71" t="inlineStr">
        <is>
          <t>F27-M5</t>
        </is>
      </c>
      <c r="B137" s="71" t="inlineStr">
        <is>
          <t>وبصادر</t>
        </is>
      </c>
      <c r="C137" s="71" t="n"/>
      <c r="D137" s="71" t="inlineStr">
        <is>
          <t>مهدی اقبالی راد</t>
        </is>
      </c>
      <c r="E137" s="71" t="inlineStr">
        <is>
          <t>حقیقی</t>
        </is>
      </c>
      <c r="F137" s="71" t="inlineStr">
        <is>
          <t>نایب رئیس هیئت مدیره</t>
        </is>
      </c>
      <c r="G137" s="71" t="inlineStr">
        <is>
          <t>موظف</t>
        </is>
      </c>
      <c r="H137" s="71" t="inlineStr">
        <is>
          <t>موظف</t>
        </is>
      </c>
      <c r="I137" s="71" t="inlineStr">
        <is>
          <t>خیر</t>
        </is>
      </c>
      <c r="J137" s="71" t="inlineStr">
        <is>
          <t>NO_EXPLICIT_BOARD_LABEL_FOUND</t>
        </is>
      </c>
      <c r="K137" s="71" t="inlineStr">
        <is>
          <t>board</t>
        </is>
      </c>
      <c r="L137" s="71" t="n"/>
      <c r="M137" s="71" t="n"/>
      <c r="N137" s="71" t="inlineStr">
        <is>
          <t>Type19 1321081 ؛ گزارش SRC_VBSD_1404_001</t>
        </is>
      </c>
      <c r="O137" s="71" t="n"/>
      <c r="P137" s="71" t="inlineStr">
        <is>
          <t>NOT_INDEPENDENT_DOCUMENTED_EXECUTIVE</t>
        </is>
      </c>
      <c r="Q137" s="71" t="inlineStr">
        <is>
          <t>OD1</t>
        </is>
      </c>
      <c r="R137" s="71" t="inlineStr">
        <is>
          <t>1404/12/29</t>
        </is>
      </c>
      <c r="S137" s="71" t="inlineStr">
        <is>
          <t>موظف در اطلاعیه ن۴۵</t>
        </is>
      </c>
      <c r="T137" s="71" t="inlineStr">
        <is>
          <t>خیر</t>
        </is>
      </c>
      <c r="U137" s="71" t="inlineStr">
        <is>
          <t>خیر</t>
        </is>
      </c>
    </row>
    <row r="138" ht="29" customHeight="1" s="76">
      <c r="A138" s="70" t="inlineStr">
        <is>
          <t>F28-NA</t>
        </is>
      </c>
      <c r="B138" s="70" t="inlineStr">
        <is>
          <t>وپاسار</t>
        </is>
      </c>
      <c r="C138" s="70" t="n"/>
      <c r="D138" s="70" t="n"/>
      <c r="E138" s="70" t="n"/>
      <c r="F138" s="70" t="n"/>
      <c r="G138" s="70" t="n"/>
      <c r="H138" s="70" t="n"/>
      <c r="I138" s="70" t="n"/>
      <c r="J138" s="70" t="inlineStr">
        <is>
          <t>NOT_EVALUATED</t>
        </is>
      </c>
      <c r="K138" s="70" t="n"/>
      <c r="L138" s="70" t="n"/>
      <c r="M138" s="70" t="n"/>
      <c r="N138" s="70" t="n"/>
      <c r="O138" s="70" t="n"/>
      <c r="P138" s="70" t="inlineStr">
        <is>
          <t>UNKNOWN</t>
        </is>
      </c>
      <c r="Q138" s="70" t="inlineStr">
        <is>
          <t>OD1</t>
        </is>
      </c>
      <c r="R138" s="70" t="inlineStr">
        <is>
          <t>1404/12/29</t>
        </is>
      </c>
      <c r="S138" s="70" t="inlineStr">
        <is>
          <t>فهرست اعضا در as-of مستند نشد: STALE_ROSTER_ONLY_1402/04/05</t>
        </is>
      </c>
      <c r="T138" s="70" t="n"/>
      <c r="U138" s="70" t="n"/>
    </row>
    <row r="139" ht="29" customHeight="1" s="76">
      <c r="A139" s="71" t="inlineStr">
        <is>
          <t>F29-M1</t>
        </is>
      </c>
      <c r="B139" s="71" t="inlineStr">
        <is>
          <t>حکشتی</t>
        </is>
      </c>
      <c r="C139" s="71" t="inlineStr">
        <is>
          <t>سرمایه گذاری تأمین اجتماعی</t>
        </is>
      </c>
      <c r="D139" s="71" t="inlineStr">
        <is>
          <t>(نماینده نامشخص)</t>
        </is>
      </c>
      <c r="E139" s="71" t="inlineStr">
        <is>
          <t>نماینده حقوقی</t>
        </is>
      </c>
      <c r="F139" s="71" t="inlineStr">
        <is>
          <t>نایب رئیس هیئت مدیره</t>
        </is>
      </c>
      <c r="G139" s="71" t="inlineStr">
        <is>
          <t>موظف</t>
        </is>
      </c>
      <c r="H139" s="71" t="n"/>
      <c r="I139" s="71" t="inlineStr">
        <is>
          <t>خیر</t>
        </is>
      </c>
      <c r="J139" s="71" t="inlineStr">
        <is>
          <t>NO_EXPLICIT_BOARD_LABEL_FOUND</t>
        </is>
      </c>
      <c r="K139" s="71" t="inlineStr">
        <is>
          <t>board</t>
        </is>
      </c>
      <c r="L139" s="71" t="n"/>
      <c r="M139" s="71" t="n"/>
      <c r="N139" s="71" t="inlineStr">
        <is>
          <t>Type19 1310210</t>
        </is>
      </c>
      <c r="O139" s="71" t="n"/>
      <c r="P139" s="71" t="inlineStr">
        <is>
          <t>NOT_INDEPENDENT_DOCUMENTED_EXECUTIVE</t>
        </is>
      </c>
      <c r="Q139" s="71" t="inlineStr">
        <is>
          <t>OD1</t>
        </is>
      </c>
      <c r="R139" s="71" t="inlineStr">
        <is>
          <t>1404/03/31</t>
        </is>
      </c>
      <c r="S139" s="71" t="inlineStr">
        <is>
          <t>موظف در اطلاعیه ن۴۵</t>
        </is>
      </c>
      <c r="T139" s="71" t="inlineStr">
        <is>
          <t>خیر</t>
        </is>
      </c>
      <c r="U139" s="71" t="inlineStr">
        <is>
          <t>خیر</t>
        </is>
      </c>
    </row>
    <row r="140" ht="29" customHeight="1" s="76">
      <c r="A140" s="70" t="inlineStr">
        <is>
          <t>F29-M2</t>
        </is>
      </c>
      <c r="B140" s="70" t="inlineStr">
        <is>
          <t>حکشتی</t>
        </is>
      </c>
      <c r="C140" s="70" t="inlineStr">
        <is>
          <t>مادر تخصصی بازرگانی دولتی ایران</t>
        </is>
      </c>
      <c r="D140" s="70" t="inlineStr">
        <is>
          <t>(نماینده نامشخص)</t>
        </is>
      </c>
      <c r="E140" s="70" t="inlineStr">
        <is>
          <t>نماینده حقوقی</t>
        </is>
      </c>
      <c r="F140" s="70" t="inlineStr">
        <is>
          <t>رئیس هیئت مدیره</t>
        </is>
      </c>
      <c r="G140" s="70" t="inlineStr">
        <is>
          <t>غیر موظف</t>
        </is>
      </c>
      <c r="H140" s="70" t="n"/>
      <c r="I140" s="70" t="inlineStr">
        <is>
          <t>خیر</t>
        </is>
      </c>
      <c r="J140" s="70" t="inlineStr">
        <is>
          <t>NO_EXPLICIT_BOARD_LABEL_FOUND</t>
        </is>
      </c>
      <c r="K140" s="70" t="inlineStr">
        <is>
          <t>board</t>
        </is>
      </c>
      <c r="L140" s="70" t="n"/>
      <c r="M140" s="70" t="n"/>
      <c r="N140" s="70" t="inlineStr">
        <is>
          <t>Type19 1310210</t>
        </is>
      </c>
      <c r="O140" s="70" t="n"/>
      <c r="P140" s="70" t="inlineStr">
        <is>
          <t>UNKNOWN</t>
        </is>
      </c>
      <c r="Q140" s="70" t="inlineStr">
        <is>
          <t>OD1</t>
        </is>
      </c>
      <c r="R140" s="70" t="inlineStr">
        <is>
          <t>1404/03/31</t>
        </is>
      </c>
      <c r="S140" s="70" t="n"/>
      <c r="T140" s="70" t="inlineStr">
        <is>
          <t>خیر</t>
        </is>
      </c>
      <c r="U140" s="70" t="inlineStr">
        <is>
          <t>بله</t>
        </is>
      </c>
    </row>
    <row r="141" ht="29" customHeight="1" s="76">
      <c r="A141" s="71" t="inlineStr">
        <is>
          <t>F29-M3</t>
        </is>
      </c>
      <c r="B141" s="71" t="inlineStr">
        <is>
          <t>حکشتی</t>
        </is>
      </c>
      <c r="C141" s="71" t="inlineStr">
        <is>
          <t>سرمایه گذاری صباتأمین</t>
        </is>
      </c>
      <c r="D141" s="71" t="inlineStr">
        <is>
          <t>(نماینده نامشخص)</t>
        </is>
      </c>
      <c r="E141" s="71" t="inlineStr">
        <is>
          <t>نماینده حقوقی</t>
        </is>
      </c>
      <c r="F141" s="71" t="inlineStr">
        <is>
          <t>عضو هیئت مدیره</t>
        </is>
      </c>
      <c r="G141" s="71" t="inlineStr">
        <is>
          <t>موظف</t>
        </is>
      </c>
      <c r="H141" s="71" t="n"/>
      <c r="I141" s="71" t="inlineStr">
        <is>
          <t>خیر</t>
        </is>
      </c>
      <c r="J141" s="71" t="inlineStr">
        <is>
          <t>NO_EXPLICIT_BOARD_LABEL_FOUND</t>
        </is>
      </c>
      <c r="K141" s="71" t="inlineStr">
        <is>
          <t>board</t>
        </is>
      </c>
      <c r="L141" s="71" t="n"/>
      <c r="M141" s="71" t="n"/>
      <c r="N141" s="71" t="inlineStr">
        <is>
          <t>Type19 1310210</t>
        </is>
      </c>
      <c r="O141" s="71" t="n"/>
      <c r="P141" s="71" t="inlineStr">
        <is>
          <t>NOT_INDEPENDENT_DOCUMENTED_EXECUTIVE</t>
        </is>
      </c>
      <c r="Q141" s="71" t="inlineStr">
        <is>
          <t>OD1</t>
        </is>
      </c>
      <c r="R141" s="71" t="inlineStr">
        <is>
          <t>1404/03/31</t>
        </is>
      </c>
      <c r="S141" s="71" t="inlineStr">
        <is>
          <t>موظف در اطلاعیه ن۴۵</t>
        </is>
      </c>
      <c r="T141" s="71" t="inlineStr">
        <is>
          <t>خیر</t>
        </is>
      </c>
      <c r="U141" s="71" t="inlineStr">
        <is>
          <t>خیر</t>
        </is>
      </c>
    </row>
    <row r="142" ht="29" customHeight="1" s="76">
      <c r="A142" s="70" t="inlineStr">
        <is>
          <t>F29-M4</t>
        </is>
      </c>
      <c r="B142" s="70" t="inlineStr">
        <is>
          <t>حکشتی</t>
        </is>
      </c>
      <c r="C142" s="70" t="inlineStr">
        <is>
          <t>صندوق بازنشستگی کشوری</t>
        </is>
      </c>
      <c r="D142" s="70" t="inlineStr">
        <is>
          <t>(نماینده نامشخص)</t>
        </is>
      </c>
      <c r="E142" s="70" t="inlineStr">
        <is>
          <t>نماینده حقوقی</t>
        </is>
      </c>
      <c r="F142" s="70" t="inlineStr">
        <is>
          <t>عضو هیئت مدیره</t>
        </is>
      </c>
      <c r="G142" s="70" t="inlineStr">
        <is>
          <t>غیر موظف</t>
        </is>
      </c>
      <c r="H142" s="70" t="n"/>
      <c r="I142" s="70" t="inlineStr">
        <is>
          <t>خیر</t>
        </is>
      </c>
      <c r="J142" s="70" t="inlineStr">
        <is>
          <t>NO_EXPLICIT_BOARD_LABEL_FOUND</t>
        </is>
      </c>
      <c r="K142" s="70" t="inlineStr">
        <is>
          <t>board</t>
        </is>
      </c>
      <c r="L142" s="70" t="n"/>
      <c r="M142" s="70" t="n"/>
      <c r="N142" s="70" t="inlineStr">
        <is>
          <t>Type19 1310210</t>
        </is>
      </c>
      <c r="O142" s="70" t="n"/>
      <c r="P142" s="70" t="inlineStr">
        <is>
          <t>UNKNOWN</t>
        </is>
      </c>
      <c r="Q142" s="70" t="inlineStr">
        <is>
          <t>OD1</t>
        </is>
      </c>
      <c r="R142" s="70" t="inlineStr">
        <is>
          <t>1404/03/31</t>
        </is>
      </c>
      <c r="S142" s="70" t="n"/>
      <c r="T142" s="70" t="inlineStr">
        <is>
          <t>خیر</t>
        </is>
      </c>
      <c r="U142" s="70" t="inlineStr">
        <is>
          <t>خیر</t>
        </is>
      </c>
    </row>
    <row r="143" ht="29" customHeight="1" s="76">
      <c r="A143" s="71" t="inlineStr">
        <is>
          <t>F29-M5</t>
        </is>
      </c>
      <c r="B143" s="71" t="inlineStr">
        <is>
          <t>حکشتی</t>
        </is>
      </c>
      <c r="C143" s="71" t="inlineStr">
        <is>
          <t>سرمایه گذاری استان گیلان</t>
        </is>
      </c>
      <c r="D143" s="71" t="inlineStr">
        <is>
          <t>(نماینده نامشخص)</t>
        </is>
      </c>
      <c r="E143" s="71" t="inlineStr">
        <is>
          <t>نماینده حقوقی</t>
        </is>
      </c>
      <c r="F143" s="71" t="inlineStr">
        <is>
          <t>عضو هیئت مدیره</t>
        </is>
      </c>
      <c r="G143" s="71" t="inlineStr">
        <is>
          <t>غیر موظف</t>
        </is>
      </c>
      <c r="H143" s="71" t="n"/>
      <c r="I143" s="71" t="inlineStr">
        <is>
          <t>خیر</t>
        </is>
      </c>
      <c r="J143" s="71" t="inlineStr">
        <is>
          <t>NO_EXPLICIT_BOARD_LABEL_FOUND</t>
        </is>
      </c>
      <c r="K143" s="71" t="inlineStr">
        <is>
          <t>board</t>
        </is>
      </c>
      <c r="L143" s="71" t="n"/>
      <c r="M143" s="71" t="n"/>
      <c r="N143" s="71" t="inlineStr">
        <is>
          <t>Type19 1310210</t>
        </is>
      </c>
      <c r="O143" s="71" t="n"/>
      <c r="P143" s="71" t="inlineStr">
        <is>
          <t>UNKNOWN</t>
        </is>
      </c>
      <c r="Q143" s="71" t="inlineStr">
        <is>
          <t>OD1</t>
        </is>
      </c>
      <c r="R143" s="71" t="inlineStr">
        <is>
          <t>1404/03/31</t>
        </is>
      </c>
      <c r="S143" s="71" t="n"/>
      <c r="T143" s="71" t="inlineStr">
        <is>
          <t>خیر</t>
        </is>
      </c>
      <c r="U143" s="71" t="inlineStr">
        <is>
          <t>خیر</t>
        </is>
      </c>
    </row>
    <row r="144" ht="29" customHeight="1" s="76">
      <c r="A144" s="70" t="inlineStr">
        <is>
          <t>F30-M1</t>
        </is>
      </c>
      <c r="B144" s="70" t="inlineStr">
        <is>
          <t>شپدیس</t>
        </is>
      </c>
      <c r="C144" s="70" t="inlineStr">
        <is>
          <t>گروه گسترش نفت و گاز پارسیان</t>
        </is>
      </c>
      <c r="D144" s="70" t="inlineStr">
        <is>
          <t>عبدالرحیم قنبریان</t>
        </is>
      </c>
      <c r="E144" s="70" t="inlineStr">
        <is>
          <t>نماینده حقوقی</t>
        </is>
      </c>
      <c r="F144" s="70" t="inlineStr">
        <is>
          <t>نایب رئیس هیئت مدیره</t>
        </is>
      </c>
      <c r="G144" s="70" t="inlineStr">
        <is>
          <t>موظف</t>
        </is>
      </c>
      <c r="H144" s="70" t="inlineStr">
        <is>
          <t>موظف</t>
        </is>
      </c>
      <c r="I144" s="70" t="inlineStr">
        <is>
          <t>خیر</t>
        </is>
      </c>
      <c r="J144" s="70" t="inlineStr">
        <is>
          <t>NO_EXPLICIT_BOARD_LABEL_FOUND</t>
        </is>
      </c>
      <c r="K144" s="70" t="inlineStr">
        <is>
          <t>board</t>
        </is>
      </c>
      <c r="L144" s="70" t="n"/>
      <c r="M144" s="70" t="n"/>
      <c r="N144" s="70" t="inlineStr">
        <is>
          <t>Type19 1354441 ؛ گزارش SRC_SHPD_1404_001</t>
        </is>
      </c>
      <c r="O144" s="70" t="n"/>
      <c r="P144" s="70" t="inlineStr">
        <is>
          <t>NOT_INDEPENDENT_DOCUMENTED_EXECUTIVE</t>
        </is>
      </c>
      <c r="Q144" s="70" t="inlineStr">
        <is>
          <t>OD1</t>
        </is>
      </c>
      <c r="R144" s="70" t="inlineStr">
        <is>
          <t>1404/06/31</t>
        </is>
      </c>
      <c r="S144" s="70" t="inlineStr">
        <is>
          <t>موظف در اطلاعیه ن۴۵; مدیرعامل عضو هیئت مدیره</t>
        </is>
      </c>
      <c r="T144" s="70" t="inlineStr">
        <is>
          <t>بله</t>
        </is>
      </c>
      <c r="U144" s="70" t="inlineStr">
        <is>
          <t>خیر</t>
        </is>
      </c>
    </row>
    <row r="145" ht="29" customHeight="1" s="76">
      <c r="A145" s="71" t="inlineStr">
        <is>
          <t>F30-M2</t>
        </is>
      </c>
      <c r="B145" s="71" t="inlineStr">
        <is>
          <t>شپدیس</t>
        </is>
      </c>
      <c r="C145" s="71" t="inlineStr">
        <is>
          <t>بازرگانی پتروشیمی</t>
        </is>
      </c>
      <c r="D145" s="71" t="inlineStr">
        <is>
          <t>سعید کاردار</t>
        </is>
      </c>
      <c r="E145" s="71" t="inlineStr">
        <is>
          <t>نماینده حقوقی</t>
        </is>
      </c>
      <c r="F145" s="71" t="inlineStr">
        <is>
          <t>عضو هیئت مدیره</t>
        </is>
      </c>
      <c r="G145" s="71" t="inlineStr">
        <is>
          <t>غیر موظف</t>
        </is>
      </c>
      <c r="H145" s="71" t="n"/>
      <c r="I145" s="71" t="inlineStr">
        <is>
          <t>خیر</t>
        </is>
      </c>
      <c r="J145" s="71" t="inlineStr">
        <is>
          <t>NO_EXPLICIT_BOARD_LABEL_FOUND</t>
        </is>
      </c>
      <c r="K145" s="71" t="inlineStr">
        <is>
          <t>board</t>
        </is>
      </c>
      <c r="L145" s="71" t="n"/>
      <c r="M145" s="71" t="n"/>
      <c r="N145" s="71" t="inlineStr">
        <is>
          <t>Type19 1354441 ؛ گزارش SRC_SHPD_1404_001</t>
        </is>
      </c>
      <c r="O145" s="71" t="n"/>
      <c r="P145" s="71" t="inlineStr">
        <is>
          <t>UNKNOWN</t>
        </is>
      </c>
      <c r="Q145" s="71" t="inlineStr">
        <is>
          <t>OD1</t>
        </is>
      </c>
      <c r="R145" s="71" t="inlineStr">
        <is>
          <t>1404/06/31</t>
        </is>
      </c>
      <c r="S145" s="71" t="n"/>
      <c r="T145" s="71" t="inlineStr">
        <is>
          <t>خیر</t>
        </is>
      </c>
      <c r="U145" s="71" t="inlineStr">
        <is>
          <t>خیر</t>
        </is>
      </c>
    </row>
    <row r="146" ht="29" customHeight="1" s="76">
      <c r="A146" s="70" t="inlineStr">
        <is>
          <t>F30-M3</t>
        </is>
      </c>
      <c r="B146" s="70" t="inlineStr">
        <is>
          <t>شپدیس</t>
        </is>
      </c>
      <c r="C146" s="70" t="inlineStr">
        <is>
          <t>خدمات مدیریت هامون سپاهان</t>
        </is>
      </c>
      <c r="D146" s="70" t="inlineStr">
        <is>
          <t>هوشنگ گودرزی</t>
        </is>
      </c>
      <c r="E146" s="70" t="inlineStr">
        <is>
          <t>نماینده حقوقی</t>
        </is>
      </c>
      <c r="F146" s="70" t="inlineStr">
        <is>
          <t>رئیس هیئت مدیره</t>
        </is>
      </c>
      <c r="G146" s="70" t="inlineStr">
        <is>
          <t>غیر موظف</t>
        </is>
      </c>
      <c r="H146" s="70" t="inlineStr">
        <is>
          <t>غیر موظف</t>
        </is>
      </c>
      <c r="I146" s="70" t="inlineStr">
        <is>
          <t>خیر</t>
        </is>
      </c>
      <c r="J146" s="70" t="inlineStr">
        <is>
          <t>NO_EXPLICIT_BOARD_LABEL_FOUND</t>
        </is>
      </c>
      <c r="K146" s="70" t="inlineStr">
        <is>
          <t>board</t>
        </is>
      </c>
      <c r="L146" s="70" t="n"/>
      <c r="M146" s="70" t="n"/>
      <c r="N146" s="70" t="inlineStr">
        <is>
          <t>Type19 1354441 ؛ گزارش SRC_SHPD_1404_001</t>
        </is>
      </c>
      <c r="O146" s="70" t="n"/>
      <c r="P146" s="70" t="inlineStr">
        <is>
          <t>UNKNOWN</t>
        </is>
      </c>
      <c r="Q146" s="70" t="inlineStr">
        <is>
          <t>OD1</t>
        </is>
      </c>
      <c r="R146" s="70" t="inlineStr">
        <is>
          <t>1404/06/31</t>
        </is>
      </c>
      <c r="S146" s="70" t="n"/>
      <c r="T146" s="70" t="inlineStr">
        <is>
          <t>خیر</t>
        </is>
      </c>
      <c r="U146" s="70" t="inlineStr">
        <is>
          <t>بله</t>
        </is>
      </c>
    </row>
    <row r="147" ht="29" customHeight="1" s="76">
      <c r="A147" s="71" t="inlineStr">
        <is>
          <t>F30-M4</t>
        </is>
      </c>
      <c r="B147" s="71" t="inlineStr">
        <is>
          <t>شپدیس</t>
        </is>
      </c>
      <c r="C147" s="71" t="inlineStr">
        <is>
          <t>سرمایه گذاری هامون سپاهان</t>
        </is>
      </c>
      <c r="D147" s="71" t="inlineStr">
        <is>
          <t>(نماینده نامشخص)</t>
        </is>
      </c>
      <c r="E147" s="71" t="inlineStr">
        <is>
          <t>نماینده حقوقی</t>
        </is>
      </c>
      <c r="F147" s="71" t="inlineStr">
        <is>
          <t>عضو هیئت مدیره</t>
        </is>
      </c>
      <c r="G147" s="71" t="inlineStr">
        <is>
          <t>غیر موظف</t>
        </is>
      </c>
      <c r="H147" s="71" t="n"/>
      <c r="I147" s="71" t="inlineStr">
        <is>
          <t>خیر</t>
        </is>
      </c>
      <c r="J147" s="71" t="inlineStr">
        <is>
          <t>NO_EXPLICIT_BOARD_LABEL_FOUND</t>
        </is>
      </c>
      <c r="K147" s="71" t="inlineStr">
        <is>
          <t>board</t>
        </is>
      </c>
      <c r="L147" s="71" t="n"/>
      <c r="M147" s="71" t="n"/>
      <c r="N147" s="71" t="inlineStr">
        <is>
          <t>Type19 1354441 ؛ گزارش SRC_SHPD_1404_001</t>
        </is>
      </c>
      <c r="O147" s="71" t="n"/>
      <c r="P147" s="71" t="inlineStr">
        <is>
          <t>UNKNOWN</t>
        </is>
      </c>
      <c r="Q147" s="71" t="inlineStr">
        <is>
          <t>OD1</t>
        </is>
      </c>
      <c r="R147" s="71" t="inlineStr">
        <is>
          <t>1404/06/31</t>
        </is>
      </c>
      <c r="S147" s="71" t="n"/>
      <c r="T147" s="71" t="inlineStr">
        <is>
          <t>خیر</t>
        </is>
      </c>
      <c r="U147" s="71" t="inlineStr">
        <is>
          <t>خیر</t>
        </is>
      </c>
    </row>
    <row r="148" ht="29" customHeight="1" s="76">
      <c r="A148" s="70" t="inlineStr">
        <is>
          <t>F30-M5</t>
        </is>
      </c>
      <c r="B148" s="70" t="inlineStr">
        <is>
          <t>شپدیس</t>
        </is>
      </c>
      <c r="C148" s="70" t="inlineStr">
        <is>
          <t>بازرگانی و تجارت هامون سپاهان</t>
        </is>
      </c>
      <c r="D148" s="70" t="inlineStr">
        <is>
          <t>محمدعلی سلیمانی</t>
        </is>
      </c>
      <c r="E148" s="70" t="inlineStr">
        <is>
          <t>نماینده حقوقی</t>
        </is>
      </c>
      <c r="F148" s="70" t="inlineStr">
        <is>
          <t>عضو هیئت مدیره</t>
        </is>
      </c>
      <c r="G148" s="70" t="inlineStr">
        <is>
          <t>غیر موظف</t>
        </is>
      </c>
      <c r="H148" s="70" t="inlineStr">
        <is>
          <t>غیر موظف</t>
        </is>
      </c>
      <c r="I148" s="70" t="inlineStr">
        <is>
          <t>خیر</t>
        </is>
      </c>
      <c r="J148" s="70" t="inlineStr">
        <is>
          <t>NO_EXPLICIT_BOARD_LABEL_FOUND</t>
        </is>
      </c>
      <c r="K148" s="70" t="inlineStr">
        <is>
          <t>board</t>
        </is>
      </c>
      <c r="L148" s="70" t="n"/>
      <c r="M148" s="70" t="n"/>
      <c r="N148" s="70" t="inlineStr">
        <is>
          <t>Type19 1354441 ؛ گزارش SRC_SHPD_1404_001</t>
        </is>
      </c>
      <c r="O148" s="70" t="n"/>
      <c r="P148" s="70" t="inlineStr">
        <is>
          <t>UNKNOWN</t>
        </is>
      </c>
      <c r="Q148" s="70" t="inlineStr">
        <is>
          <t>OD1</t>
        </is>
      </c>
      <c r="R148" s="70" t="inlineStr">
        <is>
          <t>1404/06/31</t>
        </is>
      </c>
      <c r="S148" s="70" t="n"/>
      <c r="T148" s="70" t="inlineStr">
        <is>
          <t>خیر</t>
        </is>
      </c>
      <c r="U148" s="70" t="inlineStr">
        <is>
          <t>خیر</t>
        </is>
      </c>
    </row>
  </sheetData>
  <mergeCells count="2">
    <mergeCell ref="A1:U1"/>
    <mergeCell ref="A2:U2"/>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N76"/>
  <sheetViews>
    <sheetView showGridLines="0" rightToLeft="1" workbookViewId="0">
      <pane xSplit="3" ySplit="3" topLeftCell="D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8" customWidth="1" style="76" min="1" max="1"/>
    <col width="9" customWidth="1" style="76" min="2" max="2"/>
    <col width="10" customWidth="1" style="76" min="3" max="3"/>
    <col width="22" customWidth="1" style="76" min="4" max="4"/>
    <col width="14" customWidth="1" style="76" min="5" max="5"/>
    <col width="40" customWidth="1" style="76" min="6" max="6"/>
    <col width="16" customWidth="1" style="76" min="7" max="7"/>
    <col width="18" customWidth="1" style="76" min="8" max="8"/>
    <col width="34" customWidth="1" style="76" min="9" max="9"/>
    <col width="10" customWidth="1" style="76" min="10" max="10"/>
    <col width="9" customWidth="1" style="76" min="11" max="11"/>
    <col width="24" customWidth="1" style="76" min="12" max="12"/>
    <col width="10" customWidth="1" style="76" min="13" max="13"/>
    <col width="46" customWidth="1" style="76" min="14" max="14"/>
  </cols>
  <sheetData>
    <row r="1" ht="30" customHeight="1" s="76">
      <c r="A1" s="88" t="inlineStr">
        <is>
          <t>نقش‌ها و عضویت‌های همزمان اعضای هیئت مدیره</t>
        </is>
      </c>
    </row>
    <row r="2" ht="22" customHeight="1" s="76">
      <c r="A2" s="85" t="inlineStr">
        <is>
          <t>هر ردیف: شخص، سازمان دیگر، نقش و دوره. سابقه شغلی گذشته هم‌زمان محسوب نمی‌شود؛ ستون ترکیبی فقط سرنخ است؛ اعلام خط تیره فقط اعلام نبودن است و صفر قطعی تنها با شواهد کافی در خلاصه می‌آید؛ شمارش همزمانی جدا از هیئت مدیره خود شرکت و کمیته‌ها است.</t>
        </is>
      </c>
    </row>
    <row r="3" ht="42" customHeight="1" s="76">
      <c r="A3" s="69" t="inlineStr">
        <is>
          <t>شناسه</t>
        </is>
      </c>
      <c r="B3" s="69" t="inlineStr">
        <is>
          <t>نماد</t>
        </is>
      </c>
      <c r="C3" s="69" t="inlineStr">
        <is>
          <t>شناسه عضو</t>
        </is>
      </c>
      <c r="D3" s="69" t="inlineStr">
        <is>
          <t>شخص</t>
        </is>
      </c>
      <c r="E3" s="69" t="inlineStr">
        <is>
          <t>سمت در شرکت اصلی</t>
        </is>
      </c>
      <c r="F3" s="69" t="inlineStr">
        <is>
          <t>سازمان دیگر</t>
        </is>
      </c>
      <c r="G3" s="69" t="inlineStr">
        <is>
          <t>نقش در سازمان دیگر</t>
        </is>
      </c>
      <c r="H3" s="69" t="inlineStr">
        <is>
          <t>دوره</t>
        </is>
      </c>
      <c r="I3" s="69" t="inlineStr">
        <is>
          <t>نوع شاهد</t>
        </is>
      </c>
      <c r="J3" s="69" t="inlineStr">
        <is>
          <t>محاسبه به عنوان همزمان</t>
        </is>
      </c>
      <c r="K3" s="69" t="inlineStr">
        <is>
          <t>اطمینان</t>
        </is>
      </c>
      <c r="L3" s="69" t="inlineStr">
        <is>
          <t>منبع</t>
        </is>
      </c>
      <c r="M3" s="69" t="inlineStr">
        <is>
          <t>صفحه</t>
        </is>
      </c>
      <c r="N3" s="69" t="inlineStr">
        <is>
          <t>یادداشت</t>
        </is>
      </c>
    </row>
    <row r="4" ht="29" customHeight="1" s="76">
      <c r="A4" s="70" t="inlineStr">
        <is>
          <t>R001</t>
        </is>
      </c>
      <c r="B4" s="70" t="inlineStr">
        <is>
          <t>فملی</t>
        </is>
      </c>
      <c r="C4" s="70" t="inlineStr">
        <is>
          <t>F01-M1</t>
        </is>
      </c>
      <c r="D4" s="70" t="inlineStr">
        <is>
          <t>غلامرضا شافعی</t>
        </is>
      </c>
      <c r="E4" s="70" t="inlineStr">
        <is>
          <t>رئیس هیئت مدیره</t>
        </is>
      </c>
      <c r="F4" s="70" t="n"/>
      <c r="G4" s="70" t="n"/>
      <c r="H4" s="70" t="inlineStr">
        <is>
          <t>AS_OF_REPORT_TABLE</t>
        </is>
      </c>
      <c r="I4" s="70" t="inlineStr">
        <is>
          <t>ISSUER_DECLARED_NONE</t>
        </is>
      </c>
      <c r="J4" s="70" t="inlineStr">
        <is>
          <t>خیر</t>
        </is>
      </c>
      <c r="K4" s="70" t="inlineStr">
        <is>
          <t>HIGH</t>
        </is>
      </c>
      <c r="L4" s="70" t="inlineStr">
        <is>
          <t>SRC_FMLI_1404_001</t>
        </is>
      </c>
      <c r="M4" s="70" t="inlineStr">
        <is>
          <t>p32-33,42</t>
        </is>
      </c>
      <c r="N4" s="70" t="inlineStr">
        <is>
          <t>ستون عضویت همزمان با علامت خط تیره؛ اعلام نبودن عضویت</t>
        </is>
      </c>
    </row>
    <row r="5" ht="29" customHeight="1" s="76">
      <c r="A5" s="71" t="inlineStr">
        <is>
          <t>R002</t>
        </is>
      </c>
      <c r="B5" s="71" t="inlineStr">
        <is>
          <t>فملی</t>
        </is>
      </c>
      <c r="C5" s="71" t="inlineStr">
        <is>
          <t>F01-M2</t>
        </is>
      </c>
      <c r="D5" s="71" t="inlineStr">
        <is>
          <t>سیدمصطفی فیض اردکانی</t>
        </is>
      </c>
      <c r="E5" s="71" t="inlineStr">
        <is>
          <t>نایب رئیس هیئت مدیره</t>
        </is>
      </c>
      <c r="F5" s="71" t="n"/>
      <c r="G5" s="71" t="n"/>
      <c r="H5" s="71" t="inlineStr">
        <is>
          <t>AS_OF_REPORT_TABLE</t>
        </is>
      </c>
      <c r="I5" s="71" t="inlineStr">
        <is>
          <t>ISSUER_DECLARED_NONE</t>
        </is>
      </c>
      <c r="J5" s="71" t="inlineStr">
        <is>
          <t>خیر</t>
        </is>
      </c>
      <c r="K5" s="71" t="inlineStr">
        <is>
          <t>HIGH</t>
        </is>
      </c>
      <c r="L5" s="71" t="inlineStr">
        <is>
          <t>SRC_FMLI_1404_001</t>
        </is>
      </c>
      <c r="M5" s="71" t="inlineStr">
        <is>
          <t>p32-33,42</t>
        </is>
      </c>
      <c r="N5" s="71" t="inlineStr">
        <is>
          <t>ستون عضویت همزمان با علامت خط تیره؛ اعلام نبودن عضویت</t>
        </is>
      </c>
    </row>
    <row r="6" ht="29" customHeight="1" s="76">
      <c r="A6" s="70" t="inlineStr">
        <is>
          <t>R003</t>
        </is>
      </c>
      <c r="B6" s="70" t="inlineStr">
        <is>
          <t>فملی</t>
        </is>
      </c>
      <c r="C6" s="70" t="inlineStr">
        <is>
          <t>F01-M3</t>
        </is>
      </c>
      <c r="D6" s="70" t="inlineStr">
        <is>
          <t>سمیه خلوصی</t>
        </is>
      </c>
      <c r="E6" s="70" t="inlineStr">
        <is>
          <t>عضو هیئت مدیره</t>
        </is>
      </c>
      <c r="F6" s="70" t="n"/>
      <c r="G6" s="70" t="n"/>
      <c r="H6" s="70" t="inlineStr">
        <is>
          <t>AS_OF_REPORT_TABLE</t>
        </is>
      </c>
      <c r="I6" s="70" t="inlineStr">
        <is>
          <t>ISSUER_DECLARED_NONE</t>
        </is>
      </c>
      <c r="J6" s="70" t="inlineStr">
        <is>
          <t>خیر</t>
        </is>
      </c>
      <c r="K6" s="70" t="inlineStr">
        <is>
          <t>HIGH</t>
        </is>
      </c>
      <c r="L6" s="70" t="inlineStr">
        <is>
          <t>SRC_FMLI_1404_001</t>
        </is>
      </c>
      <c r="M6" s="70" t="inlineStr">
        <is>
          <t>p32-33,42</t>
        </is>
      </c>
      <c r="N6" s="70" t="inlineStr">
        <is>
          <t>ستون عضویت همزمان با علامت خط تیره؛ اعلام نبودن عضویت</t>
        </is>
      </c>
    </row>
    <row r="7" ht="20" customHeight="1" s="76">
      <c r="A7" s="71" t="inlineStr">
        <is>
          <t>R004</t>
        </is>
      </c>
      <c r="B7" s="71" t="inlineStr">
        <is>
          <t>فملی</t>
        </is>
      </c>
      <c r="C7" s="71" t="inlineStr">
        <is>
          <t>F01-M4</t>
        </is>
      </c>
      <c r="D7" s="71" t="inlineStr">
        <is>
          <t>شهریار متوکل</t>
        </is>
      </c>
      <c r="E7" s="71" t="inlineStr">
        <is>
          <t>عضو هیئت مدیره</t>
        </is>
      </c>
      <c r="F7" s="71" t="inlineStr">
        <is>
          <t>شرکت پویا مس ایرانیان (عضو هیئت مدیره)</t>
        </is>
      </c>
      <c r="G7" s="71" t="n"/>
      <c r="H7" s="71" t="inlineStr">
        <is>
          <t>AS_OF_REPORT_TABLE</t>
        </is>
      </c>
      <c r="I7" s="71" t="inlineStr">
        <is>
          <t>ISSUER_DECLARED_CONCURRENT_FIELD</t>
        </is>
      </c>
      <c r="J7" s="71" t="inlineStr">
        <is>
          <t>بله</t>
        </is>
      </c>
      <c r="K7" s="71" t="inlineStr">
        <is>
          <t>HIGH</t>
        </is>
      </c>
      <c r="L7" s="71" t="inlineStr">
        <is>
          <t>SRC_FMLI_1404_001</t>
        </is>
      </c>
      <c r="M7" s="71" t="inlineStr">
        <is>
          <t>p32-33,42</t>
        </is>
      </c>
      <c r="N7" s="71" t="inlineStr">
        <is>
          <t>گزارش فعالیت هیئت مدیره؛ ستون عضویت همزمان</t>
        </is>
      </c>
    </row>
    <row r="8" ht="29" customHeight="1" s="76">
      <c r="A8" s="70" t="inlineStr">
        <is>
          <t>R005</t>
        </is>
      </c>
      <c r="B8" s="70" t="inlineStr">
        <is>
          <t>فملی</t>
        </is>
      </c>
      <c r="C8" s="70" t="inlineStr">
        <is>
          <t>F01-M5</t>
        </is>
      </c>
      <c r="D8" s="70" t="inlineStr">
        <is>
          <t>مهرداد محقق زاده</t>
        </is>
      </c>
      <c r="E8" s="70" t="inlineStr">
        <is>
          <t>عضو هیئت مدیره</t>
        </is>
      </c>
      <c r="F8" s="70" t="inlineStr">
        <is>
          <t>و معاون سرمایه گذاری و امور شرکتها در موسسه صندوق بازنشستگی کارکنان بانکها</t>
        </is>
      </c>
      <c r="G8" s="70" t="inlineStr">
        <is>
          <t>عضو هیئت مدیره</t>
        </is>
      </c>
      <c r="H8" s="70" t="inlineStr">
        <is>
          <t>AS_OF_REPORT_TABLE</t>
        </is>
      </c>
      <c r="I8" s="70" t="inlineStr">
        <is>
          <t>ISSUER_DECLARED_CONCURRENT_FIELD</t>
        </is>
      </c>
      <c r="J8" s="70" t="inlineStr">
        <is>
          <t>بله</t>
        </is>
      </c>
      <c r="K8" s="70" t="inlineStr">
        <is>
          <t>HIGH</t>
        </is>
      </c>
      <c r="L8" s="70" t="inlineStr">
        <is>
          <t>SRC_FMLI_1404_001</t>
        </is>
      </c>
      <c r="M8" s="70" t="inlineStr">
        <is>
          <t>p32-33,42</t>
        </is>
      </c>
      <c r="N8" s="70" t="inlineStr">
        <is>
          <t>گزارش فعالیت هیئت مدیره؛ ستون عضویت همزمان</t>
        </is>
      </c>
    </row>
    <row r="9" ht="20" customHeight="1" s="76">
      <c r="A9" s="71" t="inlineStr">
        <is>
          <t>R006</t>
        </is>
      </c>
      <c r="B9" s="71" t="inlineStr">
        <is>
          <t>تاپیکو</t>
        </is>
      </c>
      <c r="C9" s="71" t="inlineStr">
        <is>
          <t>F02-M3</t>
        </is>
      </c>
      <c r="D9" s="71" t="inlineStr">
        <is>
          <t>محمدمهدی رحمتی</t>
        </is>
      </c>
      <c r="E9" s="71" t="inlineStr">
        <is>
          <t>عضو هیئت مدیره</t>
        </is>
      </c>
      <c r="F9" s="71" t="inlineStr">
        <is>
          <t>1: رییس هیات مدیره گروه مالی ملت</t>
        </is>
      </c>
      <c r="G9" s="71" t="n"/>
      <c r="H9" s="71" t="inlineStr">
        <is>
          <t>AS_OF_REPORT_TABLE</t>
        </is>
      </c>
      <c r="I9" s="71" t="inlineStr">
        <is>
          <t>ISSUER_DECLARED_CONCURRENT_FIELD</t>
        </is>
      </c>
      <c r="J9" s="71" t="inlineStr">
        <is>
          <t>بله</t>
        </is>
      </c>
      <c r="K9" s="71" t="inlineStr">
        <is>
          <t>HIGH</t>
        </is>
      </c>
      <c r="L9" s="71" t="inlineStr">
        <is>
          <t>SRC_TPIK_1404_002</t>
        </is>
      </c>
      <c r="M9" s="71" t="inlineStr">
        <is>
          <t>p11,77,96</t>
        </is>
      </c>
      <c r="N9" s="71" t="inlineStr">
        <is>
          <t>گزارش فعالیت هیئت مدیره؛ ستون عضویت همزمان</t>
        </is>
      </c>
    </row>
    <row r="10" ht="20" customHeight="1" s="76">
      <c r="A10" s="70" t="inlineStr">
        <is>
          <t>R007</t>
        </is>
      </c>
      <c r="B10" s="70" t="inlineStr">
        <is>
          <t>تاپیکو</t>
        </is>
      </c>
      <c r="C10" s="70" t="inlineStr">
        <is>
          <t>F02-M4</t>
        </is>
      </c>
      <c r="D10" s="70" t="inlineStr">
        <is>
          <t>هوشنگ ایزدی</t>
        </is>
      </c>
      <c r="E10" s="70" t="inlineStr">
        <is>
          <t>عضو هیئت مدیره</t>
        </is>
      </c>
      <c r="F10" s="70" t="inlineStr">
        <is>
          <t>1: عضو هیات مدیره شرکت پتروشیمی شیراز</t>
        </is>
      </c>
      <c r="G10" s="70" t="n"/>
      <c r="H10" s="70" t="inlineStr">
        <is>
          <t>AS_OF_REPORT_TABLE</t>
        </is>
      </c>
      <c r="I10" s="70" t="inlineStr">
        <is>
          <t>ISSUER_DECLARED_CONCURRENT_FIELD</t>
        </is>
      </c>
      <c r="J10" s="70" t="inlineStr">
        <is>
          <t>بله</t>
        </is>
      </c>
      <c r="K10" s="70" t="inlineStr">
        <is>
          <t>HIGH</t>
        </is>
      </c>
      <c r="L10" s="70" t="inlineStr">
        <is>
          <t>SRC_TPIK_1404_002</t>
        </is>
      </c>
      <c r="M10" s="70" t="inlineStr">
        <is>
          <t>p11,77,96</t>
        </is>
      </c>
      <c r="N10" s="70" t="inlineStr">
        <is>
          <t>گزارش فعالیت هیئت مدیره؛ ستون عضویت همزمان</t>
        </is>
      </c>
    </row>
    <row r="11" ht="29" customHeight="1" s="76">
      <c r="A11" s="71" t="inlineStr">
        <is>
          <t>R008</t>
        </is>
      </c>
      <c r="B11" s="71" t="inlineStr">
        <is>
          <t>تاپیکو</t>
        </is>
      </c>
      <c r="C11" s="71" t="inlineStr">
        <is>
          <t>F02-M5</t>
        </is>
      </c>
      <c r="D11" s="71" t="inlineStr">
        <is>
          <t>جعفر ربیعی</t>
        </is>
      </c>
      <c r="E11" s="71" t="inlineStr">
        <is>
          <t>رئیس هیئت مدیره</t>
        </is>
      </c>
      <c r="F11" s="71" t="inlineStr">
        <is>
          <t>1: نایب رییس هیات مدیره شرکت بازرگانی و توسعه صنعت طاووس خاورمیانه</t>
        </is>
      </c>
      <c r="G11" s="71" t="n"/>
      <c r="H11" s="71" t="inlineStr">
        <is>
          <t>AS_OF_REPORT_TABLE</t>
        </is>
      </c>
      <c r="I11" s="71" t="inlineStr">
        <is>
          <t>ISSUER_DECLARED_CONCURRENT_FIELD</t>
        </is>
      </c>
      <c r="J11" s="71" t="inlineStr">
        <is>
          <t>بله</t>
        </is>
      </c>
      <c r="K11" s="71" t="inlineStr">
        <is>
          <t>HIGH</t>
        </is>
      </c>
      <c r="L11" s="71" t="inlineStr">
        <is>
          <t>SRC_TPIK_1404_002</t>
        </is>
      </c>
      <c r="M11" s="71" t="inlineStr">
        <is>
          <t>p11,77,96</t>
        </is>
      </c>
      <c r="N11" s="71" t="inlineStr">
        <is>
          <t>گزارش فعالیت هیئت مدیره؛ ستون عضویت همزمان</t>
        </is>
      </c>
    </row>
    <row r="12" ht="29" customHeight="1" s="76">
      <c r="A12" s="70" t="inlineStr">
        <is>
          <t>R009</t>
        </is>
      </c>
      <c r="B12" s="70" t="inlineStr">
        <is>
          <t>زاگرس</t>
        </is>
      </c>
      <c r="C12" s="70" t="inlineStr">
        <is>
          <t>F05-M1</t>
        </is>
      </c>
      <c r="D12" s="70" t="inlineStr">
        <is>
          <t>متین دیداری</t>
        </is>
      </c>
      <c r="E12" s="70" t="inlineStr">
        <is>
          <t>نایب رئیس هیئت مدیره</t>
        </is>
      </c>
      <c r="F12" s="70" t="inlineStr">
        <is>
          <t>سرمایه گذاری غدیر</t>
        </is>
      </c>
      <c r="G12" s="70" t="inlineStr">
        <is>
          <t>عضو هیئت مدیره</t>
        </is>
      </c>
      <c r="H12" s="70" t="inlineStr">
        <is>
          <t>UNSPECIFIED</t>
        </is>
      </c>
      <c r="I12" s="70" t="inlineStr">
        <is>
          <t>MIXED_COLUMN_LEAD</t>
        </is>
      </c>
      <c r="J12" s="70" t="inlineStr">
        <is>
          <t>خیر</t>
        </is>
      </c>
      <c r="K12" s="70" t="inlineStr">
        <is>
          <t>LOW</t>
        </is>
      </c>
      <c r="L12" s="70" t="inlineStr">
        <is>
          <t>SRC_ZGRS_1404_001</t>
        </is>
      </c>
      <c r="M12" s="70" t="inlineStr">
        <is>
          <t>p26</t>
        </is>
      </c>
      <c r="N12" s="70" t="inlineStr">
        <is>
          <t>ستون ترکیبی عضویت همزمان و سوابق ۵ ساله؛ بدون تفکیک؛ فقط سرنخ</t>
        </is>
      </c>
    </row>
    <row r="13" ht="29" customHeight="1" s="76">
      <c r="A13" s="71" t="inlineStr">
        <is>
          <t>R010</t>
        </is>
      </c>
      <c r="B13" s="71" t="inlineStr">
        <is>
          <t>زاگرس</t>
        </is>
      </c>
      <c r="C13" s="71" t="inlineStr">
        <is>
          <t>F05-M1</t>
        </is>
      </c>
      <c r="D13" s="71" t="inlineStr">
        <is>
          <t>متین دیداری</t>
        </is>
      </c>
      <c r="E13" s="71" t="inlineStr">
        <is>
          <t>نایب رئیس هیئت مدیره</t>
        </is>
      </c>
      <c r="F13" s="71" t="inlineStr">
        <is>
          <t>گروه گسترش نفت و گاز پارسیان</t>
        </is>
      </c>
      <c r="G13" s="71" t="inlineStr">
        <is>
          <t>عضو هیئت مدیره</t>
        </is>
      </c>
      <c r="H13" s="71" t="inlineStr">
        <is>
          <t>UNSPECIFIED</t>
        </is>
      </c>
      <c r="I13" s="71" t="inlineStr">
        <is>
          <t>MIXED_COLUMN_LEAD</t>
        </is>
      </c>
      <c r="J13" s="71" t="inlineStr">
        <is>
          <t>خیر</t>
        </is>
      </c>
      <c r="K13" s="71" t="inlineStr">
        <is>
          <t>LOW</t>
        </is>
      </c>
      <c r="L13" s="71" t="inlineStr">
        <is>
          <t>SRC_ZGRS_1404_001</t>
        </is>
      </c>
      <c r="M13" s="71" t="inlineStr">
        <is>
          <t>p26</t>
        </is>
      </c>
      <c r="N13" s="71" t="inlineStr">
        <is>
          <t>ستون ترکیبی عضویت همزمان و سوابق ۵ ساله؛ بدون تفکیک؛ فقط سرنخ</t>
        </is>
      </c>
    </row>
    <row r="14" ht="29" customHeight="1" s="76">
      <c r="A14" s="70" t="inlineStr">
        <is>
          <t>R011</t>
        </is>
      </c>
      <c r="B14" s="70" t="inlineStr">
        <is>
          <t>زاگرس</t>
        </is>
      </c>
      <c r="C14" s="70" t="inlineStr">
        <is>
          <t>F05-M1</t>
        </is>
      </c>
      <c r="D14" s="70" t="inlineStr">
        <is>
          <t>متین دیداری</t>
        </is>
      </c>
      <c r="E14" s="70" t="inlineStr">
        <is>
          <t>نایب رئیس هیئت مدیره</t>
        </is>
      </c>
      <c r="F14" s="70" t="inlineStr">
        <is>
          <t>پتروشیمی جم</t>
        </is>
      </c>
      <c r="G14" s="70" t="inlineStr">
        <is>
          <t>رئیس هیئت مدیره</t>
        </is>
      </c>
      <c r="H14" s="70" t="inlineStr">
        <is>
          <t>UNSPECIFIED</t>
        </is>
      </c>
      <c r="I14" s="70" t="inlineStr">
        <is>
          <t>MIXED_COLUMN_LEAD</t>
        </is>
      </c>
      <c r="J14" s="70" t="inlineStr">
        <is>
          <t>خیر</t>
        </is>
      </c>
      <c r="K14" s="70" t="inlineStr">
        <is>
          <t>LOW</t>
        </is>
      </c>
      <c r="L14" s="70" t="inlineStr">
        <is>
          <t>SRC_ZGRS_1404_001</t>
        </is>
      </c>
      <c r="M14" s="70" t="inlineStr">
        <is>
          <t>p26</t>
        </is>
      </c>
      <c r="N14" s="70" t="inlineStr">
        <is>
          <t>ستون ترکیبی عضویت همزمان و سوابق ۵ ساله؛ بدون تفکیک؛ فقط سرنخ</t>
        </is>
      </c>
    </row>
    <row r="15" ht="29" customHeight="1" s="76">
      <c r="A15" s="71" t="inlineStr">
        <is>
          <t>R012</t>
        </is>
      </c>
      <c r="B15" s="71" t="inlineStr">
        <is>
          <t>زاگرس</t>
        </is>
      </c>
      <c r="C15" s="71" t="inlineStr">
        <is>
          <t>F05-M1</t>
        </is>
      </c>
      <c r="D15" s="71" t="inlineStr">
        <is>
          <t>متین دیداری</t>
        </is>
      </c>
      <c r="E15" s="71" t="inlineStr">
        <is>
          <t>نایب رئیس هیئت مدیره</t>
        </is>
      </c>
      <c r="F15" s="71" t="inlineStr">
        <is>
          <t>انجمن صنفی کارفرمایی صنعت پتروشیمی</t>
        </is>
      </c>
      <c r="G15" s="71" t="inlineStr">
        <is>
          <t>عضو هیئت مدیره</t>
        </is>
      </c>
      <c r="H15" s="71" t="inlineStr">
        <is>
          <t>UNSPECIFIED</t>
        </is>
      </c>
      <c r="I15" s="71" t="inlineStr">
        <is>
          <t>MIXED_COLUMN_LEAD</t>
        </is>
      </c>
      <c r="J15" s="71" t="inlineStr">
        <is>
          <t>خیر</t>
        </is>
      </c>
      <c r="K15" s="71" t="inlineStr">
        <is>
          <t>LOW</t>
        </is>
      </c>
      <c r="L15" s="71" t="inlineStr">
        <is>
          <t>SRC_ZGRS_1404_001</t>
        </is>
      </c>
      <c r="M15" s="71" t="inlineStr">
        <is>
          <t>p26</t>
        </is>
      </c>
      <c r="N15" s="71" t="inlineStr">
        <is>
          <t>ستون ترکیبی عضویت همزمان و سوابق ۵ ساله؛ بدون تفکیک؛ فقط سرنخ</t>
        </is>
      </c>
    </row>
    <row r="16" ht="29" customHeight="1" s="76">
      <c r="A16" s="70" t="inlineStr">
        <is>
          <t>R013</t>
        </is>
      </c>
      <c r="B16" s="70" t="inlineStr">
        <is>
          <t>زاگرس</t>
        </is>
      </c>
      <c r="C16" s="70" t="inlineStr">
        <is>
          <t>F05-M1</t>
        </is>
      </c>
      <c r="D16" s="70" t="inlineStr">
        <is>
          <t>متین دیداری</t>
        </is>
      </c>
      <c r="E16" s="70" t="inlineStr">
        <is>
          <t>نایب رئیس هیئت مدیره</t>
        </is>
      </c>
      <c r="F16" s="70" t="inlineStr">
        <is>
          <t>عضو سابق پتروشیمی امیرکبیر</t>
        </is>
      </c>
      <c r="G16" s="70" t="n"/>
      <c r="H16" s="70" t="inlineStr">
        <is>
          <t>PAST</t>
        </is>
      </c>
      <c r="I16" s="70" t="inlineStr">
        <is>
          <t>EXPLICIT_PAST_ROLE</t>
        </is>
      </c>
      <c r="J16" s="70" t="inlineStr">
        <is>
          <t>خیر</t>
        </is>
      </c>
      <c r="K16" s="70" t="inlineStr">
        <is>
          <t>HIGH</t>
        </is>
      </c>
      <c r="L16" s="70" t="inlineStr">
        <is>
          <t>SRC_ZGRS_1404_001</t>
        </is>
      </c>
      <c r="M16" s="70" t="inlineStr">
        <is>
          <t>p26</t>
        </is>
      </c>
      <c r="N16" s="70" t="inlineStr">
        <is>
          <t>عبارت سابق در متن؛ هم‌زمان محسوب نمی‌شود</t>
        </is>
      </c>
    </row>
    <row r="17" ht="29" customHeight="1" s="76">
      <c r="A17" s="71" t="inlineStr">
        <is>
          <t>R014</t>
        </is>
      </c>
      <c r="B17" s="71" t="inlineStr">
        <is>
          <t>زاگرس</t>
        </is>
      </c>
      <c r="C17" s="71" t="inlineStr">
        <is>
          <t>F05-M1</t>
        </is>
      </c>
      <c r="D17" s="71" t="inlineStr">
        <is>
          <t>متین دیداری</t>
        </is>
      </c>
      <c r="E17" s="71" t="inlineStr">
        <is>
          <t>نایب رئیس هیئت مدیره</t>
        </is>
      </c>
      <c r="F17" s="71" t="inlineStr">
        <is>
          <t>رئیس سابق پتروشیمی گوهر افق</t>
        </is>
      </c>
      <c r="G17" s="71" t="n"/>
      <c r="H17" s="71" t="inlineStr">
        <is>
          <t>PAST</t>
        </is>
      </c>
      <c r="I17" s="71" t="inlineStr">
        <is>
          <t>EXPLICIT_PAST_ROLE</t>
        </is>
      </c>
      <c r="J17" s="71" t="inlineStr">
        <is>
          <t>خیر</t>
        </is>
      </c>
      <c r="K17" s="71" t="inlineStr">
        <is>
          <t>HIGH</t>
        </is>
      </c>
      <c r="L17" s="71" t="inlineStr">
        <is>
          <t>SRC_ZGRS_1404_001</t>
        </is>
      </c>
      <c r="M17" s="71" t="inlineStr">
        <is>
          <t>p26</t>
        </is>
      </c>
      <c r="N17" s="71" t="inlineStr">
        <is>
          <t>عبارت سابق در متن؛ هم‌زمان محسوب نمی‌شود</t>
        </is>
      </c>
    </row>
    <row r="18" ht="29" customHeight="1" s="76">
      <c r="A18" s="70" t="inlineStr">
        <is>
          <t>R015</t>
        </is>
      </c>
      <c r="B18" s="70" t="inlineStr">
        <is>
          <t>زاگرس</t>
        </is>
      </c>
      <c r="C18" s="70" t="inlineStr">
        <is>
          <t>F05-M1</t>
        </is>
      </c>
      <c r="D18" s="70" t="inlineStr">
        <is>
          <t>متین دیداری</t>
        </is>
      </c>
      <c r="E18" s="70" t="inlineStr">
        <is>
          <t>نایب رئیس هیئت مدیره</t>
        </is>
      </c>
      <c r="F18" s="70" t="inlineStr">
        <is>
          <t>عضو سابق پتروشیمی کیان</t>
        </is>
      </c>
      <c r="G18" s="70" t="n"/>
      <c r="H18" s="70" t="inlineStr">
        <is>
          <t>PAST</t>
        </is>
      </c>
      <c r="I18" s="70" t="inlineStr">
        <is>
          <t>EXPLICIT_PAST_ROLE</t>
        </is>
      </c>
      <c r="J18" s="70" t="inlineStr">
        <is>
          <t>خیر</t>
        </is>
      </c>
      <c r="K18" s="70" t="inlineStr">
        <is>
          <t>HIGH</t>
        </is>
      </c>
      <c r="L18" s="70" t="inlineStr">
        <is>
          <t>SRC_ZGRS_1404_001</t>
        </is>
      </c>
      <c r="M18" s="70" t="inlineStr">
        <is>
          <t>p26</t>
        </is>
      </c>
      <c r="N18" s="70" t="inlineStr">
        <is>
          <t>عبارت سابق در متن؛ هم‌زمان محسوب نمی‌شود</t>
        </is>
      </c>
    </row>
    <row r="19" ht="29" customHeight="1" s="76">
      <c r="A19" s="71" t="inlineStr">
        <is>
          <t>R016</t>
        </is>
      </c>
      <c r="B19" s="71" t="inlineStr">
        <is>
          <t>زاگرس</t>
        </is>
      </c>
      <c r="C19" s="71" t="inlineStr">
        <is>
          <t>F05-M1</t>
        </is>
      </c>
      <c r="D19" s="71" t="inlineStr">
        <is>
          <t>متین دیداری</t>
        </is>
      </c>
      <c r="E19" s="71" t="inlineStr">
        <is>
          <t>نایب رئیس هیئت مدیره</t>
        </is>
      </c>
      <c r="F19" s="71" t="inlineStr">
        <is>
          <t>هیئت مدیره وغدیر (عضو حقوقی: توسعه و مدیریت سرمایه صبا)</t>
        </is>
      </c>
      <c r="G19" s="71" t="inlineStr">
        <is>
          <t>عضو هیئت مدیره</t>
        </is>
      </c>
      <c r="H19" s="71" t="inlineStr">
        <is>
          <t>AS_OF_SAME_DATE:1404/12/29</t>
        </is>
      </c>
      <c r="I19" s="71" t="inlineStr">
        <is>
          <t>CROSS_BOARD_TYPE19_NATIONAL_ID_MATCH</t>
        </is>
      </c>
      <c r="J19" s="71" t="inlineStr">
        <is>
          <t>بله</t>
        </is>
      </c>
      <c r="K19" s="71" t="inlineStr">
        <is>
          <t>HIGH</t>
        </is>
      </c>
      <c r="L19" s="71" t="inlineStr">
        <is>
          <t>Type19 1405584</t>
        </is>
      </c>
      <c r="M19" s="71" t="n"/>
      <c r="N19" s="71" t="inlineStr">
        <is>
          <t>همان کد ملی در فهرست هیئت مدیره وغدیر در تاریخ مبنا؛ نماد شرکت دیگر در نمونه ۳۰ تایی</t>
        </is>
      </c>
    </row>
    <row r="20" ht="29" customHeight="1" s="76">
      <c r="A20" s="70" t="inlineStr">
        <is>
          <t>R017</t>
        </is>
      </c>
      <c r="B20" s="70" t="inlineStr">
        <is>
          <t>زاگرس</t>
        </is>
      </c>
      <c r="C20" s="70" t="inlineStr">
        <is>
          <t>F05-M1</t>
        </is>
      </c>
      <c r="D20" s="70" t="inlineStr">
        <is>
          <t>متین دیداری</t>
        </is>
      </c>
      <c r="E20" s="70" t="inlineStr">
        <is>
          <t>نایب رئیس هیئت مدیره</t>
        </is>
      </c>
      <c r="F20" s="70" t="inlineStr">
        <is>
          <t>هیئت مدیره جم (عضو حقوقی: گسترش تجارت هامون)</t>
        </is>
      </c>
      <c r="G20" s="70" t="inlineStr">
        <is>
          <t>عضو هیئت مدیره</t>
        </is>
      </c>
      <c r="H20" s="70" t="inlineStr">
        <is>
          <t>AS_OF_SAME_DATE:1404/12/29</t>
        </is>
      </c>
      <c r="I20" s="70" t="inlineStr">
        <is>
          <t>CROSS_BOARD_TYPE19_NATIONAL_ID_MATCH</t>
        </is>
      </c>
      <c r="J20" s="70" t="inlineStr">
        <is>
          <t>بله</t>
        </is>
      </c>
      <c r="K20" s="70" t="inlineStr">
        <is>
          <t>HIGH</t>
        </is>
      </c>
      <c r="L20" s="70" t="inlineStr">
        <is>
          <t>Type19 1527389</t>
        </is>
      </c>
      <c r="M20" s="70" t="n"/>
      <c r="N20" s="70" t="inlineStr">
        <is>
          <t>همان کد ملی در فهرست هیئت مدیره جم در تاریخ مبنا؛ نماد شرکت دیگر در نمونه ۳۰ تایی</t>
        </is>
      </c>
    </row>
    <row r="21" ht="29" customHeight="1" s="76">
      <c r="A21" s="71" t="inlineStr">
        <is>
          <t>R018</t>
        </is>
      </c>
      <c r="B21" s="71" t="inlineStr">
        <is>
          <t>زاگرس</t>
        </is>
      </c>
      <c r="C21" s="71" t="inlineStr">
        <is>
          <t>F05-M2</t>
        </is>
      </c>
      <c r="D21" s="71" t="inlineStr">
        <is>
          <t>سیدمجید سیدیان</t>
        </is>
      </c>
      <c r="E21" s="71" t="inlineStr">
        <is>
          <t>عضو هیئت مدیره</t>
        </is>
      </c>
      <c r="F21" s="71" t="inlineStr">
        <is>
          <t>پویا پژوهش باختر</t>
        </is>
      </c>
      <c r="G21" s="71" t="inlineStr">
        <is>
          <t>رئیس هیئت مدیره</t>
        </is>
      </c>
      <c r="H21" s="71" t="inlineStr">
        <is>
          <t>UNSPECIFIED</t>
        </is>
      </c>
      <c r="I21" s="71" t="inlineStr">
        <is>
          <t>MIXED_COLUMN_LEAD</t>
        </is>
      </c>
      <c r="J21" s="71" t="inlineStr">
        <is>
          <t>خیر</t>
        </is>
      </c>
      <c r="K21" s="71" t="inlineStr">
        <is>
          <t>LOW</t>
        </is>
      </c>
      <c r="L21" s="71" t="inlineStr">
        <is>
          <t>SRC_ZGRS_1404_001</t>
        </is>
      </c>
      <c r="M21" s="71" t="inlineStr">
        <is>
          <t>p26</t>
        </is>
      </c>
      <c r="N21" s="71" t="inlineStr">
        <is>
          <t>ستون ترکیبی عضویت همزمان و سوابق ۵ ساله؛ بدون تفکیک؛ فقط سرنخ</t>
        </is>
      </c>
    </row>
    <row r="22" ht="29" customHeight="1" s="76">
      <c r="A22" s="70" t="inlineStr">
        <is>
          <t>R019</t>
        </is>
      </c>
      <c r="B22" s="70" t="inlineStr">
        <is>
          <t>زاگرس</t>
        </is>
      </c>
      <c r="C22" s="70" t="inlineStr">
        <is>
          <t>F05-M2</t>
        </is>
      </c>
      <c r="D22" s="70" t="inlineStr">
        <is>
          <t>سیدمجید سیدیان</t>
        </is>
      </c>
      <c r="E22" s="70" t="inlineStr">
        <is>
          <t>عضو هیئت مدیره</t>
        </is>
      </c>
      <c r="F22" s="70" t="inlineStr">
        <is>
          <t>پارس گلایکول</t>
        </is>
      </c>
      <c r="G22" s="70" t="inlineStr">
        <is>
          <t>عضو هیئت مدیره</t>
        </is>
      </c>
      <c r="H22" s="70" t="inlineStr">
        <is>
          <t>UNSPECIFIED</t>
        </is>
      </c>
      <c r="I22" s="70" t="inlineStr">
        <is>
          <t>MIXED_COLUMN_LEAD</t>
        </is>
      </c>
      <c r="J22" s="70" t="inlineStr">
        <is>
          <t>خیر</t>
        </is>
      </c>
      <c r="K22" s="70" t="inlineStr">
        <is>
          <t>LOW</t>
        </is>
      </c>
      <c r="L22" s="70" t="inlineStr">
        <is>
          <t>SRC_ZGRS_1404_001</t>
        </is>
      </c>
      <c r="M22" s="70" t="inlineStr">
        <is>
          <t>p26</t>
        </is>
      </c>
      <c r="N22" s="70" t="inlineStr">
        <is>
          <t>ستون ترکیبی عضویت همزمان و سوابق ۵ ساله؛ بدون تفکیک؛ فقط سرنخ</t>
        </is>
      </c>
    </row>
    <row r="23" ht="20" customHeight="1" s="76">
      <c r="A23" s="71" t="inlineStr">
        <is>
          <t>R020</t>
        </is>
      </c>
      <c r="B23" s="71" t="inlineStr">
        <is>
          <t>زاگرس</t>
        </is>
      </c>
      <c r="C23" s="71" t="inlineStr">
        <is>
          <t>F05-M2</t>
        </is>
      </c>
      <c r="D23" s="71" t="inlineStr">
        <is>
          <t>سیدمجید سیدیان</t>
        </is>
      </c>
      <c r="E23" s="71" t="inlineStr">
        <is>
          <t>عضو هیئت مدیره</t>
        </is>
      </c>
      <c r="F23" s="71" t="inlineStr">
        <is>
          <t>عضو سابق پتروشیمی کرمانشاه</t>
        </is>
      </c>
      <c r="G23" s="71" t="n"/>
      <c r="H23" s="71" t="inlineStr">
        <is>
          <t>PAST</t>
        </is>
      </c>
      <c r="I23" s="71" t="inlineStr">
        <is>
          <t>EXPLICIT_PAST_ROLE</t>
        </is>
      </c>
      <c r="J23" s="71" t="inlineStr">
        <is>
          <t>خیر</t>
        </is>
      </c>
      <c r="K23" s="71" t="inlineStr">
        <is>
          <t>HIGH</t>
        </is>
      </c>
      <c r="L23" s="71" t="inlineStr">
        <is>
          <t>SRC_ZGRS_1404_001</t>
        </is>
      </c>
      <c r="M23" s="71" t="inlineStr">
        <is>
          <t>p26</t>
        </is>
      </c>
      <c r="N23" s="71" t="inlineStr">
        <is>
          <t>عبارت سابق در متن؛ هم‌زمان محسوب نمی‌شود</t>
        </is>
      </c>
    </row>
    <row r="24" ht="20" customHeight="1" s="76">
      <c r="A24" s="70" t="inlineStr">
        <is>
          <t>R021</t>
        </is>
      </c>
      <c r="B24" s="70" t="inlineStr">
        <is>
          <t>زاگرس</t>
        </is>
      </c>
      <c r="C24" s="70" t="inlineStr">
        <is>
          <t>F05-M2</t>
        </is>
      </c>
      <c r="D24" s="70" t="inlineStr">
        <is>
          <t>سیدمجید سیدیان</t>
        </is>
      </c>
      <c r="E24" s="70" t="inlineStr">
        <is>
          <t>عضو هیئت مدیره</t>
        </is>
      </c>
      <c r="F24" s="70" t="inlineStr">
        <is>
          <t>پتروشیمی مهاباد</t>
        </is>
      </c>
      <c r="G24" s="70" t="n"/>
      <c r="H24" s="70" t="inlineStr">
        <is>
          <t>PAST</t>
        </is>
      </c>
      <c r="I24" s="70" t="inlineStr">
        <is>
          <t>EXPLICIT_PAST_ROLE</t>
        </is>
      </c>
      <c r="J24" s="70" t="inlineStr">
        <is>
          <t>خیر</t>
        </is>
      </c>
      <c r="K24" s="70" t="inlineStr">
        <is>
          <t>HIGH</t>
        </is>
      </c>
      <c r="L24" s="70" t="inlineStr">
        <is>
          <t>SRC_ZGRS_1404_001</t>
        </is>
      </c>
      <c r="M24" s="70" t="inlineStr">
        <is>
          <t>p26</t>
        </is>
      </c>
      <c r="N24" s="70" t="inlineStr">
        <is>
          <t>عبارت سابق در متن؛ هم‌زمان محسوب نمی‌شود</t>
        </is>
      </c>
    </row>
    <row r="25" ht="20" customHeight="1" s="76">
      <c r="A25" s="71" t="inlineStr">
        <is>
          <t>R022</t>
        </is>
      </c>
      <c r="B25" s="71" t="inlineStr">
        <is>
          <t>زاگرس</t>
        </is>
      </c>
      <c r="C25" s="71" t="inlineStr">
        <is>
          <t>F05-M2</t>
        </is>
      </c>
      <c r="D25" s="71" t="inlineStr">
        <is>
          <t>سیدمجید سیدیان</t>
        </is>
      </c>
      <c r="E25" s="71" t="inlineStr">
        <is>
          <t>عضو هیئت مدیره</t>
        </is>
      </c>
      <c r="F25" s="71" t="inlineStr">
        <is>
          <t>پتروشیمی باختر</t>
        </is>
      </c>
      <c r="G25" s="71" t="n"/>
      <c r="H25" s="71" t="inlineStr">
        <is>
          <t>PAST</t>
        </is>
      </c>
      <c r="I25" s="71" t="inlineStr">
        <is>
          <t>EXPLICIT_PAST_ROLE</t>
        </is>
      </c>
      <c r="J25" s="71" t="inlineStr">
        <is>
          <t>خیر</t>
        </is>
      </c>
      <c r="K25" s="71" t="inlineStr">
        <is>
          <t>HIGH</t>
        </is>
      </c>
      <c r="L25" s="71" t="inlineStr">
        <is>
          <t>SRC_ZGRS_1404_001</t>
        </is>
      </c>
      <c r="M25" s="71" t="inlineStr">
        <is>
          <t>p26</t>
        </is>
      </c>
      <c r="N25" s="71" t="inlineStr">
        <is>
          <t>عبارت سابق در متن؛ هم‌زمان محسوب نمی‌شود</t>
        </is>
      </c>
    </row>
    <row r="26" ht="29" customHeight="1" s="76">
      <c r="A26" s="70" t="inlineStr">
        <is>
          <t>R023</t>
        </is>
      </c>
      <c r="B26" s="70" t="inlineStr">
        <is>
          <t>زاگرس</t>
        </is>
      </c>
      <c r="C26" s="70" t="inlineStr">
        <is>
          <t>F05-M3</t>
        </is>
      </c>
      <c r="D26" s="70" t="inlineStr">
        <is>
          <t>سیدجعفر هاشمی</t>
        </is>
      </c>
      <c r="E26" s="70" t="inlineStr">
        <is>
          <t>عضو هیئت مدیره</t>
        </is>
      </c>
      <c r="F26" s="70" t="inlineStr">
        <is>
          <t>گروه شرکت نفت و گاز پارسیان</t>
        </is>
      </c>
      <c r="G26" s="70" t="inlineStr">
        <is>
          <t>مدیرعامل</t>
        </is>
      </c>
      <c r="H26" s="70" t="inlineStr">
        <is>
          <t>UNSPECIFIED</t>
        </is>
      </c>
      <c r="I26" s="70" t="inlineStr">
        <is>
          <t>MIXED_COLUMN_LEAD</t>
        </is>
      </c>
      <c r="J26" s="70" t="inlineStr">
        <is>
          <t>خیر</t>
        </is>
      </c>
      <c r="K26" s="70" t="inlineStr">
        <is>
          <t>LOW</t>
        </is>
      </c>
      <c r="L26" s="70" t="inlineStr">
        <is>
          <t>SRC_ZGRS_1404_001</t>
        </is>
      </c>
      <c r="M26" s="70" t="inlineStr">
        <is>
          <t>p26</t>
        </is>
      </c>
      <c r="N26" s="70" t="inlineStr">
        <is>
          <t>ستون ترکیبی عضویت همزمان و سوابق ۵ ساله؛ بدون تفکیک؛ فقط سرنخ</t>
        </is>
      </c>
    </row>
    <row r="27" ht="29" customHeight="1" s="76">
      <c r="A27" s="71" t="inlineStr">
        <is>
          <t>R024</t>
        </is>
      </c>
      <c r="B27" s="71" t="inlineStr">
        <is>
          <t>زاگرس</t>
        </is>
      </c>
      <c r="C27" s="71" t="inlineStr">
        <is>
          <t>F05-M3</t>
        </is>
      </c>
      <c r="D27" s="71" t="inlineStr">
        <is>
          <t>سیدجعفر هاشمی</t>
        </is>
      </c>
      <c r="E27" s="71" t="inlineStr">
        <is>
          <t>عضو هیئت مدیره</t>
        </is>
      </c>
      <c r="F27" s="71" t="inlineStr">
        <is>
          <t>سرمایه گذاری توسعه گوهران</t>
        </is>
      </c>
      <c r="G27" s="71" t="inlineStr">
        <is>
          <t>عضو هیئت مدیره</t>
        </is>
      </c>
      <c r="H27" s="71" t="inlineStr">
        <is>
          <t>UNSPECIFIED</t>
        </is>
      </c>
      <c r="I27" s="71" t="inlineStr">
        <is>
          <t>MIXED_COLUMN_LEAD</t>
        </is>
      </c>
      <c r="J27" s="71" t="inlineStr">
        <is>
          <t>خیر</t>
        </is>
      </c>
      <c r="K27" s="71" t="inlineStr">
        <is>
          <t>LOW</t>
        </is>
      </c>
      <c r="L27" s="71" t="inlineStr">
        <is>
          <t>SRC_ZGRS_1404_001</t>
        </is>
      </c>
      <c r="M27" s="71" t="inlineStr">
        <is>
          <t>p26</t>
        </is>
      </c>
      <c r="N27" s="71" t="inlineStr">
        <is>
          <t>ستون ترکیبی عضویت همزمان و سوابق ۵ ساله؛ بدون تفکیک؛ فقط سرنخ</t>
        </is>
      </c>
    </row>
    <row r="28" ht="29" customHeight="1" s="76">
      <c r="A28" s="70" t="inlineStr">
        <is>
          <t>R025</t>
        </is>
      </c>
      <c r="B28" s="70" t="inlineStr">
        <is>
          <t>زاگرس</t>
        </is>
      </c>
      <c r="C28" s="70" t="inlineStr">
        <is>
          <t>F05-M3</t>
        </is>
      </c>
      <c r="D28" s="70" t="inlineStr">
        <is>
          <t>سیدجعفر هاشمی</t>
        </is>
      </c>
      <c r="E28" s="70" t="inlineStr">
        <is>
          <t>عضو هیئت مدیره</t>
        </is>
      </c>
      <c r="F28" s="70" t="inlineStr">
        <is>
          <t>شرکت تجاری بین الملل زرین پرشیا</t>
        </is>
      </c>
      <c r="G28" s="70" t="inlineStr">
        <is>
          <t>رئیس هیئت مدیره</t>
        </is>
      </c>
      <c r="H28" s="70" t="inlineStr">
        <is>
          <t>UNSPECIFIED</t>
        </is>
      </c>
      <c r="I28" s="70" t="inlineStr">
        <is>
          <t>MIXED_COLUMN_LEAD</t>
        </is>
      </c>
      <c r="J28" s="70" t="inlineStr">
        <is>
          <t>خیر</t>
        </is>
      </c>
      <c r="K28" s="70" t="inlineStr">
        <is>
          <t>LOW</t>
        </is>
      </c>
      <c r="L28" s="70" t="inlineStr">
        <is>
          <t>SRC_ZGRS_1404_001</t>
        </is>
      </c>
      <c r="M28" s="70" t="inlineStr">
        <is>
          <t>p26</t>
        </is>
      </c>
      <c r="N28" s="70" t="inlineStr">
        <is>
          <t>ستون ترکیبی عضویت همزمان و سوابق ۵ ساله؛ بدون تفکیک؛ فقط سرنخ</t>
        </is>
      </c>
    </row>
    <row r="29" ht="20" customHeight="1" s="76">
      <c r="A29" s="71" t="inlineStr">
        <is>
          <t>R026</t>
        </is>
      </c>
      <c r="B29" s="71" t="inlineStr">
        <is>
          <t>زاگرس</t>
        </is>
      </c>
      <c r="C29" s="71" t="inlineStr">
        <is>
          <t>F05-M3</t>
        </is>
      </c>
      <c r="D29" s="71" t="inlineStr">
        <is>
          <t>سیدجعفر هاشمی</t>
        </is>
      </c>
      <c r="E29" s="71" t="inlineStr">
        <is>
          <t>عضو هیئت مدیره</t>
        </is>
      </c>
      <c r="F29" s="71" t="inlineStr">
        <is>
          <t>سابق پتروشیمی کرمانشاه</t>
        </is>
      </c>
      <c r="G29" s="71" t="inlineStr">
        <is>
          <t>مدیرعامل</t>
        </is>
      </c>
      <c r="H29" s="71" t="inlineStr">
        <is>
          <t>PAST</t>
        </is>
      </c>
      <c r="I29" s="71" t="inlineStr">
        <is>
          <t>EXPLICIT_PAST_ROLE</t>
        </is>
      </c>
      <c r="J29" s="71" t="inlineStr">
        <is>
          <t>خیر</t>
        </is>
      </c>
      <c r="K29" s="71" t="inlineStr">
        <is>
          <t>HIGH</t>
        </is>
      </c>
      <c r="L29" s="71" t="inlineStr">
        <is>
          <t>SRC_ZGRS_1404_001</t>
        </is>
      </c>
      <c r="M29" s="71" t="inlineStr">
        <is>
          <t>p26</t>
        </is>
      </c>
      <c r="N29" s="71" t="inlineStr">
        <is>
          <t>عبارت سابق در متن؛ هم‌زمان محسوب نمی‌شود</t>
        </is>
      </c>
    </row>
    <row r="30" ht="20" customHeight="1" s="76">
      <c r="A30" s="70" t="inlineStr">
        <is>
          <t>R027</t>
        </is>
      </c>
      <c r="B30" s="70" t="inlineStr">
        <is>
          <t>زاگرس</t>
        </is>
      </c>
      <c r="C30" s="70" t="inlineStr">
        <is>
          <t>F05-M3</t>
        </is>
      </c>
      <c r="D30" s="70" t="inlineStr">
        <is>
          <t>سیدجعفر هاشمی</t>
        </is>
      </c>
      <c r="E30" s="70" t="inlineStr">
        <is>
          <t>عضو هیئت مدیره</t>
        </is>
      </c>
      <c r="F30" s="70" t="inlineStr">
        <is>
          <t>رئیس سابق پتروشیمی پردیس</t>
        </is>
      </c>
      <c r="G30" s="70" t="n"/>
      <c r="H30" s="70" t="inlineStr">
        <is>
          <t>PAST</t>
        </is>
      </c>
      <c r="I30" s="70" t="inlineStr">
        <is>
          <t>EXPLICIT_PAST_ROLE</t>
        </is>
      </c>
      <c r="J30" s="70" t="inlineStr">
        <is>
          <t>خیر</t>
        </is>
      </c>
      <c r="K30" s="70" t="inlineStr">
        <is>
          <t>HIGH</t>
        </is>
      </c>
      <c r="L30" s="70" t="inlineStr">
        <is>
          <t>SRC_ZGRS_1404_001</t>
        </is>
      </c>
      <c r="M30" s="70" t="inlineStr">
        <is>
          <t>p26</t>
        </is>
      </c>
      <c r="N30" s="70" t="inlineStr">
        <is>
          <t>عبارت سابق در متن؛ هم‌زمان محسوب نمی‌شود</t>
        </is>
      </c>
    </row>
    <row r="31" ht="29" customHeight="1" s="76">
      <c r="A31" s="71" t="inlineStr">
        <is>
          <t>R028</t>
        </is>
      </c>
      <c r="B31" s="71" t="inlineStr">
        <is>
          <t>زاگرس</t>
        </is>
      </c>
      <c r="C31" s="71" t="inlineStr">
        <is>
          <t>F05-M3</t>
        </is>
      </c>
      <c r="D31" s="71" t="inlineStr">
        <is>
          <t>سیدجعفر هاشمی</t>
        </is>
      </c>
      <c r="E31" s="71" t="inlineStr">
        <is>
          <t>عضو هیئت مدیره</t>
        </is>
      </c>
      <c r="F31" s="71" t="inlineStr">
        <is>
          <t>هیئت مدیره پارسان (عضو حقوقی: سرمایه گذاری غدیر)</t>
        </is>
      </c>
      <c r="G31" s="71" t="inlineStr">
        <is>
          <t>عضو هیئت مدیره</t>
        </is>
      </c>
      <c r="H31" s="71" t="inlineStr">
        <is>
          <t>AS_OF_SAME_DATE:1404/12/29</t>
        </is>
      </c>
      <c r="I31" s="71" t="inlineStr">
        <is>
          <t>CROSS_BOARD_TYPE19_NATIONAL_ID_MATCH</t>
        </is>
      </c>
      <c r="J31" s="71" t="inlineStr">
        <is>
          <t>بله</t>
        </is>
      </c>
      <c r="K31" s="71" t="inlineStr">
        <is>
          <t>HIGH</t>
        </is>
      </c>
      <c r="L31" s="71" t="inlineStr">
        <is>
          <t>Type19 1451719</t>
        </is>
      </c>
      <c r="M31" s="71" t="n"/>
      <c r="N31" s="71" t="inlineStr">
        <is>
          <t>همان کد ملی در فهرست هیئت مدیره پارسان در تاریخ مبنا؛ نماد شرکت دیگر در نمونه ۳۰ تایی</t>
        </is>
      </c>
    </row>
    <row r="32" ht="29" customHeight="1" s="76">
      <c r="A32" s="70" t="inlineStr">
        <is>
          <t>R029</t>
        </is>
      </c>
      <c r="B32" s="70" t="inlineStr">
        <is>
          <t>زاگرس</t>
        </is>
      </c>
      <c r="C32" s="70" t="inlineStr">
        <is>
          <t>F05-M4</t>
        </is>
      </c>
      <c r="D32" s="70" t="inlineStr">
        <is>
          <t>محمدحسین مغازه ای</t>
        </is>
      </c>
      <c r="E32" s="70" t="inlineStr">
        <is>
          <t>عضو هیئت مدیره</t>
        </is>
      </c>
      <c r="F32" s="70" t="inlineStr">
        <is>
          <t>هلدینگ باختر</t>
        </is>
      </c>
      <c r="G32" s="70" t="n"/>
      <c r="H32" s="70" t="inlineStr">
        <is>
          <t>UNSPECIFIED</t>
        </is>
      </c>
      <c r="I32" s="70" t="inlineStr">
        <is>
          <t>MIXED_COLUMN_LEAD</t>
        </is>
      </c>
      <c r="J32" s="70" t="inlineStr">
        <is>
          <t>خیر</t>
        </is>
      </c>
      <c r="K32" s="70" t="inlineStr">
        <is>
          <t>LOW</t>
        </is>
      </c>
      <c r="L32" s="70" t="inlineStr">
        <is>
          <t>SRC_ZGRS_1404_001</t>
        </is>
      </c>
      <c r="M32" s="70" t="inlineStr">
        <is>
          <t>p26</t>
        </is>
      </c>
      <c r="N32" s="70" t="inlineStr">
        <is>
          <t>ستون ترکیبی عضویت همزمان و سوابق ۵ ساله؛ بدون تفکیک؛ فقط سرنخ</t>
        </is>
      </c>
    </row>
    <row r="33" ht="29" customHeight="1" s="76">
      <c r="A33" s="71" t="inlineStr">
        <is>
          <t>R030</t>
        </is>
      </c>
      <c r="B33" s="71" t="inlineStr">
        <is>
          <t>زاگرس</t>
        </is>
      </c>
      <c r="C33" s="71" t="inlineStr">
        <is>
          <t>F05-M5</t>
        </is>
      </c>
      <c r="D33" s="71" t="inlineStr">
        <is>
          <t>عماد صدیقی</t>
        </is>
      </c>
      <c r="E33" s="71" t="inlineStr">
        <is>
          <t>رئیس هیئت مدیره</t>
        </is>
      </c>
      <c r="F33" s="71" t="inlineStr">
        <is>
          <t>شرکت توسعه صنایع پتروشیمی کوروش</t>
        </is>
      </c>
      <c r="G33" s="71" t="n"/>
      <c r="H33" s="71" t="inlineStr">
        <is>
          <t>UNSPECIFIED</t>
        </is>
      </c>
      <c r="I33" s="71" t="inlineStr">
        <is>
          <t>MIXED_COLUMN_LEAD</t>
        </is>
      </c>
      <c r="J33" s="71" t="inlineStr">
        <is>
          <t>خیر</t>
        </is>
      </c>
      <c r="K33" s="71" t="inlineStr">
        <is>
          <t>LOW</t>
        </is>
      </c>
      <c r="L33" s="71" t="inlineStr">
        <is>
          <t>SRC_ZGRS_1404_001</t>
        </is>
      </c>
      <c r="M33" s="71" t="inlineStr">
        <is>
          <t>p26</t>
        </is>
      </c>
      <c r="N33" s="71" t="inlineStr">
        <is>
          <t>ستون ترکیبی عضویت همزمان و سوابق ۵ ساله؛ بدون تفکیک؛ فقط سرنخ</t>
        </is>
      </c>
    </row>
    <row r="34" ht="29" customHeight="1" s="76">
      <c r="A34" s="70" t="inlineStr">
        <is>
          <t>R031</t>
        </is>
      </c>
      <c r="B34" s="70" t="inlineStr">
        <is>
          <t>زاگرس</t>
        </is>
      </c>
      <c r="C34" s="70" t="inlineStr">
        <is>
          <t>F05-M5</t>
        </is>
      </c>
      <c r="D34" s="70" t="inlineStr">
        <is>
          <t>عماد صدیقی</t>
        </is>
      </c>
      <c r="E34" s="70" t="inlineStr">
        <is>
          <t>رئیس هیئت مدیره</t>
        </is>
      </c>
      <c r="F34" s="70" t="inlineStr">
        <is>
          <t>گروه گسترش نفت و گاز پارسیان</t>
        </is>
      </c>
      <c r="G34" s="70" t="n"/>
      <c r="H34" s="70" t="inlineStr">
        <is>
          <t>UNSPECIFIED</t>
        </is>
      </c>
      <c r="I34" s="70" t="inlineStr">
        <is>
          <t>MIXED_COLUMN_LEAD</t>
        </is>
      </c>
      <c r="J34" s="70" t="inlineStr">
        <is>
          <t>خیر</t>
        </is>
      </c>
      <c r="K34" s="70" t="inlineStr">
        <is>
          <t>LOW</t>
        </is>
      </c>
      <c r="L34" s="70" t="inlineStr">
        <is>
          <t>SRC_ZGRS_1404_001</t>
        </is>
      </c>
      <c r="M34" s="70" t="inlineStr">
        <is>
          <t>p26</t>
        </is>
      </c>
      <c r="N34" s="70" t="inlineStr">
        <is>
          <t>ستون ترکیبی عضویت همزمان و سوابق ۵ ساله؛ بدون تفکیک؛ فقط سرنخ</t>
        </is>
      </c>
    </row>
    <row r="35" ht="29" customHeight="1" s="76">
      <c r="A35" s="71" t="inlineStr">
        <is>
          <t>R032</t>
        </is>
      </c>
      <c r="B35" s="71" t="inlineStr">
        <is>
          <t>زاگرس</t>
        </is>
      </c>
      <c r="C35" s="71" t="inlineStr">
        <is>
          <t>F05-M5</t>
        </is>
      </c>
      <c r="D35" s="71" t="inlineStr">
        <is>
          <t>عماد صدیقی</t>
        </is>
      </c>
      <c r="E35" s="71" t="inlineStr">
        <is>
          <t>رئیس هیئت مدیره</t>
        </is>
      </c>
      <c r="F35" s="71" t="inlineStr">
        <is>
          <t>مهندسی شرکت بام دژ طرح</t>
        </is>
      </c>
      <c r="G35" s="71" t="inlineStr">
        <is>
          <t>مشاور</t>
        </is>
      </c>
      <c r="H35" s="71" t="inlineStr">
        <is>
          <t>UNSPECIFIED</t>
        </is>
      </c>
      <c r="I35" s="71" t="inlineStr">
        <is>
          <t>MIXED_COLUMN_LEAD</t>
        </is>
      </c>
      <c r="J35" s="71" t="inlineStr">
        <is>
          <t>خیر</t>
        </is>
      </c>
      <c r="K35" s="71" t="inlineStr">
        <is>
          <t>LOW</t>
        </is>
      </c>
      <c r="L35" s="71" t="inlineStr">
        <is>
          <t>SRC_ZGRS_1404_001</t>
        </is>
      </c>
      <c r="M35" s="71" t="inlineStr">
        <is>
          <t>p26</t>
        </is>
      </c>
      <c r="N35" s="71" t="inlineStr">
        <is>
          <t>ستون ترکیبی عضویت همزمان و سوابق ۵ ساله؛ بدون تفکیک؛ فقط سرنخ</t>
        </is>
      </c>
    </row>
    <row r="36" ht="29" customHeight="1" s="76">
      <c r="A36" s="70" t="inlineStr">
        <is>
          <t>R033</t>
        </is>
      </c>
      <c r="B36" s="70" t="inlineStr">
        <is>
          <t>شتران</t>
        </is>
      </c>
      <c r="C36" s="70" t="inlineStr">
        <is>
          <t>F08-M1</t>
        </is>
      </c>
      <c r="D36" s="70" t="inlineStr">
        <is>
          <t>محمدعلی دادور</t>
        </is>
      </c>
      <c r="E36" s="70" t="inlineStr">
        <is>
          <t>رئیس هیئت مدیره</t>
        </is>
      </c>
      <c r="F36" s="70" t="inlineStr">
        <is>
          <t>شرکت سپهرآفرین گیتی قشم (and possibly خلیج ستاره/نفت - text unclear)</t>
        </is>
      </c>
      <c r="G36" s="70" t="inlineStr">
        <is>
          <t>عضو هیأت مدیره</t>
        </is>
      </c>
      <c r="H36" s="70" t="inlineStr">
        <is>
          <t>AS_OF_REPORT_TABLE</t>
        </is>
      </c>
      <c r="I36" s="70" t="inlineStr">
        <is>
          <t>ISSUER_DECLARED_CONCURRENT_FIELD</t>
        </is>
      </c>
      <c r="J36" s="70" t="inlineStr">
        <is>
          <t>بله</t>
        </is>
      </c>
      <c r="K36" s="70" t="inlineStr">
        <is>
          <t>MEDIUM</t>
        </is>
      </c>
      <c r="L36" s="70" t="inlineStr">
        <is>
          <t>SRC_SHTR_1404_002</t>
        </is>
      </c>
      <c r="M36" s="70" t="inlineStr">
        <is>
          <t>p17</t>
        </is>
      </c>
      <c r="N36" s="70" t="inlineStr">
        <is>
          <t>گزارش فعالیت هیئت مدیره؛ ستون عضویت همزمان؛ تفکیک ستون از لایه متن تایید تصویری نشده</t>
        </is>
      </c>
    </row>
    <row r="37" ht="29" customHeight="1" s="76">
      <c r="A37" s="71" t="inlineStr">
        <is>
          <t>R034</t>
        </is>
      </c>
      <c r="B37" s="71" t="inlineStr">
        <is>
          <t>شتران</t>
        </is>
      </c>
      <c r="C37" s="71" t="inlineStr">
        <is>
          <t>F08-M2</t>
        </is>
      </c>
      <c r="D37" s="71" t="inlineStr">
        <is>
          <t>میثم قاسمی</t>
        </is>
      </c>
      <c r="E37" s="71" t="inlineStr">
        <is>
          <t>عضو هیئت مدیره</t>
        </is>
      </c>
      <c r="F37" s="71" t="inlineStr">
        <is>
          <t>پتروشیمی شازند</t>
        </is>
      </c>
      <c r="G37" s="71" t="inlineStr">
        <is>
          <t>عضو هیات مدیره</t>
        </is>
      </c>
      <c r="H37" s="71" t="inlineStr">
        <is>
          <t>AS_OF_REPORT_TABLE</t>
        </is>
      </c>
      <c r="I37" s="71" t="inlineStr">
        <is>
          <t>ISSUER_DECLARED_CONCURRENT_FIELD</t>
        </is>
      </c>
      <c r="J37" s="71" t="inlineStr">
        <is>
          <t>بله</t>
        </is>
      </c>
      <c r="K37" s="71" t="inlineStr">
        <is>
          <t>MEDIUM</t>
        </is>
      </c>
      <c r="L37" s="71" t="inlineStr">
        <is>
          <t>SRC_SHTR_1404_002</t>
        </is>
      </c>
      <c r="M37" s="71" t="inlineStr">
        <is>
          <t>p17</t>
        </is>
      </c>
      <c r="N37" s="71" t="inlineStr">
        <is>
          <t>گزارش فعالیت هیئت مدیره؛ ستون عضویت همزمان؛ تفکیک ستون از لایه متن تایید تصویری نشده</t>
        </is>
      </c>
    </row>
    <row r="38" ht="29" customHeight="1" s="76">
      <c r="A38" s="70" t="inlineStr">
        <is>
          <t>R035</t>
        </is>
      </c>
      <c r="B38" s="70" t="inlineStr">
        <is>
          <t>شتران</t>
        </is>
      </c>
      <c r="C38" s="70" t="inlineStr">
        <is>
          <t>F08-M2</t>
        </is>
      </c>
      <c r="D38" s="70" t="inlineStr">
        <is>
          <t>میثم قاسمی</t>
        </is>
      </c>
      <c r="E38" s="70" t="inlineStr">
        <is>
          <t>عضو هیئت مدیره</t>
        </is>
      </c>
      <c r="F38" s="70" t="inlineStr">
        <is>
          <t>صنایع شیمیایی ایران</t>
        </is>
      </c>
      <c r="G38" s="70" t="n"/>
      <c r="H38" s="70" t="inlineStr">
        <is>
          <t>AS_OF_REPORT_TABLE</t>
        </is>
      </c>
      <c r="I38" s="70" t="inlineStr">
        <is>
          <t>ISSUER_DECLARED_CONCURRENT_FIELD</t>
        </is>
      </c>
      <c r="J38" s="70" t="inlineStr">
        <is>
          <t>بله</t>
        </is>
      </c>
      <c r="K38" s="70" t="inlineStr">
        <is>
          <t>MEDIUM</t>
        </is>
      </c>
      <c r="L38" s="70" t="inlineStr">
        <is>
          <t>SRC_SHTR_1404_002</t>
        </is>
      </c>
      <c r="M38" s="70" t="inlineStr">
        <is>
          <t>p17</t>
        </is>
      </c>
      <c r="N38" s="70" t="inlineStr">
        <is>
          <t>گزارش فعالیت هیئت مدیره؛ ستون عضویت همزمان؛ تفکیک ستون از لایه متن تایید تصویری نشده</t>
        </is>
      </c>
    </row>
    <row r="39" ht="29" customHeight="1" s="76">
      <c r="A39" s="71" t="inlineStr">
        <is>
          <t>R036</t>
        </is>
      </c>
      <c r="B39" s="71" t="inlineStr">
        <is>
          <t>شتران</t>
        </is>
      </c>
      <c r="C39" s="71" t="inlineStr">
        <is>
          <t>F08-M2</t>
        </is>
      </c>
      <c r="D39" s="71" t="inlineStr">
        <is>
          <t>میثم قاسمی</t>
        </is>
      </c>
      <c r="E39" s="71" t="inlineStr">
        <is>
          <t>عضو هیئت مدیره</t>
        </is>
      </c>
      <c r="F39" s="71" t="inlineStr">
        <is>
          <t>تامین سرمایه تمدن</t>
        </is>
      </c>
      <c r="G39" s="71" t="n"/>
      <c r="H39" s="71" t="inlineStr">
        <is>
          <t>AS_OF_REPORT_TABLE</t>
        </is>
      </c>
      <c r="I39" s="71" t="inlineStr">
        <is>
          <t>ISSUER_DECLARED_CONCURRENT_FIELD</t>
        </is>
      </c>
      <c r="J39" s="71" t="inlineStr">
        <is>
          <t>بله</t>
        </is>
      </c>
      <c r="K39" s="71" t="inlineStr">
        <is>
          <t>MEDIUM</t>
        </is>
      </c>
      <c r="L39" s="71" t="inlineStr">
        <is>
          <t>SRC_SHTR_1404_002</t>
        </is>
      </c>
      <c r="M39" s="71" t="inlineStr">
        <is>
          <t>p17</t>
        </is>
      </c>
      <c r="N39" s="71" t="inlineStr">
        <is>
          <t>گزارش فعالیت هیئت مدیره؛ ستون عضویت همزمان؛ تفکیک ستون از لایه متن تایید تصویری نشده</t>
        </is>
      </c>
    </row>
    <row r="40" ht="29" customHeight="1" s="76">
      <c r="A40" s="70" t="inlineStr">
        <is>
          <t>R037</t>
        </is>
      </c>
      <c r="B40" s="70" t="inlineStr">
        <is>
          <t>شتران</t>
        </is>
      </c>
      <c r="C40" s="70" t="inlineStr">
        <is>
          <t>F08-M2</t>
        </is>
      </c>
      <c r="D40" s="70" t="inlineStr">
        <is>
          <t>میثم قاسمی</t>
        </is>
      </c>
      <c r="E40" s="70" t="inlineStr">
        <is>
          <t>عضو هیئت مدیره</t>
        </is>
      </c>
      <c r="F40" s="70" t="inlineStr">
        <is>
          <t>بانک آینده</t>
        </is>
      </c>
      <c r="G40" s="70" t="n"/>
      <c r="H40" s="70" t="inlineStr">
        <is>
          <t>AS_OF_REPORT_TABLE</t>
        </is>
      </c>
      <c r="I40" s="70" t="inlineStr">
        <is>
          <t>ISSUER_DECLARED_CONCURRENT_FIELD</t>
        </is>
      </c>
      <c r="J40" s="70" t="inlineStr">
        <is>
          <t>بله</t>
        </is>
      </c>
      <c r="K40" s="70" t="inlineStr">
        <is>
          <t>MEDIUM</t>
        </is>
      </c>
      <c r="L40" s="70" t="inlineStr">
        <is>
          <t>SRC_SHTR_1404_002</t>
        </is>
      </c>
      <c r="M40" s="70" t="inlineStr">
        <is>
          <t>p17</t>
        </is>
      </c>
      <c r="N40" s="70" t="inlineStr">
        <is>
          <t>گزارش فعالیت هیئت مدیره؛ ستون عضویت همزمان؛ تفکیک ستون از لایه متن تایید تصویری نشده</t>
        </is>
      </c>
    </row>
    <row r="41" ht="29" customHeight="1" s="76">
      <c r="A41" s="71" t="inlineStr">
        <is>
          <t>R038</t>
        </is>
      </c>
      <c r="B41" s="71" t="inlineStr">
        <is>
          <t>شتران</t>
        </is>
      </c>
      <c r="C41" s="71" t="inlineStr">
        <is>
          <t>F08-M3</t>
        </is>
      </c>
      <c r="D41" s="71" t="inlineStr">
        <is>
          <t>عباس محسنی نیکوگفتار</t>
        </is>
      </c>
      <c r="E41" s="71" t="inlineStr">
        <is>
          <t>عضو هیئت مدیره</t>
        </is>
      </c>
      <c r="F41" s="71" t="n"/>
      <c r="G41" s="71" t="n"/>
      <c r="H41" s="71" t="inlineStr">
        <is>
          <t>AS_OF_REPORT_TABLE</t>
        </is>
      </c>
      <c r="I41" s="71" t="inlineStr">
        <is>
          <t>ISSUER_DECLARED_NONE</t>
        </is>
      </c>
      <c r="J41" s="71" t="inlineStr">
        <is>
          <t>خیر</t>
        </is>
      </c>
      <c r="K41" s="71" t="inlineStr">
        <is>
          <t>HIGH</t>
        </is>
      </c>
      <c r="L41" s="71" t="inlineStr">
        <is>
          <t>SRC_SHTR_1404_002</t>
        </is>
      </c>
      <c r="M41" s="71" t="inlineStr">
        <is>
          <t>p17</t>
        </is>
      </c>
      <c r="N41" s="71" t="inlineStr">
        <is>
          <t>ستون عضویت همزمان با علامت خط تیره؛ اعلام نبودن عضویت</t>
        </is>
      </c>
    </row>
    <row r="42" ht="29" customHeight="1" s="76">
      <c r="A42" s="70" t="inlineStr">
        <is>
          <t>R039</t>
        </is>
      </c>
      <c r="B42" s="70" t="inlineStr">
        <is>
          <t>شتران</t>
        </is>
      </c>
      <c r="C42" s="70" t="inlineStr">
        <is>
          <t>F08-M4</t>
        </is>
      </c>
      <c r="D42" s="70" t="inlineStr">
        <is>
          <t>فریدون ورشوساز</t>
        </is>
      </c>
      <c r="E42" s="70" t="inlineStr">
        <is>
          <t>عضو هیئت مدیره</t>
        </is>
      </c>
      <c r="F42" s="70" t="n"/>
      <c r="G42" s="70" t="n"/>
      <c r="H42" s="70" t="inlineStr">
        <is>
          <t>AS_OF_REPORT_TABLE</t>
        </is>
      </c>
      <c r="I42" s="70" t="inlineStr">
        <is>
          <t>ISSUER_DECLARED_NONE</t>
        </is>
      </c>
      <c r="J42" s="70" t="inlineStr">
        <is>
          <t>خیر</t>
        </is>
      </c>
      <c r="K42" s="70" t="inlineStr">
        <is>
          <t>HIGH</t>
        </is>
      </c>
      <c r="L42" s="70" t="inlineStr">
        <is>
          <t>SRC_SHTR_1404_002</t>
        </is>
      </c>
      <c r="M42" s="70" t="inlineStr">
        <is>
          <t>p17</t>
        </is>
      </c>
      <c r="N42" s="70" t="inlineStr">
        <is>
          <t>ستون عضویت همزمان با علامت خط تیره؛ اعلام نبودن عضویت</t>
        </is>
      </c>
    </row>
    <row r="43" ht="29" customHeight="1" s="76">
      <c r="A43" s="71" t="inlineStr">
        <is>
          <t>R040</t>
        </is>
      </c>
      <c r="B43" s="71" t="inlineStr">
        <is>
          <t>شتران</t>
        </is>
      </c>
      <c r="C43" s="71" t="inlineStr">
        <is>
          <t>F08-M5</t>
        </is>
      </c>
      <c r="D43" s="71" t="inlineStr">
        <is>
          <t>محمدمجتبی حاجی سالم</t>
        </is>
      </c>
      <c r="E43" s="71" t="inlineStr">
        <is>
          <t>نایب رئیس هیئت مدیره</t>
        </is>
      </c>
      <c r="F43" s="71" t="n"/>
      <c r="G43" s="71" t="n"/>
      <c r="H43" s="71" t="inlineStr">
        <is>
          <t>AS_OF_REPORT_TABLE</t>
        </is>
      </c>
      <c r="I43" s="71" t="inlineStr">
        <is>
          <t>ISSUER_DECLARED_NONE</t>
        </is>
      </c>
      <c r="J43" s="71" t="inlineStr">
        <is>
          <t>خیر</t>
        </is>
      </c>
      <c r="K43" s="71" t="inlineStr">
        <is>
          <t>HIGH</t>
        </is>
      </c>
      <c r="L43" s="71" t="inlineStr">
        <is>
          <t>SRC_SHTR_1404_002</t>
        </is>
      </c>
      <c r="M43" s="71" t="inlineStr">
        <is>
          <t>p17</t>
        </is>
      </c>
      <c r="N43" s="71" t="inlineStr">
        <is>
          <t>ستون عضویت همزمان با علامت خط تیره؛ اعلام نبودن عضویت</t>
        </is>
      </c>
    </row>
    <row r="44" ht="29" customHeight="1" s="76">
      <c r="A44" s="70" t="inlineStr">
        <is>
          <t>R041</t>
        </is>
      </c>
      <c r="B44" s="70" t="inlineStr">
        <is>
          <t>شستا</t>
        </is>
      </c>
      <c r="C44" s="70" t="inlineStr">
        <is>
          <t>F12-M1</t>
        </is>
      </c>
      <c r="D44" s="70" t="inlineStr">
        <is>
          <t>محمدرضا سعیدی</t>
        </is>
      </c>
      <c r="E44" s="70" t="inlineStr">
        <is>
          <t>نایب رئیس هیئت مدیره</t>
        </is>
      </c>
      <c r="F44" s="70" t="n"/>
      <c r="G44" s="70" t="n"/>
      <c r="H44" s="70" t="inlineStr">
        <is>
          <t>AS_OF_REPORT_TABLE</t>
        </is>
      </c>
      <c r="I44" s="70" t="inlineStr">
        <is>
          <t>ISSUER_DECLARED_NONE</t>
        </is>
      </c>
      <c r="J44" s="70" t="inlineStr">
        <is>
          <t>خیر</t>
        </is>
      </c>
      <c r="K44" s="70" t="inlineStr">
        <is>
          <t>HIGH</t>
        </is>
      </c>
      <c r="L44" s="70" t="inlineStr">
        <is>
          <t>SRC_SHST_1404_001</t>
        </is>
      </c>
      <c r="M44" s="70" t="inlineStr">
        <is>
          <t>p28</t>
        </is>
      </c>
      <c r="N44" s="70" t="inlineStr">
        <is>
          <t>ستون عضویت همزمان با علامت خط تیره؛ اعلام نبودن عضویت</t>
        </is>
      </c>
    </row>
    <row r="45" ht="29" customHeight="1" s="76">
      <c r="A45" s="71" t="inlineStr">
        <is>
          <t>R042</t>
        </is>
      </c>
      <c r="B45" s="71" t="inlineStr">
        <is>
          <t>شستا</t>
        </is>
      </c>
      <c r="C45" s="71" t="inlineStr">
        <is>
          <t>F12-M5</t>
        </is>
      </c>
      <c r="D45" s="71" t="inlineStr">
        <is>
          <t>علیرضا چناری</t>
        </is>
      </c>
      <c r="E45" s="71" t="inlineStr">
        <is>
          <t>عضو هیئت مدیره</t>
        </is>
      </c>
      <c r="F45" s="71" t="n"/>
      <c r="G45" s="71" t="n"/>
      <c r="H45" s="71" t="inlineStr">
        <is>
          <t>AS_OF_REPORT_TABLE</t>
        </is>
      </c>
      <c r="I45" s="71" t="inlineStr">
        <is>
          <t>ISSUER_DECLARED_NONE</t>
        </is>
      </c>
      <c r="J45" s="71" t="inlineStr">
        <is>
          <t>خیر</t>
        </is>
      </c>
      <c r="K45" s="71" t="inlineStr">
        <is>
          <t>HIGH</t>
        </is>
      </c>
      <c r="L45" s="71" t="inlineStr">
        <is>
          <t>SRC_SHST_1404_001</t>
        </is>
      </c>
      <c r="M45" s="71" t="inlineStr">
        <is>
          <t>p28</t>
        </is>
      </c>
      <c r="N45" s="71" t="inlineStr">
        <is>
          <t>ستون عضویت همزمان با علامت خط تیره؛ اعلام نبودن عضویت</t>
        </is>
      </c>
    </row>
    <row r="46" ht="29" customHeight="1" s="76">
      <c r="A46" s="70" t="inlineStr">
        <is>
          <t>R043</t>
        </is>
      </c>
      <c r="B46" s="70" t="inlineStr">
        <is>
          <t>وغدیر</t>
        </is>
      </c>
      <c r="C46" s="70" t="inlineStr">
        <is>
          <t>F14-M1</t>
        </is>
      </c>
      <c r="D46" s="70" t="inlineStr">
        <is>
          <t>متین دیداری</t>
        </is>
      </c>
      <c r="E46" s="70" t="inlineStr">
        <is>
          <t>عضو هیئت مدیره</t>
        </is>
      </c>
      <c r="F46" s="70" t="inlineStr">
        <is>
          <t>هیئت مدیره زاگرس (عضو حقوقی: گروه گسترش نفت و گاز پارسیان)</t>
        </is>
      </c>
      <c r="G46" s="70" t="inlineStr">
        <is>
          <t>نایب رئیس هیئت مدیره</t>
        </is>
      </c>
      <c r="H46" s="70" t="inlineStr">
        <is>
          <t>AS_OF_SAME_DATE:1404/09/30</t>
        </is>
      </c>
      <c r="I46" s="70" t="inlineStr">
        <is>
          <t>CROSS_BOARD_TYPE19_NATIONAL_ID_MATCH</t>
        </is>
      </c>
      <c r="J46" s="70" t="inlineStr">
        <is>
          <t>بله</t>
        </is>
      </c>
      <c r="K46" s="70" t="inlineStr">
        <is>
          <t>HIGH</t>
        </is>
      </c>
      <c r="L46" s="70" t="inlineStr">
        <is>
          <t>Type19 1461380</t>
        </is>
      </c>
      <c r="M46" s="70" t="n"/>
      <c r="N46" s="70" t="inlineStr">
        <is>
          <t>همان کد ملی در فهرست هیئت مدیره زاگرس در تاریخ مبنا؛ نماد شرکت دیگر در نمونه ۳۰ تایی</t>
        </is>
      </c>
    </row>
    <row r="47" ht="29" customHeight="1" s="76">
      <c r="A47" s="71" t="inlineStr">
        <is>
          <t>R044</t>
        </is>
      </c>
      <c r="B47" s="71" t="inlineStr">
        <is>
          <t>وغدیر</t>
        </is>
      </c>
      <c r="C47" s="71" t="inlineStr">
        <is>
          <t>F14-M1</t>
        </is>
      </c>
      <c r="D47" s="71" t="inlineStr">
        <is>
          <t>متین دیداری</t>
        </is>
      </c>
      <c r="E47" s="71" t="inlineStr">
        <is>
          <t>عضو هیئت مدیره</t>
        </is>
      </c>
      <c r="F47" s="71" t="inlineStr">
        <is>
          <t>هیئت مدیره جم (عضو حقوقی: گسترش تجارت هامون)</t>
        </is>
      </c>
      <c r="G47" s="71" t="inlineStr">
        <is>
          <t>رئیس هیئت مدیره</t>
        </is>
      </c>
      <c r="H47" s="71" t="inlineStr">
        <is>
          <t>AS_OF_SAME_DATE:1404/09/30</t>
        </is>
      </c>
      <c r="I47" s="71" t="inlineStr">
        <is>
          <t>CROSS_BOARD_TYPE19_NATIONAL_ID_MATCH</t>
        </is>
      </c>
      <c r="J47" s="71" t="inlineStr">
        <is>
          <t>بله</t>
        </is>
      </c>
      <c r="K47" s="71" t="inlineStr">
        <is>
          <t>HIGH</t>
        </is>
      </c>
      <c r="L47" s="71" t="inlineStr">
        <is>
          <t>Type19 1407198</t>
        </is>
      </c>
      <c r="M47" s="71" t="n"/>
      <c r="N47" s="71" t="inlineStr">
        <is>
          <t>همان کد ملی در فهرست هیئت مدیره جم در تاریخ مبنا؛ نماد شرکت دیگر در نمونه ۳۰ تایی</t>
        </is>
      </c>
    </row>
    <row r="48" ht="29" customHeight="1" s="76">
      <c r="A48" s="70" t="inlineStr">
        <is>
          <t>R045</t>
        </is>
      </c>
      <c r="B48" s="70" t="inlineStr">
        <is>
          <t>وغدیر</t>
        </is>
      </c>
      <c r="C48" s="70" t="inlineStr">
        <is>
          <t>F14-M5</t>
        </is>
      </c>
      <c r="D48" s="70" t="inlineStr">
        <is>
          <t>احد امیری</t>
        </is>
      </c>
      <c r="E48" s="70" t="inlineStr">
        <is>
          <t>رئیس هیئت مدیره</t>
        </is>
      </c>
      <c r="F48" s="70" t="inlineStr">
        <is>
          <t>هیئت مدیره پارسان (عضو حقوقی: سرمایه گذاری مهرگان تامین پارس)</t>
        </is>
      </c>
      <c r="G48" s="70" t="inlineStr">
        <is>
          <t>رئیس هیئت مدیره</t>
        </is>
      </c>
      <c r="H48" s="70" t="inlineStr">
        <is>
          <t>AS_OF_SAME_DATE:1404/09/30</t>
        </is>
      </c>
      <c r="I48" s="70" t="inlineStr">
        <is>
          <t>CROSS_BOARD_TYPE19_NATIONAL_ID_MATCH</t>
        </is>
      </c>
      <c r="J48" s="70" t="inlineStr">
        <is>
          <t>بله</t>
        </is>
      </c>
      <c r="K48" s="70" t="inlineStr">
        <is>
          <t>HIGH</t>
        </is>
      </c>
      <c r="L48" s="70" t="inlineStr">
        <is>
          <t>Type19 1451719</t>
        </is>
      </c>
      <c r="M48" s="70" t="n"/>
      <c r="N48" s="70" t="inlineStr">
        <is>
          <t>همان کد ملی در فهرست هیئت مدیره پارسان در تاریخ مبنا؛ نماد شرکت دیگر در نمونه ۳۰ تایی</t>
        </is>
      </c>
    </row>
    <row r="49" ht="29" customHeight="1" s="76">
      <c r="A49" s="71" t="inlineStr">
        <is>
          <t>R046</t>
        </is>
      </c>
      <c r="B49" s="71" t="inlineStr">
        <is>
          <t>فولاد</t>
        </is>
      </c>
      <c r="C49" s="71" t="inlineStr">
        <is>
          <t>F16-M1</t>
        </is>
      </c>
      <c r="D49" s="71" t="inlineStr">
        <is>
          <t>محسن صالحی نیا</t>
        </is>
      </c>
      <c r="E49" s="71" t="inlineStr">
        <is>
          <t>نایب رئیس هیئت مدیره</t>
        </is>
      </c>
      <c r="F49" s="71" t="n"/>
      <c r="G49" s="71" t="n"/>
      <c r="H49" s="71" t="inlineStr">
        <is>
          <t>AS_OF_REPORT_TABLE</t>
        </is>
      </c>
      <c r="I49" s="71" t="inlineStr">
        <is>
          <t>ISSUER_DECLARED_NONE</t>
        </is>
      </c>
      <c r="J49" s="71" t="inlineStr">
        <is>
          <t>خیر</t>
        </is>
      </c>
      <c r="K49" s="71" t="inlineStr">
        <is>
          <t>HIGH</t>
        </is>
      </c>
      <c r="L49" s="71" t="inlineStr">
        <is>
          <t>SRC_FOLD_1404_002</t>
        </is>
      </c>
      <c r="M49" s="71" t="inlineStr">
        <is>
          <t>p32</t>
        </is>
      </c>
      <c r="N49" s="71" t="inlineStr">
        <is>
          <t>ستون عضویت همزمان با علامت خط تیره؛ اعلام نبودن عضویت</t>
        </is>
      </c>
    </row>
    <row r="50" ht="29" customHeight="1" s="76">
      <c r="A50" s="70" t="inlineStr">
        <is>
          <t>R047</t>
        </is>
      </c>
      <c r="B50" s="70" t="inlineStr">
        <is>
          <t>فولاد</t>
        </is>
      </c>
      <c r="C50" s="70" t="inlineStr">
        <is>
          <t>F16-M2</t>
        </is>
      </c>
      <c r="D50" s="70" t="inlineStr">
        <is>
          <t>محمدحسین مقیمی</t>
        </is>
      </c>
      <c r="E50" s="70" t="inlineStr">
        <is>
          <t>رئیس هیئت مدیره</t>
        </is>
      </c>
      <c r="F50" s="70" t="inlineStr">
        <is>
          <t>شرکت نسیم پارس</t>
        </is>
      </c>
      <c r="G50" s="70" t="n"/>
      <c r="H50" s="70" t="inlineStr">
        <is>
          <t>AS_OF_REPORT_TABLE</t>
        </is>
      </c>
      <c r="I50" s="70" t="inlineStr">
        <is>
          <t>ISSUER_DECLARED_CONCURRENT_FIELD</t>
        </is>
      </c>
      <c r="J50" s="70" t="inlineStr">
        <is>
          <t>بله</t>
        </is>
      </c>
      <c r="K50" s="70" t="inlineStr">
        <is>
          <t>HIGH</t>
        </is>
      </c>
      <c r="L50" s="70" t="inlineStr">
        <is>
          <t>SRC_FOLD_1404_002</t>
        </is>
      </c>
      <c r="M50" s="70" t="inlineStr">
        <is>
          <t>p32</t>
        </is>
      </c>
      <c r="N50" s="70" t="inlineStr">
        <is>
          <t>گزارش فعالیت هیئت مدیره؛ ستون عضویت همزمان</t>
        </is>
      </c>
    </row>
    <row r="51" ht="29" customHeight="1" s="76">
      <c r="A51" s="71" t="inlineStr">
        <is>
          <t>R048</t>
        </is>
      </c>
      <c r="B51" s="71" t="inlineStr">
        <is>
          <t>فولاد</t>
        </is>
      </c>
      <c r="C51" s="71" t="inlineStr">
        <is>
          <t>F16-M2</t>
        </is>
      </c>
      <c r="D51" s="71" t="inlineStr">
        <is>
          <t>محمدحسین مقیمی</t>
        </is>
      </c>
      <c r="E51" s="71" t="inlineStr">
        <is>
          <t>رئیس هیئت مدیره</t>
        </is>
      </c>
      <c r="F51" s="71" t="inlineStr">
        <is>
          <t>موسسه بنیاد همدلان آینده نگر ایران</t>
        </is>
      </c>
      <c r="G51" s="71" t="n"/>
      <c r="H51" s="71" t="inlineStr">
        <is>
          <t>AS_OF_REPORT_TABLE</t>
        </is>
      </c>
      <c r="I51" s="71" t="inlineStr">
        <is>
          <t>ISSUER_DECLARED_CONCURRENT_FIELD</t>
        </is>
      </c>
      <c r="J51" s="71" t="inlineStr">
        <is>
          <t>بله</t>
        </is>
      </c>
      <c r="K51" s="71" t="inlineStr">
        <is>
          <t>HIGH</t>
        </is>
      </c>
      <c r="L51" s="71" t="inlineStr">
        <is>
          <t>SRC_FOLD_1404_002</t>
        </is>
      </c>
      <c r="M51" s="71" t="inlineStr">
        <is>
          <t>p32</t>
        </is>
      </c>
      <c r="N51" s="71" t="inlineStr">
        <is>
          <t>گزارش فعالیت هیئت مدیره؛ ستون عضویت همزمان</t>
        </is>
      </c>
    </row>
    <row r="52" ht="20" customHeight="1" s="76">
      <c r="A52" s="70" t="inlineStr">
        <is>
          <t>R049</t>
        </is>
      </c>
      <c r="B52" s="70" t="inlineStr">
        <is>
          <t>فولاد</t>
        </is>
      </c>
      <c r="C52" s="70" t="inlineStr">
        <is>
          <t>F16-M3</t>
        </is>
      </c>
      <c r="D52" s="70" t="inlineStr">
        <is>
          <t>علی افشین</t>
        </is>
      </c>
      <c r="E52" s="70" t="inlineStr">
        <is>
          <t>عضو هیئت مدیره</t>
        </is>
      </c>
      <c r="F52" s="70" t="inlineStr">
        <is>
          <t>شرکت تراکتورسازی ایران</t>
        </is>
      </c>
      <c r="G52" s="70" t="inlineStr">
        <is>
          <t>رئیس هیئت مدیره</t>
        </is>
      </c>
      <c r="H52" s="70" t="inlineStr">
        <is>
          <t>AS_OF_REPORT_TABLE</t>
        </is>
      </c>
      <c r="I52" s="70" t="inlineStr">
        <is>
          <t>ISSUER_DECLARED_CONCURRENT_FIELD</t>
        </is>
      </c>
      <c r="J52" s="70" t="inlineStr">
        <is>
          <t>بله</t>
        </is>
      </c>
      <c r="K52" s="70" t="inlineStr">
        <is>
          <t>HIGH</t>
        </is>
      </c>
      <c r="L52" s="70" t="inlineStr">
        <is>
          <t>SRC_FOLD_1404_002</t>
        </is>
      </c>
      <c r="M52" s="70" t="inlineStr">
        <is>
          <t>p32</t>
        </is>
      </c>
      <c r="N52" s="70" t="inlineStr">
        <is>
          <t>گزارش فعالیت هیئت مدیره؛ ستون عضویت همزمان</t>
        </is>
      </c>
    </row>
    <row r="53" ht="20" customHeight="1" s="76">
      <c r="A53" s="71" t="inlineStr">
        <is>
          <t>R050</t>
        </is>
      </c>
      <c r="B53" s="71" t="inlineStr">
        <is>
          <t>فولاد</t>
        </is>
      </c>
      <c r="C53" s="71" t="inlineStr">
        <is>
          <t>F16-M3</t>
        </is>
      </c>
      <c r="D53" s="71" t="inlineStr">
        <is>
          <t>علی افشین</t>
        </is>
      </c>
      <c r="E53" s="71" t="inlineStr">
        <is>
          <t>عضو هیئت مدیره</t>
        </is>
      </c>
      <c r="F53" s="71" t="inlineStr">
        <is>
          <t>شرکت سرمایه گذاری صدرآرین</t>
        </is>
      </c>
      <c r="G53" s="71" t="n"/>
      <c r="H53" s="71" t="inlineStr">
        <is>
          <t>AS_OF_REPORT_TABLE</t>
        </is>
      </c>
      <c r="I53" s="71" t="inlineStr">
        <is>
          <t>ISSUER_DECLARED_CONCURRENT_FIELD</t>
        </is>
      </c>
      <c r="J53" s="71" t="inlineStr">
        <is>
          <t>بله</t>
        </is>
      </c>
      <c r="K53" s="71" t="inlineStr">
        <is>
          <t>HIGH</t>
        </is>
      </c>
      <c r="L53" s="71" t="inlineStr">
        <is>
          <t>SRC_FOLD_1404_002</t>
        </is>
      </c>
      <c r="M53" s="71" t="inlineStr">
        <is>
          <t>p32</t>
        </is>
      </c>
      <c r="N53" s="71" t="inlineStr">
        <is>
          <t>گزارش فعالیت هیئت مدیره؛ ستون عضویت همزمان</t>
        </is>
      </c>
    </row>
    <row r="54" ht="29" customHeight="1" s="76">
      <c r="A54" s="70" t="inlineStr">
        <is>
          <t>R051</t>
        </is>
      </c>
      <c r="B54" s="70" t="inlineStr">
        <is>
          <t>فولاد</t>
        </is>
      </c>
      <c r="C54" s="70" t="inlineStr">
        <is>
          <t>F16-M4</t>
        </is>
      </c>
      <c r="D54" s="70" t="inlineStr">
        <is>
          <t>سعید زرندی</t>
        </is>
      </c>
      <c r="E54" s="70" t="inlineStr">
        <is>
          <t>عضو هیئت مدیره</t>
        </is>
      </c>
      <c r="F54" s="70" t="n"/>
      <c r="G54" s="70" t="n"/>
      <c r="H54" s="70" t="inlineStr">
        <is>
          <t>AS_OF_REPORT_TABLE</t>
        </is>
      </c>
      <c r="I54" s="70" t="inlineStr">
        <is>
          <t>ISSUER_DECLARED_NONE</t>
        </is>
      </c>
      <c r="J54" s="70" t="inlineStr">
        <is>
          <t>خیر</t>
        </is>
      </c>
      <c r="K54" s="70" t="inlineStr">
        <is>
          <t>HIGH</t>
        </is>
      </c>
      <c r="L54" s="70" t="inlineStr">
        <is>
          <t>SRC_FOLD_1404_002</t>
        </is>
      </c>
      <c r="M54" s="70" t="inlineStr">
        <is>
          <t>p32</t>
        </is>
      </c>
      <c r="N54" s="70" t="inlineStr">
        <is>
          <t>ستون عضویت همزمان با علامت خط تیره؛ اعلام نبودن عضویت</t>
        </is>
      </c>
    </row>
    <row r="55" ht="20" customHeight="1" s="76">
      <c r="A55" s="71" t="inlineStr">
        <is>
          <t>R052</t>
        </is>
      </c>
      <c r="B55" s="71" t="inlineStr">
        <is>
          <t>فولاد</t>
        </is>
      </c>
      <c r="C55" s="71" t="inlineStr">
        <is>
          <t>F16-M5</t>
        </is>
      </c>
      <c r="D55" s="71" t="inlineStr">
        <is>
          <t>مهدی زحمت کش</t>
        </is>
      </c>
      <c r="E55" s="71" t="inlineStr">
        <is>
          <t>عضو هیئت مدیره</t>
        </is>
      </c>
      <c r="F55" s="71" t="inlineStr">
        <is>
          <t>سندیکای صنایع آلومینیوم ایران</t>
        </is>
      </c>
      <c r="G55" s="71" t="n"/>
      <c r="H55" s="71" t="inlineStr">
        <is>
          <t>AS_OF_REPORT_TABLE</t>
        </is>
      </c>
      <c r="I55" s="71" t="inlineStr">
        <is>
          <t>ISSUER_DECLARED_CONCURRENT_FIELD</t>
        </is>
      </c>
      <c r="J55" s="71" t="inlineStr">
        <is>
          <t>بله</t>
        </is>
      </c>
      <c r="K55" s="71" t="inlineStr">
        <is>
          <t>HIGH</t>
        </is>
      </c>
      <c r="L55" s="71" t="inlineStr">
        <is>
          <t>SRC_FOLD_1404_002</t>
        </is>
      </c>
      <c r="M55" s="71" t="inlineStr">
        <is>
          <t>p32</t>
        </is>
      </c>
      <c r="N55" s="71" t="inlineStr">
        <is>
          <t>گزارش فعالیت هیئت مدیره؛ ستون عضویت همزمان</t>
        </is>
      </c>
    </row>
    <row r="56" ht="29" customHeight="1" s="76">
      <c r="A56" s="70" t="inlineStr">
        <is>
          <t>R053</t>
        </is>
      </c>
      <c r="B56" s="70" t="inlineStr">
        <is>
          <t>کچاد</t>
        </is>
      </c>
      <c r="C56" s="70" t="inlineStr">
        <is>
          <t>F17-M1</t>
        </is>
      </c>
      <c r="D56" s="70" t="inlineStr">
        <is>
          <t>محمدرضا تابش</t>
        </is>
      </c>
      <c r="E56" s="70" t="inlineStr">
        <is>
          <t>رئیس هیئت مدیره</t>
        </is>
      </c>
      <c r="F56" s="70" t="n"/>
      <c r="G56" s="70" t="n"/>
      <c r="H56" s="70" t="inlineStr">
        <is>
          <t>AS_OF_REPORT_TABLE</t>
        </is>
      </c>
      <c r="I56" s="70" t="inlineStr">
        <is>
          <t>ISSUER_DECLARED_NONE</t>
        </is>
      </c>
      <c r="J56" s="70" t="inlineStr">
        <is>
          <t>خیر</t>
        </is>
      </c>
      <c r="K56" s="70" t="inlineStr">
        <is>
          <t>HIGH</t>
        </is>
      </c>
      <c r="L56" s="70" t="inlineStr">
        <is>
          <t>SRC_KCHD_1404_001</t>
        </is>
      </c>
      <c r="M56" s="70" t="inlineStr">
        <is>
          <t>p133-136</t>
        </is>
      </c>
      <c r="N56" s="70" t="inlineStr">
        <is>
          <t>ستون عضویت همزمان با علامت خط تیره؛ اعلام نبودن عضویت</t>
        </is>
      </c>
    </row>
    <row r="57" ht="43.5" customHeight="1" s="76">
      <c r="A57" s="71" t="inlineStr">
        <is>
          <t>R054</t>
        </is>
      </c>
      <c r="B57" s="71" t="inlineStr">
        <is>
          <t>کچاد</t>
        </is>
      </c>
      <c r="C57" s="71" t="inlineStr">
        <is>
          <t>F17-M3</t>
        </is>
      </c>
      <c r="D57" s="71" t="inlineStr">
        <is>
          <t>حامد دهقانان</t>
        </is>
      </c>
      <c r="E57" s="71" t="inlineStr">
        <is>
          <t>نایب رئیس هیئت مدیره</t>
        </is>
      </c>
      <c r="F57" s="71" t="inlineStr">
        <is>
          <t>هیئت مدیره وامید (عضو حقوقی: صندوق بازنشستگی وظیفه از کار افتادگی و پس انداز کارکنان بانکهای ملی و ادغام شده)</t>
        </is>
      </c>
      <c r="G57" s="71" t="inlineStr">
        <is>
          <t>عضو هیئت مدیره</t>
        </is>
      </c>
      <c r="H57" s="71" t="inlineStr">
        <is>
          <t>AS_OF_SAME_DATE:1404/09/30</t>
        </is>
      </c>
      <c r="I57" s="71" t="inlineStr">
        <is>
          <t>CROSS_BOARD_TYPE19_NATIONAL_ID_MATCH</t>
        </is>
      </c>
      <c r="J57" s="71" t="inlineStr">
        <is>
          <t>بله</t>
        </is>
      </c>
      <c r="K57" s="71" t="inlineStr">
        <is>
          <t>HIGH</t>
        </is>
      </c>
      <c r="L57" s="71" t="inlineStr">
        <is>
          <t>Type19 1401521</t>
        </is>
      </c>
      <c r="M57" s="71" t="n"/>
      <c r="N57" s="71" t="inlineStr">
        <is>
          <t>همان کد ملی در فهرست هیئت مدیره وامید در تاریخ مبنا؛ نماد شرکت دیگر در نمونه ۳۰ تایی</t>
        </is>
      </c>
    </row>
    <row r="58" ht="20" customHeight="1" s="76">
      <c r="A58" s="70" t="inlineStr">
        <is>
          <t>R055</t>
        </is>
      </c>
      <c r="B58" s="70" t="inlineStr">
        <is>
          <t>پارسان</t>
        </is>
      </c>
      <c r="C58" s="70" t="inlineStr">
        <is>
          <t>F19-M1</t>
        </is>
      </c>
      <c r="D58" s="70" t="inlineStr">
        <is>
          <t>سیدجعفر هاشمی</t>
        </is>
      </c>
      <c r="E58" s="70" t="inlineStr">
        <is>
          <t>عضو هیئت مدیره</t>
        </is>
      </c>
      <c r="F58" s="70" t="inlineStr">
        <is>
          <t>پتروشیمی زاگرس</t>
        </is>
      </c>
      <c r="G58" s="70" t="inlineStr">
        <is>
          <t>عضو هیات مدیره</t>
        </is>
      </c>
      <c r="H58" s="70" t="inlineStr">
        <is>
          <t>AS_OF_REPORT_TABLE</t>
        </is>
      </c>
      <c r="I58" s="70" t="inlineStr">
        <is>
          <t>ISSUER_DECLARED_CONCURRENT_FIELD</t>
        </is>
      </c>
      <c r="J58" s="70" t="inlineStr">
        <is>
          <t>بله</t>
        </is>
      </c>
      <c r="K58" s="70" t="inlineStr">
        <is>
          <t>HIGH</t>
        </is>
      </c>
      <c r="L58" s="70" t="inlineStr">
        <is>
          <t>SRC_PRSN_1404_007</t>
        </is>
      </c>
      <c r="M58" s="70" t="inlineStr">
        <is>
          <t>p38</t>
        </is>
      </c>
      <c r="N58" s="70" t="inlineStr">
        <is>
          <t>گزارش فعالیت هیئت مدیره؛ ستون عضویت همزمان</t>
        </is>
      </c>
    </row>
    <row r="59" ht="29" customHeight="1" s="76">
      <c r="A59" s="71" t="inlineStr">
        <is>
          <t>R056</t>
        </is>
      </c>
      <c r="B59" s="71" t="inlineStr">
        <is>
          <t>پارسان</t>
        </is>
      </c>
      <c r="C59" s="71" t="inlineStr">
        <is>
          <t>F19-M1</t>
        </is>
      </c>
      <c r="D59" s="71" t="inlineStr">
        <is>
          <t>سیدجعفر هاشمی</t>
        </is>
      </c>
      <c r="E59" s="71" t="inlineStr">
        <is>
          <t>عضو هیئت مدیره</t>
        </is>
      </c>
      <c r="F59" s="71" t="inlineStr">
        <is>
          <t>هیئت مدیره زاگرس (عضو حقوقی: سرمایه گذاری هامون سپاهان)</t>
        </is>
      </c>
      <c r="G59" s="71" t="inlineStr">
        <is>
          <t>عضو هیئت مدیره</t>
        </is>
      </c>
      <c r="H59" s="71" t="inlineStr">
        <is>
          <t>AS_OF_SAME_DATE:1404/06/31</t>
        </is>
      </c>
      <c r="I59" s="71" t="inlineStr">
        <is>
          <t>CROSS_BOARD_TYPE19_NATIONAL_ID_MATCH</t>
        </is>
      </c>
      <c r="J59" s="71" t="inlineStr">
        <is>
          <t>بله</t>
        </is>
      </c>
      <c r="K59" s="71" t="inlineStr">
        <is>
          <t>HIGH</t>
        </is>
      </c>
      <c r="L59" s="71" t="inlineStr">
        <is>
          <t>Type19 1393291</t>
        </is>
      </c>
      <c r="M59" s="71" t="n"/>
      <c r="N59" s="71" t="inlineStr">
        <is>
          <t>همان کد ملی در فهرست هیئت مدیره زاگرس در تاریخ مبنا؛ نماد شرکت دیگر در نمونه ۳۰ تایی</t>
        </is>
      </c>
    </row>
    <row r="60" ht="29" customHeight="1" s="76">
      <c r="A60" s="70" t="inlineStr">
        <is>
          <t>R057</t>
        </is>
      </c>
      <c r="B60" s="70" t="inlineStr">
        <is>
          <t>پارسان</t>
        </is>
      </c>
      <c r="C60" s="70" t="inlineStr">
        <is>
          <t>F19-M2</t>
        </is>
      </c>
      <c r="D60" s="70" t="inlineStr">
        <is>
          <t>رحیم اسماعیلی دانا</t>
        </is>
      </c>
      <c r="E60" s="70" t="inlineStr">
        <is>
          <t>نایب رئیس هیئت مدیره</t>
        </is>
      </c>
      <c r="F60" s="70" t="inlineStr">
        <is>
          <t>تأمین سرمایه دماوند</t>
        </is>
      </c>
      <c r="G60" s="70" t="inlineStr">
        <is>
          <t>عضو هیأت مدیره</t>
        </is>
      </c>
      <c r="H60" s="70" t="inlineStr">
        <is>
          <t>AS_OF_REPORT_TABLE</t>
        </is>
      </c>
      <c r="I60" s="70" t="inlineStr">
        <is>
          <t>ISSUER_DECLARED_CONCURRENT_FIELD</t>
        </is>
      </c>
      <c r="J60" s="70" t="inlineStr">
        <is>
          <t>بله</t>
        </is>
      </c>
      <c r="K60" s="70" t="inlineStr">
        <is>
          <t>HIGH</t>
        </is>
      </c>
      <c r="L60" s="70" t="inlineStr">
        <is>
          <t>SRC_PRSN_1404_007</t>
        </is>
      </c>
      <c r="M60" s="70" t="inlineStr">
        <is>
          <t>p38</t>
        </is>
      </c>
      <c r="N60" s="70" t="inlineStr">
        <is>
          <t>گزارش فعالیت هیئت مدیره؛ ستون عضویت همزمان</t>
        </is>
      </c>
    </row>
    <row r="61" ht="29" customHeight="1" s="76">
      <c r="A61" s="71" t="inlineStr">
        <is>
          <t>R058</t>
        </is>
      </c>
      <c r="B61" s="71" t="inlineStr">
        <is>
          <t>پارسان</t>
        </is>
      </c>
      <c r="C61" s="71" t="inlineStr">
        <is>
          <t>F19-M5</t>
        </is>
      </c>
      <c r="D61" s="71" t="inlineStr">
        <is>
          <t>احد امیری</t>
        </is>
      </c>
      <c r="E61" s="71" t="inlineStr">
        <is>
          <t>رئیس هیئت مدیره</t>
        </is>
      </c>
      <c r="F61" s="71" t="inlineStr">
        <is>
          <t>سرمایه گذاری غدیر</t>
        </is>
      </c>
      <c r="G61" s="71" t="inlineStr">
        <is>
          <t>رئیس هیأت مدیره</t>
        </is>
      </c>
      <c r="H61" s="71" t="inlineStr">
        <is>
          <t>AS_OF_REPORT_TABLE</t>
        </is>
      </c>
      <c r="I61" s="71" t="inlineStr">
        <is>
          <t>ISSUER_DECLARED_CONCURRENT_FIELD</t>
        </is>
      </c>
      <c r="J61" s="71" t="inlineStr">
        <is>
          <t>بله</t>
        </is>
      </c>
      <c r="K61" s="71" t="inlineStr">
        <is>
          <t>HIGH</t>
        </is>
      </c>
      <c r="L61" s="71" t="inlineStr">
        <is>
          <t>SRC_PRSN_1404_007</t>
        </is>
      </c>
      <c r="M61" s="71" t="inlineStr">
        <is>
          <t>p38</t>
        </is>
      </c>
      <c r="N61" s="71" t="inlineStr">
        <is>
          <t>گزارش فعالیت هیئت مدیره؛ ستون عضویت همزمان</t>
        </is>
      </c>
    </row>
    <row r="62" ht="29" customHeight="1" s="76">
      <c r="A62" s="70" t="inlineStr">
        <is>
          <t>R059</t>
        </is>
      </c>
      <c r="B62" s="70" t="inlineStr">
        <is>
          <t>پارسان</t>
        </is>
      </c>
      <c r="C62" s="70" t="inlineStr">
        <is>
          <t>F19-M5</t>
        </is>
      </c>
      <c r="D62" s="70" t="inlineStr">
        <is>
          <t>احد امیری</t>
        </is>
      </c>
      <c r="E62" s="70" t="inlineStr">
        <is>
          <t>رئیس هیئت مدیره</t>
        </is>
      </c>
      <c r="F62" s="70" t="inlineStr">
        <is>
          <t>هیئت مدیره وغدیر (عضو حقوقی: صندوق بیمه عمر و حوادث نیروهای مسلح)</t>
        </is>
      </c>
      <c r="G62" s="70" t="inlineStr">
        <is>
          <t>رئیس هیئت مدیره</t>
        </is>
      </c>
      <c r="H62" s="70" t="inlineStr">
        <is>
          <t>AS_OF_SAME_DATE:1404/06/31</t>
        </is>
      </c>
      <c r="I62" s="70" t="inlineStr">
        <is>
          <t>CROSS_BOARD_TYPE19_NATIONAL_ID_MATCH</t>
        </is>
      </c>
      <c r="J62" s="70" t="inlineStr">
        <is>
          <t>بله</t>
        </is>
      </c>
      <c r="K62" s="70" t="inlineStr">
        <is>
          <t>HIGH</t>
        </is>
      </c>
      <c r="L62" s="70" t="inlineStr">
        <is>
          <t>Type19 1405584</t>
        </is>
      </c>
      <c r="M62" s="70" t="n"/>
      <c r="N62" s="70" t="inlineStr">
        <is>
          <t>همان کد ملی در فهرست هیئت مدیره وغدیر در تاریخ مبنا؛ نماد شرکت دیگر در نمونه ۳۰ تایی</t>
        </is>
      </c>
    </row>
    <row r="63" ht="29" customHeight="1" s="76">
      <c r="A63" s="71" t="inlineStr">
        <is>
          <t>R060</t>
        </is>
      </c>
      <c r="B63" s="71" t="inlineStr">
        <is>
          <t>جم</t>
        </is>
      </c>
      <c r="C63" s="71" t="inlineStr">
        <is>
          <t>F21-M5</t>
        </is>
      </c>
      <c r="D63" s="71" t="inlineStr">
        <is>
          <t>متین دیداری</t>
        </is>
      </c>
      <c r="E63" s="71" t="inlineStr">
        <is>
          <t>عضو هیئت مدیره</t>
        </is>
      </c>
      <c r="F63" s="71" t="inlineStr">
        <is>
          <t>هیئت مدیره زاگرس (عضو حقوقی: گروه گسترش نفت و گاز پارسیان)</t>
        </is>
      </c>
      <c r="G63" s="71" t="inlineStr">
        <is>
          <t>نایب رئیس هیئت مدیره</t>
        </is>
      </c>
      <c r="H63" s="71" t="inlineStr">
        <is>
          <t>AS_OF_SAME_DATE:1404/12/29</t>
        </is>
      </c>
      <c r="I63" s="71" t="inlineStr">
        <is>
          <t>CROSS_BOARD_TYPE19_NATIONAL_ID_MATCH</t>
        </is>
      </c>
      <c r="J63" s="71" t="inlineStr">
        <is>
          <t>بله</t>
        </is>
      </c>
      <c r="K63" s="71" t="inlineStr">
        <is>
          <t>HIGH</t>
        </is>
      </c>
      <c r="L63" s="71" t="inlineStr">
        <is>
          <t>Type19 1461380</t>
        </is>
      </c>
      <c r="M63" s="71" t="n"/>
      <c r="N63" s="71" t="inlineStr">
        <is>
          <t>همان کد ملی در فهرست هیئت مدیره زاگرس در تاریخ مبنا؛ نماد شرکت دیگر در نمونه ۳۰ تایی</t>
        </is>
      </c>
    </row>
    <row r="64" ht="29" customHeight="1" s="76">
      <c r="A64" s="70" t="inlineStr">
        <is>
          <t>R061</t>
        </is>
      </c>
      <c r="B64" s="70" t="inlineStr">
        <is>
          <t>جم</t>
        </is>
      </c>
      <c r="C64" s="70" t="inlineStr">
        <is>
          <t>F21-M5</t>
        </is>
      </c>
      <c r="D64" s="70" t="inlineStr">
        <is>
          <t>متین دیداری</t>
        </is>
      </c>
      <c r="E64" s="70" t="inlineStr">
        <is>
          <t>عضو هیئت مدیره</t>
        </is>
      </c>
      <c r="F64" s="70" t="inlineStr">
        <is>
          <t>هیئت مدیره وغدیر (عضو حقوقی: توسعه و مدیریت سرمایه صبا)</t>
        </is>
      </c>
      <c r="G64" s="70" t="inlineStr">
        <is>
          <t>عضو هیئت مدیره</t>
        </is>
      </c>
      <c r="H64" s="70" t="inlineStr">
        <is>
          <t>AS_OF_SAME_DATE:1404/12/29</t>
        </is>
      </c>
      <c r="I64" s="70" t="inlineStr">
        <is>
          <t>CROSS_BOARD_TYPE19_NATIONAL_ID_MATCH</t>
        </is>
      </c>
      <c r="J64" s="70" t="inlineStr">
        <is>
          <t>بله</t>
        </is>
      </c>
      <c r="K64" s="70" t="inlineStr">
        <is>
          <t>HIGH</t>
        </is>
      </c>
      <c r="L64" s="70" t="inlineStr">
        <is>
          <t>Type19 1405584</t>
        </is>
      </c>
      <c r="M64" s="70" t="n"/>
      <c r="N64" s="70" t="inlineStr">
        <is>
          <t>همان کد ملی در فهرست هیئت مدیره وغدیر در تاریخ مبنا؛ نماد شرکت دیگر در نمونه ۳۰ تایی</t>
        </is>
      </c>
    </row>
    <row r="65" ht="29" customHeight="1" s="76">
      <c r="A65" s="71" t="inlineStr">
        <is>
          <t>R062</t>
        </is>
      </c>
      <c r="B65" s="71" t="inlineStr">
        <is>
          <t>ومعادن</t>
        </is>
      </c>
      <c r="C65" s="71" t="inlineStr">
        <is>
          <t>F22-M1</t>
        </is>
      </c>
      <c r="D65" s="71" t="inlineStr">
        <is>
          <t>محمد آقاجانلو</t>
        </is>
      </c>
      <c r="E65" s="71" t="inlineStr">
        <is>
          <t>رئیس هیئت مدیره</t>
        </is>
      </c>
      <c r="F65" s="71" t="n"/>
      <c r="G65" s="71" t="n"/>
      <c r="H65" s="71" t="inlineStr">
        <is>
          <t>AS_OF_REPORT_TABLE</t>
        </is>
      </c>
      <c r="I65" s="71" t="inlineStr">
        <is>
          <t>ISSUER_DECLARED_NONE</t>
        </is>
      </c>
      <c r="J65" s="71" t="inlineStr">
        <is>
          <t>خیر</t>
        </is>
      </c>
      <c r="K65" s="71" t="inlineStr">
        <is>
          <t>HIGH</t>
        </is>
      </c>
      <c r="L65" s="71" t="inlineStr">
        <is>
          <t>SRC_VMDN_1404_001</t>
        </is>
      </c>
      <c r="M65" s="71" t="inlineStr">
        <is>
          <t>p43</t>
        </is>
      </c>
      <c r="N65" s="71" t="inlineStr">
        <is>
          <t>ستون عضویت همزمان با علامت خط تیره؛ اعلام نبودن عضویت</t>
        </is>
      </c>
    </row>
    <row r="66" ht="29" customHeight="1" s="76">
      <c r="A66" s="70" t="inlineStr">
        <is>
          <t>R063</t>
        </is>
      </c>
      <c r="B66" s="70" t="inlineStr">
        <is>
          <t>ومعادن</t>
        </is>
      </c>
      <c r="C66" s="70" t="inlineStr">
        <is>
          <t>F22-M2</t>
        </is>
      </c>
      <c r="D66" s="70" t="inlineStr">
        <is>
          <t>سجاد طهماسبی</t>
        </is>
      </c>
      <c r="E66" s="70" t="inlineStr">
        <is>
          <t>عضو هیئت مدیره</t>
        </is>
      </c>
      <c r="F66" s="70" t="n"/>
      <c r="G66" s="70" t="n"/>
      <c r="H66" s="70" t="inlineStr">
        <is>
          <t>AS_OF_REPORT_TABLE</t>
        </is>
      </c>
      <c r="I66" s="70" t="inlineStr">
        <is>
          <t>ISSUER_DECLARED_NONE</t>
        </is>
      </c>
      <c r="J66" s="70" t="inlineStr">
        <is>
          <t>خیر</t>
        </is>
      </c>
      <c r="K66" s="70" t="inlineStr">
        <is>
          <t>HIGH</t>
        </is>
      </c>
      <c r="L66" s="70" t="inlineStr">
        <is>
          <t>SRC_VMDN_1404_001</t>
        </is>
      </c>
      <c r="M66" s="70" t="inlineStr">
        <is>
          <t>p43</t>
        </is>
      </c>
      <c r="N66" s="70" t="inlineStr">
        <is>
          <t>ستون عضویت همزمان با علامت خط تیره؛ اعلام نبودن عضویت</t>
        </is>
      </c>
    </row>
    <row r="67" ht="29" customHeight="1" s="76">
      <c r="A67" s="71" t="inlineStr">
        <is>
          <t>R064</t>
        </is>
      </c>
      <c r="B67" s="71" t="inlineStr">
        <is>
          <t>ومعادن</t>
        </is>
      </c>
      <c r="C67" s="71" t="inlineStr">
        <is>
          <t>F22-M3</t>
        </is>
      </c>
      <c r="D67" s="71" t="inlineStr">
        <is>
          <t>اردشیر سعدمحمدی</t>
        </is>
      </c>
      <c r="E67" s="71" t="inlineStr">
        <is>
          <t>عضو هیئت مدیره</t>
        </is>
      </c>
      <c r="F67" s="71" t="n"/>
      <c r="G67" s="71" t="n"/>
      <c r="H67" s="71" t="inlineStr">
        <is>
          <t>AS_OF_REPORT_TABLE</t>
        </is>
      </c>
      <c r="I67" s="71" t="inlineStr">
        <is>
          <t>ISSUER_DECLARED_NONE</t>
        </is>
      </c>
      <c r="J67" s="71" t="inlineStr">
        <is>
          <t>خیر</t>
        </is>
      </c>
      <c r="K67" s="71" t="inlineStr">
        <is>
          <t>HIGH</t>
        </is>
      </c>
      <c r="L67" s="71" t="inlineStr">
        <is>
          <t>SRC_VMDN_1404_001</t>
        </is>
      </c>
      <c r="M67" s="71" t="inlineStr">
        <is>
          <t>p43</t>
        </is>
      </c>
      <c r="N67" s="71" t="inlineStr">
        <is>
          <t>ستون عضویت همزمان با علامت خط تیره؛ اعلام نبودن عضویت</t>
        </is>
      </c>
    </row>
    <row r="68" ht="29" customHeight="1" s="76">
      <c r="A68" s="70" t="inlineStr">
        <is>
          <t>R065</t>
        </is>
      </c>
      <c r="B68" s="70" t="inlineStr">
        <is>
          <t>ومعادن</t>
        </is>
      </c>
      <c r="C68" s="70" t="inlineStr">
        <is>
          <t>F22-M4</t>
        </is>
      </c>
      <c r="D68" s="70" t="inlineStr">
        <is>
          <t>محمدرضا درخشنده</t>
        </is>
      </c>
      <c r="E68" s="70" t="inlineStr">
        <is>
          <t>عضو هیئت مدیره</t>
        </is>
      </c>
      <c r="F68" s="70" t="n"/>
      <c r="G68" s="70" t="n"/>
      <c r="H68" s="70" t="inlineStr">
        <is>
          <t>AS_OF_REPORT_TABLE</t>
        </is>
      </c>
      <c r="I68" s="70" t="inlineStr">
        <is>
          <t>ISSUER_DECLARED_NONE</t>
        </is>
      </c>
      <c r="J68" s="70" t="inlineStr">
        <is>
          <t>خیر</t>
        </is>
      </c>
      <c r="K68" s="70" t="inlineStr">
        <is>
          <t>HIGH</t>
        </is>
      </c>
      <c r="L68" s="70" t="inlineStr">
        <is>
          <t>SRC_VMDN_1404_001</t>
        </is>
      </c>
      <c r="M68" s="70" t="inlineStr">
        <is>
          <t>p43</t>
        </is>
      </c>
      <c r="N68" s="70" t="inlineStr">
        <is>
          <t>ستون عضویت همزمان با علامت خط تیره؛ اعلام نبودن عضویت</t>
        </is>
      </c>
    </row>
    <row r="69" ht="29" customHeight="1" s="76">
      <c r="A69" s="71" t="inlineStr">
        <is>
          <t>R066</t>
        </is>
      </c>
      <c r="B69" s="71" t="inlineStr">
        <is>
          <t>ومعادن</t>
        </is>
      </c>
      <c r="C69" s="71" t="inlineStr">
        <is>
          <t>F22-M5</t>
        </is>
      </c>
      <c r="D69" s="71" t="inlineStr">
        <is>
          <t>محمد کلانتری</t>
        </is>
      </c>
      <c r="E69" s="71" t="inlineStr">
        <is>
          <t>نایب رئیس هیئت مدیره</t>
        </is>
      </c>
      <c r="F69" s="71" t="inlineStr">
        <is>
          <t>شرکت صنایع آهن و فولاد سرمد ابرکوه</t>
        </is>
      </c>
      <c r="G69" s="71" t="n"/>
      <c r="H69" s="71" t="inlineStr">
        <is>
          <t>AS_OF_REPORT_TABLE</t>
        </is>
      </c>
      <c r="I69" s="71" t="inlineStr">
        <is>
          <t>ISSUER_DECLARED_CONCURRENT_FIELD</t>
        </is>
      </c>
      <c r="J69" s="71" t="inlineStr">
        <is>
          <t>بله</t>
        </is>
      </c>
      <c r="K69" s="71" t="inlineStr">
        <is>
          <t>HIGH</t>
        </is>
      </c>
      <c r="L69" s="71" t="inlineStr">
        <is>
          <t>SRC_VMDN_1404_001</t>
        </is>
      </c>
      <c r="M69" s="71" t="inlineStr">
        <is>
          <t>p43</t>
        </is>
      </c>
      <c r="N69" s="71" t="inlineStr">
        <is>
          <t>گزارش فعالیت هیئت مدیره؛ ستون عضویت همزمان</t>
        </is>
      </c>
    </row>
    <row r="70" ht="29" customHeight="1" s="76">
      <c r="A70" s="70" t="inlineStr">
        <is>
          <t>R067</t>
        </is>
      </c>
      <c r="B70" s="70" t="inlineStr">
        <is>
          <t>وامید</t>
        </is>
      </c>
      <c r="C70" s="70" t="inlineStr">
        <is>
          <t>F23-M3</t>
        </is>
      </c>
      <c r="D70" s="70" t="inlineStr">
        <is>
          <t>حامد دهقانان</t>
        </is>
      </c>
      <c r="E70" s="70" t="inlineStr">
        <is>
          <t>عضو هیئت مدیره</t>
        </is>
      </c>
      <c r="F70" s="70" t="inlineStr">
        <is>
          <t>هیئت مدیره کچاد (عضو حقوقی: سرمایه گذاری سپه)</t>
        </is>
      </c>
      <c r="G70" s="70" t="inlineStr">
        <is>
          <t>عضو هیئت مدیره</t>
        </is>
      </c>
      <c r="H70" s="70" t="inlineStr">
        <is>
          <t>AS_OF_SAME_DATE:1404/10/30</t>
        </is>
      </c>
      <c r="I70" s="70" t="inlineStr">
        <is>
          <t>CROSS_BOARD_TYPE19_NATIONAL_ID_MATCH</t>
        </is>
      </c>
      <c r="J70" s="70" t="inlineStr">
        <is>
          <t>بله</t>
        </is>
      </c>
      <c r="K70" s="70" t="inlineStr">
        <is>
          <t>HIGH</t>
        </is>
      </c>
      <c r="L70" s="70" t="inlineStr">
        <is>
          <t>Type19 1473973</t>
        </is>
      </c>
      <c r="M70" s="70" t="n"/>
      <c r="N70" s="70" t="inlineStr">
        <is>
          <t>همان کد ملی در فهرست هیئت مدیره کچاد در تاریخ مبنا؛ نماد شرکت دیگر در نمونه ۳۰ تایی</t>
        </is>
      </c>
    </row>
    <row r="71" ht="29" customHeight="1" s="76">
      <c r="A71" s="71" t="inlineStr">
        <is>
          <t>R068</t>
        </is>
      </c>
      <c r="B71" s="71" t="inlineStr">
        <is>
          <t>همراه</t>
        </is>
      </c>
      <c r="C71" s="71" t="inlineStr">
        <is>
          <t>F25-M1</t>
        </is>
      </c>
      <c r="D71" s="71" t="inlineStr">
        <is>
          <t>حجت اله نیکی ملکی</t>
        </is>
      </c>
      <c r="E71" s="71" t="inlineStr">
        <is>
          <t>عضو هیئت مدیره</t>
        </is>
      </c>
      <c r="F71" s="71" t="n"/>
      <c r="G71" s="71" t="n"/>
      <c r="H71" s="71" t="inlineStr">
        <is>
          <t>AS_OF_REPORT_TABLE</t>
        </is>
      </c>
      <c r="I71" s="71" t="inlineStr">
        <is>
          <t>ISSUER_DECLARED_NONE</t>
        </is>
      </c>
      <c r="J71" s="71" t="inlineStr">
        <is>
          <t>خیر</t>
        </is>
      </c>
      <c r="K71" s="71" t="inlineStr">
        <is>
          <t>HIGH</t>
        </is>
      </c>
      <c r="L71" s="71" t="inlineStr">
        <is>
          <t>SRC_HMRH_1404_001</t>
        </is>
      </c>
      <c r="M71" s="71" t="inlineStr">
        <is>
          <t>p27</t>
        </is>
      </c>
      <c r="N71" s="71" t="inlineStr">
        <is>
          <t>ستون عضویت همزمان با علامت خط تیره؛ اعلام نبودن عضویت</t>
        </is>
      </c>
    </row>
    <row r="72" ht="29" customHeight="1" s="76">
      <c r="A72" s="70" t="inlineStr">
        <is>
          <t>R069</t>
        </is>
      </c>
      <c r="B72" s="70" t="inlineStr">
        <is>
          <t>همراه</t>
        </is>
      </c>
      <c r="C72" s="70" t="inlineStr">
        <is>
          <t>F25-M2</t>
        </is>
      </c>
      <c r="D72" s="70" t="inlineStr">
        <is>
          <t>محمد پیری</t>
        </is>
      </c>
      <c r="E72" s="70" t="inlineStr">
        <is>
          <t>نایب رئیس هیئت مدیره</t>
        </is>
      </c>
      <c r="F72" s="70" t="inlineStr">
        <is>
          <t>شرکت توسعه اعتماد مبین (عضو هیأت مدیره و مدیرعامل)</t>
        </is>
      </c>
      <c r="G72" s="70" t="n"/>
      <c r="H72" s="70" t="inlineStr">
        <is>
          <t>AS_OF_REPORT_TABLE</t>
        </is>
      </c>
      <c r="I72" s="70" t="inlineStr">
        <is>
          <t>ISSUER_DECLARED_CONCURRENT_FIELD</t>
        </is>
      </c>
      <c r="J72" s="70" t="inlineStr">
        <is>
          <t>بله</t>
        </is>
      </c>
      <c r="K72" s="70" t="inlineStr">
        <is>
          <t>HIGH</t>
        </is>
      </c>
      <c r="L72" s="70" t="inlineStr">
        <is>
          <t>SRC_HMRH_1404_001</t>
        </is>
      </c>
      <c r="M72" s="70" t="inlineStr">
        <is>
          <t>p27</t>
        </is>
      </c>
      <c r="N72" s="70" t="inlineStr">
        <is>
          <t>گزارش فعالیت هیئت مدیره؛ ستون عضویت همزمان</t>
        </is>
      </c>
    </row>
    <row r="73" ht="29" customHeight="1" s="76">
      <c r="A73" s="71" t="inlineStr">
        <is>
          <t>R070</t>
        </is>
      </c>
      <c r="B73" s="71" t="inlineStr">
        <is>
          <t>همراه</t>
        </is>
      </c>
      <c r="C73" s="71" t="inlineStr">
        <is>
          <t>F25-M3</t>
        </is>
      </c>
      <c r="D73" s="71" t="inlineStr">
        <is>
          <t>علی بقائی</t>
        </is>
      </c>
      <c r="E73" s="71" t="inlineStr">
        <is>
          <t>رئیس هیئت مدیره</t>
        </is>
      </c>
      <c r="F73" s="71" t="inlineStr">
        <is>
          <t>گروه توسعه اقتصادی تدبیر</t>
        </is>
      </c>
      <c r="G73" s="71" t="n"/>
      <c r="H73" s="71" t="inlineStr">
        <is>
          <t>AS_OF_REPORT_TABLE</t>
        </is>
      </c>
      <c r="I73" s="71" t="inlineStr">
        <is>
          <t>ISSUER_DECLARED_CONCURRENT_FIELD</t>
        </is>
      </c>
      <c r="J73" s="71" t="inlineStr">
        <is>
          <t>بله</t>
        </is>
      </c>
      <c r="K73" s="71" t="inlineStr">
        <is>
          <t>HIGH</t>
        </is>
      </c>
      <c r="L73" s="71" t="inlineStr">
        <is>
          <t>SRC_HMRH_1404_001</t>
        </is>
      </c>
      <c r="M73" s="71" t="inlineStr">
        <is>
          <t>p27</t>
        </is>
      </c>
      <c r="N73" s="71" t="inlineStr">
        <is>
          <t>گزارش فعالیت هیئت مدیره؛ ستون عضویت همزمان</t>
        </is>
      </c>
    </row>
    <row r="74" ht="29" customHeight="1" s="76">
      <c r="A74" s="70" t="inlineStr">
        <is>
          <t>R071</t>
        </is>
      </c>
      <c r="B74" s="70" t="inlineStr">
        <is>
          <t>همراه</t>
        </is>
      </c>
      <c r="C74" s="70" t="inlineStr">
        <is>
          <t>F25-M3</t>
        </is>
      </c>
      <c r="D74" s="70" t="inlineStr">
        <is>
          <t>علی بقائی</t>
        </is>
      </c>
      <c r="E74" s="70" t="inlineStr">
        <is>
          <t>رئیس هیئت مدیره</t>
        </is>
      </c>
      <c r="F74" s="70" t="inlineStr">
        <is>
          <t>گروه داده پردازی پارسیان</t>
        </is>
      </c>
      <c r="G74" s="70" t="n"/>
      <c r="H74" s="70" t="inlineStr">
        <is>
          <t>AS_OF_REPORT_TABLE</t>
        </is>
      </c>
      <c r="I74" s="70" t="inlineStr">
        <is>
          <t>ISSUER_DECLARED_CONCURRENT_FIELD</t>
        </is>
      </c>
      <c r="J74" s="70" t="inlineStr">
        <is>
          <t>بله</t>
        </is>
      </c>
      <c r="K74" s="70" t="inlineStr">
        <is>
          <t>HIGH</t>
        </is>
      </c>
      <c r="L74" s="70" t="inlineStr">
        <is>
          <t>SRC_HMRH_1404_001</t>
        </is>
      </c>
      <c r="M74" s="70" t="inlineStr">
        <is>
          <t>p27</t>
        </is>
      </c>
      <c r="N74" s="70" t="inlineStr">
        <is>
          <t>گزارش فعالیت هیئت مدیره؛ ستون عضویت همزمان</t>
        </is>
      </c>
    </row>
    <row r="75" ht="29" customHeight="1" s="76">
      <c r="A75" s="71" t="inlineStr">
        <is>
          <t>R072</t>
        </is>
      </c>
      <c r="B75" s="71" t="inlineStr">
        <is>
          <t>همراه</t>
        </is>
      </c>
      <c r="C75" s="71" t="inlineStr">
        <is>
          <t>F25-M4</t>
        </is>
      </c>
      <c r="D75" s="71" t="inlineStr">
        <is>
          <t>حسین میرزاپور</t>
        </is>
      </c>
      <c r="E75" s="71" t="inlineStr">
        <is>
          <t>عضو هیئت مدیره</t>
        </is>
      </c>
      <c r="F75" s="71" t="n"/>
      <c r="G75" s="71" t="n"/>
      <c r="H75" s="71" t="inlineStr">
        <is>
          <t>AS_OF_REPORT_TABLE</t>
        </is>
      </c>
      <c r="I75" s="71" t="inlineStr">
        <is>
          <t>ISSUER_DECLARED_NONE</t>
        </is>
      </c>
      <c r="J75" s="71" t="inlineStr">
        <is>
          <t>خیر</t>
        </is>
      </c>
      <c r="K75" s="71" t="inlineStr">
        <is>
          <t>HIGH</t>
        </is>
      </c>
      <c r="L75" s="71" t="inlineStr">
        <is>
          <t>SRC_HMRH_1404_001</t>
        </is>
      </c>
      <c r="M75" s="71" t="inlineStr">
        <is>
          <t>p27</t>
        </is>
      </c>
      <c r="N75" s="71" t="inlineStr">
        <is>
          <t>ستون عضویت همزمان با علامت خط تیره؛ اعلام نبودن عضویت</t>
        </is>
      </c>
    </row>
    <row r="76" ht="29" customHeight="1" s="76">
      <c r="A76" s="70" t="inlineStr">
        <is>
          <t>R073</t>
        </is>
      </c>
      <c r="B76" s="70" t="inlineStr">
        <is>
          <t>همراه</t>
        </is>
      </c>
      <c r="C76" s="70" t="inlineStr">
        <is>
          <t>F25-M5</t>
        </is>
      </c>
      <c r="D76" s="70" t="inlineStr">
        <is>
          <t>مهدی اخوان بهابادی</t>
        </is>
      </c>
      <c r="E76" s="70" t="inlineStr">
        <is>
          <t>عضو هیئت مدیره</t>
        </is>
      </c>
      <c r="F76" s="70" t="n"/>
      <c r="G76" s="70" t="n"/>
      <c r="H76" s="70" t="inlineStr">
        <is>
          <t>AS_OF_REPORT_TABLE</t>
        </is>
      </c>
      <c r="I76" s="70" t="inlineStr">
        <is>
          <t>ISSUER_DECLARED_NONE</t>
        </is>
      </c>
      <c r="J76" s="70" t="inlineStr">
        <is>
          <t>خیر</t>
        </is>
      </c>
      <c r="K76" s="70" t="inlineStr">
        <is>
          <t>HIGH</t>
        </is>
      </c>
      <c r="L76" s="70" t="inlineStr">
        <is>
          <t>SRC_HMRH_1404_001</t>
        </is>
      </c>
      <c r="M76" s="70" t="inlineStr">
        <is>
          <t>p27</t>
        </is>
      </c>
      <c r="N76" s="70" t="inlineStr">
        <is>
          <t>ستون عضویت همزمان با علامت خط تیره؛ اعلام نبودن عضویت</t>
        </is>
      </c>
    </row>
  </sheetData>
  <mergeCells count="2">
    <mergeCell ref="A2:N2"/>
    <mergeCell ref="A1:N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C206"/>
  <sheetViews>
    <sheetView showGridLines="0" rightToLeft="1" workbookViewId="0">
      <pane xSplit="5" ySplit="3" topLeftCell="F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style="76" min="1" max="1"/>
    <col width="8" customWidth="1" style="76" min="2" max="2"/>
    <col width="10" customWidth="1" style="76" min="3" max="3"/>
    <col width="8" customWidth="1" style="76" min="4" max="4"/>
    <col width="22" customWidth="1" style="76" min="5" max="5"/>
    <col width="24" customWidth="1" style="76" min="6" max="6"/>
    <col width="9" customWidth="1" style="76" min="7" max="7"/>
    <col width="12" customWidth="1" style="76" min="8" max="8"/>
    <col width="16" customWidth="1" style="76" min="9" max="9"/>
    <col width="14" customWidth="1" style="76" min="10" max="10"/>
    <col width="11" customWidth="1" style="76" min="11" max="18"/>
    <col width="8" customWidth="1" style="76" min="19" max="22"/>
    <col width="26" customWidth="1" style="76" min="23" max="24"/>
    <col width="11" customWidth="1" style="76" min="25" max="25"/>
    <col width="10" customWidth="1" style="76" min="26" max="27"/>
    <col width="18" customWidth="1" style="76" min="28" max="28"/>
    <col width="30" customWidth="1" style="76" min="29" max="29"/>
  </cols>
  <sheetData>
    <row r="1" ht="30" customHeight="1" s="76">
      <c r="A1" s="88" t="inlineStr">
        <is>
          <t>تصدی واقعی اعضا، رئیس و مدیرعامل</t>
        </is>
      </c>
    </row>
    <row r="2" ht="30" customHeight="1" s="76">
      <c r="A2" s="85" t="inlineStr">
        <is>
          <t>تصدی عضویت پیوسته به تفکیک عضو، رئیس و مدیرعامل. کلاس‌ها: EXACT تاریخ مستند، INTERVAL بازه قابل دفاع، MIN_CONTINUOUS حداقل پیوسته مستند از اولین مشاهده، CONFLICT_MIN تعارض منابع با حداقل، UNKNOWN. تاریخ ثبت گزارش یا اولین مشاهده شروع تصدی نیست؛ تاریخ آخرین عضویت (TERM یا LAST) برای شروع به کار نرفته است. تبدیل جلالی به میلادی با الگوریتم مستقل و اعتبارسنجی چرخه کبیسه. روز به سال با تقسیم بر 365.25.</t>
        </is>
      </c>
    </row>
    <row r="3" ht="42" customHeight="1" s="76">
      <c r="A3" s="69" t="inlineStr">
        <is>
          <t>شناسه</t>
        </is>
      </c>
      <c r="B3" s="69" t="inlineStr">
        <is>
          <t>نماد</t>
        </is>
      </c>
      <c r="C3" s="69" t="inlineStr">
        <is>
          <t>شناسه عضو</t>
        </is>
      </c>
      <c r="D3" s="69" t="inlineStr">
        <is>
          <t>نوع ردیف</t>
        </is>
      </c>
      <c r="E3" s="69" t="inlineStr">
        <is>
          <t>نام</t>
        </is>
      </c>
      <c r="F3" s="69" t="inlineStr">
        <is>
          <t>شخص حقوقی</t>
        </is>
      </c>
      <c r="G3" s="69" t="inlineStr">
        <is>
          <t>هش هویت</t>
        </is>
      </c>
      <c r="H3" s="69" t="inlineStr">
        <is>
          <t>مبنای هویت</t>
        </is>
      </c>
      <c r="I3" s="69" t="inlineStr">
        <is>
          <t>سمت</t>
        </is>
      </c>
      <c r="J3" s="69" t="inlineStr">
        <is>
          <t>کلاس</t>
        </is>
      </c>
      <c r="K3" s="69" t="inlineStr">
        <is>
          <t>شروع (جلالی)</t>
        </is>
      </c>
      <c r="L3" s="69" t="inlineStr">
        <is>
          <t>شروع (میلادی)</t>
        </is>
      </c>
      <c r="M3" s="69" t="inlineStr">
        <is>
          <t>کران پایین جلالی</t>
        </is>
      </c>
      <c r="N3" s="69" t="inlineStr">
        <is>
          <t>کران پایین میلادی</t>
        </is>
      </c>
      <c r="O3" s="69" t="inlineStr">
        <is>
          <t>کران بالا یا لنگر جلالی</t>
        </is>
      </c>
      <c r="P3" s="69" t="inlineStr">
        <is>
          <t>کران بالا یا لنگر میلادی</t>
        </is>
      </c>
      <c r="Q3" s="69" t="inlineStr">
        <is>
          <t>as-of جلالی</t>
        </is>
      </c>
      <c r="R3" s="69" t="inlineStr">
        <is>
          <t>as-of میلادی</t>
        </is>
      </c>
      <c r="S3" s="69" t="inlineStr">
        <is>
          <t>روز حداقل</t>
        </is>
      </c>
      <c r="T3" s="69" t="inlineStr">
        <is>
          <t>روز حداکثر</t>
        </is>
      </c>
      <c r="U3" s="69" t="inlineStr">
        <is>
          <t>سال حداقل</t>
        </is>
      </c>
      <c r="V3" s="69" t="inlineStr">
        <is>
          <t>مربع سال حداقل</t>
        </is>
      </c>
      <c r="W3" s="69" t="inlineStr">
        <is>
          <t>نوع تاریخ</t>
        </is>
      </c>
      <c r="X3" s="69" t="inlineStr">
        <is>
          <t>مبنا</t>
        </is>
      </c>
      <c r="Y3" s="69" t="inlineStr">
        <is>
          <t>تاریخ گزارش</t>
        </is>
      </c>
      <c r="Z3" s="69" t="inlineStr">
        <is>
          <t>نوع تاریخ گزارش</t>
        </is>
      </c>
      <c r="AA3" s="69" t="inlineStr">
        <is>
          <t>رویداد Type19</t>
        </is>
      </c>
      <c r="AB3" s="69" t="inlineStr">
        <is>
          <t>تصدی سطح شخص حقوقی (کلاس|شروع)</t>
        </is>
      </c>
      <c r="AC3" s="69" t="inlineStr">
        <is>
          <t>یادداشت</t>
        </is>
      </c>
    </row>
    <row r="4" ht="29" customHeight="1" s="76">
      <c r="A4" s="70" t="inlineStr">
        <is>
          <t>T001</t>
        </is>
      </c>
      <c r="B4" s="70" t="inlineStr">
        <is>
          <t>فملی</t>
        </is>
      </c>
      <c r="C4" s="70" t="inlineStr">
        <is>
          <t>F01-M1</t>
        </is>
      </c>
      <c r="D4" s="70" t="inlineStr">
        <is>
          <t>MEMBER</t>
        </is>
      </c>
      <c r="E4" s="70" t="inlineStr">
        <is>
          <t>غلامرضا شافعی</t>
        </is>
      </c>
      <c r="F4" s="70" t="inlineStr">
        <is>
          <t>سازمان توسعه و نوسازی معادن و صنایع معدنی ایران</t>
        </is>
      </c>
      <c r="G4" s="70" t="inlineStr">
        <is>
          <t>7284E8C3</t>
        </is>
      </c>
      <c r="H4" s="70" t="inlineStr">
        <is>
          <t>NATIONAL_ID</t>
        </is>
      </c>
      <c r="I4" s="70" t="inlineStr">
        <is>
          <t>رئیس هیئت مدیره غیر موظف</t>
        </is>
      </c>
      <c r="J4" s="70" t="inlineStr">
        <is>
          <t>EXACT</t>
        </is>
      </c>
      <c r="K4" s="70" t="inlineStr">
        <is>
          <t>1404/02/02</t>
        </is>
      </c>
      <c r="L4" s="72" t="n">
        <v>45769</v>
      </c>
      <c r="M4" s="70" t="inlineStr">
        <is>
          <t>1404/02/02</t>
        </is>
      </c>
      <c r="N4" s="72" t="n">
        <v>45769</v>
      </c>
      <c r="O4" s="70" t="inlineStr">
        <is>
          <t>1404/02/02</t>
        </is>
      </c>
      <c r="P4" s="72" t="n">
        <v>45769</v>
      </c>
      <c r="Q4" s="70" t="inlineStr">
        <is>
          <t>1404/12/29</t>
        </is>
      </c>
      <c r="R4" s="72" t="n">
        <v>46101</v>
      </c>
      <c r="S4" s="70">
        <f>IF(OR(J4="UNKNOWN",R4=""),"",R4-IF(J4="EXACT",L4,P4))</f>
        <v>332</v>
      </c>
      <c r="T4" s="70">
        <f>IF(J4="EXACT",R4-L4,IF(J4="INTERVAL",R4-N4,""))</f>
        <v>332</v>
      </c>
      <c r="U4" s="70">
        <f>IF(S4="","",S4/365.25)</f>
        <v>0.9089664613278576</v>
      </c>
      <c r="V4" s="70">
        <f>IF(U4="","",U4^2)</f>
        <v>0.8262200278188877</v>
      </c>
      <c r="W4" s="70" t="inlineStr">
        <is>
          <t>BOARD_MEETING_DATE_IN_NOTICE</t>
        </is>
      </c>
      <c r="X4" s="70" t="inlineStr">
        <is>
          <t>TYPE19+REPORT_CORROBORATED</t>
        </is>
      </c>
      <c r="Y4" s="70" t="inlineStr">
        <is>
          <t>1404/02/01</t>
        </is>
      </c>
      <c r="Z4" s="70" t="inlineStr">
        <is>
          <t>START</t>
        </is>
      </c>
      <c r="AA4" s="70" t="n"/>
      <c r="AB4" s="70" t="inlineStr">
        <is>
          <t>MIN_CONTINUOUS|1401/09/14</t>
        </is>
      </c>
      <c r="AC4" s="70" t="inlineStr">
        <is>
          <t>report date 1404/02/01 (diff 1d)</t>
        </is>
      </c>
    </row>
    <row r="5" ht="29" customHeight="1" s="76">
      <c r="A5" s="71" t="inlineStr">
        <is>
          <t>T002</t>
        </is>
      </c>
      <c r="B5" s="71" t="inlineStr">
        <is>
          <t>فملی</t>
        </is>
      </c>
      <c r="C5" s="71" t="inlineStr">
        <is>
          <t>F01-M1</t>
        </is>
      </c>
      <c r="D5" s="71" t="inlineStr">
        <is>
          <t>CHAIR</t>
        </is>
      </c>
      <c r="E5" s="71" t="inlineStr">
        <is>
          <t>غلامرضا شافعی</t>
        </is>
      </c>
      <c r="F5" s="71" t="inlineStr">
        <is>
          <t>سازمان توسعه و نوسازی معادن و صنایع معدنی ایران</t>
        </is>
      </c>
      <c r="G5" s="71" t="inlineStr">
        <is>
          <t>7284E8C3</t>
        </is>
      </c>
      <c r="H5" s="71" t="inlineStr">
        <is>
          <t>NATIONAL_ID</t>
        </is>
      </c>
      <c r="I5" s="71" t="inlineStr">
        <is>
          <t>رئیس هیئت مدیره</t>
        </is>
      </c>
      <c r="J5" s="71" t="inlineStr">
        <is>
          <t>EXACT</t>
        </is>
      </c>
      <c r="K5" s="71" t="inlineStr">
        <is>
          <t>1404/02/02</t>
        </is>
      </c>
      <c r="L5" s="73" t="n">
        <v>45769</v>
      </c>
      <c r="M5" s="71" t="inlineStr">
        <is>
          <t>1404/02/02</t>
        </is>
      </c>
      <c r="N5" s="73" t="n">
        <v>45769</v>
      </c>
      <c r="O5" s="71" t="inlineStr">
        <is>
          <t>1404/02/02</t>
        </is>
      </c>
      <c r="P5" s="73" t="n">
        <v>45769</v>
      </c>
      <c r="Q5" s="71" t="inlineStr">
        <is>
          <t>1404/12/29</t>
        </is>
      </c>
      <c r="R5" s="73" t="n">
        <v>46101</v>
      </c>
      <c r="S5" s="71">
        <f>IF(OR(J5="UNKNOWN",R5=""),"",R5-IF(J5="EXACT",L5,P5))</f>
        <v>332</v>
      </c>
      <c r="T5" s="71">
        <f>IF(J5="EXACT",R5-L5,IF(J5="INTERVAL",R5-N5,""))</f>
        <v>332</v>
      </c>
      <c r="U5" s="71">
        <f>IF(S5="","",S5/365.25)</f>
        <v>0.9089664613278576</v>
      </c>
      <c r="V5" s="71">
        <f>IF(U5="","",U5^2)</f>
        <v>0.8262200278188877</v>
      </c>
      <c r="W5" s="71" t="inlineStr">
        <is>
          <t>BOARD_MEETING_DATE_IN_NOTICE</t>
        </is>
      </c>
      <c r="X5" s="71" t="inlineStr">
        <is>
          <t>TYPE19_ONLY|PERSON_ROLE_CHAIN</t>
        </is>
      </c>
      <c r="Y5" s="71" t="n"/>
      <c r="Z5" s="71" t="n"/>
      <c r="AA5" s="71" t="n"/>
      <c r="AB5" s="71" t="n"/>
      <c r="AC5" s="71" t="n"/>
    </row>
    <row r="6" ht="29" customHeight="1" s="76">
      <c r="A6" s="70" t="inlineStr">
        <is>
          <t>T003</t>
        </is>
      </c>
      <c r="B6" s="70" t="inlineStr">
        <is>
          <t>فملی</t>
        </is>
      </c>
      <c r="C6" s="70" t="inlineStr">
        <is>
          <t>F01-M2</t>
        </is>
      </c>
      <c r="D6" s="70" t="inlineStr">
        <is>
          <t>MEMBER</t>
        </is>
      </c>
      <c r="E6" s="70" t="inlineStr">
        <is>
          <t>سیدمصطفی فیض اردکانی</t>
        </is>
      </c>
      <c r="F6" s="70" t="inlineStr">
        <is>
          <t>صندوق بازنشستگی شرکت ملی صنایع مس ایران</t>
        </is>
      </c>
      <c r="G6" s="70" t="inlineStr">
        <is>
          <t>A51EE224</t>
        </is>
      </c>
      <c r="H6" s="70" t="inlineStr">
        <is>
          <t>NATIONAL_ID</t>
        </is>
      </c>
      <c r="I6" s="70" t="inlineStr">
        <is>
          <t>نایب رئیس هیئت مدیره موظف</t>
        </is>
      </c>
      <c r="J6" s="70" t="inlineStr">
        <is>
          <t>EXACT</t>
        </is>
      </c>
      <c r="K6" s="70" t="inlineStr">
        <is>
          <t>1404/01/24</t>
        </is>
      </c>
      <c r="L6" s="72" t="n">
        <v>45760</v>
      </c>
      <c r="M6" s="70" t="inlineStr">
        <is>
          <t>1404/01/24</t>
        </is>
      </c>
      <c r="N6" s="72" t="n">
        <v>45760</v>
      </c>
      <c r="O6" s="70" t="inlineStr">
        <is>
          <t>1404/01/24</t>
        </is>
      </c>
      <c r="P6" s="72" t="n">
        <v>45760</v>
      </c>
      <c r="Q6" s="70" t="inlineStr">
        <is>
          <t>1404/12/29</t>
        </is>
      </c>
      <c r="R6" s="72" t="n">
        <v>46101</v>
      </c>
      <c r="S6" s="70">
        <f>IF(OR(J6="UNKNOWN",R6=""),"",R6-IF(J6="EXACT",L6,P6))</f>
        <v>341</v>
      </c>
      <c r="T6" s="70">
        <f>IF(J6="EXACT",R6-L6,IF(J6="INTERVAL",R6-N6,""))</f>
        <v>341</v>
      </c>
      <c r="U6" s="70">
        <f>IF(S6="","",S6/365.25)</f>
        <v>0.9336071184120466</v>
      </c>
      <c r="V6" s="70">
        <f>IF(U6="","",U6^2)</f>
        <v>0.8716222515496451</v>
      </c>
      <c r="W6" s="70" t="inlineStr">
        <is>
          <t>BOARD_MEETING_DATE_IN_NOTICE</t>
        </is>
      </c>
      <c r="X6" s="70" t="inlineStr">
        <is>
          <t>TYPE19+REPORT_CORROBORATED</t>
        </is>
      </c>
      <c r="Y6" s="70" t="inlineStr">
        <is>
          <t>1404/01/23</t>
        </is>
      </c>
      <c r="Z6" s="70" t="inlineStr">
        <is>
          <t>START</t>
        </is>
      </c>
      <c r="AA6" s="70" t="n"/>
      <c r="AB6" s="70" t="inlineStr">
        <is>
          <t>MIN_CONTINUOUS|1401/09/14</t>
        </is>
      </c>
      <c r="AC6" s="70" t="inlineStr">
        <is>
          <t>report date 1404/01/23 (diff 1d)</t>
        </is>
      </c>
    </row>
    <row r="7" ht="29" customHeight="1" s="76">
      <c r="A7" s="71" t="inlineStr">
        <is>
          <t>T004</t>
        </is>
      </c>
      <c r="B7" s="71" t="inlineStr">
        <is>
          <t>فملی</t>
        </is>
      </c>
      <c r="C7" s="71" t="inlineStr">
        <is>
          <t>F01-M3</t>
        </is>
      </c>
      <c r="D7" s="71" t="inlineStr">
        <is>
          <t>MEMBER</t>
        </is>
      </c>
      <c r="E7" s="71" t="inlineStr">
        <is>
          <t>سمیه خلوصی</t>
        </is>
      </c>
      <c r="F7" s="71" t="inlineStr">
        <is>
          <t>سرمایه گذاری استان ایلام</t>
        </is>
      </c>
      <c r="G7" s="71" t="inlineStr">
        <is>
          <t>158397B0</t>
        </is>
      </c>
      <c r="H7" s="71" t="inlineStr">
        <is>
          <t>NATIONAL_ID</t>
        </is>
      </c>
      <c r="I7" s="71" t="inlineStr">
        <is>
          <t>عضو هیئت مدیره غیر موظف</t>
        </is>
      </c>
      <c r="J7" s="71" t="inlineStr">
        <is>
          <t>INTERVAL</t>
        </is>
      </c>
      <c r="K7" s="71" t="n"/>
      <c r="L7" s="73" t="n"/>
      <c r="M7" s="71" t="inlineStr">
        <is>
          <t>1403/11/07</t>
        </is>
      </c>
      <c r="N7" s="73" t="n">
        <v>45683</v>
      </c>
      <c r="O7" s="71" t="inlineStr">
        <is>
          <t>1404/03/04</t>
        </is>
      </c>
      <c r="P7" s="73" t="n">
        <v>45802</v>
      </c>
      <c r="Q7" s="71" t="inlineStr">
        <is>
          <t>1404/12/29</t>
        </is>
      </c>
      <c r="R7" s="73" t="n">
        <v>46101</v>
      </c>
      <c r="S7" s="71">
        <f>IF(OR(J7="UNKNOWN",R7=""),"",R7-IF(J7="EXACT",L7,P7))</f>
        <v>299</v>
      </c>
      <c r="T7" s="71">
        <f>IF(J7="EXACT",R7-L7,IF(J7="INTERVAL",R7-N7,""))</f>
        <v>418</v>
      </c>
      <c r="U7" s="71">
        <f>IF(S7="","",S7/365.25)</f>
        <v>0.8186173853524983</v>
      </c>
      <c r="V7" s="71">
        <f>IF(U7="","",U7^2)</f>
        <v>0.6701344236013607</v>
      </c>
      <c r="W7" s="71" t="inlineStr">
        <is>
          <t>SOURCE_CONFLICT:type19=1404/03/04;report=1403/11/07</t>
        </is>
      </c>
      <c r="X7" s="71" t="inlineStr">
        <is>
          <t>TYPE19_VS_REPORT_CONFLICT</t>
        </is>
      </c>
      <c r="Y7" s="71" t="inlineStr">
        <is>
          <t>1403/11/07</t>
        </is>
      </c>
      <c r="Z7" s="71" t="inlineStr">
        <is>
          <t>START</t>
        </is>
      </c>
      <c r="AA7" s="71" t="n"/>
      <c r="AB7" s="71" t="inlineStr">
        <is>
          <t>EXACT|1402/05/07</t>
        </is>
      </c>
      <c r="AC7" s="71" t="inlineStr">
        <is>
          <t>sources disagree by 119d</t>
        </is>
      </c>
    </row>
    <row r="8" ht="29" customHeight="1" s="76">
      <c r="A8" s="70" t="inlineStr">
        <is>
          <t>T005</t>
        </is>
      </c>
      <c r="B8" s="70" t="inlineStr">
        <is>
          <t>فملی</t>
        </is>
      </c>
      <c r="C8" s="70" t="inlineStr">
        <is>
          <t>F01-M4</t>
        </is>
      </c>
      <c r="D8" s="70" t="inlineStr">
        <is>
          <t>MEMBER</t>
        </is>
      </c>
      <c r="E8" s="70" t="inlineStr">
        <is>
          <t>شهریار متوکل</t>
        </is>
      </c>
      <c r="F8" s="70" t="inlineStr">
        <is>
          <t>سرمایه گذاری استان آذربایجان شرقی</t>
        </is>
      </c>
      <c r="G8" s="70" t="inlineStr">
        <is>
          <t>1ADC4414</t>
        </is>
      </c>
      <c r="H8" s="70" t="inlineStr">
        <is>
          <t>NATIONAL_ID</t>
        </is>
      </c>
      <c r="I8" s="70" t="inlineStr">
        <is>
          <t>عضو هیئت مدیره موظف</t>
        </is>
      </c>
      <c r="J8" s="70" t="inlineStr">
        <is>
          <t>INTERVAL</t>
        </is>
      </c>
      <c r="K8" s="70" t="n"/>
      <c r="L8" s="72" t="n"/>
      <c r="M8" s="70" t="inlineStr">
        <is>
          <t>1402/04/15</t>
        </is>
      </c>
      <c r="N8" s="72" t="n">
        <v>45113</v>
      </c>
      <c r="O8" s="70" t="inlineStr">
        <is>
          <t>1402/05/07</t>
        </is>
      </c>
      <c r="P8" s="72" t="n">
        <v>45136</v>
      </c>
      <c r="Q8" s="70" t="inlineStr">
        <is>
          <t>1404/12/29</t>
        </is>
      </c>
      <c r="R8" s="72" t="n">
        <v>46101</v>
      </c>
      <c r="S8" s="70">
        <f>IF(OR(J8="UNKNOWN",R8=""),"",R8-IF(J8="EXACT",L8,P8))</f>
        <v>965</v>
      </c>
      <c r="T8" s="70">
        <f>IF(J8="EXACT",R8-L8,IF(J8="INTERVAL",R8-N8,""))</f>
        <v>988</v>
      </c>
      <c r="U8" s="70">
        <f>IF(S8="","",S8/365.25)</f>
        <v>2.642026009582478</v>
      </c>
      <c r="V8" s="70">
        <f>IF(U8="","",U8^2)</f>
        <v>6.980301435310311</v>
      </c>
      <c r="W8" s="70" t="inlineStr">
        <is>
          <t>SOURCE_CONFLICT:type19=1402/05/07;report=1402/04/15</t>
        </is>
      </c>
      <c r="X8" s="70" t="inlineStr">
        <is>
          <t>TYPE19_VS_REPORT_CONFLICT</t>
        </is>
      </c>
      <c r="Y8" s="70" t="inlineStr">
        <is>
          <t>1402/04/15</t>
        </is>
      </c>
      <c r="Z8" s="70" t="inlineStr">
        <is>
          <t>START</t>
        </is>
      </c>
      <c r="AA8" s="70" t="n"/>
      <c r="AB8" s="70" t="inlineStr">
        <is>
          <t>EXACT|1404/05/12</t>
        </is>
      </c>
      <c r="AC8" s="70" t="inlineStr">
        <is>
          <t>sources disagree by 23d</t>
        </is>
      </c>
    </row>
    <row r="9" ht="58" customHeight="1" s="76">
      <c r="A9" s="71" t="inlineStr">
        <is>
          <t>T006</t>
        </is>
      </c>
      <c r="B9" s="71" t="inlineStr">
        <is>
          <t>فملی</t>
        </is>
      </c>
      <c r="C9" s="71" t="inlineStr">
        <is>
          <t>F01-M5</t>
        </is>
      </c>
      <c r="D9" s="71" t="inlineStr">
        <is>
          <t>MEMBER</t>
        </is>
      </c>
      <c r="E9" s="71" t="inlineStr">
        <is>
          <t>مهرداد محقق زاده</t>
        </is>
      </c>
      <c r="F9" s="71" t="inlineStr">
        <is>
          <t>صندوق بازنشستگی وظیفه از کار افتادگی و پس انداز کارکنان بانکهای ملی و ادغام شده</t>
        </is>
      </c>
      <c r="G9" s="71" t="inlineStr">
        <is>
          <t>26014708</t>
        </is>
      </c>
      <c r="H9" s="71" t="inlineStr">
        <is>
          <t>NATIONAL_ID</t>
        </is>
      </c>
      <c r="I9" s="71" t="inlineStr">
        <is>
          <t>عضو هیئت مدیره غیر موظف</t>
        </is>
      </c>
      <c r="J9" s="71" t="inlineStr">
        <is>
          <t>EXACT</t>
        </is>
      </c>
      <c r="K9" s="71" t="inlineStr">
        <is>
          <t>1404/05/12</t>
        </is>
      </c>
      <c r="L9" s="73" t="n">
        <v>45872</v>
      </c>
      <c r="M9" s="71" t="inlineStr">
        <is>
          <t>1404/05/12</t>
        </is>
      </c>
      <c r="N9" s="73" t="n">
        <v>45872</v>
      </c>
      <c r="O9" s="71" t="inlineStr">
        <is>
          <t>1404/05/12</t>
        </is>
      </c>
      <c r="P9" s="73" t="n">
        <v>45872</v>
      </c>
      <c r="Q9" s="71" t="inlineStr">
        <is>
          <t>1404/12/29</t>
        </is>
      </c>
      <c r="R9" s="73" t="n">
        <v>46101</v>
      </c>
      <c r="S9" s="71">
        <f>IF(OR(J9="UNKNOWN",R9=""),"",R9-IF(J9="EXACT",L9,P9))</f>
        <v>229</v>
      </c>
      <c r="T9" s="71">
        <f>IF(J9="EXACT",R9-L9,IF(J9="INTERVAL",R9-N9,""))</f>
        <v>229</v>
      </c>
      <c r="U9" s="71">
        <f>IF(S9="","",S9/365.25)</f>
        <v>0.6269678302532512</v>
      </c>
      <c r="V9" s="71">
        <f>IF(U9="","",U9^2)</f>
        <v>0.39308866017246963</v>
      </c>
      <c r="W9" s="71" t="inlineStr">
        <is>
          <t>BOARD_MEETING_DATE_IN_NOTICE</t>
        </is>
      </c>
      <c r="X9" s="71" t="inlineStr">
        <is>
          <t>TYPE19+REPORT_CORROBORATED</t>
        </is>
      </c>
      <c r="Y9" s="71" t="inlineStr">
        <is>
          <t>1404/05/12</t>
        </is>
      </c>
      <c r="Z9" s="71" t="inlineStr">
        <is>
          <t>START</t>
        </is>
      </c>
      <c r="AA9" s="71" t="n"/>
      <c r="AB9" s="71" t="inlineStr">
        <is>
          <t>EXACT|1404/05/12</t>
        </is>
      </c>
      <c r="AC9" s="71" t="inlineStr">
        <is>
          <t>report date 1404/05/12 (diff 0d)</t>
        </is>
      </c>
    </row>
    <row r="10" ht="29" customHeight="1" s="76">
      <c r="A10" s="70" t="inlineStr">
        <is>
          <t>T007</t>
        </is>
      </c>
      <c r="B10" s="70" t="inlineStr">
        <is>
          <t>فملی</t>
        </is>
      </c>
      <c r="C10" s="70" t="n"/>
      <c r="D10" s="70" t="inlineStr">
        <is>
          <t>CEO</t>
        </is>
      </c>
      <c r="E10" s="70" t="inlineStr">
        <is>
          <t>سیدمصطفی فیض اردکانی</t>
        </is>
      </c>
      <c r="F10" s="70" t="n"/>
      <c r="G10" s="70" t="inlineStr">
        <is>
          <t>A51EE224</t>
        </is>
      </c>
      <c r="H10" s="70" t="inlineStr">
        <is>
          <t>NATIONAL_ID</t>
        </is>
      </c>
      <c r="I10" s="70" t="inlineStr">
        <is>
          <t>مدیرعامل</t>
        </is>
      </c>
      <c r="J10" s="70" t="inlineStr">
        <is>
          <t>EXACT</t>
        </is>
      </c>
      <c r="K10" s="70" t="inlineStr">
        <is>
          <t>1403/12/14</t>
        </is>
      </c>
      <c r="L10" s="72" t="n">
        <v>45720</v>
      </c>
      <c r="M10" s="70" t="inlineStr">
        <is>
          <t>1403/12/14</t>
        </is>
      </c>
      <c r="N10" s="72" t="n">
        <v>45720</v>
      </c>
      <c r="O10" s="70" t="inlineStr">
        <is>
          <t>1403/12/14</t>
        </is>
      </c>
      <c r="P10" s="72" t="n">
        <v>45720</v>
      </c>
      <c r="Q10" s="70" t="inlineStr">
        <is>
          <t>1404/12/29</t>
        </is>
      </c>
      <c r="R10" s="72" t="n">
        <v>46101</v>
      </c>
      <c r="S10" s="70">
        <f>IF(OR(J10="UNKNOWN",R10=""),"",R10-IF(J10="EXACT",L10,P10))</f>
        <v>381</v>
      </c>
      <c r="T10" s="70">
        <f>IF(J10="EXACT",R10-L10,IF(J10="INTERVAL",R10-N10,""))</f>
        <v>381</v>
      </c>
      <c r="U10" s="70">
        <f>IF(S10="","",S10/365.25)</f>
        <v>1.0431211498973305</v>
      </c>
      <c r="V10" s="70">
        <f>IF(U10="","",U10^2)</f>
        <v>1.088101733363129</v>
      </c>
      <c r="W10" s="70" t="inlineStr">
        <is>
          <t>BOARD_MEETING_DATE_IN_NOTICE</t>
        </is>
      </c>
      <c r="X10" s="70" t="inlineStr">
        <is>
          <t>TYPE19+REPORT_CORROBORATED</t>
        </is>
      </c>
      <c r="Y10" s="70" t="inlineStr">
        <is>
          <t>1403/12/14</t>
        </is>
      </c>
      <c r="Z10" s="70" t="inlineStr">
        <is>
          <t>START</t>
        </is>
      </c>
      <c r="AA10" s="70" t="n"/>
      <c r="AB10" s="70" t="inlineStr">
        <is>
          <t>عضو هیئت مدیره</t>
        </is>
      </c>
      <c r="AC10" s="70" t="inlineStr">
        <is>
          <t>report date 1403/12/14 (diff 0d)</t>
        </is>
      </c>
    </row>
    <row r="11" ht="29" customHeight="1" s="76">
      <c r="A11" s="71" t="inlineStr">
        <is>
          <t>T008</t>
        </is>
      </c>
      <c r="B11" s="71" t="inlineStr">
        <is>
          <t>تاپیکو</t>
        </is>
      </c>
      <c r="C11" s="71" t="inlineStr">
        <is>
          <t>F02-M1</t>
        </is>
      </c>
      <c r="D11" s="71" t="inlineStr">
        <is>
          <t>MEMBER</t>
        </is>
      </c>
      <c r="E11" s="71" t="inlineStr">
        <is>
          <t>(نماینده نامشخص)</t>
        </is>
      </c>
      <c r="F11" s="71" t="inlineStr">
        <is>
          <t>سرمایه گذاری تأمین اجتماعی</t>
        </is>
      </c>
      <c r="G11" s="71" t="n"/>
      <c r="H11" s="71" t="inlineStr">
        <is>
          <t>NAME_ONLY</t>
        </is>
      </c>
      <c r="I11" s="71" t="inlineStr">
        <is>
          <t>نایب رئیس هیئت مدیره موظف</t>
        </is>
      </c>
      <c r="J11" s="71" t="inlineStr">
        <is>
          <t>UNKNOWN</t>
        </is>
      </c>
      <c r="K11" s="71" t="n"/>
      <c r="L11" s="73" t="n"/>
      <c r="M11" s="71" t="n"/>
      <c r="N11" s="73" t="n"/>
      <c r="O11" s="71" t="n"/>
      <c r="P11" s="73" t="n"/>
      <c r="Q11" s="71" t="inlineStr">
        <is>
          <t>1404/02/31</t>
        </is>
      </c>
      <c r="R11" s="73" t="n">
        <v>45798</v>
      </c>
      <c r="S11" s="71">
        <f>IF(OR(J11="UNKNOWN",R11=""),"",R11-IF(J11="EXACT",L11,P11))</f>
      </c>
      <c r="T11" s="71">
        <f>IF(J11="EXACT",R11-L11,IF(J11="INTERVAL",R11-N11,""))</f>
      </c>
      <c r="U11" s="71">
        <f>IF(S11="","",S11/365.25)</f>
      </c>
      <c r="V11" s="71">
        <f>IF(U11="","",U11^2)</f>
      </c>
      <c r="W11" s="71" t="inlineStr">
        <is>
          <t>NO_REPRESENTATIVE_NAMED_IN_NOTICE</t>
        </is>
      </c>
      <c r="X11" s="71" t="inlineStr">
        <is>
          <t>NONE</t>
        </is>
      </c>
      <c r="Y11" s="71" t="n"/>
      <c r="Z11" s="71" t="n"/>
      <c r="AA11" s="71" t="n"/>
      <c r="AB11" s="71" t="inlineStr">
        <is>
          <t>MIN_CONTINUOUS|1401/01/14</t>
        </is>
      </c>
      <c r="AC11" s="71" t="inlineStr">
        <is>
          <t>legal-entity seat without named representative</t>
        </is>
      </c>
    </row>
    <row r="12" ht="29" customHeight="1" s="76">
      <c r="A12" s="70" t="inlineStr">
        <is>
          <t>T009</t>
        </is>
      </c>
      <c r="B12" s="70" t="inlineStr">
        <is>
          <t>تاپیکو</t>
        </is>
      </c>
      <c r="C12" s="70" t="inlineStr">
        <is>
          <t>F02-M2</t>
        </is>
      </c>
      <c r="D12" s="70" t="inlineStr">
        <is>
          <t>MEMBER</t>
        </is>
      </c>
      <c r="E12" s="70" t="inlineStr">
        <is>
          <t>اکبر محققی</t>
        </is>
      </c>
      <c r="F12" s="70" t="inlineStr">
        <is>
          <t>سرمایه گذاری صباتأمین</t>
        </is>
      </c>
      <c r="G12" s="70" t="inlineStr">
        <is>
          <t>7F8B4062</t>
        </is>
      </c>
      <c r="H12" s="70" t="inlineStr">
        <is>
          <t>NATIONAL_ID</t>
        </is>
      </c>
      <c r="I12" s="70" t="inlineStr">
        <is>
          <t>عضو هیئت مدیره غیر موظف</t>
        </is>
      </c>
      <c r="J12" s="70" t="inlineStr">
        <is>
          <t>EXACT</t>
        </is>
      </c>
      <c r="K12" s="70" t="inlineStr">
        <is>
          <t>1403/06/25</t>
        </is>
      </c>
      <c r="L12" s="72" t="n">
        <v>45550</v>
      </c>
      <c r="M12" s="70" t="inlineStr">
        <is>
          <t>1403/06/25</t>
        </is>
      </c>
      <c r="N12" s="72" t="n">
        <v>45550</v>
      </c>
      <c r="O12" s="70" t="inlineStr">
        <is>
          <t>1403/06/25</t>
        </is>
      </c>
      <c r="P12" s="72" t="n">
        <v>45550</v>
      </c>
      <c r="Q12" s="70" t="inlineStr">
        <is>
          <t>1404/02/31</t>
        </is>
      </c>
      <c r="R12" s="72" t="n">
        <v>45798</v>
      </c>
      <c r="S12" s="70">
        <f>IF(OR(J12="UNKNOWN",R12=""),"",R12-IF(J12="EXACT",L12,P12))</f>
        <v>248</v>
      </c>
      <c r="T12" s="70">
        <f>IF(J12="EXACT",R12-L12,IF(J12="INTERVAL",R12-N12,""))</f>
        <v>248</v>
      </c>
      <c r="U12" s="70">
        <f>IF(S12="","",S12/365.25)</f>
        <v>0.6789869952087612</v>
      </c>
      <c r="V12" s="70">
        <f>IF(U12="","",U12^2)</f>
        <v>0.46102333966262227</v>
      </c>
      <c r="W12" s="70" t="inlineStr">
        <is>
          <t>BOARD_MEETING_DATE_IN_NOTICE</t>
        </is>
      </c>
      <c r="X12" s="70" t="inlineStr">
        <is>
          <t>TYPE19_ONLY</t>
        </is>
      </c>
      <c r="Y12" s="70" t="n"/>
      <c r="Z12" s="70" t="n"/>
      <c r="AA12" s="70" t="n"/>
      <c r="AB12" s="70" t="inlineStr">
        <is>
          <t>MIN_CONTINUOUS|1401/01/14</t>
        </is>
      </c>
      <c r="AC12" s="70" t="n"/>
    </row>
    <row r="13" ht="29" customHeight="1" s="76">
      <c r="A13" s="71" t="inlineStr">
        <is>
          <t>T010</t>
        </is>
      </c>
      <c r="B13" s="71" t="inlineStr">
        <is>
          <t>تاپیکو</t>
        </is>
      </c>
      <c r="C13" s="71" t="inlineStr">
        <is>
          <t>F02-M3</t>
        </is>
      </c>
      <c r="D13" s="71" t="inlineStr">
        <is>
          <t>MEMBER</t>
        </is>
      </c>
      <c r="E13" s="71" t="inlineStr">
        <is>
          <t>محمدمهدی رحمتی</t>
        </is>
      </c>
      <c r="F13" s="71" t="inlineStr">
        <is>
          <t>سرمایه گذاری صدر تامین</t>
        </is>
      </c>
      <c r="G13" s="71" t="inlineStr">
        <is>
          <t>21627DBC</t>
        </is>
      </c>
      <c r="H13" s="71" t="inlineStr">
        <is>
          <t>NATIONAL_ID</t>
        </is>
      </c>
      <c r="I13" s="71" t="inlineStr">
        <is>
          <t>عضو هیئت مدیره غیر موظف</t>
        </is>
      </c>
      <c r="J13" s="71" t="inlineStr">
        <is>
          <t>EXACT</t>
        </is>
      </c>
      <c r="K13" s="71" t="inlineStr">
        <is>
          <t>1403/12/04</t>
        </is>
      </c>
      <c r="L13" s="73" t="n">
        <v>45710</v>
      </c>
      <c r="M13" s="71" t="inlineStr">
        <is>
          <t>1403/12/04</t>
        </is>
      </c>
      <c r="N13" s="73" t="n">
        <v>45710</v>
      </c>
      <c r="O13" s="71" t="inlineStr">
        <is>
          <t>1403/12/04</t>
        </is>
      </c>
      <c r="P13" s="73" t="n">
        <v>45710</v>
      </c>
      <c r="Q13" s="71" t="inlineStr">
        <is>
          <t>1404/02/31</t>
        </is>
      </c>
      <c r="R13" s="73" t="n">
        <v>45798</v>
      </c>
      <c r="S13" s="71">
        <f>IF(OR(J13="UNKNOWN",R13=""),"",R13-IF(J13="EXACT",L13,P13))</f>
        <v>88</v>
      </c>
      <c r="T13" s="71">
        <f>IF(J13="EXACT",R13-L13,IF(J13="INTERVAL",R13-N13,""))</f>
        <v>88</v>
      </c>
      <c r="U13" s="71">
        <f>IF(S13="","",S13/365.25)</f>
        <v>0.24093086926762491</v>
      </c>
      <c r="V13" s="71">
        <f>IF(U13="","",U13^2)</f>
        <v>0.05804768376605337</v>
      </c>
      <c r="W13" s="71" t="inlineStr">
        <is>
          <t>BOARD_MEETING_DATE_IN_NOTICE</t>
        </is>
      </c>
      <c r="X13" s="71" t="inlineStr">
        <is>
          <t>TYPE19+REPORT_CORROBORATED</t>
        </is>
      </c>
      <c r="Y13" s="71" t="inlineStr">
        <is>
          <t>1403/12/04</t>
        </is>
      </c>
      <c r="Z13" s="71" t="inlineStr">
        <is>
          <t>START</t>
        </is>
      </c>
      <c r="AA13" s="71" t="n"/>
      <c r="AB13" s="71" t="inlineStr">
        <is>
          <t>MIN_CONTINUOUS|1401/01/14</t>
        </is>
      </c>
      <c r="AC13" s="71" t="inlineStr">
        <is>
          <t>report date 1403/12/04 (diff 0d)</t>
        </is>
      </c>
    </row>
    <row r="14" ht="29" customHeight="1" s="76">
      <c r="A14" s="70" t="inlineStr">
        <is>
          <t>T011</t>
        </is>
      </c>
      <c r="B14" s="70" t="inlineStr">
        <is>
          <t>تاپیکو</t>
        </is>
      </c>
      <c r="C14" s="70" t="inlineStr">
        <is>
          <t>F02-M4</t>
        </is>
      </c>
      <c r="D14" s="70" t="inlineStr">
        <is>
          <t>MEMBER</t>
        </is>
      </c>
      <c r="E14" s="70" t="inlineStr">
        <is>
          <t>هوشنگ ایزدی</t>
        </is>
      </c>
      <c r="F14" s="70" t="inlineStr">
        <is>
          <t>سرمایه گذاری سیمان تأمین</t>
        </is>
      </c>
      <c r="G14" s="70" t="inlineStr">
        <is>
          <t>B94868AA</t>
        </is>
      </c>
      <c r="H14" s="70" t="inlineStr">
        <is>
          <t>NATIONAL_ID</t>
        </is>
      </c>
      <c r="I14" s="70" t="inlineStr">
        <is>
          <t>عضو هیئت مدیره غیر موظف</t>
        </is>
      </c>
      <c r="J14" s="70" t="inlineStr">
        <is>
          <t>EXACT</t>
        </is>
      </c>
      <c r="K14" s="70" t="inlineStr">
        <is>
          <t>1403/10/23</t>
        </is>
      </c>
      <c r="L14" s="72" t="n">
        <v>45669</v>
      </c>
      <c r="M14" s="70" t="inlineStr">
        <is>
          <t>1403/10/23</t>
        </is>
      </c>
      <c r="N14" s="72" t="n">
        <v>45669</v>
      </c>
      <c r="O14" s="70" t="inlineStr">
        <is>
          <t>1403/10/23</t>
        </is>
      </c>
      <c r="P14" s="72" t="n">
        <v>45669</v>
      </c>
      <c r="Q14" s="70" t="inlineStr">
        <is>
          <t>1404/02/31</t>
        </is>
      </c>
      <c r="R14" s="72" t="n">
        <v>45798</v>
      </c>
      <c r="S14" s="70">
        <f>IF(OR(J14="UNKNOWN",R14=""),"",R14-IF(J14="EXACT",L14,P14))</f>
        <v>129</v>
      </c>
      <c r="T14" s="70">
        <f>IF(J14="EXACT",R14-L14,IF(J14="INTERVAL",R14-N14,""))</f>
        <v>129</v>
      </c>
      <c r="U14" s="70">
        <f>IF(S14="","",S14/365.25)</f>
        <v>0.3531827515400411</v>
      </c>
      <c r="V14" s="70">
        <f>IF(U14="","",U14^2)</f>
        <v>0.12473805598539439</v>
      </c>
      <c r="W14" s="70" t="inlineStr">
        <is>
          <t>BOARD_MEETING_DATE_IN_NOTICE</t>
        </is>
      </c>
      <c r="X14" s="70" t="inlineStr">
        <is>
          <t>TYPE19+REPORT_CORROBORATED</t>
        </is>
      </c>
      <c r="Y14" s="70" t="inlineStr">
        <is>
          <t>1403/10/23</t>
        </is>
      </c>
      <c r="Z14" s="70" t="inlineStr">
        <is>
          <t>START</t>
        </is>
      </c>
      <c r="AA14" s="70" t="n"/>
      <c r="AB14" s="70" t="inlineStr">
        <is>
          <t>MIN_CONTINUOUS|1401/01/14</t>
        </is>
      </c>
      <c r="AC14" s="70" t="inlineStr">
        <is>
          <t>report date 1403/10/23 (diff 0d)</t>
        </is>
      </c>
    </row>
    <row r="15" ht="29" customHeight="1" s="76">
      <c r="A15" s="71" t="inlineStr">
        <is>
          <t>T012</t>
        </is>
      </c>
      <c r="B15" s="71" t="inlineStr">
        <is>
          <t>تاپیکو</t>
        </is>
      </c>
      <c r="C15" s="71" t="inlineStr">
        <is>
          <t>F02-M5</t>
        </is>
      </c>
      <c r="D15" s="71" t="inlineStr">
        <is>
          <t>MEMBER</t>
        </is>
      </c>
      <c r="E15" s="71" t="inlineStr">
        <is>
          <t>جعفر ربیعی</t>
        </is>
      </c>
      <c r="F15" s="71" t="inlineStr">
        <is>
          <t>سرمایه گذاری داروئی تامین</t>
        </is>
      </c>
      <c r="G15" s="71" t="inlineStr">
        <is>
          <t>45BCEF76</t>
        </is>
      </c>
      <c r="H15" s="71" t="inlineStr">
        <is>
          <t>NATIONAL_ID</t>
        </is>
      </c>
      <c r="I15" s="71" t="inlineStr">
        <is>
          <t>رئیس هیئت مدیره غیر موظف</t>
        </is>
      </c>
      <c r="J15" s="71" t="inlineStr">
        <is>
          <t>EXACT</t>
        </is>
      </c>
      <c r="K15" s="71" t="inlineStr">
        <is>
          <t>1403/10/23</t>
        </is>
      </c>
      <c r="L15" s="73" t="n">
        <v>45669</v>
      </c>
      <c r="M15" s="71" t="inlineStr">
        <is>
          <t>1403/10/23</t>
        </is>
      </c>
      <c r="N15" s="73" t="n">
        <v>45669</v>
      </c>
      <c r="O15" s="71" t="inlineStr">
        <is>
          <t>1403/10/23</t>
        </is>
      </c>
      <c r="P15" s="73" t="n">
        <v>45669</v>
      </c>
      <c r="Q15" s="71" t="inlineStr">
        <is>
          <t>1404/02/31</t>
        </is>
      </c>
      <c r="R15" s="73" t="n">
        <v>45798</v>
      </c>
      <c r="S15" s="71">
        <f>IF(OR(J15="UNKNOWN",R15=""),"",R15-IF(J15="EXACT",L15,P15))</f>
        <v>129</v>
      </c>
      <c r="T15" s="71">
        <f>IF(J15="EXACT",R15-L15,IF(J15="INTERVAL",R15-N15,""))</f>
        <v>129</v>
      </c>
      <c r="U15" s="71">
        <f>IF(S15="","",S15/365.25)</f>
        <v>0.3531827515400411</v>
      </c>
      <c r="V15" s="71">
        <f>IF(U15="","",U15^2)</f>
        <v>0.12473805598539439</v>
      </c>
      <c r="W15" s="71" t="inlineStr">
        <is>
          <t>BOARD_MEETING_DATE_IN_NOTICE</t>
        </is>
      </c>
      <c r="X15" s="71" t="inlineStr">
        <is>
          <t>TYPE19+REPORT_CORROBORATED</t>
        </is>
      </c>
      <c r="Y15" s="71" t="inlineStr">
        <is>
          <t>1403/10/23</t>
        </is>
      </c>
      <c r="Z15" s="71" t="inlineStr">
        <is>
          <t>START</t>
        </is>
      </c>
      <c r="AA15" s="71" t="n"/>
      <c r="AB15" s="71" t="inlineStr">
        <is>
          <t>MIN_CONTINUOUS|1401/01/14</t>
        </is>
      </c>
      <c r="AC15" s="71" t="inlineStr">
        <is>
          <t>report date 1403/10/23 (diff 0d)</t>
        </is>
      </c>
    </row>
    <row r="16" ht="29" customHeight="1" s="76">
      <c r="A16" s="70" t="inlineStr">
        <is>
          <t>T013</t>
        </is>
      </c>
      <c r="B16" s="70" t="inlineStr">
        <is>
          <t>تاپیکو</t>
        </is>
      </c>
      <c r="C16" s="70" t="inlineStr">
        <is>
          <t>F02-M5</t>
        </is>
      </c>
      <c r="D16" s="70" t="inlineStr">
        <is>
          <t>CHAIR</t>
        </is>
      </c>
      <c r="E16" s="70" t="inlineStr">
        <is>
          <t>جعفر ربیعی</t>
        </is>
      </c>
      <c r="F16" s="70" t="inlineStr">
        <is>
          <t>سرمایه گذاری داروئی تامین</t>
        </is>
      </c>
      <c r="G16" s="70" t="inlineStr">
        <is>
          <t>45BCEF76</t>
        </is>
      </c>
      <c r="H16" s="70" t="inlineStr">
        <is>
          <t>NATIONAL_ID</t>
        </is>
      </c>
      <c r="I16" s="70" t="inlineStr">
        <is>
          <t>رئیس هیئت مدیره</t>
        </is>
      </c>
      <c r="J16" s="70" t="inlineStr">
        <is>
          <t>EXACT</t>
        </is>
      </c>
      <c r="K16" s="70" t="inlineStr">
        <is>
          <t>1403/10/23</t>
        </is>
      </c>
      <c r="L16" s="72" t="n">
        <v>45669</v>
      </c>
      <c r="M16" s="70" t="inlineStr">
        <is>
          <t>1403/10/23</t>
        </is>
      </c>
      <c r="N16" s="72" t="n">
        <v>45669</v>
      </c>
      <c r="O16" s="70" t="inlineStr">
        <is>
          <t>1403/10/23</t>
        </is>
      </c>
      <c r="P16" s="72" t="n">
        <v>45669</v>
      </c>
      <c r="Q16" s="70" t="inlineStr">
        <is>
          <t>1404/02/31</t>
        </is>
      </c>
      <c r="R16" s="72" t="n">
        <v>45798</v>
      </c>
      <c r="S16" s="70">
        <f>IF(OR(J16="UNKNOWN",R16=""),"",R16-IF(J16="EXACT",L16,P16))</f>
        <v>129</v>
      </c>
      <c r="T16" s="70">
        <f>IF(J16="EXACT",R16-L16,IF(J16="INTERVAL",R16-N16,""))</f>
        <v>129</v>
      </c>
      <c r="U16" s="70">
        <f>IF(S16="","",S16/365.25)</f>
        <v>0.3531827515400411</v>
      </c>
      <c r="V16" s="70">
        <f>IF(U16="","",U16^2)</f>
        <v>0.12473805598539439</v>
      </c>
      <c r="W16" s="70" t="inlineStr">
        <is>
          <t>BOARD_MEETING_DATE_IN_NOTICE</t>
        </is>
      </c>
      <c r="X16" s="70" t="inlineStr">
        <is>
          <t>TYPE19_ONLY|PERSON_ROLE_CHAIN</t>
        </is>
      </c>
      <c r="Y16" s="70" t="n"/>
      <c r="Z16" s="70" t="n"/>
      <c r="AA16" s="70" t="n"/>
      <c r="AB16" s="70" t="n"/>
      <c r="AC16" s="70" t="n"/>
    </row>
    <row r="17" ht="29" customHeight="1" s="76">
      <c r="A17" s="71" t="inlineStr">
        <is>
          <t>T014</t>
        </is>
      </c>
      <c r="B17" s="71" t="inlineStr">
        <is>
          <t>تاپیکو</t>
        </is>
      </c>
      <c r="C17" s="71" t="n"/>
      <c r="D17" s="71" t="inlineStr">
        <is>
          <t>CEO</t>
        </is>
      </c>
      <c r="E17" s="71" t="inlineStr">
        <is>
          <t>رضا توکلی بنیزی</t>
        </is>
      </c>
      <c r="F17" s="71" t="n"/>
      <c r="G17" s="71" t="inlineStr">
        <is>
          <t>E03219AD</t>
        </is>
      </c>
      <c r="H17" s="71" t="inlineStr">
        <is>
          <t>NATIONAL_ID</t>
        </is>
      </c>
      <c r="I17" s="71" t="inlineStr">
        <is>
          <t>مدیرعامل (سرپرست)</t>
        </is>
      </c>
      <c r="J17" s="71" t="inlineStr">
        <is>
          <t>EXACT</t>
        </is>
      </c>
      <c r="K17" s="71" t="inlineStr">
        <is>
          <t>1404/01/23</t>
        </is>
      </c>
      <c r="L17" s="73" t="n">
        <v>45759</v>
      </c>
      <c r="M17" s="71" t="inlineStr">
        <is>
          <t>1404/01/23</t>
        </is>
      </c>
      <c r="N17" s="73" t="n">
        <v>45759</v>
      </c>
      <c r="O17" s="71" t="inlineStr">
        <is>
          <t>1404/01/23</t>
        </is>
      </c>
      <c r="P17" s="73" t="n">
        <v>45759</v>
      </c>
      <c r="Q17" s="71" t="inlineStr">
        <is>
          <t>1404/02/31</t>
        </is>
      </c>
      <c r="R17" s="73" t="n">
        <v>45798</v>
      </c>
      <c r="S17" s="71">
        <f>IF(OR(J17="UNKNOWN",R17=""),"",R17-IF(J17="EXACT",L17,P17))</f>
        <v>39</v>
      </c>
      <c r="T17" s="71">
        <f>IF(J17="EXACT",R17-L17,IF(J17="INTERVAL",R17-N17,""))</f>
        <v>39</v>
      </c>
      <c r="U17" s="71">
        <f>IF(S17="","",S17/365.25)</f>
        <v>0.10677618069815195</v>
      </c>
      <c r="V17" s="71">
        <f>IF(U17="","",U17^2)</f>
        <v>0.011401152764484397</v>
      </c>
      <c r="W17" s="71" t="inlineStr">
        <is>
          <t>BOARD_MEETING_DATE_IN_NOTICE</t>
        </is>
      </c>
      <c r="X17" s="71" t="inlineStr">
        <is>
          <t>TYPE19_ONLY</t>
        </is>
      </c>
      <c r="Y17" s="71" t="n"/>
      <c r="Z17" s="71" t="n"/>
      <c r="AA17" s="71" t="n"/>
      <c r="AB17" s="71" t="inlineStr">
        <is>
          <t>خارج از هیئت مدیره</t>
        </is>
      </c>
      <c r="AC17" s="71" t="n"/>
    </row>
    <row r="18" ht="29" customHeight="1" s="76">
      <c r="A18" s="70" t="inlineStr">
        <is>
          <t>T015</t>
        </is>
      </c>
      <c r="B18" s="70" t="inlineStr">
        <is>
          <t>فارس</t>
        </is>
      </c>
      <c r="C18" s="70" t="inlineStr">
        <is>
          <t>F03-M1</t>
        </is>
      </c>
      <c r="D18" s="70" t="inlineStr">
        <is>
          <t>MEMBER</t>
        </is>
      </c>
      <c r="E18" s="70" t="inlineStr">
        <is>
          <t>کیوان ایلکا</t>
        </is>
      </c>
      <c r="F18" s="70" t="inlineStr">
        <is>
          <t>ملی صنایع پتروشیمی</t>
        </is>
      </c>
      <c r="G18" s="70" t="inlineStr">
        <is>
          <t>44E7311E</t>
        </is>
      </c>
      <c r="H18" s="70" t="inlineStr">
        <is>
          <t>NATIONAL_ID</t>
        </is>
      </c>
      <c r="I18" s="70" t="inlineStr">
        <is>
          <t>عضو هیئت مدیره موظف</t>
        </is>
      </c>
      <c r="J18" s="70" t="inlineStr">
        <is>
          <t>EXACT</t>
        </is>
      </c>
      <c r="K18" s="70" t="inlineStr">
        <is>
          <t>1403/11/15</t>
        </is>
      </c>
      <c r="L18" s="72" t="n">
        <v>45691</v>
      </c>
      <c r="M18" s="70" t="inlineStr">
        <is>
          <t>1403/11/15</t>
        </is>
      </c>
      <c r="N18" s="72" t="n">
        <v>45691</v>
      </c>
      <c r="O18" s="70" t="inlineStr">
        <is>
          <t>1403/11/15</t>
        </is>
      </c>
      <c r="P18" s="72" t="n">
        <v>45691</v>
      </c>
      <c r="Q18" s="70" t="inlineStr">
        <is>
          <t>1404/03/31</t>
        </is>
      </c>
      <c r="R18" s="72" t="n">
        <v>45829</v>
      </c>
      <c r="S18" s="70">
        <f>IF(OR(J18="UNKNOWN",R18=""),"",R18-IF(J18="EXACT",L18,P18))</f>
        <v>138</v>
      </c>
      <c r="T18" s="70">
        <f>IF(J18="EXACT",R18-L18,IF(J18="INTERVAL",R18-N18,""))</f>
        <v>138</v>
      </c>
      <c r="U18" s="70">
        <f>IF(S18="","",S18/365.25)</f>
        <v>0.37782340862423</v>
      </c>
      <c r="V18" s="70">
        <f>IF(U18="","",U18^2)</f>
        <v>0.14275052810443187</v>
      </c>
      <c r="W18" s="70" t="inlineStr">
        <is>
          <t>REPORT_DECLARED_DATE_WITHIN_TYPE19_INTERVAL</t>
        </is>
      </c>
      <c r="X18" s="70" t="inlineStr">
        <is>
          <t>REPORT+TYPE19_INTERVAL</t>
        </is>
      </c>
      <c r="Y18" s="70" t="inlineStr">
        <is>
          <t>1403/11/15</t>
        </is>
      </c>
      <c r="Z18" s="70" t="inlineStr">
        <is>
          <t>START</t>
        </is>
      </c>
      <c r="AA18" s="70" t="n"/>
      <c r="AB18" s="70" t="inlineStr">
        <is>
          <t>MIN_CONTINUOUS|1402/01/29</t>
        </is>
      </c>
      <c r="AC18" s="70" t="inlineStr">
        <is>
          <t>type19 interval 1403/11/15..1403/12/13</t>
        </is>
      </c>
    </row>
    <row r="19" ht="29" customHeight="1" s="76">
      <c r="A19" s="71" t="inlineStr">
        <is>
          <t>T016</t>
        </is>
      </c>
      <c r="B19" s="71" t="inlineStr">
        <is>
          <t>فارس</t>
        </is>
      </c>
      <c r="C19" s="71" t="inlineStr">
        <is>
          <t>F03-M2</t>
        </is>
      </c>
      <c r="D19" s="71" t="inlineStr">
        <is>
          <t>MEMBER</t>
        </is>
      </c>
      <c r="E19" s="71" t="inlineStr">
        <is>
          <t>حسین قربان زاده</t>
        </is>
      </c>
      <c r="F19" s="71" t="inlineStr">
        <is>
          <t>سرمایه گذاری استان خراسان جنوبی</t>
        </is>
      </c>
      <c r="G19" s="71" t="inlineStr">
        <is>
          <t>F8F27A4A</t>
        </is>
      </c>
      <c r="H19" s="71" t="inlineStr">
        <is>
          <t>NATIONAL_ID</t>
        </is>
      </c>
      <c r="I19" s="71" t="inlineStr">
        <is>
          <t>عضو هیئت مدیره غیر موظف</t>
        </is>
      </c>
      <c r="J19" s="71" t="inlineStr">
        <is>
          <t>INTERVAL</t>
        </is>
      </c>
      <c r="K19" s="71" t="n"/>
      <c r="L19" s="73" t="n"/>
      <c r="M19" s="71" t="inlineStr">
        <is>
          <t>1402/11/17</t>
        </is>
      </c>
      <c r="N19" s="73" t="n">
        <v>45328</v>
      </c>
      <c r="O19" s="71" t="inlineStr">
        <is>
          <t>1403/04/11</t>
        </is>
      </c>
      <c r="P19" s="73" t="n">
        <v>45474</v>
      </c>
      <c r="Q19" s="71" t="inlineStr">
        <is>
          <t>1404/03/31</t>
        </is>
      </c>
      <c r="R19" s="73" t="n">
        <v>45829</v>
      </c>
      <c r="S19" s="71">
        <f>IF(OR(J19="UNKNOWN",R19=""),"",R19-IF(J19="EXACT",L19,P19))</f>
        <v>355</v>
      </c>
      <c r="T19" s="71">
        <f>IF(J19="EXACT",R19-L19,IF(J19="INTERVAL",R19-N19,""))</f>
        <v>501</v>
      </c>
      <c r="U19" s="71">
        <f>IF(S19="","",S19/365.25)</f>
        <v>0.971937029431896</v>
      </c>
      <c r="V19" s="71">
        <f>IF(U19="","",U19^2)</f>
        <v>0.9446615891808983</v>
      </c>
      <c r="W19" s="71" t="inlineStr">
        <is>
          <t>SOURCE_CONFLICT:type19=1403/04/11;report=1402/11/17</t>
        </is>
      </c>
      <c r="X19" s="71" t="inlineStr">
        <is>
          <t>TYPE19_VS_REPORT_CONFLICT</t>
        </is>
      </c>
      <c r="Y19" s="71" t="inlineStr">
        <is>
          <t>1402/11/17</t>
        </is>
      </c>
      <c r="Z19" s="71" t="inlineStr">
        <is>
          <t>START</t>
        </is>
      </c>
      <c r="AA19" s="71" t="n"/>
      <c r="AB19" s="71" t="inlineStr">
        <is>
          <t>MIN_CONTINUOUS|1402/01/29</t>
        </is>
      </c>
      <c r="AC19" s="71" t="inlineStr">
        <is>
          <t>sources disagree by 146d</t>
        </is>
      </c>
    </row>
    <row r="20" ht="43.5" customHeight="1" s="76">
      <c r="A20" s="70" t="inlineStr">
        <is>
          <t>T017</t>
        </is>
      </c>
      <c r="B20" s="70" t="inlineStr">
        <is>
          <t>فارس</t>
        </is>
      </c>
      <c r="C20" s="70" t="inlineStr">
        <is>
          <t>F03-M3</t>
        </is>
      </c>
      <c r="D20" s="70" t="inlineStr">
        <is>
          <t>MEMBER</t>
        </is>
      </c>
      <c r="E20" s="70" t="inlineStr">
        <is>
          <t>عبدالعلی علی عسکری</t>
        </is>
      </c>
      <c r="F20" s="70" t="inlineStr">
        <is>
          <t>سرمایه گذاری نفت و گاز و پتروشیمی تامین</t>
        </is>
      </c>
      <c r="G20" s="70" t="inlineStr">
        <is>
          <t>A648DB5F</t>
        </is>
      </c>
      <c r="H20" s="70" t="inlineStr">
        <is>
          <t>NATIONAL_ID</t>
        </is>
      </c>
      <c r="I20" s="70" t="inlineStr">
        <is>
          <t>عضو هیئت مدیره غیر موظف</t>
        </is>
      </c>
      <c r="J20" s="70" t="inlineStr">
        <is>
          <t>CONFLICT_MIN</t>
        </is>
      </c>
      <c r="K20" s="70" t="n"/>
      <c r="L20" s="72" t="n"/>
      <c r="M20" s="70" t="n"/>
      <c r="N20" s="72" t="n"/>
      <c r="O20" s="70" t="inlineStr">
        <is>
          <t>1402/07/12</t>
        </is>
      </c>
      <c r="P20" s="72" t="n">
        <v>45203</v>
      </c>
      <c r="Q20" s="70" t="inlineStr">
        <is>
          <t>1404/03/31</t>
        </is>
      </c>
      <c r="R20" s="72" t="n">
        <v>45829</v>
      </c>
      <c r="S20" s="70">
        <f>IF(OR(J20="UNKNOWN",R20=""),"",R20-IF(J20="EXACT",L20,P20))</f>
        <v>626</v>
      </c>
      <c r="T20" s="70">
        <f>IF(J20="EXACT",R20-L20,IF(J20="INTERVAL",R20-N20,""))</f>
      </c>
      <c r="U20" s="70">
        <f>IF(S20="","",S20/365.25)</f>
        <v>1.7138945927446954</v>
      </c>
      <c r="V20" s="70">
        <f>IF(U20="","",U20^2)</f>
        <v>2.9374346750395053</v>
      </c>
      <c r="W20" s="70" t="inlineStr">
        <is>
          <t>REPORT_DATE_AFTER_TYPE19_FIRST_OBSERVATION</t>
        </is>
      </c>
      <c r="X20" s="70" t="inlineStr">
        <is>
          <t>CONFLICT</t>
        </is>
      </c>
      <c r="Y20" s="70" t="inlineStr">
        <is>
          <t>1402/07/12</t>
        </is>
      </c>
      <c r="Z20" s="70" t="inlineStr">
        <is>
          <t>START</t>
        </is>
      </c>
      <c r="AA20" s="70" t="n"/>
      <c r="AB20" s="70" t="inlineStr">
        <is>
          <t>EXACT|1402/11/08</t>
        </is>
      </c>
      <c r="AC20" s="70" t="inlineStr">
        <is>
          <t>type19 shows person from 1402/01/29 but report states 1402/07/12</t>
        </is>
      </c>
    </row>
    <row r="21" ht="29" customHeight="1" s="76">
      <c r="A21" s="71" t="inlineStr">
        <is>
          <t>T018</t>
        </is>
      </c>
      <c r="B21" s="71" t="inlineStr">
        <is>
          <t>فارس</t>
        </is>
      </c>
      <c r="C21" s="71" t="inlineStr">
        <is>
          <t>F03-M4</t>
        </is>
      </c>
      <c r="D21" s="71" t="inlineStr">
        <is>
          <t>MEMBER</t>
        </is>
      </c>
      <c r="E21" s="71" t="inlineStr">
        <is>
          <t>حسین حسین زاده</t>
        </is>
      </c>
      <c r="F21" s="71" t="inlineStr">
        <is>
          <t>توسعه نفت و گاز صبا کارون</t>
        </is>
      </c>
      <c r="G21" s="71" t="inlineStr">
        <is>
          <t>FA7DB57B</t>
        </is>
      </c>
      <c r="H21" s="71" t="inlineStr">
        <is>
          <t>NATIONAL_ID</t>
        </is>
      </c>
      <c r="I21" s="71" t="inlineStr">
        <is>
          <t>رئیس هیئت مدیره غیر موظف</t>
        </is>
      </c>
      <c r="J21" s="71" t="inlineStr">
        <is>
          <t>EXACT</t>
        </is>
      </c>
      <c r="K21" s="71" t="inlineStr">
        <is>
          <t>1404/02/29</t>
        </is>
      </c>
      <c r="L21" s="73" t="n">
        <v>45796</v>
      </c>
      <c r="M21" s="71" t="inlineStr">
        <is>
          <t>1404/02/29</t>
        </is>
      </c>
      <c r="N21" s="73" t="n">
        <v>45796</v>
      </c>
      <c r="O21" s="71" t="inlineStr">
        <is>
          <t>1404/02/29</t>
        </is>
      </c>
      <c r="P21" s="73" t="n">
        <v>45796</v>
      </c>
      <c r="Q21" s="71" t="inlineStr">
        <is>
          <t>1404/03/31</t>
        </is>
      </c>
      <c r="R21" s="73" t="n">
        <v>45829</v>
      </c>
      <c r="S21" s="71">
        <f>IF(OR(J21="UNKNOWN",R21=""),"",R21-IF(J21="EXACT",L21,P21))</f>
        <v>33</v>
      </c>
      <c r="T21" s="71">
        <f>IF(J21="EXACT",R21-L21,IF(J21="INTERVAL",R21-N21,""))</f>
        <v>33</v>
      </c>
      <c r="U21" s="71">
        <f>IF(S21="","",S21/365.25)</f>
        <v>0.09034907597535935</v>
      </c>
      <c r="V21" s="71">
        <f>IF(U21="","",U21^2)</f>
        <v>0.008162955529601256</v>
      </c>
      <c r="W21" s="71" t="inlineStr">
        <is>
          <t>BOARD_MEETING_DATE_IN_NOTICE</t>
        </is>
      </c>
      <c r="X21" s="71" t="inlineStr">
        <is>
          <t>TYPE19+REPORT_CORROBORATED</t>
        </is>
      </c>
      <c r="Y21" s="71" t="inlineStr">
        <is>
          <t>1404/02/29</t>
        </is>
      </c>
      <c r="Z21" s="71" t="inlineStr">
        <is>
          <t>START</t>
        </is>
      </c>
      <c r="AA21" s="71" t="n"/>
      <c r="AB21" s="71" t="inlineStr">
        <is>
          <t>MIN_CONTINUOUS|1402/01/29</t>
        </is>
      </c>
      <c r="AC21" s="71" t="inlineStr">
        <is>
          <t>report date 1404/02/29 (diff 0d)</t>
        </is>
      </c>
    </row>
    <row r="22" ht="29" customHeight="1" s="76">
      <c r="A22" s="70" t="inlineStr">
        <is>
          <t>T019</t>
        </is>
      </c>
      <c r="B22" s="70" t="inlineStr">
        <is>
          <t>فارس</t>
        </is>
      </c>
      <c r="C22" s="70" t="inlineStr">
        <is>
          <t>F03-M4</t>
        </is>
      </c>
      <c r="D22" s="70" t="inlineStr">
        <is>
          <t>CHAIR</t>
        </is>
      </c>
      <c r="E22" s="70" t="inlineStr">
        <is>
          <t>حسین حسین زاده</t>
        </is>
      </c>
      <c r="F22" s="70" t="inlineStr">
        <is>
          <t>توسعه نفت و گاز صبا کارون</t>
        </is>
      </c>
      <c r="G22" s="70" t="inlineStr">
        <is>
          <t>FA7DB57B</t>
        </is>
      </c>
      <c r="H22" s="70" t="inlineStr">
        <is>
          <t>NATIONAL_ID</t>
        </is>
      </c>
      <c r="I22" s="70" t="inlineStr">
        <is>
          <t>رئیس هیئت مدیره</t>
        </is>
      </c>
      <c r="J22" s="70" t="inlineStr">
        <is>
          <t>EXACT</t>
        </is>
      </c>
      <c r="K22" s="70" t="inlineStr">
        <is>
          <t>1404/02/29</t>
        </is>
      </c>
      <c r="L22" s="72" t="n">
        <v>45796</v>
      </c>
      <c r="M22" s="70" t="inlineStr">
        <is>
          <t>1404/02/29</t>
        </is>
      </c>
      <c r="N22" s="72" t="n">
        <v>45796</v>
      </c>
      <c r="O22" s="70" t="inlineStr">
        <is>
          <t>1404/02/29</t>
        </is>
      </c>
      <c r="P22" s="72" t="n">
        <v>45796</v>
      </c>
      <c r="Q22" s="70" t="inlineStr">
        <is>
          <t>1404/03/31</t>
        </is>
      </c>
      <c r="R22" s="72" t="n">
        <v>45829</v>
      </c>
      <c r="S22" s="70">
        <f>IF(OR(J22="UNKNOWN",R22=""),"",R22-IF(J22="EXACT",L22,P22))</f>
        <v>33</v>
      </c>
      <c r="T22" s="70">
        <f>IF(J22="EXACT",R22-L22,IF(J22="INTERVAL",R22-N22,""))</f>
        <v>33</v>
      </c>
      <c r="U22" s="70">
        <f>IF(S22="","",S22/365.25)</f>
        <v>0.09034907597535935</v>
      </c>
      <c r="V22" s="70">
        <f>IF(U22="","",U22^2)</f>
        <v>0.008162955529601256</v>
      </c>
      <c r="W22" s="70" t="inlineStr">
        <is>
          <t>BOARD_MEETING_DATE_IN_NOTICE</t>
        </is>
      </c>
      <c r="X22" s="70" t="inlineStr">
        <is>
          <t>TYPE19_ONLY|PERSON_ROLE_CHAIN</t>
        </is>
      </c>
      <c r="Y22" s="70" t="n"/>
      <c r="Z22" s="70" t="n"/>
      <c r="AA22" s="70" t="n"/>
      <c r="AB22" s="70" t="n"/>
      <c r="AC22" s="70" t="n"/>
    </row>
    <row r="23" ht="43.5" customHeight="1" s="76">
      <c r="A23" s="71" t="inlineStr">
        <is>
          <t>T020</t>
        </is>
      </c>
      <c r="B23" s="71" t="inlineStr">
        <is>
          <t>فارس</t>
        </is>
      </c>
      <c r="C23" s="71" t="inlineStr">
        <is>
          <t>F03-M5</t>
        </is>
      </c>
      <c r="D23" s="71" t="inlineStr">
        <is>
          <t>MEMBER</t>
        </is>
      </c>
      <c r="E23" s="71" t="inlineStr">
        <is>
          <t>محمد شریعتمداری</t>
        </is>
      </c>
      <c r="F23" s="71" t="inlineStr">
        <is>
          <t>صندوق های بازنشستگی پس انداز و رفاه کارکنان صنعت نفت</t>
        </is>
      </c>
      <c r="G23" s="71" t="inlineStr">
        <is>
          <t>5FD07E30</t>
        </is>
      </c>
      <c r="H23" s="71" t="inlineStr">
        <is>
          <t>NATIONAL_ID</t>
        </is>
      </c>
      <c r="I23" s="71" t="inlineStr">
        <is>
          <t>نایب رئیس هیئت مدیره موظف</t>
        </is>
      </c>
      <c r="J23" s="71" t="inlineStr">
        <is>
          <t>EXACT</t>
        </is>
      </c>
      <c r="K23" s="71" t="inlineStr">
        <is>
          <t>1403/09/12</t>
        </is>
      </c>
      <c r="L23" s="73" t="n">
        <v>45628</v>
      </c>
      <c r="M23" s="71" t="inlineStr">
        <is>
          <t>1403/09/12</t>
        </is>
      </c>
      <c r="N23" s="73" t="n">
        <v>45628</v>
      </c>
      <c r="O23" s="71" t="inlineStr">
        <is>
          <t>1403/09/12</t>
        </is>
      </c>
      <c r="P23" s="73" t="n">
        <v>45628</v>
      </c>
      <c r="Q23" s="71" t="inlineStr">
        <is>
          <t>1404/03/31</t>
        </is>
      </c>
      <c r="R23" s="73" t="n">
        <v>45829</v>
      </c>
      <c r="S23" s="71">
        <f>IF(OR(J23="UNKNOWN",R23=""),"",R23-IF(J23="EXACT",L23,P23))</f>
        <v>201</v>
      </c>
      <c r="T23" s="71">
        <f>IF(J23="EXACT",R23-L23,IF(J23="INTERVAL",R23-N23,""))</f>
        <v>201</v>
      </c>
      <c r="U23" s="71">
        <f>IF(S23="","",S23/365.25)</f>
        <v>0.5503080082135524</v>
      </c>
      <c r="V23" s="71">
        <f>IF(U23="","",U23^2)</f>
        <v>0.3028389039039673</v>
      </c>
      <c r="W23" s="71" t="inlineStr">
        <is>
          <t>BOARD_MEETING_DATE_IN_NOTICE</t>
        </is>
      </c>
      <c r="X23" s="71" t="inlineStr">
        <is>
          <t>TYPE19+REPORT_CORROBORATED</t>
        </is>
      </c>
      <c r="Y23" s="71" t="inlineStr">
        <is>
          <t>1403/09/11</t>
        </is>
      </c>
      <c r="Z23" s="71" t="inlineStr">
        <is>
          <t>START</t>
        </is>
      </c>
      <c r="AA23" s="71" t="n"/>
      <c r="AB23" s="71" t="inlineStr">
        <is>
          <t>EXACT|1402/11/08</t>
        </is>
      </c>
      <c r="AC23" s="71" t="inlineStr">
        <is>
          <t>report date 1403/09/11 (diff 1d)</t>
        </is>
      </c>
    </row>
    <row r="24" ht="29" customHeight="1" s="76">
      <c r="A24" s="70" t="inlineStr">
        <is>
          <t>T021</t>
        </is>
      </c>
      <c r="B24" s="70" t="inlineStr">
        <is>
          <t>فارس</t>
        </is>
      </c>
      <c r="C24" s="70" t="n"/>
      <c r="D24" s="70" t="inlineStr">
        <is>
          <t>CEO</t>
        </is>
      </c>
      <c r="E24" s="70" t="inlineStr">
        <is>
          <t>محمد شریعتمداری</t>
        </is>
      </c>
      <c r="F24" s="70" t="n"/>
      <c r="G24" s="70" t="inlineStr">
        <is>
          <t>5FD07E30</t>
        </is>
      </c>
      <c r="H24" s="70" t="inlineStr">
        <is>
          <t>NATIONAL_ID</t>
        </is>
      </c>
      <c r="I24" s="70" t="inlineStr">
        <is>
          <t>مدیرعامل</t>
        </is>
      </c>
      <c r="J24" s="70" t="inlineStr">
        <is>
          <t>EXACT</t>
        </is>
      </c>
      <c r="K24" s="70" t="inlineStr">
        <is>
          <t>1403/09/12</t>
        </is>
      </c>
      <c r="L24" s="72" t="n">
        <v>45628</v>
      </c>
      <c r="M24" s="70" t="inlineStr">
        <is>
          <t>1403/09/12</t>
        </is>
      </c>
      <c r="N24" s="72" t="n">
        <v>45628</v>
      </c>
      <c r="O24" s="70" t="inlineStr">
        <is>
          <t>1403/09/12</t>
        </is>
      </c>
      <c r="P24" s="72" t="n">
        <v>45628</v>
      </c>
      <c r="Q24" s="70" t="inlineStr">
        <is>
          <t>1404/03/31</t>
        </is>
      </c>
      <c r="R24" s="72" t="n">
        <v>45829</v>
      </c>
      <c r="S24" s="70">
        <f>IF(OR(J24="UNKNOWN",R24=""),"",R24-IF(J24="EXACT",L24,P24))</f>
        <v>201</v>
      </c>
      <c r="T24" s="70">
        <f>IF(J24="EXACT",R24-L24,IF(J24="INTERVAL",R24-N24,""))</f>
        <v>201</v>
      </c>
      <c r="U24" s="70">
        <f>IF(S24="","",S24/365.25)</f>
        <v>0.5503080082135524</v>
      </c>
      <c r="V24" s="70">
        <f>IF(U24="","",U24^2)</f>
        <v>0.3028389039039673</v>
      </c>
      <c r="W24" s="70" t="inlineStr">
        <is>
          <t>BOARD_MEETING_DATE_IN_NOTICE</t>
        </is>
      </c>
      <c r="X24" s="70" t="inlineStr">
        <is>
          <t>TYPE19_ONLY</t>
        </is>
      </c>
      <c r="Y24" s="70" t="n"/>
      <c r="Z24" s="70" t="n"/>
      <c r="AA24" s="70" t="n"/>
      <c r="AB24" s="70" t="inlineStr">
        <is>
          <t>عضو هیئت مدیره</t>
        </is>
      </c>
      <c r="AC24" s="70" t="n"/>
    </row>
    <row r="25" ht="29" customHeight="1" s="76">
      <c r="A25" s="71" t="inlineStr">
        <is>
          <t>T022</t>
        </is>
      </c>
      <c r="B25" s="71" t="inlineStr">
        <is>
          <t>خودرو</t>
        </is>
      </c>
      <c r="C25" s="71" t="inlineStr">
        <is>
          <t>F04-M1</t>
        </is>
      </c>
      <c r="D25" s="71" t="inlineStr">
        <is>
          <t>MEMBER</t>
        </is>
      </c>
      <c r="E25" s="71" t="inlineStr">
        <is>
          <t>عبداله سلطانی ثانی</t>
        </is>
      </c>
      <c r="F25" s="71" t="inlineStr">
        <is>
          <t>خدمات گستر صبا انرژی</t>
        </is>
      </c>
      <c r="G25" s="71" t="inlineStr">
        <is>
          <t>5464BBAE</t>
        </is>
      </c>
      <c r="H25" s="71" t="inlineStr">
        <is>
          <t>NATIONAL_ID</t>
        </is>
      </c>
      <c r="I25" s="71" t="inlineStr">
        <is>
          <t>عضو هیئت مدیره غیر موظف</t>
        </is>
      </c>
      <c r="J25" s="71" t="inlineStr">
        <is>
          <t>EXACT</t>
        </is>
      </c>
      <c r="K25" s="71" t="inlineStr">
        <is>
          <t>1403/11/21</t>
        </is>
      </c>
      <c r="L25" s="73" t="n">
        <v>45697</v>
      </c>
      <c r="M25" s="71" t="inlineStr">
        <is>
          <t>1403/11/21</t>
        </is>
      </c>
      <c r="N25" s="73" t="n">
        <v>45697</v>
      </c>
      <c r="O25" s="71" t="inlineStr">
        <is>
          <t>1403/11/21</t>
        </is>
      </c>
      <c r="P25" s="73" t="n">
        <v>45697</v>
      </c>
      <c r="Q25" s="71" t="inlineStr">
        <is>
          <t>1404/12/29</t>
        </is>
      </c>
      <c r="R25" s="73" t="n">
        <v>46101</v>
      </c>
      <c r="S25" s="71">
        <f>IF(OR(J25="UNKNOWN",R25=""),"",R25-IF(J25="EXACT",L25,P25))</f>
        <v>404</v>
      </c>
      <c r="T25" s="71">
        <f>IF(J25="EXACT",R25-L25,IF(J25="INTERVAL",R25-N25,""))</f>
        <v>404</v>
      </c>
      <c r="U25" s="71">
        <f>IF(S25="","",S25/365.25)</f>
        <v>1.106091718001369</v>
      </c>
      <c r="V25" s="71">
        <f>IF(U25="","",U25^2)</f>
        <v>1.22343888863122</v>
      </c>
      <c r="W25" s="71" t="inlineStr">
        <is>
          <t>BOARD_MEETING_DATE_IN_NOTICE</t>
        </is>
      </c>
      <c r="X25" s="71" t="inlineStr">
        <is>
          <t>TYPE19+REPORT_CORROBORATED</t>
        </is>
      </c>
      <c r="Y25" s="71" t="inlineStr">
        <is>
          <t>1403/11/18</t>
        </is>
      </c>
      <c r="Z25" s="71" t="inlineStr">
        <is>
          <t>START</t>
        </is>
      </c>
      <c r="AA25" s="71" t="n"/>
      <c r="AB25" s="71" t="inlineStr">
        <is>
          <t>EXACT|1403/11/21</t>
        </is>
      </c>
      <c r="AC25" s="71" t="inlineStr">
        <is>
          <t>report date 1403/11/18 (diff 3d)</t>
        </is>
      </c>
    </row>
    <row r="26" ht="29" customHeight="1" s="76">
      <c r="A26" s="70" t="inlineStr">
        <is>
          <t>T023</t>
        </is>
      </c>
      <c r="B26" s="70" t="inlineStr">
        <is>
          <t>خودرو</t>
        </is>
      </c>
      <c r="C26" s="70" t="inlineStr">
        <is>
          <t>F04-M2</t>
        </is>
      </c>
      <c r="D26" s="70" t="inlineStr">
        <is>
          <t>MEMBER</t>
        </is>
      </c>
      <c r="E26" s="70" t="inlineStr">
        <is>
          <t>عادل پیرمحمدی</t>
        </is>
      </c>
      <c r="F26" s="70" t="inlineStr">
        <is>
          <t>مدیریت سرمایه گذاری ملی ایران</t>
        </is>
      </c>
      <c r="G26" s="70" t="inlineStr">
        <is>
          <t>92A42EE0</t>
        </is>
      </c>
      <c r="H26" s="70" t="inlineStr">
        <is>
          <t>NATIONAL_ID</t>
        </is>
      </c>
      <c r="I26" s="70" t="inlineStr">
        <is>
          <t>عضو هیئت مدیره موظف</t>
        </is>
      </c>
      <c r="J26" s="70" t="inlineStr">
        <is>
          <t>EXACT</t>
        </is>
      </c>
      <c r="K26" s="70" t="inlineStr">
        <is>
          <t>1403/11/21</t>
        </is>
      </c>
      <c r="L26" s="72" t="n">
        <v>45697</v>
      </c>
      <c r="M26" s="70" t="inlineStr">
        <is>
          <t>1403/11/21</t>
        </is>
      </c>
      <c r="N26" s="72" t="n">
        <v>45697</v>
      </c>
      <c r="O26" s="70" t="inlineStr">
        <is>
          <t>1403/11/21</t>
        </is>
      </c>
      <c r="P26" s="72" t="n">
        <v>45697</v>
      </c>
      <c r="Q26" s="70" t="inlineStr">
        <is>
          <t>1404/12/29</t>
        </is>
      </c>
      <c r="R26" s="72" t="n">
        <v>46101</v>
      </c>
      <c r="S26" s="70">
        <f>IF(OR(J26="UNKNOWN",R26=""),"",R26-IF(J26="EXACT",L26,P26))</f>
        <v>404</v>
      </c>
      <c r="T26" s="70">
        <f>IF(J26="EXACT",R26-L26,IF(J26="INTERVAL",R26-N26,""))</f>
        <v>404</v>
      </c>
      <c r="U26" s="70">
        <f>IF(S26="","",S26/365.25)</f>
        <v>1.106091718001369</v>
      </c>
      <c r="V26" s="70">
        <f>IF(U26="","",U26^2)</f>
        <v>1.22343888863122</v>
      </c>
      <c r="W26" s="70" t="inlineStr">
        <is>
          <t>BOARD_MEETING_DATE_IN_NOTICE</t>
        </is>
      </c>
      <c r="X26" s="70" t="inlineStr">
        <is>
          <t>TYPE19+REPORT_CORROBORATED</t>
        </is>
      </c>
      <c r="Y26" s="70" t="inlineStr">
        <is>
          <t>1403/11/18</t>
        </is>
      </c>
      <c r="Z26" s="70" t="inlineStr">
        <is>
          <t>START</t>
        </is>
      </c>
      <c r="AA26" s="70" t="n"/>
      <c r="AB26" s="70" t="inlineStr">
        <is>
          <t>EXACT|1403/11/21</t>
        </is>
      </c>
      <c r="AC26" s="70" t="inlineStr">
        <is>
          <t>report date 1403/11/18 (diff 3d)</t>
        </is>
      </c>
    </row>
    <row r="27" ht="29" customHeight="1" s="76">
      <c r="A27" s="71" t="inlineStr">
        <is>
          <t>T024</t>
        </is>
      </c>
      <c r="B27" s="71" t="inlineStr">
        <is>
          <t>خودرو</t>
        </is>
      </c>
      <c r="C27" s="71" t="inlineStr">
        <is>
          <t>F04-M3</t>
        </is>
      </c>
      <c r="D27" s="71" t="inlineStr">
        <is>
          <t>MEMBER</t>
        </is>
      </c>
      <c r="E27" s="71" t="inlineStr">
        <is>
          <t>حامد نائیجی</t>
        </is>
      </c>
      <c r="F27" s="71" t="inlineStr">
        <is>
          <t>سرمایه گذاری گنجینه ایرانیان</t>
        </is>
      </c>
      <c r="G27" s="71" t="inlineStr">
        <is>
          <t>ECA12DCF</t>
        </is>
      </c>
      <c r="H27" s="71" t="inlineStr">
        <is>
          <t>NATIONAL_ID</t>
        </is>
      </c>
      <c r="I27" s="71" t="inlineStr">
        <is>
          <t>عضو هیئت مدیره غیر موظف</t>
        </is>
      </c>
      <c r="J27" s="71" t="inlineStr">
        <is>
          <t>EXACT</t>
        </is>
      </c>
      <c r="K27" s="71" t="inlineStr">
        <is>
          <t>1404/07/19</t>
        </is>
      </c>
      <c r="L27" s="73" t="n">
        <v>45941</v>
      </c>
      <c r="M27" s="71" t="inlineStr">
        <is>
          <t>1404/07/19</t>
        </is>
      </c>
      <c r="N27" s="73" t="n">
        <v>45941</v>
      </c>
      <c r="O27" s="71" t="inlineStr">
        <is>
          <t>1404/07/19</t>
        </is>
      </c>
      <c r="P27" s="73" t="n">
        <v>45941</v>
      </c>
      <c r="Q27" s="71" t="inlineStr">
        <is>
          <t>1404/12/29</t>
        </is>
      </c>
      <c r="R27" s="73" t="n">
        <v>46101</v>
      </c>
      <c r="S27" s="71">
        <f>IF(OR(J27="UNKNOWN",R27=""),"",R27-IF(J27="EXACT",L27,P27))</f>
        <v>160</v>
      </c>
      <c r="T27" s="71">
        <f>IF(J27="EXACT",R27-L27,IF(J27="INTERVAL",R27-N27,""))</f>
        <v>160</v>
      </c>
      <c r="U27" s="71">
        <f>IF(S27="","",S27/365.25)</f>
        <v>0.4380561259411362</v>
      </c>
      <c r="V27" s="71">
        <f>IF(U27="","",U27^2)</f>
        <v>0.19189316947455656</v>
      </c>
      <c r="W27" s="71" t="inlineStr">
        <is>
          <t>BOARD_MEETING_DATE_IN_NOTICE</t>
        </is>
      </c>
      <c r="X27" s="71" t="inlineStr">
        <is>
          <t>TYPE19+REPORT_CORROBORATED</t>
        </is>
      </c>
      <c r="Y27" s="71" t="inlineStr">
        <is>
          <t>1404/07/19</t>
        </is>
      </c>
      <c r="Z27" s="71" t="inlineStr">
        <is>
          <t>START</t>
        </is>
      </c>
      <c r="AA27" s="71" t="n"/>
      <c r="AB27" s="71" t="inlineStr">
        <is>
          <t>EXACT|1403/11/21</t>
        </is>
      </c>
      <c r="AC27" s="71" t="inlineStr">
        <is>
          <t>report date 1404/07/19 (diff 0d)</t>
        </is>
      </c>
    </row>
    <row r="28" ht="29" customHeight="1" s="76">
      <c r="A28" s="70" t="inlineStr">
        <is>
          <t>T025</t>
        </is>
      </c>
      <c r="B28" s="70" t="inlineStr">
        <is>
          <t>خودرو</t>
        </is>
      </c>
      <c r="C28" s="70" t="inlineStr">
        <is>
          <t>F04-M4</t>
        </is>
      </c>
      <c r="D28" s="70" t="inlineStr">
        <is>
          <t>MEMBER</t>
        </is>
      </c>
      <c r="E28" s="70" t="inlineStr">
        <is>
          <t>یوسف الهی شکیب</t>
        </is>
      </c>
      <c r="F28" s="70" t="inlineStr">
        <is>
          <t>بهینه سازان بهمن</t>
        </is>
      </c>
      <c r="G28" s="70" t="inlineStr">
        <is>
          <t>55CA4AEF</t>
        </is>
      </c>
      <c r="H28" s="70" t="inlineStr">
        <is>
          <t>NATIONAL_ID</t>
        </is>
      </c>
      <c r="I28" s="70" t="inlineStr">
        <is>
          <t>رئیس هیئت مدیره غیر موظف</t>
        </is>
      </c>
      <c r="J28" s="70" t="inlineStr">
        <is>
          <t>EXACT</t>
        </is>
      </c>
      <c r="K28" s="70" t="inlineStr">
        <is>
          <t>1403/11/21</t>
        </is>
      </c>
      <c r="L28" s="72" t="n">
        <v>45697</v>
      </c>
      <c r="M28" s="70" t="inlineStr">
        <is>
          <t>1403/11/21</t>
        </is>
      </c>
      <c r="N28" s="72" t="n">
        <v>45697</v>
      </c>
      <c r="O28" s="70" t="inlineStr">
        <is>
          <t>1403/11/21</t>
        </is>
      </c>
      <c r="P28" s="72" t="n">
        <v>45697</v>
      </c>
      <c r="Q28" s="70" t="inlineStr">
        <is>
          <t>1404/12/29</t>
        </is>
      </c>
      <c r="R28" s="72" t="n">
        <v>46101</v>
      </c>
      <c r="S28" s="70">
        <f>IF(OR(J28="UNKNOWN",R28=""),"",R28-IF(J28="EXACT",L28,P28))</f>
        <v>404</v>
      </c>
      <c r="T28" s="70">
        <f>IF(J28="EXACT",R28-L28,IF(J28="INTERVAL",R28-N28,""))</f>
        <v>404</v>
      </c>
      <c r="U28" s="70">
        <f>IF(S28="","",S28/365.25)</f>
        <v>1.106091718001369</v>
      </c>
      <c r="V28" s="70">
        <f>IF(U28="","",U28^2)</f>
        <v>1.22343888863122</v>
      </c>
      <c r="W28" s="70" t="inlineStr">
        <is>
          <t>BOARD_MEETING_DATE_IN_NOTICE</t>
        </is>
      </c>
      <c r="X28" s="70" t="inlineStr">
        <is>
          <t>TYPE19+REPORT_CORROBORATED</t>
        </is>
      </c>
      <c r="Y28" s="70" t="inlineStr">
        <is>
          <t>1403/11/18</t>
        </is>
      </c>
      <c r="Z28" s="70" t="inlineStr">
        <is>
          <t>START</t>
        </is>
      </c>
      <c r="AA28" s="70" t="n"/>
      <c r="AB28" s="70" t="inlineStr">
        <is>
          <t>EXACT|1403/11/21</t>
        </is>
      </c>
      <c r="AC28" s="70" t="inlineStr">
        <is>
          <t>report date 1403/11/18 (diff 3d)</t>
        </is>
      </c>
    </row>
    <row r="29" ht="29" customHeight="1" s="76">
      <c r="A29" s="71" t="inlineStr">
        <is>
          <t>T026</t>
        </is>
      </c>
      <c r="B29" s="71" t="inlineStr">
        <is>
          <t>خودرو</t>
        </is>
      </c>
      <c r="C29" s="71" t="inlineStr">
        <is>
          <t>F04-M4</t>
        </is>
      </c>
      <c r="D29" s="71" t="inlineStr">
        <is>
          <t>CHAIR</t>
        </is>
      </c>
      <c r="E29" s="71" t="inlineStr">
        <is>
          <t>یوسف الهی شکیب</t>
        </is>
      </c>
      <c r="F29" s="71" t="inlineStr">
        <is>
          <t>بهینه سازان بهمن</t>
        </is>
      </c>
      <c r="G29" s="71" t="inlineStr">
        <is>
          <t>55CA4AEF</t>
        </is>
      </c>
      <c r="H29" s="71" t="inlineStr">
        <is>
          <t>NATIONAL_ID</t>
        </is>
      </c>
      <c r="I29" s="71" t="inlineStr">
        <is>
          <t>رئیس هیئت مدیره</t>
        </is>
      </c>
      <c r="J29" s="71" t="inlineStr">
        <is>
          <t>EXACT</t>
        </is>
      </c>
      <c r="K29" s="71" t="inlineStr">
        <is>
          <t>1403/11/21</t>
        </is>
      </c>
      <c r="L29" s="73" t="n">
        <v>45697</v>
      </c>
      <c r="M29" s="71" t="inlineStr">
        <is>
          <t>1403/11/21</t>
        </is>
      </c>
      <c r="N29" s="73" t="n">
        <v>45697</v>
      </c>
      <c r="O29" s="71" t="inlineStr">
        <is>
          <t>1403/11/21</t>
        </is>
      </c>
      <c r="P29" s="73" t="n">
        <v>45697</v>
      </c>
      <c r="Q29" s="71" t="inlineStr">
        <is>
          <t>1404/12/29</t>
        </is>
      </c>
      <c r="R29" s="73" t="n">
        <v>46101</v>
      </c>
      <c r="S29" s="71">
        <f>IF(OR(J29="UNKNOWN",R29=""),"",R29-IF(J29="EXACT",L29,P29))</f>
        <v>404</v>
      </c>
      <c r="T29" s="71">
        <f>IF(J29="EXACT",R29-L29,IF(J29="INTERVAL",R29-N29,""))</f>
        <v>404</v>
      </c>
      <c r="U29" s="71">
        <f>IF(S29="","",S29/365.25)</f>
        <v>1.106091718001369</v>
      </c>
      <c r="V29" s="71">
        <f>IF(U29="","",U29^2)</f>
        <v>1.22343888863122</v>
      </c>
      <c r="W29" s="71" t="inlineStr">
        <is>
          <t>BOARD_MEETING_DATE_IN_NOTICE</t>
        </is>
      </c>
      <c r="X29" s="71" t="inlineStr">
        <is>
          <t>TYPE19_ONLY|PERSON_ROLE_CHAIN</t>
        </is>
      </c>
      <c r="Y29" s="71" t="n"/>
      <c r="Z29" s="71" t="n"/>
      <c r="AA29" s="71" t="n"/>
      <c r="AB29" s="71" t="n"/>
      <c r="AC29" s="71" t="n"/>
    </row>
    <row r="30" ht="29" customHeight="1" s="76">
      <c r="A30" s="70" t="inlineStr">
        <is>
          <t>T027</t>
        </is>
      </c>
      <c r="B30" s="70" t="inlineStr">
        <is>
          <t>خودرو</t>
        </is>
      </c>
      <c r="C30" s="70" t="inlineStr">
        <is>
          <t>F04-M5</t>
        </is>
      </c>
      <c r="D30" s="70" t="inlineStr">
        <is>
          <t>MEMBER</t>
        </is>
      </c>
      <c r="E30" s="70" t="inlineStr">
        <is>
          <t>جمشید ایمانی کتک لاهیجانی</t>
        </is>
      </c>
      <c r="F30" s="70" t="inlineStr">
        <is>
          <t>اعتبار آفرین</t>
        </is>
      </c>
      <c r="G30" s="70" t="inlineStr">
        <is>
          <t>8C0B431F</t>
        </is>
      </c>
      <c r="H30" s="70" t="inlineStr">
        <is>
          <t>NATIONAL_ID</t>
        </is>
      </c>
      <c r="I30" s="70" t="inlineStr">
        <is>
          <t>نایب رئیس هیئت مدیره موظف</t>
        </is>
      </c>
      <c r="J30" s="70" t="inlineStr">
        <is>
          <t>EXACT</t>
        </is>
      </c>
      <c r="K30" s="70" t="inlineStr">
        <is>
          <t>1401/12/09</t>
        </is>
      </c>
      <c r="L30" s="72" t="n">
        <v>44985</v>
      </c>
      <c r="M30" s="70" t="inlineStr">
        <is>
          <t>1401/12/09</t>
        </is>
      </c>
      <c r="N30" s="72" t="n">
        <v>44985</v>
      </c>
      <c r="O30" s="70" t="inlineStr">
        <is>
          <t>1401/12/09</t>
        </is>
      </c>
      <c r="P30" s="72" t="n">
        <v>44985</v>
      </c>
      <c r="Q30" s="70" t="inlineStr">
        <is>
          <t>1404/12/29</t>
        </is>
      </c>
      <c r="R30" s="72" t="n">
        <v>46101</v>
      </c>
      <c r="S30" s="70">
        <f>IF(OR(J30="UNKNOWN",R30=""),"",R30-IF(J30="EXACT",L30,P30))</f>
        <v>1116</v>
      </c>
      <c r="T30" s="70">
        <f>IF(J30="EXACT",R30-L30,IF(J30="INTERVAL",R30-N30,""))</f>
        <v>1116</v>
      </c>
      <c r="U30" s="70">
        <f>IF(S30="","",S30/365.25)</f>
        <v>3.055441478439425</v>
      </c>
      <c r="V30" s="70">
        <f>IF(U30="","",U30^2)</f>
        <v>9.3357226281681</v>
      </c>
      <c r="W30" s="70" t="inlineStr">
        <is>
          <t>BOARD_MEETING_DATE_IN_NOTICE</t>
        </is>
      </c>
      <c r="X30" s="70" t="inlineStr">
        <is>
          <t>TYPE19_ONLY</t>
        </is>
      </c>
      <c r="Y30" s="70" t="n"/>
      <c r="Z30" s="70" t="n"/>
      <c r="AA30" s="70" t="n"/>
      <c r="AB30" s="70" t="inlineStr">
        <is>
          <t>EXACT|1403/11/21</t>
        </is>
      </c>
      <c r="AC30" s="70" t="n"/>
    </row>
    <row r="31" ht="29" customHeight="1" s="76">
      <c r="A31" s="71" t="inlineStr">
        <is>
          <t>T028</t>
        </is>
      </c>
      <c r="B31" s="71" t="inlineStr">
        <is>
          <t>خودرو</t>
        </is>
      </c>
      <c r="C31" s="71" t="n"/>
      <c r="D31" s="71" t="inlineStr">
        <is>
          <t>CEO</t>
        </is>
      </c>
      <c r="E31" s="71" t="inlineStr">
        <is>
          <t>عادل پیرمحمدی</t>
        </is>
      </c>
      <c r="F31" s="71" t="n"/>
      <c r="G31" s="71" t="inlineStr">
        <is>
          <t>92A42EE0</t>
        </is>
      </c>
      <c r="H31" s="71" t="inlineStr">
        <is>
          <t>NATIONAL_ID</t>
        </is>
      </c>
      <c r="I31" s="71" t="inlineStr">
        <is>
          <t>مدیرعامل</t>
        </is>
      </c>
      <c r="J31" s="71" t="inlineStr">
        <is>
          <t>EXACT</t>
        </is>
      </c>
      <c r="K31" s="71" t="inlineStr">
        <is>
          <t>1403/11/21</t>
        </is>
      </c>
      <c r="L31" s="73" t="n">
        <v>45697</v>
      </c>
      <c r="M31" s="71" t="inlineStr">
        <is>
          <t>1403/11/21</t>
        </is>
      </c>
      <c r="N31" s="73" t="n">
        <v>45697</v>
      </c>
      <c r="O31" s="71" t="inlineStr">
        <is>
          <t>1403/11/21</t>
        </is>
      </c>
      <c r="P31" s="73" t="n">
        <v>45697</v>
      </c>
      <c r="Q31" s="71" t="inlineStr">
        <is>
          <t>1404/12/29</t>
        </is>
      </c>
      <c r="R31" s="73" t="n">
        <v>46101</v>
      </c>
      <c r="S31" s="71">
        <f>IF(OR(J31="UNKNOWN",R31=""),"",R31-IF(J31="EXACT",L31,P31))</f>
        <v>404</v>
      </c>
      <c r="T31" s="71">
        <f>IF(J31="EXACT",R31-L31,IF(J31="INTERVAL",R31-N31,""))</f>
        <v>404</v>
      </c>
      <c r="U31" s="71">
        <f>IF(S31="","",S31/365.25)</f>
        <v>1.106091718001369</v>
      </c>
      <c r="V31" s="71">
        <f>IF(U31="","",U31^2)</f>
        <v>1.22343888863122</v>
      </c>
      <c r="W31" s="71" t="inlineStr">
        <is>
          <t>BOARD_MEETING_DATE_IN_NOTICE</t>
        </is>
      </c>
      <c r="X31" s="71" t="inlineStr">
        <is>
          <t>TYPE19_ONLY</t>
        </is>
      </c>
      <c r="Y31" s="71" t="n"/>
      <c r="Z31" s="71" t="n"/>
      <c r="AA31" s="71" t="n"/>
      <c r="AB31" s="71" t="inlineStr">
        <is>
          <t>عضو هیئت مدیره</t>
        </is>
      </c>
      <c r="AC31" s="71" t="n"/>
    </row>
    <row r="32" ht="29" customHeight="1" s="76">
      <c r="A32" s="70" t="inlineStr">
        <is>
          <t>T029</t>
        </is>
      </c>
      <c r="B32" s="70" t="inlineStr">
        <is>
          <t>زاگرس</t>
        </is>
      </c>
      <c r="C32" s="70" t="inlineStr">
        <is>
          <t>F05-M1</t>
        </is>
      </c>
      <c r="D32" s="70" t="inlineStr">
        <is>
          <t>MEMBER</t>
        </is>
      </c>
      <c r="E32" s="70" t="inlineStr">
        <is>
          <t>متین دیداری</t>
        </is>
      </c>
      <c r="F32" s="70" t="inlineStr">
        <is>
          <t>گروه گسترش نفت و گاز پارسیان</t>
        </is>
      </c>
      <c r="G32" s="70" t="inlineStr">
        <is>
          <t>A3E3C90E</t>
        </is>
      </c>
      <c r="H32" s="70" t="inlineStr">
        <is>
          <t>NATIONAL_ID</t>
        </is>
      </c>
      <c r="I32" s="70" t="inlineStr">
        <is>
          <t>نایب رئیس هیئت مدیره موظف</t>
        </is>
      </c>
      <c r="J32" s="70" t="inlineStr">
        <is>
          <t>MIN_CONTINUOUS</t>
        </is>
      </c>
      <c r="K32" s="70" t="n"/>
      <c r="L32" s="72" t="n"/>
      <c r="M32" s="70" t="n"/>
      <c r="N32" s="72" t="n"/>
      <c r="O32" s="70" t="inlineStr">
        <is>
          <t>1401/01/29</t>
        </is>
      </c>
      <c r="P32" s="72" t="n">
        <v>44669</v>
      </c>
      <c r="Q32" s="70" t="inlineStr">
        <is>
          <t>1404/12/29</t>
        </is>
      </c>
      <c r="R32" s="72" t="n">
        <v>46101</v>
      </c>
      <c r="S32" s="70">
        <f>IF(OR(J32="UNKNOWN",R32=""),"",R32-IF(J32="EXACT",L32,P32))</f>
        <v>1432</v>
      </c>
      <c r="T32" s="70">
        <f>IF(J32="EXACT",R32-L32,IF(J32="INTERVAL",R32-N32,""))</f>
      </c>
      <c r="U32" s="70">
        <f>IF(S32="","",S32/365.25)</f>
        <v>3.920602327173169</v>
      </c>
      <c r="V32" s="70">
        <f>IF(U32="","",U32^2)</f>
        <v>15.37112260783567</v>
      </c>
      <c r="W32" s="70" t="inlineStr">
        <is>
          <t>FIRST_OBSERVATION_NOTICE_PUBLICATION</t>
        </is>
      </c>
      <c r="X32" s="70" t="inlineStr">
        <is>
          <t>TYPE19_ONLY</t>
        </is>
      </c>
      <c r="Y32" s="70" t="inlineStr">
        <is>
          <t>1404/05/25</t>
        </is>
      </c>
      <c r="Z32" s="70" t="inlineStr">
        <is>
          <t>LAST</t>
        </is>
      </c>
      <c r="AA32" s="70" t="n"/>
      <c r="AB32" s="70" t="inlineStr">
        <is>
          <t>MIN_CONTINUOUS|1401/01/29</t>
        </is>
      </c>
      <c r="AC32" s="70" t="n"/>
    </row>
    <row r="33" ht="29" customHeight="1" s="76">
      <c r="A33" s="71" t="inlineStr">
        <is>
          <t>T030</t>
        </is>
      </c>
      <c r="B33" s="71" t="inlineStr">
        <is>
          <t>زاگرس</t>
        </is>
      </c>
      <c r="C33" s="71" t="inlineStr">
        <is>
          <t>F05-M2</t>
        </is>
      </c>
      <c r="D33" s="71" t="inlineStr">
        <is>
          <t>MEMBER</t>
        </is>
      </c>
      <c r="E33" s="71" t="inlineStr">
        <is>
          <t>سیدمجید سیدیان</t>
        </is>
      </c>
      <c r="F33" s="71" t="inlineStr">
        <is>
          <t>گروه صنعتی شیمی پوشینه</t>
        </is>
      </c>
      <c r="G33" s="71" t="inlineStr">
        <is>
          <t>476288B6</t>
        </is>
      </c>
      <c r="H33" s="71" t="inlineStr">
        <is>
          <t>NATIONAL_ID</t>
        </is>
      </c>
      <c r="I33" s="71" t="inlineStr">
        <is>
          <t>عضو هیئت مدیره غیر موظف</t>
        </is>
      </c>
      <c r="J33" s="71" t="inlineStr">
        <is>
          <t>MIN_CONTINUOUS</t>
        </is>
      </c>
      <c r="K33" s="71" t="n"/>
      <c r="L33" s="73" t="n"/>
      <c r="M33" s="71" t="n"/>
      <c r="N33" s="73" t="n"/>
      <c r="O33" s="71" t="inlineStr">
        <is>
          <t>1401/01/29</t>
        </is>
      </c>
      <c r="P33" s="73" t="n">
        <v>44669</v>
      </c>
      <c r="Q33" s="71" t="inlineStr">
        <is>
          <t>1404/12/29</t>
        </is>
      </c>
      <c r="R33" s="73" t="n">
        <v>46101</v>
      </c>
      <c r="S33" s="71">
        <f>IF(OR(J33="UNKNOWN",R33=""),"",R33-IF(J33="EXACT",L33,P33))</f>
        <v>1432</v>
      </c>
      <c r="T33" s="71">
        <f>IF(J33="EXACT",R33-L33,IF(J33="INTERVAL",R33-N33,""))</f>
      </c>
      <c r="U33" s="71">
        <f>IF(S33="","",S33/365.25)</f>
        <v>3.920602327173169</v>
      </c>
      <c r="V33" s="71">
        <f>IF(U33="","",U33^2)</f>
        <v>15.37112260783567</v>
      </c>
      <c r="W33" s="71" t="inlineStr">
        <is>
          <t>FIRST_OBSERVATION_NOTICE_PUBLICATION</t>
        </is>
      </c>
      <c r="X33" s="71" t="inlineStr">
        <is>
          <t>TYPE19_ONLY</t>
        </is>
      </c>
      <c r="Y33" s="71" t="inlineStr">
        <is>
          <t>1404/05/25</t>
        </is>
      </c>
      <c r="Z33" s="71" t="inlineStr">
        <is>
          <t>LAST</t>
        </is>
      </c>
      <c r="AA33" s="71" t="n"/>
      <c r="AB33" s="71" t="inlineStr">
        <is>
          <t>MIN_CONTINUOUS|1401/01/29</t>
        </is>
      </c>
      <c r="AC33" s="71" t="n"/>
    </row>
    <row r="34" ht="29" customHeight="1" s="76">
      <c r="A34" s="70" t="inlineStr">
        <is>
          <t>T031</t>
        </is>
      </c>
      <c r="B34" s="70" t="inlineStr">
        <is>
          <t>زاگرس</t>
        </is>
      </c>
      <c r="C34" s="70" t="inlineStr">
        <is>
          <t>F05-M3</t>
        </is>
      </c>
      <c r="D34" s="70" t="inlineStr">
        <is>
          <t>MEMBER</t>
        </is>
      </c>
      <c r="E34" s="70" t="inlineStr">
        <is>
          <t>سیدجعفر هاشمی</t>
        </is>
      </c>
      <c r="F34" s="70" t="inlineStr">
        <is>
          <t>سرمایه گذاری هامون سپاهان</t>
        </is>
      </c>
      <c r="G34" s="70" t="inlineStr">
        <is>
          <t>EB6DCDEC</t>
        </is>
      </c>
      <c r="H34" s="70" t="inlineStr">
        <is>
          <t>NATIONAL_ID</t>
        </is>
      </c>
      <c r="I34" s="70" t="inlineStr">
        <is>
          <t>عضو هیئت مدیره غیر موظف</t>
        </is>
      </c>
      <c r="J34" s="70" t="inlineStr">
        <is>
          <t>MIN_CONTINUOUS</t>
        </is>
      </c>
      <c r="K34" s="70" t="n"/>
      <c r="L34" s="72" t="n"/>
      <c r="M34" s="70" t="n"/>
      <c r="N34" s="72" t="n"/>
      <c r="O34" s="70" t="inlineStr">
        <is>
          <t>1401/01/29</t>
        </is>
      </c>
      <c r="P34" s="72" t="n">
        <v>44669</v>
      </c>
      <c r="Q34" s="70" t="inlineStr">
        <is>
          <t>1404/12/29</t>
        </is>
      </c>
      <c r="R34" s="72" t="n">
        <v>46101</v>
      </c>
      <c r="S34" s="70">
        <f>IF(OR(J34="UNKNOWN",R34=""),"",R34-IF(J34="EXACT",L34,P34))</f>
        <v>1432</v>
      </c>
      <c r="T34" s="70">
        <f>IF(J34="EXACT",R34-L34,IF(J34="INTERVAL",R34-N34,""))</f>
      </c>
      <c r="U34" s="70">
        <f>IF(S34="","",S34/365.25)</f>
        <v>3.920602327173169</v>
      </c>
      <c r="V34" s="70">
        <f>IF(U34="","",U34^2)</f>
        <v>15.37112260783567</v>
      </c>
      <c r="W34" s="70" t="inlineStr">
        <is>
          <t>FIRST_OBSERVATION_NOTICE_PUBLICATION</t>
        </is>
      </c>
      <c r="X34" s="70" t="inlineStr">
        <is>
          <t>TYPE19_ONLY</t>
        </is>
      </c>
      <c r="Y34" s="70" t="inlineStr">
        <is>
          <t>1404/05/25</t>
        </is>
      </c>
      <c r="Z34" s="70" t="inlineStr">
        <is>
          <t>LAST</t>
        </is>
      </c>
      <c r="AA34" s="70" t="n"/>
      <c r="AB34" s="70" t="inlineStr">
        <is>
          <t>MIN_CONTINUOUS|1401/01/29</t>
        </is>
      </c>
      <c r="AC34" s="70" t="n"/>
    </row>
    <row r="35" ht="29" customHeight="1" s="76">
      <c r="A35" s="71" t="inlineStr">
        <is>
          <t>T032</t>
        </is>
      </c>
      <c r="B35" s="71" t="inlineStr">
        <is>
          <t>زاگرس</t>
        </is>
      </c>
      <c r="C35" s="71" t="inlineStr">
        <is>
          <t>F05-M4</t>
        </is>
      </c>
      <c r="D35" s="71" t="inlineStr">
        <is>
          <t>MEMBER</t>
        </is>
      </c>
      <c r="E35" s="71" t="inlineStr">
        <is>
          <t>محمدحسین مغازه ای</t>
        </is>
      </c>
      <c r="F35" s="71" t="inlineStr">
        <is>
          <t>صادرفر</t>
        </is>
      </c>
      <c r="G35" s="71" t="inlineStr">
        <is>
          <t>867163F0</t>
        </is>
      </c>
      <c r="H35" s="71" t="inlineStr">
        <is>
          <t>NATIONAL_ID</t>
        </is>
      </c>
      <c r="I35" s="71" t="inlineStr">
        <is>
          <t>عضو هیئت مدیره غیر موظف</t>
        </is>
      </c>
      <c r="J35" s="71" t="inlineStr">
        <is>
          <t>EXACT</t>
        </is>
      </c>
      <c r="K35" s="71" t="inlineStr">
        <is>
          <t>1404/08/28</t>
        </is>
      </c>
      <c r="L35" s="73" t="n">
        <v>45980</v>
      </c>
      <c r="M35" s="71" t="inlineStr">
        <is>
          <t>1404/08/28</t>
        </is>
      </c>
      <c r="N35" s="73" t="n">
        <v>45980</v>
      </c>
      <c r="O35" s="71" t="inlineStr">
        <is>
          <t>1404/08/28</t>
        </is>
      </c>
      <c r="P35" s="73" t="n">
        <v>45980</v>
      </c>
      <c r="Q35" s="71" t="inlineStr">
        <is>
          <t>1404/12/29</t>
        </is>
      </c>
      <c r="R35" s="73" t="n">
        <v>46101</v>
      </c>
      <c r="S35" s="71">
        <f>IF(OR(J35="UNKNOWN",R35=""),"",R35-IF(J35="EXACT",L35,P35))</f>
        <v>121</v>
      </c>
      <c r="T35" s="71">
        <f>IF(J35="EXACT",R35-L35,IF(J35="INTERVAL",R35-N35,""))</f>
        <v>121</v>
      </c>
      <c r="U35" s="71">
        <f>IF(S35="","",S35/365.25)</f>
        <v>0.33127994524298426</v>
      </c>
      <c r="V35" s="71">
        <f>IF(U35="","",U35^2)</f>
        <v>0.10974640212019465</v>
      </c>
      <c r="W35" s="71" t="inlineStr">
        <is>
          <t>BOARD_MEETING_DATE_IN_NOTICE</t>
        </is>
      </c>
      <c r="X35" s="71" t="inlineStr">
        <is>
          <t>TYPE19_ONLY</t>
        </is>
      </c>
      <c r="Y35" s="71" t="inlineStr">
        <is>
          <t>1404/08/28</t>
        </is>
      </c>
      <c r="Z35" s="71" t="inlineStr">
        <is>
          <t>LAST</t>
        </is>
      </c>
      <c r="AA35" s="71" t="n"/>
      <c r="AB35" s="71" t="inlineStr">
        <is>
          <t>MIN_CONTINUOUS|1401/01/29</t>
        </is>
      </c>
      <c r="AC35" s="71" t="n"/>
    </row>
    <row r="36" ht="29" customHeight="1" s="76">
      <c r="A36" s="70" t="inlineStr">
        <is>
          <t>T033</t>
        </is>
      </c>
      <c r="B36" s="70" t="inlineStr">
        <is>
          <t>زاگرس</t>
        </is>
      </c>
      <c r="C36" s="70" t="inlineStr">
        <is>
          <t>F05-M5</t>
        </is>
      </c>
      <c r="D36" s="70" t="inlineStr">
        <is>
          <t>MEMBER</t>
        </is>
      </c>
      <c r="E36" s="70" t="inlineStr">
        <is>
          <t>عماد صدیقی</t>
        </is>
      </c>
      <c r="F36" s="70" t="inlineStr">
        <is>
          <t>مجتمع صنعتی نفت و گاز صبا جم کنگان</t>
        </is>
      </c>
      <c r="G36" s="70" t="inlineStr">
        <is>
          <t>3ADD7E77</t>
        </is>
      </c>
      <c r="H36" s="70" t="inlineStr">
        <is>
          <t>NATIONAL_ID</t>
        </is>
      </c>
      <c r="I36" s="70" t="inlineStr">
        <is>
          <t>رئیس هیئت مدیره غیر موظف</t>
        </is>
      </c>
      <c r="J36" s="70" t="inlineStr">
        <is>
          <t>EXACT</t>
        </is>
      </c>
      <c r="K36" s="70" t="inlineStr">
        <is>
          <t>1404/07/30</t>
        </is>
      </c>
      <c r="L36" s="72" t="n">
        <v>45952</v>
      </c>
      <c r="M36" s="70" t="inlineStr">
        <is>
          <t>1404/07/30</t>
        </is>
      </c>
      <c r="N36" s="72" t="n">
        <v>45952</v>
      </c>
      <c r="O36" s="70" t="inlineStr">
        <is>
          <t>1404/07/30</t>
        </is>
      </c>
      <c r="P36" s="72" t="n">
        <v>45952</v>
      </c>
      <c r="Q36" s="70" t="inlineStr">
        <is>
          <t>1404/12/29</t>
        </is>
      </c>
      <c r="R36" s="72" t="n">
        <v>46101</v>
      </c>
      <c r="S36" s="70">
        <f>IF(OR(J36="UNKNOWN",R36=""),"",R36-IF(J36="EXACT",L36,P36))</f>
        <v>149</v>
      </c>
      <c r="T36" s="70">
        <f>IF(J36="EXACT",R36-L36,IF(J36="INTERVAL",R36-N36,""))</f>
        <v>149</v>
      </c>
      <c r="U36" s="70">
        <f>IF(S36="","",S36/365.25)</f>
        <v>0.4079397672826831</v>
      </c>
      <c r="V36" s="70">
        <f>IF(U36="","",U36^2)</f>
        <v>0.16641485373064965</v>
      </c>
      <c r="W36" s="70" t="inlineStr">
        <is>
          <t>BOARD_MEETING_DATE_IN_NOTICE</t>
        </is>
      </c>
      <c r="X36" s="70" t="inlineStr">
        <is>
          <t>TYPE19_ONLY</t>
        </is>
      </c>
      <c r="Y36" s="70" t="inlineStr">
        <is>
          <t>1404/07/30</t>
        </is>
      </c>
      <c r="Z36" s="70" t="inlineStr">
        <is>
          <t>LAST</t>
        </is>
      </c>
      <c r="AA36" s="70" t="n"/>
      <c r="AB36" s="70" t="inlineStr">
        <is>
          <t>MIN_CONTINUOUS|1401/01/29</t>
        </is>
      </c>
      <c r="AC36" s="70" t="n"/>
    </row>
    <row r="37" ht="29" customHeight="1" s="76">
      <c r="A37" s="71" t="inlineStr">
        <is>
          <t>T034</t>
        </is>
      </c>
      <c r="B37" s="71" t="inlineStr">
        <is>
          <t>زاگرس</t>
        </is>
      </c>
      <c r="C37" s="71" t="inlineStr">
        <is>
          <t>F05-M5</t>
        </is>
      </c>
      <c r="D37" s="71" t="inlineStr">
        <is>
          <t>CHAIR</t>
        </is>
      </c>
      <c r="E37" s="71" t="inlineStr">
        <is>
          <t>عماد صدیقی</t>
        </is>
      </c>
      <c r="F37" s="71" t="inlineStr">
        <is>
          <t>مجتمع صنعتی نفت و گاز صبا جم کنگان</t>
        </is>
      </c>
      <c r="G37" s="71" t="inlineStr">
        <is>
          <t>3ADD7E77</t>
        </is>
      </c>
      <c r="H37" s="71" t="inlineStr">
        <is>
          <t>NATIONAL_ID</t>
        </is>
      </c>
      <c r="I37" s="71" t="inlineStr">
        <is>
          <t>رئیس هیئت مدیره</t>
        </is>
      </c>
      <c r="J37" s="71" t="inlineStr">
        <is>
          <t>EXACT</t>
        </is>
      </c>
      <c r="K37" s="71" t="inlineStr">
        <is>
          <t>1404/07/30</t>
        </is>
      </c>
      <c r="L37" s="73" t="n">
        <v>45952</v>
      </c>
      <c r="M37" s="71" t="inlineStr">
        <is>
          <t>1404/07/30</t>
        </is>
      </c>
      <c r="N37" s="73" t="n">
        <v>45952</v>
      </c>
      <c r="O37" s="71" t="inlineStr">
        <is>
          <t>1404/07/30</t>
        </is>
      </c>
      <c r="P37" s="73" t="n">
        <v>45952</v>
      </c>
      <c r="Q37" s="71" t="inlineStr">
        <is>
          <t>1404/12/29</t>
        </is>
      </c>
      <c r="R37" s="73" t="n">
        <v>46101</v>
      </c>
      <c r="S37" s="71">
        <f>IF(OR(J37="UNKNOWN",R37=""),"",R37-IF(J37="EXACT",L37,P37))</f>
        <v>149</v>
      </c>
      <c r="T37" s="71">
        <f>IF(J37="EXACT",R37-L37,IF(J37="INTERVAL",R37-N37,""))</f>
        <v>149</v>
      </c>
      <c r="U37" s="71">
        <f>IF(S37="","",S37/365.25)</f>
        <v>0.4079397672826831</v>
      </c>
      <c r="V37" s="71">
        <f>IF(U37="","",U37^2)</f>
        <v>0.16641485373064965</v>
      </c>
      <c r="W37" s="71" t="inlineStr">
        <is>
          <t>BOARD_MEETING_DATE_IN_NOTICE</t>
        </is>
      </c>
      <c r="X37" s="71" t="inlineStr">
        <is>
          <t>TYPE19_ONLY|PERSON_ROLE_CHAIN</t>
        </is>
      </c>
      <c r="Y37" s="71" t="n"/>
      <c r="Z37" s="71" t="n"/>
      <c r="AA37" s="71" t="n"/>
      <c r="AB37" s="71" t="n"/>
      <c r="AC37" s="71" t="n"/>
    </row>
    <row r="38" ht="29" customHeight="1" s="76">
      <c r="A38" s="70" t="inlineStr">
        <is>
          <t>T035</t>
        </is>
      </c>
      <c r="B38" s="70" t="inlineStr">
        <is>
          <t>زاگرس</t>
        </is>
      </c>
      <c r="C38" s="70" t="n"/>
      <c r="D38" s="70" t="inlineStr">
        <is>
          <t>CEO</t>
        </is>
      </c>
      <c r="E38" s="70" t="inlineStr">
        <is>
          <t>متین دیداری</t>
        </is>
      </c>
      <c r="F38" s="70" t="n"/>
      <c r="G38" s="70" t="inlineStr">
        <is>
          <t>A3E3C90E</t>
        </is>
      </c>
      <c r="H38" s="70" t="inlineStr">
        <is>
          <t>NATIONAL_ID</t>
        </is>
      </c>
      <c r="I38" s="70" t="inlineStr">
        <is>
          <t>مدیرعامل</t>
        </is>
      </c>
      <c r="J38" s="70" t="inlineStr">
        <is>
          <t>MIN_CONTINUOUS</t>
        </is>
      </c>
      <c r="K38" s="70" t="n"/>
      <c r="L38" s="72" t="n"/>
      <c r="M38" s="70" t="n"/>
      <c r="N38" s="72" t="n"/>
      <c r="O38" s="70" t="inlineStr">
        <is>
          <t>1402/05/08</t>
        </is>
      </c>
      <c r="P38" s="72" t="n">
        <v>45137</v>
      </c>
      <c r="Q38" s="70" t="inlineStr">
        <is>
          <t>1404/12/29</t>
        </is>
      </c>
      <c r="R38" s="72" t="n">
        <v>46101</v>
      </c>
      <c r="S38" s="70">
        <f>IF(OR(J38="UNKNOWN",R38=""),"",R38-IF(J38="EXACT",L38,P38))</f>
        <v>964</v>
      </c>
      <c r="T38" s="70">
        <f>IF(J38="EXACT",R38-L38,IF(J38="INTERVAL",R38-N38,""))</f>
      </c>
      <c r="U38" s="70">
        <f>IF(S38="","",S38/365.25)</f>
        <v>2.639288158795346</v>
      </c>
      <c r="V38" s="70">
        <f>IF(U38="","",U38^2)</f>
        <v>6.9658419851573266</v>
      </c>
      <c r="W38" s="70" t="inlineStr">
        <is>
          <t>FIRST_OBSERVATION_NOTICE_PUBLICATION</t>
        </is>
      </c>
      <c r="X38" s="70" t="inlineStr">
        <is>
          <t>TYPE19_ONLY</t>
        </is>
      </c>
      <c r="Y38" s="70" t="n"/>
      <c r="Z38" s="70" t="n"/>
      <c r="AA38" s="70" t="n"/>
      <c r="AB38" s="70" t="inlineStr">
        <is>
          <t>عضو هیئت مدیره</t>
        </is>
      </c>
      <c r="AC38" s="70" t="n"/>
    </row>
    <row r="39" ht="29" customHeight="1" s="76">
      <c r="A39" s="71" t="inlineStr">
        <is>
          <t>T036</t>
        </is>
      </c>
      <c r="B39" s="71" t="inlineStr">
        <is>
          <t>شبندر</t>
        </is>
      </c>
      <c r="C39" s="71" t="inlineStr">
        <is>
          <t>F06-M1</t>
        </is>
      </c>
      <c r="D39" s="71" t="inlineStr">
        <is>
          <t>MEMBER</t>
        </is>
      </c>
      <c r="E39" s="71" t="inlineStr">
        <is>
          <t>اسحاق جعفری</t>
        </is>
      </c>
      <c r="F39" s="71" t="inlineStr">
        <is>
          <t>توسعه پیشرو رفاه پردیس</t>
        </is>
      </c>
      <c r="G39" s="71" t="inlineStr">
        <is>
          <t>40E53F85</t>
        </is>
      </c>
      <c r="H39" s="71" t="inlineStr">
        <is>
          <t>NATIONAL_ID</t>
        </is>
      </c>
      <c r="I39" s="71" t="inlineStr">
        <is>
          <t>عضو هیئت مدیره موظف</t>
        </is>
      </c>
      <c r="J39" s="71" t="inlineStr">
        <is>
          <t>MIN_CONTINUOUS</t>
        </is>
      </c>
      <c r="K39" s="71" t="n"/>
      <c r="L39" s="73" t="n"/>
      <c r="M39" s="71" t="n"/>
      <c r="N39" s="73" t="n"/>
      <c r="O39" s="71" t="inlineStr">
        <is>
          <t>1401/11/25</t>
        </is>
      </c>
      <c r="P39" s="73" t="n">
        <v>44971</v>
      </c>
      <c r="Q39" s="71" t="inlineStr">
        <is>
          <t>1404/12/29</t>
        </is>
      </c>
      <c r="R39" s="73" t="n">
        <v>46101</v>
      </c>
      <c r="S39" s="71">
        <f>IF(OR(J39="UNKNOWN",R39=""),"",R39-IF(J39="EXACT",L39,P39))</f>
        <v>1130</v>
      </c>
      <c r="T39" s="71">
        <f>IF(J39="EXACT",R39-L39,IF(J39="INTERVAL",R39-N39,""))</f>
      </c>
      <c r="U39" s="71">
        <f>IF(S39="","",S39/365.25)</f>
        <v>3.0937713894592744</v>
      </c>
      <c r="V39" s="71">
        <f>IF(U39="","",U39^2)</f>
        <v>9.57142141023677</v>
      </c>
      <c r="W39" s="71" t="inlineStr">
        <is>
          <t>FIRST_OBSERVATION_NOTICE_PUBLICATION</t>
        </is>
      </c>
      <c r="X39" s="71" t="inlineStr">
        <is>
          <t>TYPE19_ONLY</t>
        </is>
      </c>
      <c r="Y39" s="71" t="n"/>
      <c r="Z39" s="71" t="n"/>
      <c r="AA39" s="71" t="n"/>
      <c r="AB39" s="71" t="inlineStr">
        <is>
          <t>MIN_CONTINUOUS|1401/11/25</t>
        </is>
      </c>
      <c r="AC39" s="71" t="n"/>
    </row>
    <row r="40" ht="29" customHeight="1" s="76">
      <c r="A40" s="70" t="inlineStr">
        <is>
          <t>T037</t>
        </is>
      </c>
      <c r="B40" s="70" t="inlineStr">
        <is>
          <t>شبندر</t>
        </is>
      </c>
      <c r="C40" s="70" t="inlineStr">
        <is>
          <t>F06-M2</t>
        </is>
      </c>
      <c r="D40" s="70" t="inlineStr">
        <is>
          <t>MEMBER</t>
        </is>
      </c>
      <c r="E40" s="70" t="inlineStr">
        <is>
          <t>احمد هاشمی</t>
        </is>
      </c>
      <c r="F40" s="70" t="inlineStr">
        <is>
          <t>سرمایه گذاری توسعه سرمایه رفاه</t>
        </is>
      </c>
      <c r="G40" s="70" t="inlineStr">
        <is>
          <t>FE6B3B42</t>
        </is>
      </c>
      <c r="H40" s="70" t="inlineStr">
        <is>
          <t>NATIONAL_ID</t>
        </is>
      </c>
      <c r="I40" s="70" t="inlineStr">
        <is>
          <t>نایب رئیس هیئت مدیره موظف</t>
        </is>
      </c>
      <c r="J40" s="70" t="inlineStr">
        <is>
          <t>EXACT</t>
        </is>
      </c>
      <c r="K40" s="70" t="inlineStr">
        <is>
          <t>1402/11/02</t>
        </is>
      </c>
      <c r="L40" s="72" t="n">
        <v>45313</v>
      </c>
      <c r="M40" s="70" t="inlineStr">
        <is>
          <t>1402/11/02</t>
        </is>
      </c>
      <c r="N40" s="72" t="n">
        <v>45313</v>
      </c>
      <c r="O40" s="70" t="inlineStr">
        <is>
          <t>1402/11/02</t>
        </is>
      </c>
      <c r="P40" s="72" t="n">
        <v>45313</v>
      </c>
      <c r="Q40" s="70" t="inlineStr">
        <is>
          <t>1404/12/29</t>
        </is>
      </c>
      <c r="R40" s="72" t="n">
        <v>46101</v>
      </c>
      <c r="S40" s="70">
        <f>IF(OR(J40="UNKNOWN",R40=""),"",R40-IF(J40="EXACT",L40,P40))</f>
        <v>788</v>
      </c>
      <c r="T40" s="70">
        <f>IF(J40="EXACT",R40-L40,IF(J40="INTERVAL",R40-N40,""))</f>
        <v>788</v>
      </c>
      <c r="U40" s="70">
        <f>IF(S40="","",S40/365.25)</f>
        <v>2.1574264202600957</v>
      </c>
      <c r="V40" s="70">
        <f>IF(U40="","",U40^2)</f>
        <v>4.654488758836291</v>
      </c>
      <c r="W40" s="70" t="inlineStr">
        <is>
          <t>BOARD_MEETING_DATE_IN_NOTICE</t>
        </is>
      </c>
      <c r="X40" s="70" t="inlineStr">
        <is>
          <t>TYPE19_ONLY</t>
        </is>
      </c>
      <c r="Y40" s="70" t="n"/>
      <c r="Z40" s="70" t="n"/>
      <c r="AA40" s="70" t="n"/>
      <c r="AB40" s="70" t="inlineStr">
        <is>
          <t>MIN_CONTINUOUS|1401/11/25</t>
        </is>
      </c>
      <c r="AC40" s="70" t="n"/>
    </row>
    <row r="41" ht="29" customHeight="1" s="76">
      <c r="A41" s="71" t="inlineStr">
        <is>
          <t>T038</t>
        </is>
      </c>
      <c r="B41" s="71" t="inlineStr">
        <is>
          <t>شبندر</t>
        </is>
      </c>
      <c r="C41" s="71" t="inlineStr">
        <is>
          <t>F06-M3</t>
        </is>
      </c>
      <c r="D41" s="71" t="inlineStr">
        <is>
          <t>MEMBER</t>
        </is>
      </c>
      <c r="E41" s="71" t="inlineStr">
        <is>
          <t>سیدحامد اکبری</t>
        </is>
      </c>
      <c r="F41" s="71" t="inlineStr">
        <is>
          <t>بانک صادرات ایران</t>
        </is>
      </c>
      <c r="G41" s="71" t="inlineStr">
        <is>
          <t>A7A65E9A</t>
        </is>
      </c>
      <c r="H41" s="71" t="inlineStr">
        <is>
          <t>NATIONAL_ID</t>
        </is>
      </c>
      <c r="I41" s="71" t="inlineStr">
        <is>
          <t>عضو هیئت مدیره غیر موظف</t>
        </is>
      </c>
      <c r="J41" s="71" t="inlineStr">
        <is>
          <t>EXACT</t>
        </is>
      </c>
      <c r="K41" s="71" t="inlineStr">
        <is>
          <t>1403/12/27</t>
        </is>
      </c>
      <c r="L41" s="73" t="n">
        <v>45733</v>
      </c>
      <c r="M41" s="71" t="inlineStr">
        <is>
          <t>1403/12/27</t>
        </is>
      </c>
      <c r="N41" s="73" t="n">
        <v>45733</v>
      </c>
      <c r="O41" s="71" t="inlineStr">
        <is>
          <t>1403/12/27</t>
        </is>
      </c>
      <c r="P41" s="73" t="n">
        <v>45733</v>
      </c>
      <c r="Q41" s="71" t="inlineStr">
        <is>
          <t>1404/12/29</t>
        </is>
      </c>
      <c r="R41" s="73" t="n">
        <v>46101</v>
      </c>
      <c r="S41" s="71">
        <f>IF(OR(J41="UNKNOWN",R41=""),"",R41-IF(J41="EXACT",L41,P41))</f>
        <v>368</v>
      </c>
      <c r="T41" s="71">
        <f>IF(J41="EXACT",R41-L41,IF(J41="INTERVAL",R41-N41,""))</f>
        <v>368</v>
      </c>
      <c r="U41" s="71">
        <f>IF(S41="","",S41/365.25)</f>
        <v>1.0075290896646132</v>
      </c>
      <c r="V41" s="71">
        <f>IF(U41="","",U41^2)</f>
        <v>1.0151148665204042</v>
      </c>
      <c r="W41" s="71" t="inlineStr">
        <is>
          <t>BOARD_MEETING_DATE_IN_NOTICE</t>
        </is>
      </c>
      <c r="X41" s="71" t="inlineStr">
        <is>
          <t>TYPE19_ONLY</t>
        </is>
      </c>
      <c r="Y41" s="71" t="n"/>
      <c r="Z41" s="71" t="n"/>
      <c r="AA41" s="71" t="n"/>
      <c r="AB41" s="71" t="inlineStr">
        <is>
          <t>EXACT|1402/11/02</t>
        </is>
      </c>
      <c r="AC41" s="71" t="n"/>
    </row>
    <row r="42" ht="29" customHeight="1" s="76">
      <c r="A42" s="70" t="inlineStr">
        <is>
          <t>T039</t>
        </is>
      </c>
      <c r="B42" s="70" t="inlineStr">
        <is>
          <t>شبندر</t>
        </is>
      </c>
      <c r="C42" s="70" t="inlineStr">
        <is>
          <t>F06-M4</t>
        </is>
      </c>
      <c r="D42" s="70" t="inlineStr">
        <is>
          <t>MEMBER</t>
        </is>
      </c>
      <c r="E42" s="70" t="inlineStr">
        <is>
          <t>محمد صادقی</t>
        </is>
      </c>
      <c r="F42" s="70" t="inlineStr">
        <is>
          <t>سرمایه گذاری استان بوشهر</t>
        </is>
      </c>
      <c r="G42" s="70" t="inlineStr">
        <is>
          <t>E2F24564</t>
        </is>
      </c>
      <c r="H42" s="70" t="inlineStr">
        <is>
          <t>NATIONAL_ID</t>
        </is>
      </c>
      <c r="I42" s="70" t="inlineStr">
        <is>
          <t>رئیس هیئت مدیره غیر موظف</t>
        </is>
      </c>
      <c r="J42" s="70" t="inlineStr">
        <is>
          <t>EXACT</t>
        </is>
      </c>
      <c r="K42" s="70" t="inlineStr">
        <is>
          <t>1404/05/27</t>
        </is>
      </c>
      <c r="L42" s="72" t="n">
        <v>45887</v>
      </c>
      <c r="M42" s="70" t="inlineStr">
        <is>
          <t>1404/05/27</t>
        </is>
      </c>
      <c r="N42" s="72" t="n">
        <v>45887</v>
      </c>
      <c r="O42" s="70" t="inlineStr">
        <is>
          <t>1404/05/27</t>
        </is>
      </c>
      <c r="P42" s="72" t="n">
        <v>45887</v>
      </c>
      <c r="Q42" s="70" t="inlineStr">
        <is>
          <t>1404/12/29</t>
        </is>
      </c>
      <c r="R42" s="72" t="n">
        <v>46101</v>
      </c>
      <c r="S42" s="70">
        <f>IF(OR(J42="UNKNOWN",R42=""),"",R42-IF(J42="EXACT",L42,P42))</f>
        <v>214</v>
      </c>
      <c r="T42" s="70">
        <f>IF(J42="EXACT",R42-L42,IF(J42="INTERVAL",R42-N42,""))</f>
        <v>214</v>
      </c>
      <c r="U42" s="70">
        <f>IF(S42="","",S42/365.25)</f>
        <v>0.5859000684462696</v>
      </c>
      <c r="V42" s="70">
        <f>IF(U42="","",U42^2)</f>
        <v>0.3432788902053434</v>
      </c>
      <c r="W42" s="70" t="inlineStr">
        <is>
          <t>BOARD_MEETING_DATE_IN_NOTICE</t>
        </is>
      </c>
      <c r="X42" s="70" t="inlineStr">
        <is>
          <t>TYPE19_ONLY</t>
        </is>
      </c>
      <c r="Y42" s="70" t="n"/>
      <c r="Z42" s="70" t="n"/>
      <c r="AA42" s="70" t="n"/>
      <c r="AB42" s="70" t="inlineStr">
        <is>
          <t>EXACT|1404/10/07</t>
        </is>
      </c>
      <c r="AC42" s="70" t="n"/>
    </row>
    <row r="43" ht="29" customHeight="1" s="76">
      <c r="A43" s="71" t="inlineStr">
        <is>
          <t>T040</t>
        </is>
      </c>
      <c r="B43" s="71" t="inlineStr">
        <is>
          <t>شبندر</t>
        </is>
      </c>
      <c r="C43" s="71" t="inlineStr">
        <is>
          <t>F06-M4</t>
        </is>
      </c>
      <c r="D43" s="71" t="inlineStr">
        <is>
          <t>CHAIR</t>
        </is>
      </c>
      <c r="E43" s="71" t="inlineStr">
        <is>
          <t>محمد صادقی</t>
        </is>
      </c>
      <c r="F43" s="71" t="inlineStr">
        <is>
          <t>سرمایه گذاری استان بوشهر</t>
        </is>
      </c>
      <c r="G43" s="71" t="inlineStr">
        <is>
          <t>E2F24564</t>
        </is>
      </c>
      <c r="H43" s="71" t="inlineStr">
        <is>
          <t>NATIONAL_ID</t>
        </is>
      </c>
      <c r="I43" s="71" t="inlineStr">
        <is>
          <t>رئیس هیئت مدیره</t>
        </is>
      </c>
      <c r="J43" s="71" t="inlineStr">
        <is>
          <t>EXACT</t>
        </is>
      </c>
      <c r="K43" s="71" t="inlineStr">
        <is>
          <t>1404/05/27</t>
        </is>
      </c>
      <c r="L43" s="73" t="n">
        <v>45887</v>
      </c>
      <c r="M43" s="71" t="inlineStr">
        <is>
          <t>1404/05/27</t>
        </is>
      </c>
      <c r="N43" s="73" t="n">
        <v>45887</v>
      </c>
      <c r="O43" s="71" t="inlineStr">
        <is>
          <t>1404/05/27</t>
        </is>
      </c>
      <c r="P43" s="73" t="n">
        <v>45887</v>
      </c>
      <c r="Q43" s="71" t="inlineStr">
        <is>
          <t>1404/12/29</t>
        </is>
      </c>
      <c r="R43" s="73" t="n">
        <v>46101</v>
      </c>
      <c r="S43" s="71">
        <f>IF(OR(J43="UNKNOWN",R43=""),"",R43-IF(J43="EXACT",L43,P43))</f>
        <v>214</v>
      </c>
      <c r="T43" s="71">
        <f>IF(J43="EXACT",R43-L43,IF(J43="INTERVAL",R43-N43,""))</f>
        <v>214</v>
      </c>
      <c r="U43" s="71">
        <f>IF(S43="","",S43/365.25)</f>
        <v>0.5859000684462696</v>
      </c>
      <c r="V43" s="71">
        <f>IF(U43="","",U43^2)</f>
        <v>0.3432788902053434</v>
      </c>
      <c r="W43" s="71" t="inlineStr">
        <is>
          <t>BOARD_MEETING_DATE_IN_NOTICE</t>
        </is>
      </c>
      <c r="X43" s="71" t="inlineStr">
        <is>
          <t>TYPE19_ONLY|PERSON_ROLE_CHAIN</t>
        </is>
      </c>
      <c r="Y43" s="71" t="n"/>
      <c r="Z43" s="71" t="n"/>
      <c r="AA43" s="71" t="n"/>
      <c r="AB43" s="71" t="n"/>
      <c r="AC43" s="71" t="n"/>
    </row>
    <row r="44" ht="29" customHeight="1" s="76">
      <c r="A44" s="70" t="inlineStr">
        <is>
          <t>T041</t>
        </is>
      </c>
      <c r="B44" s="70" t="inlineStr">
        <is>
          <t>شبندر</t>
        </is>
      </c>
      <c r="C44" s="70" t="inlineStr">
        <is>
          <t>F06-M5</t>
        </is>
      </c>
      <c r="D44" s="70" t="inlineStr">
        <is>
          <t>MEMBER</t>
        </is>
      </c>
      <c r="E44" s="70" t="inlineStr">
        <is>
          <t>عبدالوهاب ارامش</t>
        </is>
      </c>
      <c r="F44" s="70" t="inlineStr">
        <is>
          <t>سرمایه گذاری هامون سپاهان</t>
        </is>
      </c>
      <c r="G44" s="70" t="inlineStr">
        <is>
          <t>BB37AB81</t>
        </is>
      </c>
      <c r="H44" s="70" t="inlineStr">
        <is>
          <t>NATIONAL_ID</t>
        </is>
      </c>
      <c r="I44" s="70" t="inlineStr">
        <is>
          <t>عضو هیئت مدیره غیر موظف</t>
        </is>
      </c>
      <c r="J44" s="70" t="inlineStr">
        <is>
          <t>EXACT</t>
        </is>
      </c>
      <c r="K44" s="70" t="inlineStr">
        <is>
          <t>1404/10/18</t>
        </is>
      </c>
      <c r="L44" s="72" t="n">
        <v>46030</v>
      </c>
      <c r="M44" s="70" t="inlineStr">
        <is>
          <t>1404/10/18</t>
        </is>
      </c>
      <c r="N44" s="72" t="n">
        <v>46030</v>
      </c>
      <c r="O44" s="70" t="inlineStr">
        <is>
          <t>1404/10/18</t>
        </is>
      </c>
      <c r="P44" s="72" t="n">
        <v>46030</v>
      </c>
      <c r="Q44" s="70" t="inlineStr">
        <is>
          <t>1404/12/29</t>
        </is>
      </c>
      <c r="R44" s="72" t="n">
        <v>46101</v>
      </c>
      <c r="S44" s="70">
        <f>IF(OR(J44="UNKNOWN",R44=""),"",R44-IF(J44="EXACT",L44,P44))</f>
        <v>71</v>
      </c>
      <c r="T44" s="70">
        <f>IF(J44="EXACT",R44-L44,IF(J44="INTERVAL",R44-N44,""))</f>
        <v>71</v>
      </c>
      <c r="U44" s="70">
        <f>IF(S44="","",S44/365.25)</f>
        <v>0.1943874058863792</v>
      </c>
      <c r="V44" s="70">
        <f>IF(U44="","",U44^2)</f>
        <v>0.03778646356723593</v>
      </c>
      <c r="W44" s="70" t="inlineStr">
        <is>
          <t>BOARD_MEETING_DATE_IN_NOTICE</t>
        </is>
      </c>
      <c r="X44" s="70" t="inlineStr">
        <is>
          <t>TYPE19_ONLY</t>
        </is>
      </c>
      <c r="Y44" s="70" t="n"/>
      <c r="Z44" s="70" t="n"/>
      <c r="AA44" s="70" t="n"/>
      <c r="AB44" s="70" t="inlineStr">
        <is>
          <t>EXACT|1404/10/07</t>
        </is>
      </c>
      <c r="AC44" s="70" t="n"/>
    </row>
    <row r="45" ht="29" customHeight="1" s="76">
      <c r="A45" s="71" t="inlineStr">
        <is>
          <t>T042</t>
        </is>
      </c>
      <c r="B45" s="71" t="inlineStr">
        <is>
          <t>شبندر</t>
        </is>
      </c>
      <c r="C45" s="71" t="n"/>
      <c r="D45" s="71" t="inlineStr">
        <is>
          <t>CEO</t>
        </is>
      </c>
      <c r="E45" s="71" t="inlineStr">
        <is>
          <t>احمد هاشمی</t>
        </is>
      </c>
      <c r="F45" s="71" t="n"/>
      <c r="G45" s="71" t="inlineStr">
        <is>
          <t>FE6B3B42</t>
        </is>
      </c>
      <c r="H45" s="71" t="inlineStr">
        <is>
          <t>NATIONAL_ID</t>
        </is>
      </c>
      <c r="I45" s="71" t="inlineStr">
        <is>
          <t>مدیرعامل</t>
        </is>
      </c>
      <c r="J45" s="71" t="inlineStr">
        <is>
          <t>MIN_CONTINUOUS</t>
        </is>
      </c>
      <c r="K45" s="71" t="n"/>
      <c r="L45" s="73" t="n"/>
      <c r="M45" s="71" t="n"/>
      <c r="N45" s="73" t="n"/>
      <c r="O45" s="71" t="inlineStr">
        <is>
          <t>1402/11/07</t>
        </is>
      </c>
      <c r="P45" s="73" t="n">
        <v>45318</v>
      </c>
      <c r="Q45" s="71" t="inlineStr">
        <is>
          <t>1404/12/29</t>
        </is>
      </c>
      <c r="R45" s="73" t="n">
        <v>46101</v>
      </c>
      <c r="S45" s="71">
        <f>IF(OR(J45="UNKNOWN",R45=""),"",R45-IF(J45="EXACT",L45,P45))</f>
        <v>783</v>
      </c>
      <c r="T45" s="71">
        <f>IF(J45="EXACT",R45-L45,IF(J45="INTERVAL",R45-N45,""))</f>
      </c>
      <c r="U45" s="71">
        <f>IF(S45="","",S45/365.25)</f>
        <v>2.1437371663244353</v>
      </c>
      <c r="V45" s="71">
        <f>IF(U45="","",U45^2)</f>
        <v>4.5956090382807195</v>
      </c>
      <c r="W45" s="71" t="inlineStr">
        <is>
          <t>FIRST_OBSERVATION_NOTICE_PUBLICATION</t>
        </is>
      </c>
      <c r="X45" s="71" t="inlineStr">
        <is>
          <t>TYPE19_ONLY</t>
        </is>
      </c>
      <c r="Y45" s="71" t="n"/>
      <c r="Z45" s="71" t="n"/>
      <c r="AA45" s="71" t="n"/>
      <c r="AB45" s="71" t="inlineStr">
        <is>
          <t>عضو هیئت مدیره</t>
        </is>
      </c>
      <c r="AC45" s="71" t="n"/>
    </row>
    <row r="46" ht="29" customHeight="1" s="76">
      <c r="A46" s="70" t="inlineStr">
        <is>
          <t>T043</t>
        </is>
      </c>
      <c r="B46" s="70" t="inlineStr">
        <is>
          <t>پارس</t>
        </is>
      </c>
      <c r="C46" s="70" t="inlineStr">
        <is>
          <t>F07-M1</t>
        </is>
      </c>
      <c r="D46" s="70" t="inlineStr">
        <is>
          <t>MEMBER</t>
        </is>
      </c>
      <c r="E46" s="70" t="inlineStr">
        <is>
          <t>ابراهیم صادقی</t>
        </is>
      </c>
      <c r="F46" s="70" t="inlineStr">
        <is>
          <t>گروه گسترش نفت و گاز پارسیان</t>
        </is>
      </c>
      <c r="G46" s="70" t="inlineStr">
        <is>
          <t>7384019B</t>
        </is>
      </c>
      <c r="H46" s="70" t="inlineStr">
        <is>
          <t>NATIONAL_ID</t>
        </is>
      </c>
      <c r="I46" s="70" t="inlineStr">
        <is>
          <t>عضو هیئت مدیره غیر موظف</t>
        </is>
      </c>
      <c r="J46" s="70" t="inlineStr">
        <is>
          <t>EXACT</t>
        </is>
      </c>
      <c r="K46" s="70" t="inlineStr">
        <is>
          <t>1404/01/30</t>
        </is>
      </c>
      <c r="L46" s="72" t="n">
        <v>45766</v>
      </c>
      <c r="M46" s="70" t="inlineStr">
        <is>
          <t>1404/01/30</t>
        </is>
      </c>
      <c r="N46" s="72" t="n">
        <v>45766</v>
      </c>
      <c r="O46" s="70" t="inlineStr">
        <is>
          <t>1404/01/30</t>
        </is>
      </c>
      <c r="P46" s="72" t="n">
        <v>45766</v>
      </c>
      <c r="Q46" s="70" t="inlineStr">
        <is>
          <t>1404/12/29</t>
        </is>
      </c>
      <c r="R46" s="72" t="n">
        <v>46101</v>
      </c>
      <c r="S46" s="70">
        <f>IF(OR(J46="UNKNOWN",R46=""),"",R46-IF(J46="EXACT",L46,P46))</f>
        <v>335</v>
      </c>
      <c r="T46" s="70">
        <f>IF(J46="EXACT",R46-L46,IF(J46="INTERVAL",R46-N46,""))</f>
        <v>335</v>
      </c>
      <c r="U46" s="70">
        <f>IF(S46="","",S46/365.25)</f>
        <v>0.917180013689254</v>
      </c>
      <c r="V46" s="70">
        <f>IF(U46="","",U46^2)</f>
        <v>0.84121917751102</v>
      </c>
      <c r="W46" s="70" t="inlineStr">
        <is>
          <t>BOARD_MEETING_DATE_IN_NOTICE</t>
        </is>
      </c>
      <c r="X46" s="70" t="inlineStr">
        <is>
          <t>TYPE19_ONLY</t>
        </is>
      </c>
      <c r="Y46" s="70" t="n"/>
      <c r="Z46" s="70" t="n"/>
      <c r="AA46" s="70" t="n"/>
      <c r="AB46" s="70" t="inlineStr">
        <is>
          <t>MIN_CONTINUOUS|1401/05/01</t>
        </is>
      </c>
      <c r="AC46" s="70" t="n"/>
    </row>
    <row r="47" ht="29" customHeight="1" s="76">
      <c r="A47" s="71" t="inlineStr">
        <is>
          <t>T044</t>
        </is>
      </c>
      <c r="B47" s="71" t="inlineStr">
        <is>
          <t>پارس</t>
        </is>
      </c>
      <c r="C47" s="71" t="inlineStr">
        <is>
          <t>F07-M2</t>
        </is>
      </c>
      <c r="D47" s="71" t="inlineStr">
        <is>
          <t>MEMBER</t>
        </is>
      </c>
      <c r="E47" s="71" t="inlineStr">
        <is>
          <t>رضا فرزادی</t>
        </is>
      </c>
      <c r="F47" s="71" t="inlineStr">
        <is>
          <t>سرمایه گذاری غدیر</t>
        </is>
      </c>
      <c r="G47" s="71" t="inlineStr">
        <is>
          <t>3D577CA8</t>
        </is>
      </c>
      <c r="H47" s="71" t="inlineStr">
        <is>
          <t>NATIONAL_ID</t>
        </is>
      </c>
      <c r="I47" s="71" t="inlineStr">
        <is>
          <t>عضو هیئت مدیره غیر موظف</t>
        </is>
      </c>
      <c r="J47" s="71" t="inlineStr">
        <is>
          <t>EXACT</t>
        </is>
      </c>
      <c r="K47" s="71" t="inlineStr">
        <is>
          <t>1403/05/24</t>
        </is>
      </c>
      <c r="L47" s="73" t="n">
        <v>45518</v>
      </c>
      <c r="M47" s="71" t="inlineStr">
        <is>
          <t>1403/05/24</t>
        </is>
      </c>
      <c r="N47" s="73" t="n">
        <v>45518</v>
      </c>
      <c r="O47" s="71" t="inlineStr">
        <is>
          <t>1403/05/24</t>
        </is>
      </c>
      <c r="P47" s="73" t="n">
        <v>45518</v>
      </c>
      <c r="Q47" s="71" t="inlineStr">
        <is>
          <t>1404/12/29</t>
        </is>
      </c>
      <c r="R47" s="73" t="n">
        <v>46101</v>
      </c>
      <c r="S47" s="71">
        <f>IF(OR(J47="UNKNOWN",R47=""),"",R47-IF(J47="EXACT",L47,P47))</f>
        <v>583</v>
      </c>
      <c r="T47" s="71">
        <f>IF(J47="EXACT",R47-L47,IF(J47="INTERVAL",R47-N47,""))</f>
        <v>583</v>
      </c>
      <c r="U47" s="71">
        <f>IF(S47="","",S47/365.25)</f>
        <v>1.596167008898015</v>
      </c>
      <c r="V47" s="71">
        <f>IF(U47="","",U47^2)</f>
        <v>2.5477491202944362</v>
      </c>
      <c r="W47" s="71" t="inlineStr">
        <is>
          <t>BOARD_MEETING_DATE_IN_NOTICE</t>
        </is>
      </c>
      <c r="X47" s="71" t="inlineStr">
        <is>
          <t>TYPE19_ONLY</t>
        </is>
      </c>
      <c r="Y47" s="71" t="n"/>
      <c r="Z47" s="71" t="n"/>
      <c r="AA47" s="71" t="n"/>
      <c r="AB47" s="71" t="inlineStr">
        <is>
          <t>MIN_CONTINUOUS|1401/05/01</t>
        </is>
      </c>
      <c r="AC47" s="71" t="n"/>
    </row>
    <row r="48" ht="29" customHeight="1" s="76">
      <c r="A48" s="70" t="inlineStr">
        <is>
          <t>T045</t>
        </is>
      </c>
      <c r="B48" s="70" t="inlineStr">
        <is>
          <t>پارس</t>
        </is>
      </c>
      <c r="C48" s="70" t="inlineStr">
        <is>
          <t>F07-M3</t>
        </is>
      </c>
      <c r="D48" s="70" t="inlineStr">
        <is>
          <t>MEMBER</t>
        </is>
      </c>
      <c r="E48" s="70" t="inlineStr">
        <is>
          <t>یداله مصدقی فرد</t>
        </is>
      </c>
      <c r="F48" s="70" t="inlineStr">
        <is>
          <t>پتروشیمی کارون</t>
        </is>
      </c>
      <c r="G48" s="70" t="inlineStr">
        <is>
          <t>03F889F8</t>
        </is>
      </c>
      <c r="H48" s="70" t="inlineStr">
        <is>
          <t>NATIONAL_ID</t>
        </is>
      </c>
      <c r="I48" s="70" t="inlineStr">
        <is>
          <t>رئیس هیئت مدیره غیر موظف</t>
        </is>
      </c>
      <c r="J48" s="70" t="inlineStr">
        <is>
          <t>EXACT</t>
        </is>
      </c>
      <c r="K48" s="70" t="inlineStr">
        <is>
          <t>1404/07/26</t>
        </is>
      </c>
      <c r="L48" s="72" t="n">
        <v>45948</v>
      </c>
      <c r="M48" s="70" t="inlineStr">
        <is>
          <t>1404/07/26</t>
        </is>
      </c>
      <c r="N48" s="72" t="n">
        <v>45948</v>
      </c>
      <c r="O48" s="70" t="inlineStr">
        <is>
          <t>1404/07/26</t>
        </is>
      </c>
      <c r="P48" s="72" t="n">
        <v>45948</v>
      </c>
      <c r="Q48" s="70" t="inlineStr">
        <is>
          <t>1404/12/29</t>
        </is>
      </c>
      <c r="R48" s="72" t="n">
        <v>46101</v>
      </c>
      <c r="S48" s="70">
        <f>IF(OR(J48="UNKNOWN",R48=""),"",R48-IF(J48="EXACT",L48,P48))</f>
        <v>153</v>
      </c>
      <c r="T48" s="70">
        <f>IF(J48="EXACT",R48-L48,IF(J48="INTERVAL",R48-N48,""))</f>
        <v>153</v>
      </c>
      <c r="U48" s="70">
        <f>IF(S48="","",S48/365.25)</f>
        <v>0.4188911704312115</v>
      </c>
      <c r="V48" s="70">
        <f>IF(U48="","",U48^2)</f>
        <v>0.17546981266523026</v>
      </c>
      <c r="W48" s="70" t="inlineStr">
        <is>
          <t>BOARD_MEETING_DATE_IN_NOTICE</t>
        </is>
      </c>
      <c r="X48" s="70" t="inlineStr">
        <is>
          <t>TYPE19_ONLY</t>
        </is>
      </c>
      <c r="Y48" s="70" t="n"/>
      <c r="Z48" s="70" t="n"/>
      <c r="AA48" s="70" t="n"/>
      <c r="AB48" s="70" t="inlineStr">
        <is>
          <t>MIN_CONTINUOUS|1401/05/01</t>
        </is>
      </c>
      <c r="AC48" s="70" t="n"/>
    </row>
    <row r="49" ht="29" customHeight="1" s="76">
      <c r="A49" s="71" t="inlineStr">
        <is>
          <t>T046</t>
        </is>
      </c>
      <c r="B49" s="71" t="inlineStr">
        <is>
          <t>پارس</t>
        </is>
      </c>
      <c r="C49" s="71" t="inlineStr">
        <is>
          <t>F07-M3</t>
        </is>
      </c>
      <c r="D49" s="71" t="inlineStr">
        <is>
          <t>CHAIR</t>
        </is>
      </c>
      <c r="E49" s="71" t="inlineStr">
        <is>
          <t>یداله مصدقی فرد</t>
        </is>
      </c>
      <c r="F49" s="71" t="inlineStr">
        <is>
          <t>پتروشیمی کارون</t>
        </is>
      </c>
      <c r="G49" s="71" t="inlineStr">
        <is>
          <t>03F889F8</t>
        </is>
      </c>
      <c r="H49" s="71" t="inlineStr">
        <is>
          <t>NATIONAL_ID</t>
        </is>
      </c>
      <c r="I49" s="71" t="inlineStr">
        <is>
          <t>رئیس هیئت مدیره</t>
        </is>
      </c>
      <c r="J49" s="71" t="inlineStr">
        <is>
          <t>EXACT</t>
        </is>
      </c>
      <c r="K49" s="71" t="inlineStr">
        <is>
          <t>1404/07/26</t>
        </is>
      </c>
      <c r="L49" s="73" t="n">
        <v>45948</v>
      </c>
      <c r="M49" s="71" t="inlineStr">
        <is>
          <t>1404/07/26</t>
        </is>
      </c>
      <c r="N49" s="73" t="n">
        <v>45948</v>
      </c>
      <c r="O49" s="71" t="inlineStr">
        <is>
          <t>1404/07/26</t>
        </is>
      </c>
      <c r="P49" s="73" t="n">
        <v>45948</v>
      </c>
      <c r="Q49" s="71" t="inlineStr">
        <is>
          <t>1404/12/29</t>
        </is>
      </c>
      <c r="R49" s="73" t="n">
        <v>46101</v>
      </c>
      <c r="S49" s="71">
        <f>IF(OR(J49="UNKNOWN",R49=""),"",R49-IF(J49="EXACT",L49,P49))</f>
        <v>153</v>
      </c>
      <c r="T49" s="71">
        <f>IF(J49="EXACT",R49-L49,IF(J49="INTERVAL",R49-N49,""))</f>
        <v>153</v>
      </c>
      <c r="U49" s="71">
        <f>IF(S49="","",S49/365.25)</f>
        <v>0.4188911704312115</v>
      </c>
      <c r="V49" s="71">
        <f>IF(U49="","",U49^2)</f>
        <v>0.17546981266523026</v>
      </c>
      <c r="W49" s="71" t="inlineStr">
        <is>
          <t>BOARD_MEETING_DATE_IN_NOTICE</t>
        </is>
      </c>
      <c r="X49" s="71" t="inlineStr">
        <is>
          <t>TYPE19_ONLY|PERSON_ROLE_CHAIN</t>
        </is>
      </c>
      <c r="Y49" s="71" t="n"/>
      <c r="Z49" s="71" t="n"/>
      <c r="AA49" s="71" t="n"/>
      <c r="AB49" s="71" t="n"/>
      <c r="AC49" s="71" t="n"/>
    </row>
    <row r="50" ht="29" customHeight="1" s="76">
      <c r="A50" s="70" t="inlineStr">
        <is>
          <t>T047</t>
        </is>
      </c>
      <c r="B50" s="70" t="inlineStr">
        <is>
          <t>پارس</t>
        </is>
      </c>
      <c r="C50" s="70" t="inlineStr">
        <is>
          <t>F07-M4</t>
        </is>
      </c>
      <c r="D50" s="70" t="inlineStr">
        <is>
          <t>MEMBER</t>
        </is>
      </c>
      <c r="E50" s="70" t="inlineStr">
        <is>
          <t>محمدرضا حیدرزاده</t>
        </is>
      </c>
      <c r="F50" s="70" t="inlineStr">
        <is>
          <t>پتروشیمی هنگام</t>
        </is>
      </c>
      <c r="G50" s="70" t="inlineStr">
        <is>
          <t>1D31CEC5</t>
        </is>
      </c>
      <c r="H50" s="70" t="inlineStr">
        <is>
          <t>NATIONAL_ID</t>
        </is>
      </c>
      <c r="I50" s="70" t="inlineStr">
        <is>
          <t>عضو هیئت مدیره غیر موظف</t>
        </is>
      </c>
      <c r="J50" s="70" t="inlineStr">
        <is>
          <t>EXACT</t>
        </is>
      </c>
      <c r="K50" s="70" t="inlineStr">
        <is>
          <t>1403/10/18</t>
        </is>
      </c>
      <c r="L50" s="72" t="n">
        <v>45664</v>
      </c>
      <c r="M50" s="70" t="inlineStr">
        <is>
          <t>1403/10/18</t>
        </is>
      </c>
      <c r="N50" s="72" t="n">
        <v>45664</v>
      </c>
      <c r="O50" s="70" t="inlineStr">
        <is>
          <t>1403/10/18</t>
        </is>
      </c>
      <c r="P50" s="72" t="n">
        <v>45664</v>
      </c>
      <c r="Q50" s="70" t="inlineStr">
        <is>
          <t>1404/12/29</t>
        </is>
      </c>
      <c r="R50" s="72" t="n">
        <v>46101</v>
      </c>
      <c r="S50" s="70">
        <f>IF(OR(J50="UNKNOWN",R50=""),"",R50-IF(J50="EXACT",L50,P50))</f>
        <v>437</v>
      </c>
      <c r="T50" s="70">
        <f>IF(J50="EXACT",R50-L50,IF(J50="INTERVAL",R50-N50,""))</f>
        <v>437</v>
      </c>
      <c r="U50" s="70">
        <f>IF(S50="","",S50/365.25)</f>
        <v>1.1964407939767283</v>
      </c>
      <c r="V50" s="70">
        <f>IF(U50="","",U50^2)</f>
        <v>1.431470573491664</v>
      </c>
      <c r="W50" s="70" t="inlineStr">
        <is>
          <t>BOARD_MEETING_DATE_IN_NOTICE</t>
        </is>
      </c>
      <c r="X50" s="70" t="inlineStr">
        <is>
          <t>TYPE19_ONLY</t>
        </is>
      </c>
      <c r="Y50" s="70" t="n"/>
      <c r="Z50" s="70" t="n"/>
      <c r="AA50" s="70" t="n"/>
      <c r="AB50" s="70" t="inlineStr">
        <is>
          <t>MIN_CONTINUOUS|1401/05/01</t>
        </is>
      </c>
      <c r="AC50" s="70" t="n"/>
    </row>
    <row r="51" ht="29" customHeight="1" s="76">
      <c r="A51" s="71" t="inlineStr">
        <is>
          <t>T048</t>
        </is>
      </c>
      <c r="B51" s="71" t="inlineStr">
        <is>
          <t>پارس</t>
        </is>
      </c>
      <c r="C51" s="71" t="inlineStr">
        <is>
          <t>F07-M5</t>
        </is>
      </c>
      <c r="D51" s="71" t="inlineStr">
        <is>
          <t>MEMBER</t>
        </is>
      </c>
      <c r="E51" s="71" t="inlineStr">
        <is>
          <t>عبدالکریم پهلوانی</t>
        </is>
      </c>
      <c r="F51" s="71" t="inlineStr">
        <is>
          <t>پتروشیمی هرمز خلیج فارس</t>
        </is>
      </c>
      <c r="G51" s="71" t="inlineStr">
        <is>
          <t>BD978E75</t>
        </is>
      </c>
      <c r="H51" s="71" t="inlineStr">
        <is>
          <t>NATIONAL_ID</t>
        </is>
      </c>
      <c r="I51" s="71" t="inlineStr">
        <is>
          <t>نایب رئیس هیئت مدیره موظف</t>
        </is>
      </c>
      <c r="J51" s="71" t="inlineStr">
        <is>
          <t>EXACT</t>
        </is>
      </c>
      <c r="K51" s="71" t="inlineStr">
        <is>
          <t>1404/06/04</t>
        </is>
      </c>
      <c r="L51" s="73" t="n">
        <v>45895</v>
      </c>
      <c r="M51" s="71" t="inlineStr">
        <is>
          <t>1404/06/04</t>
        </is>
      </c>
      <c r="N51" s="73" t="n">
        <v>45895</v>
      </c>
      <c r="O51" s="71" t="inlineStr">
        <is>
          <t>1404/06/04</t>
        </is>
      </c>
      <c r="P51" s="73" t="n">
        <v>45895</v>
      </c>
      <c r="Q51" s="71" t="inlineStr">
        <is>
          <t>1404/12/29</t>
        </is>
      </c>
      <c r="R51" s="73" t="n">
        <v>46101</v>
      </c>
      <c r="S51" s="71">
        <f>IF(OR(J51="UNKNOWN",R51=""),"",R51-IF(J51="EXACT",L51,P51))</f>
        <v>206</v>
      </c>
      <c r="T51" s="71">
        <f>IF(J51="EXACT",R51-L51,IF(J51="INTERVAL",R51-N51,""))</f>
        <v>206</v>
      </c>
      <c r="U51" s="71">
        <f>IF(S51="","",S51/365.25)</f>
        <v>0.5639972621492129</v>
      </c>
      <c r="V51" s="71">
        <f>IF(U51="","",U51^2)</f>
        <v>0.3180929117118079</v>
      </c>
      <c r="W51" s="71" t="inlineStr">
        <is>
          <t>BOARD_MEETING_DATE_IN_NOTICE</t>
        </is>
      </c>
      <c r="X51" s="71" t="inlineStr">
        <is>
          <t>TYPE19_ONLY</t>
        </is>
      </c>
      <c r="Y51" s="71" t="n"/>
      <c r="Z51" s="71" t="n"/>
      <c r="AA51" s="71" t="n"/>
      <c r="AB51" s="71" t="inlineStr">
        <is>
          <t>MIN_CONTINUOUS|1401/05/01</t>
        </is>
      </c>
      <c r="AC51" s="71" t="n"/>
    </row>
    <row r="52" ht="20" customHeight="1" s="76">
      <c r="A52" s="70" t="inlineStr">
        <is>
          <t>T049</t>
        </is>
      </c>
      <c r="B52" s="70" t="inlineStr">
        <is>
          <t>پارس</t>
        </is>
      </c>
      <c r="C52" s="70" t="n"/>
      <c r="D52" s="70" t="inlineStr">
        <is>
          <t>CEO</t>
        </is>
      </c>
      <c r="E52" s="70" t="inlineStr">
        <is>
          <t>عبدالکریم پهلوانی</t>
        </is>
      </c>
      <c r="F52" s="70" t="n"/>
      <c r="G52" s="70" t="inlineStr">
        <is>
          <t>BD978E75</t>
        </is>
      </c>
      <c r="H52" s="70" t="inlineStr">
        <is>
          <t>NATIONAL_ID</t>
        </is>
      </c>
      <c r="I52" s="70" t="inlineStr">
        <is>
          <t>مدیرعامل</t>
        </is>
      </c>
      <c r="J52" s="70" t="inlineStr">
        <is>
          <t>INTERVAL</t>
        </is>
      </c>
      <c r="K52" s="70" t="n"/>
      <c r="L52" s="72" t="n"/>
      <c r="M52" s="70" t="inlineStr">
        <is>
          <t>1404/02/02</t>
        </is>
      </c>
      <c r="N52" s="72" t="n">
        <v>45769</v>
      </c>
      <c r="O52" s="70" t="inlineStr">
        <is>
          <t>1404/06/11</t>
        </is>
      </c>
      <c r="P52" s="72" t="n">
        <v>45902</v>
      </c>
      <c r="Q52" s="70" t="inlineStr">
        <is>
          <t>1404/12/29</t>
        </is>
      </c>
      <c r="R52" s="72" t="n">
        <v>46101</v>
      </c>
      <c r="S52" s="70">
        <f>IF(OR(J52="UNKNOWN",R52=""),"",R52-IF(J52="EXACT",L52,P52))</f>
        <v>199</v>
      </c>
      <c r="T52" s="70">
        <f>IF(J52="EXACT",R52-L52,IF(J52="INTERVAL",R52-N52,""))</f>
        <v>332</v>
      </c>
      <c r="U52" s="70">
        <f>IF(S52="","",S52/365.25)</f>
        <v>0.5448323066392882</v>
      </c>
      <c r="V52" s="70">
        <f>IF(U52="","",U52^2)</f>
        <v>0.2968422423578873</v>
      </c>
      <c r="W52" s="70" t="inlineStr">
        <is>
          <t>NOTICE_PUBLICATION_ONLY</t>
        </is>
      </c>
      <c r="X52" s="70" t="inlineStr">
        <is>
          <t>TYPE19_ONLY</t>
        </is>
      </c>
      <c r="Y52" s="70" t="n"/>
      <c r="Z52" s="70" t="n"/>
      <c r="AA52" s="70" t="n"/>
      <c r="AB52" s="70" t="inlineStr">
        <is>
          <t>عضو هیئت مدیره</t>
        </is>
      </c>
      <c r="AC52" s="70" t="n"/>
    </row>
    <row r="53" ht="29" customHeight="1" s="76">
      <c r="A53" s="71" t="inlineStr">
        <is>
          <t>T050</t>
        </is>
      </c>
      <c r="B53" s="71" t="inlineStr">
        <is>
          <t>شتران</t>
        </is>
      </c>
      <c r="C53" s="71" t="inlineStr">
        <is>
          <t>F08-M1</t>
        </is>
      </c>
      <c r="D53" s="71" t="inlineStr">
        <is>
          <t>MEMBER</t>
        </is>
      </c>
      <c r="E53" s="71" t="inlineStr">
        <is>
          <t>محمدعلی دادور</t>
        </is>
      </c>
      <c r="F53" s="71" t="inlineStr">
        <is>
          <t>ملی پالایش و پخش فرآورده های نفتی ایران</t>
        </is>
      </c>
      <c r="G53" s="71" t="inlineStr">
        <is>
          <t>6DA91A51</t>
        </is>
      </c>
      <c r="H53" s="71" t="inlineStr">
        <is>
          <t>NATIONAL_ID</t>
        </is>
      </c>
      <c r="I53" s="71" t="inlineStr">
        <is>
          <t>رئیس هیئت مدیره غیر موظف</t>
        </is>
      </c>
      <c r="J53" s="71" t="inlineStr">
        <is>
          <t>EXACT</t>
        </is>
      </c>
      <c r="K53" s="71" t="inlineStr">
        <is>
          <t>1403/08/16</t>
        </is>
      </c>
      <c r="L53" s="73" t="n">
        <v>45602</v>
      </c>
      <c r="M53" s="71" t="inlineStr">
        <is>
          <t>1403/08/16</t>
        </is>
      </c>
      <c r="N53" s="73" t="n">
        <v>45602</v>
      </c>
      <c r="O53" s="71" t="inlineStr">
        <is>
          <t>1403/08/16</t>
        </is>
      </c>
      <c r="P53" s="73" t="n">
        <v>45602</v>
      </c>
      <c r="Q53" s="71" t="inlineStr">
        <is>
          <t>1404/12/29</t>
        </is>
      </c>
      <c r="R53" s="73" t="n">
        <v>46101</v>
      </c>
      <c r="S53" s="71">
        <f>IF(OR(J53="UNKNOWN",R53=""),"",R53-IF(J53="EXACT",L53,P53))</f>
        <v>499</v>
      </c>
      <c r="T53" s="71">
        <f>IF(J53="EXACT",R53-L53,IF(J53="INTERVAL",R53-N53,""))</f>
        <v>499</v>
      </c>
      <c r="U53" s="71">
        <f>IF(S53="","",S53/365.25)</f>
        <v>1.3661875427789185</v>
      </c>
      <c r="V53" s="71">
        <f>IF(U53="","",U53^2)</f>
        <v>1.8664684020442994</v>
      </c>
      <c r="W53" s="71" t="inlineStr">
        <is>
          <t>BOARD_MEETING_DATE_IN_NOTICE</t>
        </is>
      </c>
      <c r="X53" s="71" t="inlineStr">
        <is>
          <t>TYPE19_ONLY</t>
        </is>
      </c>
      <c r="Y53" s="71" t="n"/>
      <c r="Z53" s="71" t="n"/>
      <c r="AA53" s="71" t="n"/>
      <c r="AB53" s="71" t="inlineStr">
        <is>
          <t>MIN_CONTINUOUS|1401/07/18</t>
        </is>
      </c>
      <c r="AC53" s="71" t="n"/>
    </row>
    <row r="54" ht="29" customHeight="1" s="76">
      <c r="A54" s="70" t="inlineStr">
        <is>
          <t>T051</t>
        </is>
      </c>
      <c r="B54" s="70" t="inlineStr">
        <is>
          <t>شتران</t>
        </is>
      </c>
      <c r="C54" s="70" t="inlineStr">
        <is>
          <t>F08-M1</t>
        </is>
      </c>
      <c r="D54" s="70" t="inlineStr">
        <is>
          <t>CHAIR</t>
        </is>
      </c>
      <c r="E54" s="70" t="inlineStr">
        <is>
          <t>محمدعلی دادور</t>
        </is>
      </c>
      <c r="F54" s="70" t="inlineStr">
        <is>
          <t>ملی پالایش و پخش فرآورده های نفتی ایران</t>
        </is>
      </c>
      <c r="G54" s="70" t="inlineStr">
        <is>
          <t>6DA91A51</t>
        </is>
      </c>
      <c r="H54" s="70" t="inlineStr">
        <is>
          <t>NATIONAL_ID</t>
        </is>
      </c>
      <c r="I54" s="70" t="inlineStr">
        <is>
          <t>رئیس هیئت مدیره</t>
        </is>
      </c>
      <c r="J54" s="70" t="inlineStr">
        <is>
          <t>EXACT</t>
        </is>
      </c>
      <c r="K54" s="70" t="inlineStr">
        <is>
          <t>1403/08/16</t>
        </is>
      </c>
      <c r="L54" s="72" t="n">
        <v>45602</v>
      </c>
      <c r="M54" s="70" t="inlineStr">
        <is>
          <t>1403/08/16</t>
        </is>
      </c>
      <c r="N54" s="72" t="n">
        <v>45602</v>
      </c>
      <c r="O54" s="70" t="inlineStr">
        <is>
          <t>1403/08/16</t>
        </is>
      </c>
      <c r="P54" s="72" t="n">
        <v>45602</v>
      </c>
      <c r="Q54" s="70" t="inlineStr">
        <is>
          <t>1404/12/29</t>
        </is>
      </c>
      <c r="R54" s="72" t="n">
        <v>46101</v>
      </c>
      <c r="S54" s="70">
        <f>IF(OR(J54="UNKNOWN",R54=""),"",R54-IF(J54="EXACT",L54,P54))</f>
        <v>499</v>
      </c>
      <c r="T54" s="70">
        <f>IF(J54="EXACT",R54-L54,IF(J54="INTERVAL",R54-N54,""))</f>
        <v>499</v>
      </c>
      <c r="U54" s="70">
        <f>IF(S54="","",S54/365.25)</f>
        <v>1.3661875427789185</v>
      </c>
      <c r="V54" s="70">
        <f>IF(U54="","",U54^2)</f>
        <v>1.8664684020442994</v>
      </c>
      <c r="W54" s="70" t="inlineStr">
        <is>
          <t>BOARD_MEETING_DATE_IN_NOTICE</t>
        </is>
      </c>
      <c r="X54" s="70" t="inlineStr">
        <is>
          <t>TYPE19_ONLY|PERSON_ROLE_CHAIN</t>
        </is>
      </c>
      <c r="Y54" s="70" t="n"/>
      <c r="Z54" s="70" t="n"/>
      <c r="AA54" s="70" t="n"/>
      <c r="AB54" s="70" t="n"/>
      <c r="AC54" s="70" t="n"/>
    </row>
    <row r="55" ht="29" customHeight="1" s="76">
      <c r="A55" s="71" t="inlineStr">
        <is>
          <t>T052</t>
        </is>
      </c>
      <c r="B55" s="71" t="inlineStr">
        <is>
          <t>شتران</t>
        </is>
      </c>
      <c r="C55" s="71" t="inlineStr">
        <is>
          <t>F08-M2</t>
        </is>
      </c>
      <c r="D55" s="71" t="inlineStr">
        <is>
          <t>MEMBER</t>
        </is>
      </c>
      <c r="E55" s="71" t="inlineStr">
        <is>
          <t>میثم قاسمی</t>
        </is>
      </c>
      <c r="F55" s="71" t="inlineStr">
        <is>
          <t>سرمایه گذاری استان فارس</t>
        </is>
      </c>
      <c r="G55" s="71" t="inlineStr">
        <is>
          <t>21DDB30C</t>
        </is>
      </c>
      <c r="H55" s="71" t="inlineStr">
        <is>
          <t>NATIONAL_ID</t>
        </is>
      </c>
      <c r="I55" s="71" t="inlineStr">
        <is>
          <t>عضو هیئت مدیره غیر موظف</t>
        </is>
      </c>
      <c r="J55" s="71" t="inlineStr">
        <is>
          <t>EXACT</t>
        </is>
      </c>
      <c r="K55" s="71" t="inlineStr">
        <is>
          <t>1403/08/16</t>
        </is>
      </c>
      <c r="L55" s="73" t="n">
        <v>45602</v>
      </c>
      <c r="M55" s="71" t="inlineStr">
        <is>
          <t>1403/08/16</t>
        </is>
      </c>
      <c r="N55" s="73" t="n">
        <v>45602</v>
      </c>
      <c r="O55" s="71" t="inlineStr">
        <is>
          <t>1403/08/16</t>
        </is>
      </c>
      <c r="P55" s="73" t="n">
        <v>45602</v>
      </c>
      <c r="Q55" s="71" t="inlineStr">
        <is>
          <t>1404/12/29</t>
        </is>
      </c>
      <c r="R55" s="73" t="n">
        <v>46101</v>
      </c>
      <c r="S55" s="71">
        <f>IF(OR(J55="UNKNOWN",R55=""),"",R55-IF(J55="EXACT",L55,P55))</f>
        <v>499</v>
      </c>
      <c r="T55" s="71">
        <f>IF(J55="EXACT",R55-L55,IF(J55="INTERVAL",R55-N55,""))</f>
        <v>499</v>
      </c>
      <c r="U55" s="71">
        <f>IF(S55="","",S55/365.25)</f>
        <v>1.3661875427789185</v>
      </c>
      <c r="V55" s="71">
        <f>IF(U55="","",U55^2)</f>
        <v>1.8664684020442994</v>
      </c>
      <c r="W55" s="71" t="inlineStr">
        <is>
          <t>BOARD_MEETING_DATE_IN_NOTICE</t>
        </is>
      </c>
      <c r="X55" s="71" t="inlineStr">
        <is>
          <t>TYPE19_ONLY</t>
        </is>
      </c>
      <c r="Y55" s="71" t="n"/>
      <c r="Z55" s="71" t="n"/>
      <c r="AA55" s="71" t="n"/>
      <c r="AB55" s="71" t="inlineStr">
        <is>
          <t>MIN_CONTINUOUS|1401/07/18</t>
        </is>
      </c>
      <c r="AC55" s="71" t="n"/>
    </row>
    <row r="56" ht="29" customHeight="1" s="76">
      <c r="A56" s="70" t="inlineStr">
        <is>
          <t>T053</t>
        </is>
      </c>
      <c r="B56" s="70" t="inlineStr">
        <is>
          <t>شتران</t>
        </is>
      </c>
      <c r="C56" s="70" t="inlineStr">
        <is>
          <t>F08-M3</t>
        </is>
      </c>
      <c r="D56" s="70" t="inlineStr">
        <is>
          <t>MEMBER</t>
        </is>
      </c>
      <c r="E56" s="70" t="inlineStr">
        <is>
          <t>عباس محسنی نیکوگفتار</t>
        </is>
      </c>
      <c r="F56" s="70" t="inlineStr">
        <is>
          <t>سرمایه گذاری عدالت استان مازندران</t>
        </is>
      </c>
      <c r="G56" s="70" t="inlineStr">
        <is>
          <t>1542E50B</t>
        </is>
      </c>
      <c r="H56" s="70" t="inlineStr">
        <is>
          <t>NATIONAL_ID</t>
        </is>
      </c>
      <c r="I56" s="70" t="inlineStr">
        <is>
          <t>عضو هیئت مدیره موظف</t>
        </is>
      </c>
      <c r="J56" s="70" t="inlineStr">
        <is>
          <t>EXACT</t>
        </is>
      </c>
      <c r="K56" s="70" t="inlineStr">
        <is>
          <t>1404/05/13</t>
        </is>
      </c>
      <c r="L56" s="72" t="n">
        <v>45873</v>
      </c>
      <c r="M56" s="70" t="inlineStr">
        <is>
          <t>1404/05/13</t>
        </is>
      </c>
      <c r="N56" s="72" t="n">
        <v>45873</v>
      </c>
      <c r="O56" s="70" t="inlineStr">
        <is>
          <t>1404/05/13</t>
        </is>
      </c>
      <c r="P56" s="72" t="n">
        <v>45873</v>
      </c>
      <c r="Q56" s="70" t="inlineStr">
        <is>
          <t>1404/12/29</t>
        </is>
      </c>
      <c r="R56" s="72" t="n">
        <v>46101</v>
      </c>
      <c r="S56" s="70">
        <f>IF(OR(J56="UNKNOWN",R56=""),"",R56-IF(J56="EXACT",L56,P56))</f>
        <v>228</v>
      </c>
      <c r="T56" s="70">
        <f>IF(J56="EXACT",R56-L56,IF(J56="INTERVAL",R56-N56,""))</f>
        <v>228</v>
      </c>
      <c r="U56" s="70">
        <f>IF(S56="","",S56/365.25)</f>
        <v>0.6242299794661191</v>
      </c>
      <c r="V56" s="70">
        <f>IF(U56="","",U56^2)</f>
        <v>0.3896630672642715</v>
      </c>
      <c r="W56" s="70" t="inlineStr">
        <is>
          <t>BOARD_MEETING_DATE_IN_NOTICE</t>
        </is>
      </c>
      <c r="X56" s="70" t="inlineStr">
        <is>
          <t>TYPE19_ONLY</t>
        </is>
      </c>
      <c r="Y56" s="70" t="n"/>
      <c r="Z56" s="70" t="n"/>
      <c r="AA56" s="70" t="n"/>
      <c r="AB56" s="70" t="inlineStr">
        <is>
          <t>MIN_CONTINUOUS|1401/07/18</t>
        </is>
      </c>
      <c r="AC56" s="70" t="n"/>
    </row>
    <row r="57" ht="29" customHeight="1" s="76">
      <c r="A57" s="71" t="inlineStr">
        <is>
          <t>T054</t>
        </is>
      </c>
      <c r="B57" s="71" t="inlineStr">
        <is>
          <t>شتران</t>
        </is>
      </c>
      <c r="C57" s="71" t="inlineStr">
        <is>
          <t>F08-M4</t>
        </is>
      </c>
      <c r="D57" s="71" t="inlineStr">
        <is>
          <t>MEMBER</t>
        </is>
      </c>
      <c r="E57" s="71" t="inlineStr">
        <is>
          <t>فریدون ورشوساز</t>
        </is>
      </c>
      <c r="F57" s="71" t="inlineStr">
        <is>
          <t>سرمایه گذاری استان لرستان</t>
        </is>
      </c>
      <c r="G57" s="71" t="inlineStr">
        <is>
          <t>02A080A9</t>
        </is>
      </c>
      <c r="H57" s="71" t="inlineStr">
        <is>
          <t>NATIONAL_ID</t>
        </is>
      </c>
      <c r="I57" s="71" t="inlineStr">
        <is>
          <t>عضو هیئت مدیره موظف</t>
        </is>
      </c>
      <c r="J57" s="71" t="inlineStr">
        <is>
          <t>EXACT</t>
        </is>
      </c>
      <c r="K57" s="71" t="inlineStr">
        <is>
          <t>1401/11/10</t>
        </is>
      </c>
      <c r="L57" s="73" t="n">
        <v>44956</v>
      </c>
      <c r="M57" s="71" t="inlineStr">
        <is>
          <t>1401/11/10</t>
        </is>
      </c>
      <c r="N57" s="73" t="n">
        <v>44956</v>
      </c>
      <c r="O57" s="71" t="inlineStr">
        <is>
          <t>1401/11/10</t>
        </is>
      </c>
      <c r="P57" s="73" t="n">
        <v>44956</v>
      </c>
      <c r="Q57" s="71" t="inlineStr">
        <is>
          <t>1404/12/29</t>
        </is>
      </c>
      <c r="R57" s="73" t="n">
        <v>46101</v>
      </c>
      <c r="S57" s="71">
        <f>IF(OR(J57="UNKNOWN",R57=""),"",R57-IF(J57="EXACT",L57,P57))</f>
        <v>1145</v>
      </c>
      <c r="T57" s="71">
        <f>IF(J57="EXACT",R57-L57,IF(J57="INTERVAL",R57-N57,""))</f>
        <v>1145</v>
      </c>
      <c r="U57" s="71">
        <f>IF(S57="","",S57/365.25)</f>
        <v>3.134839151266256</v>
      </c>
      <c r="V57" s="71">
        <f>IF(U57="","",U57^2)</f>
        <v>9.827216504311739</v>
      </c>
      <c r="W57" s="71" t="inlineStr">
        <is>
          <t>BOARD_MEETING_DATE_IN_NOTICE</t>
        </is>
      </c>
      <c r="X57" s="71" t="inlineStr">
        <is>
          <t>TYPE19_ONLY</t>
        </is>
      </c>
      <c r="Y57" s="71" t="n"/>
      <c r="Z57" s="71" t="n"/>
      <c r="AA57" s="71" t="n"/>
      <c r="AB57" s="71" t="inlineStr">
        <is>
          <t>MIN_CONTINUOUS|1401/07/18</t>
        </is>
      </c>
      <c r="AC57" s="71" t="n"/>
    </row>
    <row r="58" ht="29" customHeight="1" s="76">
      <c r="A58" s="70" t="inlineStr">
        <is>
          <t>T055</t>
        </is>
      </c>
      <c r="B58" s="70" t="inlineStr">
        <is>
          <t>شتران</t>
        </is>
      </c>
      <c r="C58" s="70" t="inlineStr">
        <is>
          <t>F08-M5</t>
        </is>
      </c>
      <c r="D58" s="70" t="inlineStr">
        <is>
          <t>MEMBER</t>
        </is>
      </c>
      <c r="E58" s="70" t="inlineStr">
        <is>
          <t>محمدمجتبی حاجی سالم</t>
        </is>
      </c>
      <c r="F58" s="70" t="inlineStr">
        <is>
          <t>سرمایه گذاری استان چهارمحال و بختیاری</t>
        </is>
      </c>
      <c r="G58" s="70" t="inlineStr">
        <is>
          <t>E272F100</t>
        </is>
      </c>
      <c r="H58" s="70" t="inlineStr">
        <is>
          <t>NATIONAL_ID</t>
        </is>
      </c>
      <c r="I58" s="70" t="inlineStr">
        <is>
          <t>نایب رئیس هیئت مدیره غیر موظف</t>
        </is>
      </c>
      <c r="J58" s="70" t="inlineStr">
        <is>
          <t>EXACT</t>
        </is>
      </c>
      <c r="K58" s="70" t="inlineStr">
        <is>
          <t>1403/12/11</t>
        </is>
      </c>
      <c r="L58" s="72" t="n">
        <v>45717</v>
      </c>
      <c r="M58" s="70" t="inlineStr">
        <is>
          <t>1403/12/11</t>
        </is>
      </c>
      <c r="N58" s="72" t="n">
        <v>45717</v>
      </c>
      <c r="O58" s="70" t="inlineStr">
        <is>
          <t>1403/12/11</t>
        </is>
      </c>
      <c r="P58" s="72" t="n">
        <v>45717</v>
      </c>
      <c r="Q58" s="70" t="inlineStr">
        <is>
          <t>1404/12/29</t>
        </is>
      </c>
      <c r="R58" s="72" t="n">
        <v>46101</v>
      </c>
      <c r="S58" s="70">
        <f>IF(OR(J58="UNKNOWN",R58=""),"",R58-IF(J58="EXACT",L58,P58))</f>
        <v>384</v>
      </c>
      <c r="T58" s="70">
        <f>IF(J58="EXACT",R58-L58,IF(J58="INTERVAL",R58-N58,""))</f>
        <v>384</v>
      </c>
      <c r="U58" s="70">
        <f>IF(S58="","",S58/365.25)</f>
        <v>1.051334702258727</v>
      </c>
      <c r="V58" s="70">
        <f>IF(U58="","",U58^2)</f>
        <v>1.105304656173446</v>
      </c>
      <c r="W58" s="70" t="inlineStr">
        <is>
          <t>BOARD_MEETING_DATE_IN_NOTICE</t>
        </is>
      </c>
      <c r="X58" s="70" t="inlineStr">
        <is>
          <t>TYPE19_ONLY</t>
        </is>
      </c>
      <c r="Y58" s="70" t="n"/>
      <c r="Z58" s="70" t="n"/>
      <c r="AA58" s="70" t="n"/>
      <c r="AB58" s="70" t="inlineStr">
        <is>
          <t>MIN_CONTINUOUS|1401/07/18</t>
        </is>
      </c>
      <c r="AC58" s="70" t="n"/>
    </row>
    <row r="59" ht="29" customHeight="1" s="76">
      <c r="A59" s="71" t="inlineStr">
        <is>
          <t>T056</t>
        </is>
      </c>
      <c r="B59" s="71" t="inlineStr">
        <is>
          <t>شتران</t>
        </is>
      </c>
      <c r="C59" s="71" t="n"/>
      <c r="D59" s="71" t="inlineStr">
        <is>
          <t>CEO</t>
        </is>
      </c>
      <c r="E59" s="71" t="inlineStr">
        <is>
          <t>عباس محسنی نیکوگفتار</t>
        </is>
      </c>
      <c r="F59" s="71" t="n"/>
      <c r="G59" s="71" t="inlineStr">
        <is>
          <t>1542E50B</t>
        </is>
      </c>
      <c r="H59" s="71" t="inlineStr">
        <is>
          <t>NATIONAL_ID</t>
        </is>
      </c>
      <c r="I59" s="71" t="inlineStr">
        <is>
          <t>مدیرعامل</t>
        </is>
      </c>
      <c r="J59" s="71" t="inlineStr">
        <is>
          <t>EXACT</t>
        </is>
      </c>
      <c r="K59" s="71" t="inlineStr">
        <is>
          <t>1403/09/12</t>
        </is>
      </c>
      <c r="L59" s="73" t="n">
        <v>45628</v>
      </c>
      <c r="M59" s="71" t="inlineStr">
        <is>
          <t>1403/09/12</t>
        </is>
      </c>
      <c r="N59" s="73" t="n">
        <v>45628</v>
      </c>
      <c r="O59" s="71" t="inlineStr">
        <is>
          <t>1403/09/12</t>
        </is>
      </c>
      <c r="P59" s="73" t="n">
        <v>45628</v>
      </c>
      <c r="Q59" s="71" t="inlineStr">
        <is>
          <t>1404/12/29</t>
        </is>
      </c>
      <c r="R59" s="73" t="n">
        <v>46101</v>
      </c>
      <c r="S59" s="71">
        <f>IF(OR(J59="UNKNOWN",R59=""),"",R59-IF(J59="EXACT",L59,P59))</f>
        <v>473</v>
      </c>
      <c r="T59" s="71">
        <f>IF(J59="EXACT",R59-L59,IF(J59="INTERVAL",R59-N59,""))</f>
        <v>473</v>
      </c>
      <c r="U59" s="71">
        <f>IF(S59="","",S59/365.25)</f>
        <v>1.2950034223134839</v>
      </c>
      <c r="V59" s="71">
        <f>IF(U59="","",U59^2)</f>
        <v>1.6770338638036355</v>
      </c>
      <c r="W59" s="71" t="inlineStr">
        <is>
          <t>BOARD_MEETING_DATE_IN_NOTICE</t>
        </is>
      </c>
      <c r="X59" s="71" t="inlineStr">
        <is>
          <t>TYPE19_ONLY</t>
        </is>
      </c>
      <c r="Y59" s="71" t="n"/>
      <c r="Z59" s="71" t="n"/>
      <c r="AA59" s="71" t="n"/>
      <c r="AB59" s="71" t="inlineStr">
        <is>
          <t>عضو هیئت مدیره</t>
        </is>
      </c>
      <c r="AC59" s="71" t="n"/>
    </row>
    <row r="60" ht="43.5" customHeight="1" s="76">
      <c r="A60" s="70" t="inlineStr">
        <is>
          <t>T057</t>
        </is>
      </c>
      <c r="B60" s="70" t="inlineStr">
        <is>
          <t>وتجارت</t>
        </is>
      </c>
      <c r="C60" s="70" t="inlineStr">
        <is>
          <t>F09-M1</t>
        </is>
      </c>
      <c r="D60" s="70" t="inlineStr">
        <is>
          <t>MEMBER</t>
        </is>
      </c>
      <c r="E60" s="70" t="inlineStr">
        <is>
          <t>علی کی لانی</t>
        </is>
      </c>
      <c r="F60" s="70" t="n"/>
      <c r="G60" s="70" t="inlineStr">
        <is>
          <t>F996A209</t>
        </is>
      </c>
      <c r="H60" s="70" t="inlineStr">
        <is>
          <t>NATIONAL_ID</t>
        </is>
      </c>
      <c r="I60" s="70" t="inlineStr">
        <is>
          <t>عضو هیئت مدیره موظف</t>
        </is>
      </c>
      <c r="J60" s="70" t="inlineStr">
        <is>
          <t>EXACT</t>
        </is>
      </c>
      <c r="K60" s="70" t="inlineStr">
        <is>
          <t>1400/11/09</t>
        </is>
      </c>
      <c r="L60" s="72" t="n">
        <v>44590</v>
      </c>
      <c r="M60" s="70" t="inlineStr">
        <is>
          <t>1400/11/09</t>
        </is>
      </c>
      <c r="N60" s="72" t="n">
        <v>44590</v>
      </c>
      <c r="O60" s="70" t="inlineStr">
        <is>
          <t>1400/11/09</t>
        </is>
      </c>
      <c r="P60" s="72" t="n">
        <v>44590</v>
      </c>
      <c r="Q60" s="70" t="inlineStr">
        <is>
          <t>1404/12/29</t>
        </is>
      </c>
      <c r="R60" s="72" t="n">
        <v>46101</v>
      </c>
      <c r="S60" s="70">
        <f>IF(OR(J60="UNKNOWN",R60=""),"",R60-IF(J60="EXACT",L60,P60))</f>
        <v>1511</v>
      </c>
      <c r="T60" s="70">
        <f>IF(J60="EXACT",R60-L60,IF(J60="INTERVAL",R60-N60,""))</f>
        <v>1511</v>
      </c>
      <c r="U60" s="70">
        <f>IF(S60="","",S60/365.25)</f>
        <v>4.136892539356605</v>
      </c>
      <c r="V60" s="70">
        <f>IF(U60="","",U60^2)</f>
        <v>17.113879882184342</v>
      </c>
      <c r="W60" s="70" t="inlineStr">
        <is>
          <t>REPORT_DECLARED_START_CONSISTENT_WITH_TYPE19_CONTINUITY</t>
        </is>
      </c>
      <c r="X60" s="70" t="inlineStr">
        <is>
          <t>REPORT+TYPE19_CONTINUITY</t>
        </is>
      </c>
      <c r="Y60" s="70" t="inlineStr">
        <is>
          <t>1400/11/09</t>
        </is>
      </c>
      <c r="Z60" s="70" t="inlineStr">
        <is>
          <t>START</t>
        </is>
      </c>
      <c r="AA60" s="70" t="n"/>
      <c r="AB60" s="70" t="inlineStr">
        <is>
          <t>MIN_CONTINUOUS|1401/09/14</t>
        </is>
      </c>
      <c r="AC60" s="70" t="inlineStr">
        <is>
          <t>type19 shows same person from 1401/09/14</t>
        </is>
      </c>
    </row>
    <row r="61" ht="43.5" customHeight="1" s="76">
      <c r="A61" s="71" t="inlineStr">
        <is>
          <t>T058</t>
        </is>
      </c>
      <c r="B61" s="71" t="inlineStr">
        <is>
          <t>وتجارت</t>
        </is>
      </c>
      <c r="C61" s="71" t="inlineStr">
        <is>
          <t>F09-M2</t>
        </is>
      </c>
      <c r="D61" s="71" t="inlineStr">
        <is>
          <t>MEMBER</t>
        </is>
      </c>
      <c r="E61" s="71" t="inlineStr">
        <is>
          <t>مرتضی ترک تبریزی</t>
        </is>
      </c>
      <c r="F61" s="71" t="n"/>
      <c r="G61" s="71" t="inlineStr">
        <is>
          <t>539470E9</t>
        </is>
      </c>
      <c r="H61" s="71" t="inlineStr">
        <is>
          <t>NATIONAL_ID</t>
        </is>
      </c>
      <c r="I61" s="71" t="inlineStr">
        <is>
          <t>رئیس هیئت مدیره موظف</t>
        </is>
      </c>
      <c r="J61" s="71" t="inlineStr">
        <is>
          <t>CONFLICT_MIN</t>
        </is>
      </c>
      <c r="K61" s="71" t="n"/>
      <c r="L61" s="73" t="n"/>
      <c r="M61" s="71" t="n"/>
      <c r="N61" s="73" t="n"/>
      <c r="O61" s="71" t="inlineStr">
        <is>
          <t>1401/12/25</t>
        </is>
      </c>
      <c r="P61" s="73" t="n">
        <v>45001</v>
      </c>
      <c r="Q61" s="71" t="inlineStr">
        <is>
          <t>1404/12/29</t>
        </is>
      </c>
      <c r="R61" s="73" t="n">
        <v>46101</v>
      </c>
      <c r="S61" s="71">
        <f>IF(OR(J61="UNKNOWN",R61=""),"",R61-IF(J61="EXACT",L61,P61))</f>
        <v>1100</v>
      </c>
      <c r="T61" s="71">
        <f>IF(J61="EXACT",R61-L61,IF(J61="INTERVAL",R61-N61,""))</f>
      </c>
      <c r="U61" s="71">
        <f>IF(S61="","",S61/365.25)</f>
        <v>3.0116358658453115</v>
      </c>
      <c r="V61" s="71">
        <f>IF(U61="","",U61^2)</f>
        <v>9.06995058844584</v>
      </c>
      <c r="W61" s="71" t="inlineStr">
        <is>
          <t>REPORT_DATE_AFTER_TYPE19_FIRST_OBSERVATION</t>
        </is>
      </c>
      <c r="X61" s="71" t="inlineStr">
        <is>
          <t>CONFLICT</t>
        </is>
      </c>
      <c r="Y61" s="71" t="inlineStr">
        <is>
          <t>1401/12/25</t>
        </is>
      </c>
      <c r="Z61" s="71" t="inlineStr">
        <is>
          <t>START</t>
        </is>
      </c>
      <c r="AA61" s="71" t="n"/>
      <c r="AB61" s="71" t="inlineStr">
        <is>
          <t>MIN_CONTINUOUS|1401/09/14</t>
        </is>
      </c>
      <c r="AC61" s="71" t="inlineStr">
        <is>
          <t>type19 shows person from 1401/09/14 but report states 1401/12/25</t>
        </is>
      </c>
    </row>
    <row r="62" ht="29" customHeight="1" s="76">
      <c r="A62" s="70" t="inlineStr">
        <is>
          <t>T059</t>
        </is>
      </c>
      <c r="B62" s="70" t="inlineStr">
        <is>
          <t>وتجارت</t>
        </is>
      </c>
      <c r="C62" s="70" t="inlineStr">
        <is>
          <t>F09-M2</t>
        </is>
      </c>
      <c r="D62" s="70" t="inlineStr">
        <is>
          <t>CHAIR</t>
        </is>
      </c>
      <c r="E62" s="70" t="inlineStr">
        <is>
          <t>مرتضی ترک تبریزی</t>
        </is>
      </c>
      <c r="F62" s="70" t="inlineStr">
        <is>
          <t>مرتضی ترک تبریزی</t>
        </is>
      </c>
      <c r="G62" s="70" t="inlineStr">
        <is>
          <t>539470E9</t>
        </is>
      </c>
      <c r="H62" s="70" t="inlineStr">
        <is>
          <t>NATIONAL_ID</t>
        </is>
      </c>
      <c r="I62" s="70" t="inlineStr">
        <is>
          <t>رئیس هیئت مدیره</t>
        </is>
      </c>
      <c r="J62" s="70" t="inlineStr">
        <is>
          <t>EXACT</t>
        </is>
      </c>
      <c r="K62" s="70" t="inlineStr">
        <is>
          <t>1401/12/27</t>
        </is>
      </c>
      <c r="L62" s="72" t="n">
        <v>45003</v>
      </c>
      <c r="M62" s="70" t="inlineStr">
        <is>
          <t>1401/12/27</t>
        </is>
      </c>
      <c r="N62" s="72" t="n">
        <v>45003</v>
      </c>
      <c r="O62" s="70" t="inlineStr">
        <is>
          <t>1401/12/27</t>
        </is>
      </c>
      <c r="P62" s="72" t="n">
        <v>45003</v>
      </c>
      <c r="Q62" s="70" t="inlineStr">
        <is>
          <t>1404/12/29</t>
        </is>
      </c>
      <c r="R62" s="72" t="n">
        <v>46101</v>
      </c>
      <c r="S62" s="70">
        <f>IF(OR(J62="UNKNOWN",R62=""),"",R62-IF(J62="EXACT",L62,P62))</f>
        <v>1098</v>
      </c>
      <c r="T62" s="70">
        <f>IF(J62="EXACT",R62-L62,IF(J62="INTERVAL",R62-N62,""))</f>
        <v>1098</v>
      </c>
      <c r="U62" s="70">
        <f>IF(S62="","",S62/365.25)</f>
        <v>3.0061601642710474</v>
      </c>
      <c r="V62" s="70">
        <f>IF(U62="","",U62^2)</f>
        <v>9.03699893325013</v>
      </c>
      <c r="W62" s="70" t="inlineStr">
        <is>
          <t>BOARD_MEETING_DATE_IN_NOTICE</t>
        </is>
      </c>
      <c r="X62" s="70" t="inlineStr">
        <is>
          <t>TYPE19_ONLY|PERSON_ROLE_CHAIN</t>
        </is>
      </c>
      <c r="Y62" s="70" t="n"/>
      <c r="Z62" s="70" t="n"/>
      <c r="AA62" s="70" t="n"/>
      <c r="AB62" s="70" t="n"/>
      <c r="AC62" s="70" t="n"/>
    </row>
    <row r="63" ht="43.5" customHeight="1" s="76">
      <c r="A63" s="71" t="inlineStr">
        <is>
          <t>T060</t>
        </is>
      </c>
      <c r="B63" s="71" t="inlineStr">
        <is>
          <t>وتجارت</t>
        </is>
      </c>
      <c r="C63" s="71" t="inlineStr">
        <is>
          <t>F09-M3</t>
        </is>
      </c>
      <c r="D63" s="71" t="inlineStr">
        <is>
          <t>MEMBER</t>
        </is>
      </c>
      <c r="E63" s="71" t="inlineStr">
        <is>
          <t>هادی اخلاقی فیض آثار</t>
        </is>
      </c>
      <c r="F63" s="71" t="n"/>
      <c r="G63" s="71" t="inlineStr">
        <is>
          <t>C9DCA5E1</t>
        </is>
      </c>
      <c r="H63" s="71" t="inlineStr">
        <is>
          <t>NATIONAL_ID</t>
        </is>
      </c>
      <c r="I63" s="71" t="inlineStr">
        <is>
          <t>عضو هیئت مدیره موظف</t>
        </is>
      </c>
      <c r="J63" s="71" t="inlineStr">
        <is>
          <t>EXACT</t>
        </is>
      </c>
      <c r="K63" s="71" t="inlineStr">
        <is>
          <t>1400/11/09</t>
        </is>
      </c>
      <c r="L63" s="73" t="n">
        <v>44590</v>
      </c>
      <c r="M63" s="71" t="inlineStr">
        <is>
          <t>1400/11/09</t>
        </is>
      </c>
      <c r="N63" s="73" t="n">
        <v>44590</v>
      </c>
      <c r="O63" s="71" t="inlineStr">
        <is>
          <t>1400/11/09</t>
        </is>
      </c>
      <c r="P63" s="73" t="n">
        <v>44590</v>
      </c>
      <c r="Q63" s="71" t="inlineStr">
        <is>
          <t>1404/12/29</t>
        </is>
      </c>
      <c r="R63" s="73" t="n">
        <v>46101</v>
      </c>
      <c r="S63" s="71">
        <f>IF(OR(J63="UNKNOWN",R63=""),"",R63-IF(J63="EXACT",L63,P63))</f>
        <v>1511</v>
      </c>
      <c r="T63" s="71">
        <f>IF(J63="EXACT",R63-L63,IF(J63="INTERVAL",R63-N63,""))</f>
        <v>1511</v>
      </c>
      <c r="U63" s="71">
        <f>IF(S63="","",S63/365.25)</f>
        <v>4.136892539356605</v>
      </c>
      <c r="V63" s="71">
        <f>IF(U63="","",U63^2)</f>
        <v>17.113879882184342</v>
      </c>
      <c r="W63" s="71" t="inlineStr">
        <is>
          <t>REPORT_DECLARED_START_CONSISTENT_WITH_TYPE19_CONTINUITY</t>
        </is>
      </c>
      <c r="X63" s="71" t="inlineStr">
        <is>
          <t>REPORT+TYPE19_CONTINUITY</t>
        </is>
      </c>
      <c r="Y63" s="71" t="inlineStr">
        <is>
          <t>1400/11/09</t>
        </is>
      </c>
      <c r="Z63" s="71" t="inlineStr">
        <is>
          <t>START</t>
        </is>
      </c>
      <c r="AA63" s="71" t="n"/>
      <c r="AB63" s="71" t="inlineStr">
        <is>
          <t>MIN_CONTINUOUS|1401/09/14</t>
        </is>
      </c>
      <c r="AC63" s="71" t="inlineStr">
        <is>
          <t>type19 shows same person from 1401/09/14</t>
        </is>
      </c>
    </row>
    <row r="64" ht="29" customHeight="1" s="76">
      <c r="A64" s="70" t="inlineStr">
        <is>
          <t>T061</t>
        </is>
      </c>
      <c r="B64" s="70" t="inlineStr">
        <is>
          <t>وتجارت</t>
        </is>
      </c>
      <c r="C64" s="70" t="inlineStr">
        <is>
          <t>F09-M4</t>
        </is>
      </c>
      <c r="D64" s="70" t="inlineStr">
        <is>
          <t>MEMBER</t>
        </is>
      </c>
      <c r="E64" s="70" t="inlineStr">
        <is>
          <t>سیدمهدی حسینی دولت آبادی</t>
        </is>
      </c>
      <c r="F64" s="70" t="n"/>
      <c r="G64" s="70" t="inlineStr">
        <is>
          <t>DBF35289</t>
        </is>
      </c>
      <c r="H64" s="70" t="inlineStr">
        <is>
          <t>NATIONAL_ID</t>
        </is>
      </c>
      <c r="I64" s="70" t="inlineStr">
        <is>
          <t>عضو هیئت مدیره موظف</t>
        </is>
      </c>
      <c r="J64" s="70" t="inlineStr">
        <is>
          <t>EXACT</t>
        </is>
      </c>
      <c r="K64" s="70" t="inlineStr">
        <is>
          <t>1402/11/30</t>
        </is>
      </c>
      <c r="L64" s="72" t="n">
        <v>45341</v>
      </c>
      <c r="M64" s="70" t="inlineStr">
        <is>
          <t>1402/11/30</t>
        </is>
      </c>
      <c r="N64" s="72" t="n">
        <v>45341</v>
      </c>
      <c r="O64" s="70" t="inlineStr">
        <is>
          <t>1402/11/30</t>
        </is>
      </c>
      <c r="P64" s="72" t="n">
        <v>45341</v>
      </c>
      <c r="Q64" s="70" t="inlineStr">
        <is>
          <t>1404/12/29</t>
        </is>
      </c>
      <c r="R64" s="72" t="n">
        <v>46101</v>
      </c>
      <c r="S64" s="70">
        <f>IF(OR(J64="UNKNOWN",R64=""),"",R64-IF(J64="EXACT",L64,P64))</f>
        <v>760</v>
      </c>
      <c r="T64" s="70">
        <f>IF(J64="EXACT",R64-L64,IF(J64="INTERVAL",R64-N64,""))</f>
        <v>760</v>
      </c>
      <c r="U64" s="70">
        <f>IF(S64="","",S64/365.25)</f>
        <v>2.080766598220397</v>
      </c>
      <c r="V64" s="70">
        <f>IF(U64="","",U64^2)</f>
        <v>4.329589636269683</v>
      </c>
      <c r="W64" s="70" t="inlineStr">
        <is>
          <t>BOARD_MEETING_DATE_IN_NOTICE</t>
        </is>
      </c>
      <c r="X64" s="70" t="inlineStr">
        <is>
          <t>TYPE19+REPORT_CORROBORATED</t>
        </is>
      </c>
      <c r="Y64" s="70" t="inlineStr">
        <is>
          <t>1402/11/30</t>
        </is>
      </c>
      <c r="Z64" s="70" t="inlineStr">
        <is>
          <t>START</t>
        </is>
      </c>
      <c r="AA64" s="70" t="n"/>
      <c r="AB64" s="70" t="inlineStr">
        <is>
          <t>EXACT|1402/11/30</t>
        </is>
      </c>
      <c r="AC64" s="70" t="inlineStr">
        <is>
          <t>report date 1402/11/30 (diff 0d)</t>
        </is>
      </c>
    </row>
    <row r="65" ht="29" customHeight="1" s="76">
      <c r="A65" s="71" t="inlineStr">
        <is>
          <t>T062</t>
        </is>
      </c>
      <c r="B65" s="71" t="inlineStr">
        <is>
          <t>وتجارت</t>
        </is>
      </c>
      <c r="C65" s="71" t="n"/>
      <c r="D65" s="71" t="inlineStr">
        <is>
          <t>CEO</t>
        </is>
      </c>
      <c r="E65" s="71" t="inlineStr">
        <is>
          <t>هادی اخلاقی فیض آثار</t>
        </is>
      </c>
      <c r="F65" s="71" t="n"/>
      <c r="G65" s="71" t="inlineStr">
        <is>
          <t>C9DCA5E1</t>
        </is>
      </c>
      <c r="H65" s="71" t="inlineStr">
        <is>
          <t>NATIONAL_ID</t>
        </is>
      </c>
      <c r="I65" s="71" t="inlineStr">
        <is>
          <t>مدیرعامل</t>
        </is>
      </c>
      <c r="J65" s="71" t="inlineStr">
        <is>
          <t>MIN_CONTINUOUS</t>
        </is>
      </c>
      <c r="K65" s="71" t="n"/>
      <c r="L65" s="73" t="n"/>
      <c r="M65" s="71" t="n"/>
      <c r="N65" s="73" t="n"/>
      <c r="O65" s="71" t="inlineStr">
        <is>
          <t>1401/10/18</t>
        </is>
      </c>
      <c r="P65" s="73" t="n">
        <v>44934</v>
      </c>
      <c r="Q65" s="71" t="inlineStr">
        <is>
          <t>1404/12/29</t>
        </is>
      </c>
      <c r="R65" s="73" t="n">
        <v>46101</v>
      </c>
      <c r="S65" s="71">
        <f>IF(OR(J65="UNKNOWN",R65=""),"",R65-IF(J65="EXACT",L65,P65))</f>
        <v>1167</v>
      </c>
      <c r="T65" s="71">
        <f>IF(J65="EXACT",R65-L65,IF(J65="INTERVAL",R65-N65,""))</f>
      </c>
      <c r="U65" s="71">
        <f>IF(S65="","",S65/365.25)</f>
        <v>3.1950718685831623</v>
      </c>
      <c r="V65" s="71">
        <f>IF(U65="","",U65^2)</f>
        <v>10.2084842454115</v>
      </c>
      <c r="W65" s="71" t="inlineStr">
        <is>
          <t>FIRST_OBSERVATION_NOTICE_PUBLICATION</t>
        </is>
      </c>
      <c r="X65" s="71" t="inlineStr">
        <is>
          <t>TYPE19_ONLY</t>
        </is>
      </c>
      <c r="Y65" s="71" t="n"/>
      <c r="Z65" s="71" t="n"/>
      <c r="AA65" s="71" t="n"/>
      <c r="AB65" s="71" t="inlineStr">
        <is>
          <t>عضو هیئت مدیره</t>
        </is>
      </c>
      <c r="AC65" s="71" t="n"/>
    </row>
    <row r="66" ht="29" customHeight="1" s="76">
      <c r="A66" s="70" t="inlineStr">
        <is>
          <t>T063</t>
        </is>
      </c>
      <c r="B66" s="70" t="inlineStr">
        <is>
          <t>رمپنا</t>
        </is>
      </c>
      <c r="C66" s="70" t="inlineStr">
        <is>
          <t>F10-M1</t>
        </is>
      </c>
      <c r="D66" s="70" t="inlineStr">
        <is>
          <t>MEMBER</t>
        </is>
      </c>
      <c r="E66" s="70" t="inlineStr">
        <is>
          <t>محمدرضا اولی</t>
        </is>
      </c>
      <c r="F66" s="70" t="inlineStr">
        <is>
          <t>سرمایه گذاری ثروت آفرین صبا</t>
        </is>
      </c>
      <c r="G66" s="70" t="inlineStr">
        <is>
          <t>1DFFC148</t>
        </is>
      </c>
      <c r="H66" s="70" t="inlineStr">
        <is>
          <t>NATIONAL_ID</t>
        </is>
      </c>
      <c r="I66" s="70" t="inlineStr">
        <is>
          <t>رئیس هیئت مدیره غیر موظف</t>
        </is>
      </c>
      <c r="J66" s="70" t="inlineStr">
        <is>
          <t>EXACT</t>
        </is>
      </c>
      <c r="K66" s="70" t="inlineStr">
        <is>
          <t>1404/02/21</t>
        </is>
      </c>
      <c r="L66" s="72" t="n">
        <v>45788</v>
      </c>
      <c r="M66" s="70" t="inlineStr">
        <is>
          <t>1404/02/21</t>
        </is>
      </c>
      <c r="N66" s="72" t="n">
        <v>45788</v>
      </c>
      <c r="O66" s="70" t="inlineStr">
        <is>
          <t>1404/02/21</t>
        </is>
      </c>
      <c r="P66" s="72" t="n">
        <v>45788</v>
      </c>
      <c r="Q66" s="70" t="inlineStr">
        <is>
          <t>1404/12/29</t>
        </is>
      </c>
      <c r="R66" s="72" t="n">
        <v>46101</v>
      </c>
      <c r="S66" s="70">
        <f>IF(OR(J66="UNKNOWN",R66=""),"",R66-IF(J66="EXACT",L66,P66))</f>
        <v>313</v>
      </c>
      <c r="T66" s="70">
        <f>IF(J66="EXACT",R66-L66,IF(J66="INTERVAL",R66-N66,""))</f>
        <v>313</v>
      </c>
      <c r="U66" s="70">
        <f>IF(S66="","",S66/365.25)</f>
        <v>0.8569472963723477</v>
      </c>
      <c r="V66" s="70">
        <f>IF(U66="","",U66^2)</f>
        <v>0.7343586687598763</v>
      </c>
      <c r="W66" s="70" t="inlineStr">
        <is>
          <t>BOARD_MEETING_DATE_IN_NOTICE</t>
        </is>
      </c>
      <c r="X66" s="70" t="inlineStr">
        <is>
          <t>TYPE19_ONLY</t>
        </is>
      </c>
      <c r="Y66" s="70" t="n"/>
      <c r="Z66" s="70" t="n"/>
      <c r="AA66" s="70" t="n"/>
      <c r="AB66" s="70" t="inlineStr">
        <is>
          <t>EXACT|1404/02/21</t>
        </is>
      </c>
      <c r="AC66" s="70" t="n"/>
    </row>
    <row r="67" ht="29" customHeight="1" s="76">
      <c r="A67" s="71" t="inlineStr">
        <is>
          <t>T064</t>
        </is>
      </c>
      <c r="B67" s="71" t="inlineStr">
        <is>
          <t>رمپنا</t>
        </is>
      </c>
      <c r="C67" s="71" t="inlineStr">
        <is>
          <t>F10-M1</t>
        </is>
      </c>
      <c r="D67" s="71" t="inlineStr">
        <is>
          <t>CHAIR</t>
        </is>
      </c>
      <c r="E67" s="71" t="inlineStr">
        <is>
          <t>محمدرضا اولی</t>
        </is>
      </c>
      <c r="F67" s="71" t="inlineStr">
        <is>
          <t>سرمایه گذاری ثروت آفرین صبا</t>
        </is>
      </c>
      <c r="G67" s="71" t="inlineStr">
        <is>
          <t>1DFFC148</t>
        </is>
      </c>
      <c r="H67" s="71" t="inlineStr">
        <is>
          <t>NATIONAL_ID</t>
        </is>
      </c>
      <c r="I67" s="71" t="inlineStr">
        <is>
          <t>رئیس هیئت مدیره</t>
        </is>
      </c>
      <c r="J67" s="71" t="inlineStr">
        <is>
          <t>EXACT</t>
        </is>
      </c>
      <c r="K67" s="71" t="inlineStr">
        <is>
          <t>1404/02/21</t>
        </is>
      </c>
      <c r="L67" s="73" t="n">
        <v>45788</v>
      </c>
      <c r="M67" s="71" t="inlineStr">
        <is>
          <t>1404/02/21</t>
        </is>
      </c>
      <c r="N67" s="73" t="n">
        <v>45788</v>
      </c>
      <c r="O67" s="71" t="inlineStr">
        <is>
          <t>1404/02/21</t>
        </is>
      </c>
      <c r="P67" s="73" t="n">
        <v>45788</v>
      </c>
      <c r="Q67" s="71" t="inlineStr">
        <is>
          <t>1404/12/29</t>
        </is>
      </c>
      <c r="R67" s="73" t="n">
        <v>46101</v>
      </c>
      <c r="S67" s="71">
        <f>IF(OR(J67="UNKNOWN",R67=""),"",R67-IF(J67="EXACT",L67,P67))</f>
        <v>313</v>
      </c>
      <c r="T67" s="71">
        <f>IF(J67="EXACT",R67-L67,IF(J67="INTERVAL",R67-N67,""))</f>
        <v>313</v>
      </c>
      <c r="U67" s="71">
        <f>IF(S67="","",S67/365.25)</f>
        <v>0.8569472963723477</v>
      </c>
      <c r="V67" s="71">
        <f>IF(U67="","",U67^2)</f>
        <v>0.7343586687598763</v>
      </c>
      <c r="W67" s="71" t="inlineStr">
        <is>
          <t>BOARD_MEETING_DATE_IN_NOTICE</t>
        </is>
      </c>
      <c r="X67" s="71" t="inlineStr">
        <is>
          <t>TYPE19_ONLY|PERSON_ROLE_CHAIN</t>
        </is>
      </c>
      <c r="Y67" s="71" t="n"/>
      <c r="Z67" s="71" t="n"/>
      <c r="AA67" s="71" t="n"/>
      <c r="AB67" s="71" t="n"/>
      <c r="AC67" s="71" t="n"/>
    </row>
    <row r="68" ht="29" customHeight="1" s="76">
      <c r="A68" s="70" t="inlineStr">
        <is>
          <t>T065</t>
        </is>
      </c>
      <c r="B68" s="70" t="inlineStr">
        <is>
          <t>رمپنا</t>
        </is>
      </c>
      <c r="C68" s="70" t="inlineStr">
        <is>
          <t>F10-M2</t>
        </is>
      </c>
      <c r="D68" s="70" t="inlineStr">
        <is>
          <t>MEMBER</t>
        </is>
      </c>
      <c r="E68" s="70" t="inlineStr">
        <is>
          <t>ابوالفضل عسگری</t>
        </is>
      </c>
      <c r="F68" s="70" t="inlineStr">
        <is>
          <t>سرمایه گذاری استان گلستان</t>
        </is>
      </c>
      <c r="G68" s="70" t="inlineStr">
        <is>
          <t>0454A2D9</t>
        </is>
      </c>
      <c r="H68" s="70" t="inlineStr">
        <is>
          <t>NATIONAL_ID</t>
        </is>
      </c>
      <c r="I68" s="70" t="inlineStr">
        <is>
          <t>عضو هیئت مدیره غیر موظف</t>
        </is>
      </c>
      <c r="J68" s="70" t="inlineStr">
        <is>
          <t>EXACT</t>
        </is>
      </c>
      <c r="K68" s="70" t="inlineStr">
        <is>
          <t>1404/10/28</t>
        </is>
      </c>
      <c r="L68" s="72" t="n">
        <v>46040</v>
      </c>
      <c r="M68" s="70" t="inlineStr">
        <is>
          <t>1404/10/28</t>
        </is>
      </c>
      <c r="N68" s="72" t="n">
        <v>46040</v>
      </c>
      <c r="O68" s="70" t="inlineStr">
        <is>
          <t>1404/10/28</t>
        </is>
      </c>
      <c r="P68" s="72" t="n">
        <v>46040</v>
      </c>
      <c r="Q68" s="70" t="inlineStr">
        <is>
          <t>1404/12/29</t>
        </is>
      </c>
      <c r="R68" s="72" t="n">
        <v>46101</v>
      </c>
      <c r="S68" s="70">
        <f>IF(OR(J68="UNKNOWN",R68=""),"",R68-IF(J68="EXACT",L68,P68))</f>
        <v>61</v>
      </c>
      <c r="T68" s="70">
        <f>IF(J68="EXACT",R68-L68,IF(J68="INTERVAL",R68-N68,""))</f>
        <v>61</v>
      </c>
      <c r="U68" s="70">
        <f>IF(S68="","",S68/365.25)</f>
        <v>0.16700889801505817</v>
      </c>
      <c r="V68" s="70">
        <f>IF(U68="","",U68^2)</f>
        <v>0.027891972016204098</v>
      </c>
      <c r="W68" s="70" t="inlineStr">
        <is>
          <t>BOARD_MEETING_DATE_IN_NOTICE</t>
        </is>
      </c>
      <c r="X68" s="70" t="inlineStr">
        <is>
          <t>TYPE19_ONLY</t>
        </is>
      </c>
      <c r="Y68" s="70" t="n"/>
      <c r="Z68" s="70" t="n"/>
      <c r="AA68" s="70" t="n"/>
      <c r="AB68" s="70" t="inlineStr">
        <is>
          <t>MIN_CONTINUOUS|1401/05/24</t>
        </is>
      </c>
      <c r="AC68" s="70" t="n"/>
    </row>
    <row r="69" ht="43.5" customHeight="1" s="76">
      <c r="A69" s="71" t="inlineStr">
        <is>
          <t>T066</t>
        </is>
      </c>
      <c r="B69" s="71" t="inlineStr">
        <is>
          <t>رمپنا</t>
        </is>
      </c>
      <c r="C69" s="71" t="inlineStr">
        <is>
          <t>F10-M3</t>
        </is>
      </c>
      <c r="D69" s="71" t="inlineStr">
        <is>
          <t>MEMBER</t>
        </is>
      </c>
      <c r="E69" s="71" t="inlineStr">
        <is>
          <t>محمد اولیاء</t>
        </is>
      </c>
      <c r="F69" s="71" t="inlineStr">
        <is>
          <t>مدبر رضوی</t>
        </is>
      </c>
      <c r="G69" s="71" t="inlineStr">
        <is>
          <t>DE7AB626</t>
        </is>
      </c>
      <c r="H69" s="71" t="inlineStr">
        <is>
          <t>NATIONAL_ID</t>
        </is>
      </c>
      <c r="I69" s="71" t="inlineStr">
        <is>
          <t>نایب رئیس هیئت مدیره موظف</t>
        </is>
      </c>
      <c r="J69" s="71" t="inlineStr">
        <is>
          <t>INTERVAL</t>
        </is>
      </c>
      <c r="K69" s="71" t="n"/>
      <c r="L69" s="73" t="n"/>
      <c r="M69" s="71" t="inlineStr">
        <is>
          <t>1402/04/06</t>
        </is>
      </c>
      <c r="N69" s="73" t="n">
        <v>45104</v>
      </c>
      <c r="O69" s="71" t="inlineStr">
        <is>
          <t>1402/04/18</t>
        </is>
      </c>
      <c r="P69" s="73" t="n">
        <v>45116</v>
      </c>
      <c r="Q69" s="71" t="inlineStr">
        <is>
          <t>1404/12/29</t>
        </is>
      </c>
      <c r="R69" s="73" t="n">
        <v>46101</v>
      </c>
      <c r="S69" s="71">
        <f>IF(OR(J69="UNKNOWN",R69=""),"",R69-IF(J69="EXACT",L69,P69))</f>
        <v>985</v>
      </c>
      <c r="T69" s="71">
        <f>IF(J69="EXACT",R69-L69,IF(J69="INTERVAL",R69-N69,""))</f>
        <v>997</v>
      </c>
      <c r="U69" s="71">
        <f>IF(S69="","",S69/365.25)</f>
        <v>2.6967830253251197</v>
      </c>
      <c r="V69" s="71">
        <f>IF(U69="","",U69^2)</f>
        <v>7.272638685681705</v>
      </c>
      <c r="W69" s="71" t="inlineStr">
        <is>
          <t>BM_DATE_CONFLICT_BETWEEN_NOTICE_VERSIONS:1402/04/06|1402/04/18</t>
        </is>
      </c>
      <c r="X69" s="71" t="inlineStr">
        <is>
          <t>TYPE19_ONLY</t>
        </is>
      </c>
      <c r="Y69" s="71" t="n"/>
      <c r="Z69" s="71" t="n"/>
      <c r="AA69" s="71" t="n"/>
      <c r="AB69" s="71" t="inlineStr">
        <is>
          <t>EXACT|1404/04/31</t>
        </is>
      </c>
      <c r="AC69" s="71" t="inlineStr">
        <is>
          <t>BM versions conflict</t>
        </is>
      </c>
    </row>
    <row r="70" ht="43.5" customHeight="1" s="76">
      <c r="A70" s="70" t="inlineStr">
        <is>
          <t>T067</t>
        </is>
      </c>
      <c r="B70" s="70" t="inlineStr">
        <is>
          <t>رمپنا</t>
        </is>
      </c>
      <c r="C70" s="70" t="inlineStr">
        <is>
          <t>F10-M4</t>
        </is>
      </c>
      <c r="D70" s="70" t="inlineStr">
        <is>
          <t>MEMBER</t>
        </is>
      </c>
      <c r="E70" s="70" t="inlineStr">
        <is>
          <t>خلیل بهبهانی</t>
        </is>
      </c>
      <c r="F70" s="70" t="inlineStr">
        <is>
          <t>سرمایه گذاری پیشگامان سریر رضوی</t>
        </is>
      </c>
      <c r="G70" s="70" t="inlineStr">
        <is>
          <t>3CD7A568</t>
        </is>
      </c>
      <c r="H70" s="70" t="inlineStr">
        <is>
          <t>NATIONAL_ID</t>
        </is>
      </c>
      <c r="I70" s="70" t="inlineStr">
        <is>
          <t>عضو هیئت مدیره غیر موظف</t>
        </is>
      </c>
      <c r="J70" s="70" t="inlineStr">
        <is>
          <t>INTERVAL</t>
        </is>
      </c>
      <c r="K70" s="70" t="n"/>
      <c r="L70" s="72" t="n"/>
      <c r="M70" s="70" t="inlineStr">
        <is>
          <t>1402/04/06</t>
        </is>
      </c>
      <c r="N70" s="72" t="n">
        <v>45104</v>
      </c>
      <c r="O70" s="70" t="inlineStr">
        <is>
          <t>1402/04/18</t>
        </is>
      </c>
      <c r="P70" s="72" t="n">
        <v>45116</v>
      </c>
      <c r="Q70" s="70" t="inlineStr">
        <is>
          <t>1404/12/29</t>
        </is>
      </c>
      <c r="R70" s="72" t="n">
        <v>46101</v>
      </c>
      <c r="S70" s="70">
        <f>IF(OR(J70="UNKNOWN",R70=""),"",R70-IF(J70="EXACT",L70,P70))</f>
        <v>985</v>
      </c>
      <c r="T70" s="70">
        <f>IF(J70="EXACT",R70-L70,IF(J70="INTERVAL",R70-N70,""))</f>
        <v>997</v>
      </c>
      <c r="U70" s="70">
        <f>IF(S70="","",S70/365.25)</f>
        <v>2.6967830253251197</v>
      </c>
      <c r="V70" s="70">
        <f>IF(U70="","",U70^2)</f>
        <v>7.272638685681705</v>
      </c>
      <c r="W70" s="70" t="inlineStr">
        <is>
          <t>BM_DATE_CONFLICT_BETWEEN_NOTICE_VERSIONS:1402/04/06|1402/04/18</t>
        </is>
      </c>
      <c r="X70" s="70" t="inlineStr">
        <is>
          <t>TYPE19_ONLY</t>
        </is>
      </c>
      <c r="Y70" s="70" t="n"/>
      <c r="Z70" s="70" t="n"/>
      <c r="AA70" s="70" t="n"/>
      <c r="AB70" s="70" t="inlineStr">
        <is>
          <t>EXACT|1404/04/31</t>
        </is>
      </c>
      <c r="AC70" s="70" t="inlineStr">
        <is>
          <t>BM versions conflict</t>
        </is>
      </c>
    </row>
    <row r="71" ht="43.5" customHeight="1" s="76">
      <c r="A71" s="71" t="inlineStr">
        <is>
          <t>T068</t>
        </is>
      </c>
      <c r="B71" s="71" t="inlineStr">
        <is>
          <t>رمپنا</t>
        </is>
      </c>
      <c r="C71" s="71" t="inlineStr">
        <is>
          <t>F10-M5</t>
        </is>
      </c>
      <c r="D71" s="71" t="inlineStr">
        <is>
          <t>MEMBER</t>
        </is>
      </c>
      <c r="E71" s="71" t="inlineStr">
        <is>
          <t>امیر هامونی</t>
        </is>
      </c>
      <c r="F71" s="71" t="inlineStr">
        <is>
          <t>کسب و کار رضوی</t>
        </is>
      </c>
      <c r="G71" s="71" t="inlineStr">
        <is>
          <t>FA6CDA1A</t>
        </is>
      </c>
      <c r="H71" s="71" t="inlineStr">
        <is>
          <t>NATIONAL_ID</t>
        </is>
      </c>
      <c r="I71" s="71" t="inlineStr">
        <is>
          <t>عضو هیئت مدیره غیر موظف</t>
        </is>
      </c>
      <c r="J71" s="71" t="inlineStr">
        <is>
          <t>INTERVAL</t>
        </is>
      </c>
      <c r="K71" s="71" t="n"/>
      <c r="L71" s="73" t="n"/>
      <c r="M71" s="71" t="inlineStr">
        <is>
          <t>1402/04/06</t>
        </is>
      </c>
      <c r="N71" s="73" t="n">
        <v>45104</v>
      </c>
      <c r="O71" s="71" t="inlineStr">
        <is>
          <t>1402/04/18</t>
        </is>
      </c>
      <c r="P71" s="73" t="n">
        <v>45116</v>
      </c>
      <c r="Q71" s="71" t="inlineStr">
        <is>
          <t>1404/12/29</t>
        </is>
      </c>
      <c r="R71" s="73" t="n">
        <v>46101</v>
      </c>
      <c r="S71" s="71">
        <f>IF(OR(J71="UNKNOWN",R71=""),"",R71-IF(J71="EXACT",L71,P71))</f>
        <v>985</v>
      </c>
      <c r="T71" s="71">
        <f>IF(J71="EXACT",R71-L71,IF(J71="INTERVAL",R71-N71,""))</f>
        <v>997</v>
      </c>
      <c r="U71" s="71">
        <f>IF(S71="","",S71/365.25)</f>
        <v>2.6967830253251197</v>
      </c>
      <c r="V71" s="71">
        <f>IF(U71="","",U71^2)</f>
        <v>7.272638685681705</v>
      </c>
      <c r="W71" s="71" t="inlineStr">
        <is>
          <t>BM_DATE_CONFLICT_BETWEEN_NOTICE_VERSIONS:1402/04/06|1402/04/18</t>
        </is>
      </c>
      <c r="X71" s="71" t="inlineStr">
        <is>
          <t>TYPE19_ONLY</t>
        </is>
      </c>
      <c r="Y71" s="71" t="n"/>
      <c r="Z71" s="71" t="n"/>
      <c r="AA71" s="71" t="n"/>
      <c r="AB71" s="71" t="inlineStr">
        <is>
          <t>EXACT|1404/04/31</t>
        </is>
      </c>
      <c r="AC71" s="71" t="inlineStr">
        <is>
          <t>BM versions conflict</t>
        </is>
      </c>
    </row>
    <row r="72" ht="29" customHeight="1" s="76">
      <c r="A72" s="70" t="inlineStr">
        <is>
          <t>T069</t>
        </is>
      </c>
      <c r="B72" s="70" t="inlineStr">
        <is>
          <t>رمپنا</t>
        </is>
      </c>
      <c r="C72" s="70" t="n"/>
      <c r="D72" s="70" t="inlineStr">
        <is>
          <t>CEO</t>
        </is>
      </c>
      <c r="E72" s="70" t="inlineStr">
        <is>
          <t>محمد اولیاء</t>
        </is>
      </c>
      <c r="F72" s="70" t="n"/>
      <c r="G72" s="70" t="inlineStr">
        <is>
          <t>DE7AB626</t>
        </is>
      </c>
      <c r="H72" s="70" t="inlineStr">
        <is>
          <t>NATIONAL_ID</t>
        </is>
      </c>
      <c r="I72" s="70" t="inlineStr">
        <is>
          <t>مدیرعامل</t>
        </is>
      </c>
      <c r="J72" s="70" t="inlineStr">
        <is>
          <t>MIN_CONTINUOUS</t>
        </is>
      </c>
      <c r="K72" s="70" t="n"/>
      <c r="L72" s="72" t="n"/>
      <c r="M72" s="70" t="n"/>
      <c r="N72" s="72" t="n"/>
      <c r="O72" s="70" t="inlineStr">
        <is>
          <t>1402/04/10</t>
        </is>
      </c>
      <c r="P72" s="72" t="n">
        <v>45108</v>
      </c>
      <c r="Q72" s="70" t="inlineStr">
        <is>
          <t>1404/12/29</t>
        </is>
      </c>
      <c r="R72" s="72" t="n">
        <v>46101</v>
      </c>
      <c r="S72" s="70">
        <f>IF(OR(J72="UNKNOWN",R72=""),"",R72-IF(J72="EXACT",L72,P72))</f>
        <v>993</v>
      </c>
      <c r="T72" s="70">
        <f>IF(J72="EXACT",R72-L72,IF(J72="INTERVAL",R72-N72,""))</f>
      </c>
      <c r="U72" s="70">
        <f>IF(S72="","",S72/365.25)</f>
        <v>2.7186858316221767</v>
      </c>
      <c r="V72" s="70">
        <f>IF(U72="","",U72^2)</f>
        <v>7.391252651063167</v>
      </c>
      <c r="W72" s="70" t="inlineStr">
        <is>
          <t>FIRST_OBSERVATION_NOTICE_PUBLICATION</t>
        </is>
      </c>
      <c r="X72" s="70" t="inlineStr">
        <is>
          <t>TYPE19_ONLY</t>
        </is>
      </c>
      <c r="Y72" s="70" t="n"/>
      <c r="Z72" s="70" t="n"/>
      <c r="AA72" s="70" t="n"/>
      <c r="AB72" s="70" t="inlineStr">
        <is>
          <t>عضو هیئت مدیره</t>
        </is>
      </c>
      <c r="AC72" s="70" t="n"/>
    </row>
    <row r="73" ht="43.5" customHeight="1" s="76">
      <c r="A73" s="71" t="inlineStr">
        <is>
          <t>T070</t>
        </is>
      </c>
      <c r="B73" s="71" t="inlineStr">
        <is>
          <t>فخوز</t>
        </is>
      </c>
      <c r="C73" s="71" t="inlineStr">
        <is>
          <t>F11-M1</t>
        </is>
      </c>
      <c r="D73" s="71" t="inlineStr">
        <is>
          <t>MEMBER</t>
        </is>
      </c>
      <c r="E73" s="71" t="inlineStr">
        <is>
          <t>امین ابراهیمی</t>
        </is>
      </c>
      <c r="F73" s="71" t="inlineStr">
        <is>
          <t>گروه توسعه اقتصادی پایندگان</t>
        </is>
      </c>
      <c r="G73" s="71" t="inlineStr">
        <is>
          <t>FA92E7E5</t>
        </is>
      </c>
      <c r="H73" s="71" t="inlineStr">
        <is>
          <t>NATIONAL_ID</t>
        </is>
      </c>
      <c r="I73" s="71" t="inlineStr">
        <is>
          <t>نایب رئیس هیئت مدیره موظف</t>
        </is>
      </c>
      <c r="J73" s="71" t="inlineStr">
        <is>
          <t>EXACT</t>
        </is>
      </c>
      <c r="K73" s="71" t="inlineStr">
        <is>
          <t>1402/05/10</t>
        </is>
      </c>
      <c r="L73" s="73" t="n">
        <v>45139</v>
      </c>
      <c r="M73" s="71" t="inlineStr">
        <is>
          <t>1402/05/10</t>
        </is>
      </c>
      <c r="N73" s="73" t="n">
        <v>45139</v>
      </c>
      <c r="O73" s="71" t="inlineStr">
        <is>
          <t>1402/05/10</t>
        </is>
      </c>
      <c r="P73" s="73" t="n">
        <v>45139</v>
      </c>
      <c r="Q73" s="71" t="inlineStr">
        <is>
          <t>1404/12/29</t>
        </is>
      </c>
      <c r="R73" s="73" t="n">
        <v>46101</v>
      </c>
      <c r="S73" s="71">
        <f>IF(OR(J73="UNKNOWN",R73=""),"",R73-IF(J73="EXACT",L73,P73))</f>
        <v>962</v>
      </c>
      <c r="T73" s="71">
        <f>IF(J73="EXACT",R73-L73,IF(J73="INTERVAL",R73-N73,""))</f>
        <v>962</v>
      </c>
      <c r="U73" s="71">
        <f>IF(S73="","",S73/365.25)</f>
        <v>2.6338124572210813</v>
      </c>
      <c r="V73" s="71">
        <f>IF(U73="","",U73^2)</f>
        <v>6.93696805981295</v>
      </c>
      <c r="W73" s="71" t="inlineStr">
        <is>
          <t>REPORT_DECLARED_START_CONSISTENT_WITH_TYPE19_CONTINUITY</t>
        </is>
      </c>
      <c r="X73" s="71" t="inlineStr">
        <is>
          <t>REPORT+TYPE19_CONTINUITY</t>
        </is>
      </c>
      <c r="Y73" s="71" t="inlineStr">
        <is>
          <t>1402/05/10</t>
        </is>
      </c>
      <c r="Z73" s="71" t="inlineStr">
        <is>
          <t>START</t>
        </is>
      </c>
      <c r="AA73" s="71" t="n"/>
      <c r="AB73" s="71" t="inlineStr">
        <is>
          <t>MIN_CONTINUOUS|1402/05/11</t>
        </is>
      </c>
      <c r="AC73" s="71" t="inlineStr">
        <is>
          <t>type19 shows same person from 1402/05/11</t>
        </is>
      </c>
    </row>
    <row r="74" ht="29" customHeight="1" s="76">
      <c r="A74" s="70" t="inlineStr">
        <is>
          <t>T071</t>
        </is>
      </c>
      <c r="B74" s="70" t="inlineStr">
        <is>
          <t>فخوز</t>
        </is>
      </c>
      <c r="C74" s="70" t="inlineStr">
        <is>
          <t>F11-M2</t>
        </is>
      </c>
      <c r="D74" s="70" t="inlineStr">
        <is>
          <t>MEMBER</t>
        </is>
      </c>
      <c r="E74" s="70" t="inlineStr">
        <is>
          <t>عبدالمجید شریفی</t>
        </is>
      </c>
      <c r="F74" s="70" t="inlineStr">
        <is>
          <t>سرمایه گذاری استان خوزستان</t>
        </is>
      </c>
      <c r="G74" s="70" t="inlineStr">
        <is>
          <t>88EB8328</t>
        </is>
      </c>
      <c r="H74" s="70" t="inlineStr">
        <is>
          <t>NATIONAL_ID</t>
        </is>
      </c>
      <c r="I74" s="70" t="inlineStr">
        <is>
          <t>عضو هیئت مدیره غیر موظف</t>
        </is>
      </c>
      <c r="J74" s="70" t="inlineStr">
        <is>
          <t>INTERVAL</t>
        </is>
      </c>
      <c r="K74" s="70" t="n"/>
      <c r="L74" s="72" t="n"/>
      <c r="M74" s="70" t="inlineStr">
        <is>
          <t>1404/05/22</t>
        </is>
      </c>
      <c r="N74" s="72" t="n">
        <v>45882</v>
      </c>
      <c r="O74" s="70" t="inlineStr">
        <is>
          <t>1404/05/27</t>
        </is>
      </c>
      <c r="P74" s="72" t="n">
        <v>45887</v>
      </c>
      <c r="Q74" s="70" t="inlineStr">
        <is>
          <t>1404/12/29</t>
        </is>
      </c>
      <c r="R74" s="72" t="n">
        <v>46101</v>
      </c>
      <c r="S74" s="70">
        <f>IF(OR(J74="UNKNOWN",R74=""),"",R74-IF(J74="EXACT",L74,P74))</f>
        <v>214</v>
      </c>
      <c r="T74" s="70">
        <f>IF(J74="EXACT",R74-L74,IF(J74="INTERVAL",R74-N74,""))</f>
        <v>219</v>
      </c>
      <c r="U74" s="70">
        <f>IF(S74="","",S74/365.25)</f>
        <v>0.5859000684462696</v>
      </c>
      <c r="V74" s="70">
        <f>IF(U74="","",U74^2)</f>
        <v>0.3432788902053434</v>
      </c>
      <c r="W74" s="70" t="inlineStr">
        <is>
          <t>SOURCE_CONFLICT:type19=1404/05/27;report=1404/05/22</t>
        </is>
      </c>
      <c r="X74" s="70" t="inlineStr">
        <is>
          <t>TYPE19_VS_REPORT_CONFLICT</t>
        </is>
      </c>
      <c r="Y74" s="70" t="inlineStr">
        <is>
          <t>1404/05/22</t>
        </is>
      </c>
      <c r="Z74" s="70" t="inlineStr">
        <is>
          <t>START</t>
        </is>
      </c>
      <c r="AA74" s="70" t="n"/>
      <c r="AB74" s="70" t="inlineStr">
        <is>
          <t>MIN_CONTINUOUS|1402/05/11</t>
        </is>
      </c>
      <c r="AC74" s="70" t="inlineStr">
        <is>
          <t>sources disagree by 5d</t>
        </is>
      </c>
    </row>
    <row r="75" ht="29" customHeight="1" s="76">
      <c r="A75" s="71" t="inlineStr">
        <is>
          <t>T072</t>
        </is>
      </c>
      <c r="B75" s="71" t="inlineStr">
        <is>
          <t>فخوز</t>
        </is>
      </c>
      <c r="C75" s="71" t="inlineStr">
        <is>
          <t>F11-M3</t>
        </is>
      </c>
      <c r="D75" s="71" t="inlineStr">
        <is>
          <t>MEMBER</t>
        </is>
      </c>
      <c r="E75" s="71" t="inlineStr">
        <is>
          <t>محمد شهسواری</t>
        </is>
      </c>
      <c r="F75" s="71" t="inlineStr">
        <is>
          <t>سرمایه گذاری سامان مجد</t>
        </is>
      </c>
      <c r="G75" s="71" t="inlineStr">
        <is>
          <t>7F7D3147</t>
        </is>
      </c>
      <c r="H75" s="71" t="inlineStr">
        <is>
          <t>NATIONAL_ID</t>
        </is>
      </c>
      <c r="I75" s="71" t="inlineStr">
        <is>
          <t>رئیس هیئت مدیره غیر موظف</t>
        </is>
      </c>
      <c r="J75" s="71" t="inlineStr">
        <is>
          <t>EXACT</t>
        </is>
      </c>
      <c r="K75" s="71" t="inlineStr">
        <is>
          <t>1404/05/15</t>
        </is>
      </c>
      <c r="L75" s="73" t="n">
        <v>45875</v>
      </c>
      <c r="M75" s="71" t="inlineStr">
        <is>
          <t>1404/05/15</t>
        </is>
      </c>
      <c r="N75" s="73" t="n">
        <v>45875</v>
      </c>
      <c r="O75" s="71" t="inlineStr">
        <is>
          <t>1404/05/15</t>
        </is>
      </c>
      <c r="P75" s="73" t="n">
        <v>45875</v>
      </c>
      <c r="Q75" s="71" t="inlineStr">
        <is>
          <t>1404/12/29</t>
        </is>
      </c>
      <c r="R75" s="73" t="n">
        <v>46101</v>
      </c>
      <c r="S75" s="71">
        <f>IF(OR(J75="UNKNOWN",R75=""),"",R75-IF(J75="EXACT",L75,P75))</f>
        <v>226</v>
      </c>
      <c r="T75" s="71">
        <f>IF(J75="EXACT",R75-L75,IF(J75="INTERVAL",R75-N75,""))</f>
        <v>226</v>
      </c>
      <c r="U75" s="71">
        <f>IF(S75="","",S75/365.25)</f>
        <v>0.6187542778918549</v>
      </c>
      <c r="V75" s="71">
        <f>IF(U75="","",U75^2)</f>
        <v>0.38285685640947076</v>
      </c>
      <c r="W75" s="71" t="inlineStr">
        <is>
          <t>BOARD_MEETING_DATE_IN_NOTICE</t>
        </is>
      </c>
      <c r="X75" s="71" t="inlineStr">
        <is>
          <t>TYPE19_ONLY</t>
        </is>
      </c>
      <c r="Y75" s="71" t="n"/>
      <c r="Z75" s="71" t="n"/>
      <c r="AA75" s="71" t="n"/>
      <c r="AB75" s="71" t="inlineStr">
        <is>
          <t>MIN_CONTINUOUS|1402/05/11</t>
        </is>
      </c>
      <c r="AC75" s="71" t="n"/>
    </row>
    <row r="76" ht="29" customHeight="1" s="76">
      <c r="A76" s="70" t="inlineStr">
        <is>
          <t>T073</t>
        </is>
      </c>
      <c r="B76" s="70" t="inlineStr">
        <is>
          <t>فخوز</t>
        </is>
      </c>
      <c r="C76" s="70" t="inlineStr">
        <is>
          <t>F11-M3</t>
        </is>
      </c>
      <c r="D76" s="70" t="inlineStr">
        <is>
          <t>CHAIR</t>
        </is>
      </c>
      <c r="E76" s="70" t="inlineStr">
        <is>
          <t>محمد شهسواری</t>
        </is>
      </c>
      <c r="F76" s="70" t="inlineStr">
        <is>
          <t>سرمایه گذاری سامان مجد</t>
        </is>
      </c>
      <c r="G76" s="70" t="inlineStr">
        <is>
          <t>7F7D3147</t>
        </is>
      </c>
      <c r="H76" s="70" t="inlineStr">
        <is>
          <t>NATIONAL_ID</t>
        </is>
      </c>
      <c r="I76" s="70" t="inlineStr">
        <is>
          <t>رئیس هیئت مدیره</t>
        </is>
      </c>
      <c r="J76" s="70" t="inlineStr">
        <is>
          <t>EXACT</t>
        </is>
      </c>
      <c r="K76" s="70" t="inlineStr">
        <is>
          <t>1404/05/15</t>
        </is>
      </c>
      <c r="L76" s="72" t="n">
        <v>45875</v>
      </c>
      <c r="M76" s="70" t="inlineStr">
        <is>
          <t>1404/05/15</t>
        </is>
      </c>
      <c r="N76" s="72" t="n">
        <v>45875</v>
      </c>
      <c r="O76" s="70" t="inlineStr">
        <is>
          <t>1404/05/15</t>
        </is>
      </c>
      <c r="P76" s="72" t="n">
        <v>45875</v>
      </c>
      <c r="Q76" s="70" t="inlineStr">
        <is>
          <t>1404/12/29</t>
        </is>
      </c>
      <c r="R76" s="72" t="n">
        <v>46101</v>
      </c>
      <c r="S76" s="70">
        <f>IF(OR(J76="UNKNOWN",R76=""),"",R76-IF(J76="EXACT",L76,P76))</f>
        <v>226</v>
      </c>
      <c r="T76" s="70">
        <f>IF(J76="EXACT",R76-L76,IF(J76="INTERVAL",R76-N76,""))</f>
        <v>226</v>
      </c>
      <c r="U76" s="70">
        <f>IF(S76="","",S76/365.25)</f>
        <v>0.6187542778918549</v>
      </c>
      <c r="V76" s="70">
        <f>IF(U76="","",U76^2)</f>
        <v>0.38285685640947076</v>
      </c>
      <c r="W76" s="70" t="inlineStr">
        <is>
          <t>BOARD_MEETING_DATE_IN_NOTICE</t>
        </is>
      </c>
      <c r="X76" s="70" t="inlineStr">
        <is>
          <t>TYPE19_ONLY|PERSON_ROLE_CHAIN</t>
        </is>
      </c>
      <c r="Y76" s="70" t="n"/>
      <c r="Z76" s="70" t="n"/>
      <c r="AA76" s="70" t="n"/>
      <c r="AB76" s="70" t="n"/>
      <c r="AC76" s="70" t="n"/>
    </row>
    <row r="77" ht="29" customHeight="1" s="76">
      <c r="A77" s="71" t="inlineStr">
        <is>
          <t>T074</t>
        </is>
      </c>
      <c r="B77" s="71" t="inlineStr">
        <is>
          <t>فخوز</t>
        </is>
      </c>
      <c r="C77" s="71" t="inlineStr">
        <is>
          <t>F11-M4</t>
        </is>
      </c>
      <c r="D77" s="71" t="inlineStr">
        <is>
          <t>MEMBER</t>
        </is>
      </c>
      <c r="E77" s="71" t="inlineStr">
        <is>
          <t>سیدمحسن هاطلی اصفهانی</t>
        </is>
      </c>
      <c r="F77" s="71" t="inlineStr">
        <is>
          <t>پیشران کسب و کار شریف</t>
        </is>
      </c>
      <c r="G77" s="71" t="inlineStr">
        <is>
          <t>A09599FA</t>
        </is>
      </c>
      <c r="H77" s="71" t="inlineStr">
        <is>
          <t>NATIONAL_ID</t>
        </is>
      </c>
      <c r="I77" s="71" t="inlineStr">
        <is>
          <t>عضو هیئت مدیره غیر موظف</t>
        </is>
      </c>
      <c r="J77" s="71" t="inlineStr">
        <is>
          <t>EXACT</t>
        </is>
      </c>
      <c r="K77" s="71" t="inlineStr">
        <is>
          <t>1404/05/15</t>
        </is>
      </c>
      <c r="L77" s="73" t="n">
        <v>45875</v>
      </c>
      <c r="M77" s="71" t="inlineStr">
        <is>
          <t>1404/05/15</t>
        </is>
      </c>
      <c r="N77" s="73" t="n">
        <v>45875</v>
      </c>
      <c r="O77" s="71" t="inlineStr">
        <is>
          <t>1404/05/15</t>
        </is>
      </c>
      <c r="P77" s="73" t="n">
        <v>45875</v>
      </c>
      <c r="Q77" s="71" t="inlineStr">
        <is>
          <t>1404/12/29</t>
        </is>
      </c>
      <c r="R77" s="73" t="n">
        <v>46101</v>
      </c>
      <c r="S77" s="71">
        <f>IF(OR(J77="UNKNOWN",R77=""),"",R77-IF(J77="EXACT",L77,P77))</f>
        <v>226</v>
      </c>
      <c r="T77" s="71">
        <f>IF(J77="EXACT",R77-L77,IF(J77="INTERVAL",R77-N77,""))</f>
        <v>226</v>
      </c>
      <c r="U77" s="71">
        <f>IF(S77="","",S77/365.25)</f>
        <v>0.6187542778918549</v>
      </c>
      <c r="V77" s="71">
        <f>IF(U77="","",U77^2)</f>
        <v>0.38285685640947076</v>
      </c>
      <c r="W77" s="71" t="inlineStr">
        <is>
          <t>BOARD_MEETING_DATE_IN_NOTICE</t>
        </is>
      </c>
      <c r="X77" s="71" t="inlineStr">
        <is>
          <t>TYPE19_ONLY</t>
        </is>
      </c>
      <c r="Y77" s="71" t="n"/>
      <c r="Z77" s="71" t="n"/>
      <c r="AA77" s="71" t="n"/>
      <c r="AB77" s="71" t="inlineStr">
        <is>
          <t>MIN_CONTINUOUS|1402/05/11</t>
        </is>
      </c>
      <c r="AC77" s="71" t="n"/>
    </row>
    <row r="78" ht="29" customHeight="1" s="76">
      <c r="A78" s="70" t="inlineStr">
        <is>
          <t>T075</t>
        </is>
      </c>
      <c r="B78" s="70" t="inlineStr">
        <is>
          <t>فخوز</t>
        </is>
      </c>
      <c r="C78" s="70" t="inlineStr">
        <is>
          <t>F11-M5</t>
        </is>
      </c>
      <c r="D78" s="70" t="inlineStr">
        <is>
          <t>MEMBER</t>
        </is>
      </c>
      <c r="E78" s="70" t="inlineStr">
        <is>
          <t>ابوذر شکری</t>
        </is>
      </c>
      <c r="F78" s="70" t="inlineStr">
        <is>
          <t>همراه سیر فردیس</t>
        </is>
      </c>
      <c r="G78" s="70" t="inlineStr">
        <is>
          <t>D648694A</t>
        </is>
      </c>
      <c r="H78" s="70" t="inlineStr">
        <is>
          <t>NATIONAL_ID</t>
        </is>
      </c>
      <c r="I78" s="70" t="inlineStr">
        <is>
          <t>عضو هیئت مدیره غیر موظف</t>
        </is>
      </c>
      <c r="J78" s="70" t="inlineStr">
        <is>
          <t>EXACT</t>
        </is>
      </c>
      <c r="K78" s="70" t="inlineStr">
        <is>
          <t>1404/05/15</t>
        </is>
      </c>
      <c r="L78" s="72" t="n">
        <v>45875</v>
      </c>
      <c r="M78" s="70" t="inlineStr">
        <is>
          <t>1404/05/15</t>
        </is>
      </c>
      <c r="N78" s="72" t="n">
        <v>45875</v>
      </c>
      <c r="O78" s="70" t="inlineStr">
        <is>
          <t>1404/05/15</t>
        </is>
      </c>
      <c r="P78" s="72" t="n">
        <v>45875</v>
      </c>
      <c r="Q78" s="70" t="inlineStr">
        <is>
          <t>1404/12/29</t>
        </is>
      </c>
      <c r="R78" s="72" t="n">
        <v>46101</v>
      </c>
      <c r="S78" s="70">
        <f>IF(OR(J78="UNKNOWN",R78=""),"",R78-IF(J78="EXACT",L78,P78))</f>
        <v>226</v>
      </c>
      <c r="T78" s="70">
        <f>IF(J78="EXACT",R78-L78,IF(J78="INTERVAL",R78-N78,""))</f>
        <v>226</v>
      </c>
      <c r="U78" s="70">
        <f>IF(S78="","",S78/365.25)</f>
        <v>0.6187542778918549</v>
      </c>
      <c r="V78" s="70">
        <f>IF(U78="","",U78^2)</f>
        <v>0.38285685640947076</v>
      </c>
      <c r="W78" s="70" t="inlineStr">
        <is>
          <t>BOARD_MEETING_DATE_IN_NOTICE</t>
        </is>
      </c>
      <c r="X78" s="70" t="inlineStr">
        <is>
          <t>TYPE19_ONLY</t>
        </is>
      </c>
      <c r="Y78" s="70" t="n"/>
      <c r="Z78" s="70" t="n"/>
      <c r="AA78" s="70" t="n"/>
      <c r="AB78" s="70" t="inlineStr">
        <is>
          <t>EXACT|1404/05/15</t>
        </is>
      </c>
      <c r="AC78" s="70" t="n"/>
    </row>
    <row r="79" ht="29" customHeight="1" s="76">
      <c r="A79" s="71" t="inlineStr">
        <is>
          <t>T076</t>
        </is>
      </c>
      <c r="B79" s="71" t="inlineStr">
        <is>
          <t>فخوز</t>
        </is>
      </c>
      <c r="C79" s="71" t="n"/>
      <c r="D79" s="71" t="inlineStr">
        <is>
          <t>CEO</t>
        </is>
      </c>
      <c r="E79" s="71" t="inlineStr">
        <is>
          <t>امین ابراهیمی</t>
        </is>
      </c>
      <c r="F79" s="71" t="n"/>
      <c r="G79" s="71" t="inlineStr">
        <is>
          <t>FA92E7E5</t>
        </is>
      </c>
      <c r="H79" s="71" t="inlineStr">
        <is>
          <t>NATIONAL_ID</t>
        </is>
      </c>
      <c r="I79" s="71" t="inlineStr">
        <is>
          <t>مدیرعامل</t>
        </is>
      </c>
      <c r="J79" s="71" t="inlineStr">
        <is>
          <t>MIN_CONTINUOUS</t>
        </is>
      </c>
      <c r="K79" s="71" t="n"/>
      <c r="L79" s="73" t="n"/>
      <c r="M79" s="71" t="n"/>
      <c r="N79" s="73" t="n"/>
      <c r="O79" s="71" t="inlineStr">
        <is>
          <t>1402/05/11</t>
        </is>
      </c>
      <c r="P79" s="73" t="n">
        <v>45140</v>
      </c>
      <c r="Q79" s="71" t="inlineStr">
        <is>
          <t>1404/12/29</t>
        </is>
      </c>
      <c r="R79" s="73" t="n">
        <v>46101</v>
      </c>
      <c r="S79" s="71">
        <f>IF(OR(J79="UNKNOWN",R79=""),"",R79-IF(J79="EXACT",L79,P79))</f>
        <v>961</v>
      </c>
      <c r="T79" s="71">
        <f>IF(J79="EXACT",R79-L79,IF(J79="INTERVAL",R79-N79,""))</f>
      </c>
      <c r="U79" s="71">
        <f>IF(S79="","",S79/365.25)</f>
        <v>2.631074606433949</v>
      </c>
      <c r="V79" s="71">
        <f>IF(U79="","",U79^2)</f>
        <v>6.922553584621561</v>
      </c>
      <c r="W79" s="71" t="inlineStr">
        <is>
          <t>FIRST_OBSERVATION_NOTICE_PUBLICATION</t>
        </is>
      </c>
      <c r="X79" s="71" t="inlineStr">
        <is>
          <t>TYPE19_ONLY</t>
        </is>
      </c>
      <c r="Y79" s="71" t="n"/>
      <c r="Z79" s="71" t="n"/>
      <c r="AA79" s="71" t="n"/>
      <c r="AB79" s="71" t="inlineStr">
        <is>
          <t>عضو هیئت مدیره</t>
        </is>
      </c>
      <c r="AC79" s="71" t="n"/>
    </row>
    <row r="80" ht="29" customHeight="1" s="76">
      <c r="A80" s="70" t="inlineStr">
        <is>
          <t>T077</t>
        </is>
      </c>
      <c r="B80" s="70" t="inlineStr">
        <is>
          <t>شستا</t>
        </is>
      </c>
      <c r="C80" s="70" t="inlineStr">
        <is>
          <t>F12-M1</t>
        </is>
      </c>
      <c r="D80" s="70" t="inlineStr">
        <is>
          <t>MEMBER</t>
        </is>
      </c>
      <c r="E80" s="70" t="inlineStr">
        <is>
          <t>محمدرضا سعیدی</t>
        </is>
      </c>
      <c r="F80" s="70" t="inlineStr">
        <is>
          <t>سازمان تامین اجتماعی</t>
        </is>
      </c>
      <c r="G80" s="70" t="inlineStr">
        <is>
          <t>499D35A7</t>
        </is>
      </c>
      <c r="H80" s="70" t="inlineStr">
        <is>
          <t>NATIONAL_ID</t>
        </is>
      </c>
      <c r="I80" s="70" t="inlineStr">
        <is>
          <t>نایب رئیس هیئت مدیره موظف</t>
        </is>
      </c>
      <c r="J80" s="70" t="inlineStr">
        <is>
          <t>EXACT</t>
        </is>
      </c>
      <c r="K80" s="70" t="inlineStr">
        <is>
          <t>1403/09/25</t>
        </is>
      </c>
      <c r="L80" s="72" t="n">
        <v>45641</v>
      </c>
      <c r="M80" s="70" t="inlineStr">
        <is>
          <t>1403/09/25</t>
        </is>
      </c>
      <c r="N80" s="72" t="n">
        <v>45641</v>
      </c>
      <c r="O80" s="70" t="inlineStr">
        <is>
          <t>1403/09/25</t>
        </is>
      </c>
      <c r="P80" s="72" t="n">
        <v>45641</v>
      </c>
      <c r="Q80" s="70" t="inlineStr">
        <is>
          <t>1404/03/31</t>
        </is>
      </c>
      <c r="R80" s="72" t="n">
        <v>45829</v>
      </c>
      <c r="S80" s="70">
        <f>IF(OR(J80="UNKNOWN",R80=""),"",R80-IF(J80="EXACT",L80,P80))</f>
        <v>188</v>
      </c>
      <c r="T80" s="70">
        <f>IF(J80="EXACT",R80-L80,IF(J80="INTERVAL",R80-N80,""))</f>
        <v>188</v>
      </c>
      <c r="U80" s="70">
        <f>IF(S80="","",S80/365.25)</f>
        <v>0.5147159479808351</v>
      </c>
      <c r="V80" s="70">
        <f>IF(U80="","",U80^2)</f>
        <v>0.26493250710580973</v>
      </c>
      <c r="W80" s="70" t="inlineStr">
        <is>
          <t>BOARD_MEETING_DATE_IN_NOTICE</t>
        </is>
      </c>
      <c r="X80" s="70" t="inlineStr">
        <is>
          <t>TYPE19+REPORT_CORROBORATED</t>
        </is>
      </c>
      <c r="Y80" s="70" t="inlineStr">
        <is>
          <t>1403/09/25</t>
        </is>
      </c>
      <c r="Z80" s="70" t="inlineStr">
        <is>
          <t>START</t>
        </is>
      </c>
      <c r="AA80" s="70" t="n"/>
      <c r="AB80" s="70" t="inlineStr">
        <is>
          <t>MIN_CONTINUOUS|1401/01/31</t>
        </is>
      </c>
      <c r="AC80" s="70" t="inlineStr">
        <is>
          <t>report date 1403/09/25 (diff 0d)</t>
        </is>
      </c>
    </row>
    <row r="81" ht="29" customHeight="1" s="76">
      <c r="A81" s="71" t="inlineStr">
        <is>
          <t>T078</t>
        </is>
      </c>
      <c r="B81" s="71" t="inlineStr">
        <is>
          <t>شستا</t>
        </is>
      </c>
      <c r="C81" s="71" t="inlineStr">
        <is>
          <t>F12-M2</t>
        </is>
      </c>
      <c r="D81" s="71" t="inlineStr">
        <is>
          <t>MEMBER</t>
        </is>
      </c>
      <c r="E81" s="71" t="inlineStr">
        <is>
          <t>سیاوش افضلی</t>
        </is>
      </c>
      <c r="F81" s="71" t="inlineStr">
        <is>
          <t>املاک ومستغلات تامین اجتماعی</t>
        </is>
      </c>
      <c r="G81" s="71" t="inlineStr">
        <is>
          <t>7BDFC40F</t>
        </is>
      </c>
      <c r="H81" s="71" t="inlineStr">
        <is>
          <t>NATIONAL_ID</t>
        </is>
      </c>
      <c r="I81" s="71" t="inlineStr">
        <is>
          <t>عضو هیئت مدیره غیر موظف</t>
        </is>
      </c>
      <c r="J81" s="71" t="inlineStr">
        <is>
          <t>EXACT</t>
        </is>
      </c>
      <c r="K81" s="71" t="inlineStr">
        <is>
          <t>1403/12/20</t>
        </is>
      </c>
      <c r="L81" s="73" t="n">
        <v>45726</v>
      </c>
      <c r="M81" s="71" t="inlineStr">
        <is>
          <t>1403/12/20</t>
        </is>
      </c>
      <c r="N81" s="73" t="n">
        <v>45726</v>
      </c>
      <c r="O81" s="71" t="inlineStr">
        <is>
          <t>1403/12/20</t>
        </is>
      </c>
      <c r="P81" s="73" t="n">
        <v>45726</v>
      </c>
      <c r="Q81" s="71" t="inlineStr">
        <is>
          <t>1404/03/31</t>
        </is>
      </c>
      <c r="R81" s="73" t="n">
        <v>45829</v>
      </c>
      <c r="S81" s="71">
        <f>IF(OR(J81="UNKNOWN",R81=""),"",R81-IF(J81="EXACT",L81,P81))</f>
        <v>103</v>
      </c>
      <c r="T81" s="71">
        <f>IF(J81="EXACT",R81-L81,IF(J81="INTERVAL",R81-N81,""))</f>
        <v>103</v>
      </c>
      <c r="U81" s="71">
        <f>IF(S81="","",S81/365.25)</f>
        <v>0.28199863107460643</v>
      </c>
      <c r="V81" s="71">
        <f>IF(U81="","",U81^2)</f>
        <v>0.07952322792795198</v>
      </c>
      <c r="W81" s="71" t="inlineStr">
        <is>
          <t>BOARD_MEETING_DATE_IN_NOTICE</t>
        </is>
      </c>
      <c r="X81" s="71" t="inlineStr">
        <is>
          <t>TYPE19_ONLY</t>
        </is>
      </c>
      <c r="Y81" s="71" t="n"/>
      <c r="Z81" s="71" t="n"/>
      <c r="AA81" s="71" t="n"/>
      <c r="AB81" s="71" t="inlineStr">
        <is>
          <t>MIN_CONTINUOUS|1401/01/31</t>
        </is>
      </c>
      <c r="AC81" s="71" t="n"/>
    </row>
    <row r="82" ht="43.5" customHeight="1" s="76">
      <c r="A82" s="70" t="inlineStr">
        <is>
          <t>T079</t>
        </is>
      </c>
      <c r="B82" s="70" t="inlineStr">
        <is>
          <t>شستا</t>
        </is>
      </c>
      <c r="C82" s="70" t="inlineStr">
        <is>
          <t>F12-M3</t>
        </is>
      </c>
      <c r="D82" s="70" t="inlineStr">
        <is>
          <t>MEMBER</t>
        </is>
      </c>
      <c r="E82" s="70" t="inlineStr">
        <is>
          <t>غلام رضا رحیمی</t>
        </is>
      </c>
      <c r="F82" s="70" t="inlineStr">
        <is>
          <t>سرمایه گذاری خانه سازی ایران</t>
        </is>
      </c>
      <c r="G82" s="70" t="inlineStr">
        <is>
          <t>97A71464</t>
        </is>
      </c>
      <c r="H82" s="70" t="inlineStr">
        <is>
          <t>NATIONAL_ID</t>
        </is>
      </c>
      <c r="I82" s="70" t="inlineStr">
        <is>
          <t>رئیس هیئت مدیره غیر موظف</t>
        </is>
      </c>
      <c r="J82" s="70" t="inlineStr">
        <is>
          <t>INTERVAL</t>
        </is>
      </c>
      <c r="K82" s="70" t="n"/>
      <c r="L82" s="72" t="n"/>
      <c r="M82" s="70" t="inlineStr">
        <is>
          <t>1402/05/17</t>
        </is>
      </c>
      <c r="N82" s="72" t="n">
        <v>45146</v>
      </c>
      <c r="O82" s="70" t="inlineStr">
        <is>
          <t>1402/08/17</t>
        </is>
      </c>
      <c r="P82" s="72" t="n">
        <v>45238</v>
      </c>
      <c r="Q82" s="70" t="inlineStr">
        <is>
          <t>1404/03/31</t>
        </is>
      </c>
      <c r="R82" s="72" t="n">
        <v>45829</v>
      </c>
      <c r="S82" s="70">
        <f>IF(OR(J82="UNKNOWN",R82=""),"",R82-IF(J82="EXACT",L82,P82))</f>
        <v>591</v>
      </c>
      <c r="T82" s="70">
        <f>IF(J82="EXACT",R82-L82,IF(J82="INTERVAL",R82-N82,""))</f>
        <v>683</v>
      </c>
      <c r="U82" s="70">
        <f>IF(S82="","",S82/365.25)</f>
        <v>1.6180698151950719</v>
      </c>
      <c r="V82" s="70">
        <f>IF(U82="","",U82^2)</f>
        <v>2.618149926845414</v>
      </c>
      <c r="W82" s="70" t="inlineStr">
        <is>
          <t>BM_DATE_CONFLICT_BETWEEN_NOTICE_VERSIONS:1402/05/17|1402/08/17</t>
        </is>
      </c>
      <c r="X82" s="70" t="inlineStr">
        <is>
          <t>TYPE19_ONLY</t>
        </is>
      </c>
      <c r="Y82" s="70" t="n"/>
      <c r="Z82" s="70" t="n"/>
      <c r="AA82" s="70" t="n"/>
      <c r="AB82" s="70" t="inlineStr">
        <is>
          <t>MIN_CONTINUOUS|1401/01/31</t>
        </is>
      </c>
      <c r="AC82" s="70" t="inlineStr">
        <is>
          <t>BM versions conflict</t>
        </is>
      </c>
    </row>
    <row r="83" ht="29" customHeight="1" s="76">
      <c r="A83" s="71" t="inlineStr">
        <is>
          <t>T080</t>
        </is>
      </c>
      <c r="B83" s="71" t="inlineStr">
        <is>
          <t>شستا</t>
        </is>
      </c>
      <c r="C83" s="71" t="inlineStr">
        <is>
          <t>F12-M3</t>
        </is>
      </c>
      <c r="D83" s="71" t="inlineStr">
        <is>
          <t>CHAIR</t>
        </is>
      </c>
      <c r="E83" s="71" t="inlineStr">
        <is>
          <t>غلام رضا رحیمی</t>
        </is>
      </c>
      <c r="F83" s="71" t="inlineStr">
        <is>
          <t>سرمایه گذاری خانه سازی ایران</t>
        </is>
      </c>
      <c r="G83" s="71" t="inlineStr">
        <is>
          <t>97A71464</t>
        </is>
      </c>
      <c r="H83" s="71" t="inlineStr">
        <is>
          <t>NATIONAL_ID</t>
        </is>
      </c>
      <c r="I83" s="71" t="inlineStr">
        <is>
          <t>رئیس هیئت مدیره</t>
        </is>
      </c>
      <c r="J83" s="71" t="inlineStr">
        <is>
          <t>EXACT</t>
        </is>
      </c>
      <c r="K83" s="71" t="inlineStr">
        <is>
          <t>1403/09/25</t>
        </is>
      </c>
      <c r="L83" s="73" t="n">
        <v>45641</v>
      </c>
      <c r="M83" s="71" t="inlineStr">
        <is>
          <t>1403/09/25</t>
        </is>
      </c>
      <c r="N83" s="73" t="n">
        <v>45641</v>
      </c>
      <c r="O83" s="71" t="inlineStr">
        <is>
          <t>1403/09/25</t>
        </is>
      </c>
      <c r="P83" s="73" t="n">
        <v>45641</v>
      </c>
      <c r="Q83" s="71" t="inlineStr">
        <is>
          <t>1404/03/31</t>
        </is>
      </c>
      <c r="R83" s="73" t="n">
        <v>45829</v>
      </c>
      <c r="S83" s="71">
        <f>IF(OR(J83="UNKNOWN",R83=""),"",R83-IF(J83="EXACT",L83,P83))</f>
        <v>188</v>
      </c>
      <c r="T83" s="71">
        <f>IF(J83="EXACT",R83-L83,IF(J83="INTERVAL",R83-N83,""))</f>
        <v>188</v>
      </c>
      <c r="U83" s="71">
        <f>IF(S83="","",S83/365.25)</f>
        <v>0.5147159479808351</v>
      </c>
      <c r="V83" s="71">
        <f>IF(U83="","",U83^2)</f>
        <v>0.26493250710580973</v>
      </c>
      <c r="W83" s="71" t="inlineStr">
        <is>
          <t>BOARD_MEETING_DATE_IN_NOTICE</t>
        </is>
      </c>
      <c r="X83" s="71" t="inlineStr">
        <is>
          <t>TYPE19_ONLY|PERSON_ROLE_CHAIN</t>
        </is>
      </c>
      <c r="Y83" s="71" t="n"/>
      <c r="Z83" s="71" t="n"/>
      <c r="AA83" s="71" t="n"/>
      <c r="AB83" s="71" t="n"/>
      <c r="AC83" s="71" t="n"/>
    </row>
    <row r="84" ht="29" customHeight="1" s="76">
      <c r="A84" s="70" t="inlineStr">
        <is>
          <t>T081</t>
        </is>
      </c>
      <c r="B84" s="70" t="inlineStr">
        <is>
          <t>شستا</t>
        </is>
      </c>
      <c r="C84" s="70" t="inlineStr">
        <is>
          <t>F12-M4</t>
        </is>
      </c>
      <c r="D84" s="70" t="inlineStr">
        <is>
          <t>MEMBER</t>
        </is>
      </c>
      <c r="E84" s="70" t="inlineStr">
        <is>
          <t>عادل دهدشتی</t>
        </is>
      </c>
      <c r="F84" s="70" t="inlineStr">
        <is>
          <t>خدمات بهداشتی درمانی میلاد سلامت تهران</t>
        </is>
      </c>
      <c r="G84" s="70" t="inlineStr">
        <is>
          <t>DFCC1D75</t>
        </is>
      </c>
      <c r="H84" s="70" t="inlineStr">
        <is>
          <t>NATIONAL_ID</t>
        </is>
      </c>
      <c r="I84" s="70" t="inlineStr">
        <is>
          <t>عضو هیئت مدیره غیر موظف</t>
        </is>
      </c>
      <c r="J84" s="70" t="inlineStr">
        <is>
          <t>EXACT</t>
        </is>
      </c>
      <c r="K84" s="70" t="inlineStr">
        <is>
          <t>1403/10/11</t>
        </is>
      </c>
      <c r="L84" s="72" t="n">
        <v>45657</v>
      </c>
      <c r="M84" s="70" t="inlineStr">
        <is>
          <t>1403/10/11</t>
        </is>
      </c>
      <c r="N84" s="72" t="n">
        <v>45657</v>
      </c>
      <c r="O84" s="70" t="inlineStr">
        <is>
          <t>1403/10/11</t>
        </is>
      </c>
      <c r="P84" s="72" t="n">
        <v>45657</v>
      </c>
      <c r="Q84" s="70" t="inlineStr">
        <is>
          <t>1404/03/31</t>
        </is>
      </c>
      <c r="R84" s="72" t="n">
        <v>45829</v>
      </c>
      <c r="S84" s="70">
        <f>IF(OR(J84="UNKNOWN",R84=""),"",R84-IF(J84="EXACT",L84,P84))</f>
        <v>172</v>
      </c>
      <c r="T84" s="70">
        <f>IF(J84="EXACT",R84-L84,IF(J84="INTERVAL",R84-N84,""))</f>
        <v>172</v>
      </c>
      <c r="U84" s="70">
        <f>IF(S84="","",S84/365.25)</f>
        <v>0.47091033538672145</v>
      </c>
      <c r="V84" s="70">
        <f>IF(U84="","",U84^2)</f>
        <v>0.22175654397403446</v>
      </c>
      <c r="W84" s="70" t="inlineStr">
        <is>
          <t>BOARD_MEETING_DATE_IN_NOTICE</t>
        </is>
      </c>
      <c r="X84" s="70" t="inlineStr">
        <is>
          <t>TYPE19_ONLY</t>
        </is>
      </c>
      <c r="Y84" s="70" t="n"/>
      <c r="Z84" s="70" t="n"/>
      <c r="AA84" s="70" t="n"/>
      <c r="AB84" s="70" t="inlineStr">
        <is>
          <t>MIN_CONTINUOUS|1401/01/31</t>
        </is>
      </c>
      <c r="AC84" s="70" t="n"/>
    </row>
    <row r="85" ht="29" customHeight="1" s="76">
      <c r="A85" s="71" t="inlineStr">
        <is>
          <t>T082</t>
        </is>
      </c>
      <c r="B85" s="71" t="inlineStr">
        <is>
          <t>شستا</t>
        </is>
      </c>
      <c r="C85" s="71" t="inlineStr">
        <is>
          <t>F12-M5</t>
        </is>
      </c>
      <c r="D85" s="71" t="inlineStr">
        <is>
          <t>MEMBER</t>
        </is>
      </c>
      <c r="E85" s="71" t="inlineStr">
        <is>
          <t>علیرضا چناری</t>
        </is>
      </c>
      <c r="F85" s="71" t="inlineStr">
        <is>
          <t>رفاه گستر تامین اجتماعی</t>
        </is>
      </c>
      <c r="G85" s="71" t="inlineStr">
        <is>
          <t>A44A49BE</t>
        </is>
      </c>
      <c r="H85" s="71" t="inlineStr">
        <is>
          <t>NATIONAL_ID</t>
        </is>
      </c>
      <c r="I85" s="71" t="inlineStr">
        <is>
          <t>عضو هیئت مدیره موظف</t>
        </is>
      </c>
      <c r="J85" s="71" t="inlineStr">
        <is>
          <t>EXACT</t>
        </is>
      </c>
      <c r="K85" s="71" t="inlineStr">
        <is>
          <t>1402/05/17</t>
        </is>
      </c>
      <c r="L85" s="73" t="n">
        <v>45146</v>
      </c>
      <c r="M85" s="71" t="inlineStr">
        <is>
          <t>1402/05/17</t>
        </is>
      </c>
      <c r="N85" s="73" t="n">
        <v>45146</v>
      </c>
      <c r="O85" s="71" t="inlineStr">
        <is>
          <t>1402/05/17</t>
        </is>
      </c>
      <c r="P85" s="73" t="n">
        <v>45146</v>
      </c>
      <c r="Q85" s="71" t="inlineStr">
        <is>
          <t>1404/03/31</t>
        </is>
      </c>
      <c r="R85" s="73" t="n">
        <v>45829</v>
      </c>
      <c r="S85" s="71">
        <f>IF(OR(J85="UNKNOWN",R85=""),"",R85-IF(J85="EXACT",L85,P85))</f>
        <v>683</v>
      </c>
      <c r="T85" s="71">
        <f>IF(J85="EXACT",R85-L85,IF(J85="INTERVAL",R85-N85,""))</f>
        <v>683</v>
      </c>
      <c r="U85" s="71">
        <f>IF(S85="","",S85/365.25)</f>
        <v>1.8699520876112252</v>
      </c>
      <c r="V85" s="71">
        <f>IF(U85="","",U85^2)</f>
        <v>3.4967208099615794</v>
      </c>
      <c r="W85" s="71" t="inlineStr">
        <is>
          <t>BOARD_MEETING_DATE_IN_NOTICE</t>
        </is>
      </c>
      <c r="X85" s="71" t="inlineStr">
        <is>
          <t>TYPE19+REPORT_CORROBORATED</t>
        </is>
      </c>
      <c r="Y85" s="71" t="inlineStr">
        <is>
          <t>1402/05/16</t>
        </is>
      </c>
      <c r="Z85" s="71" t="inlineStr">
        <is>
          <t>START</t>
        </is>
      </c>
      <c r="AA85" s="71" t="n"/>
      <c r="AB85" s="71" t="inlineStr">
        <is>
          <t>MIN_CONTINUOUS|1401/01/31</t>
        </is>
      </c>
      <c r="AC85" s="71" t="inlineStr">
        <is>
          <t>report date 1402/05/16 (diff 1d)</t>
        </is>
      </c>
    </row>
    <row r="86" ht="29" customHeight="1" s="76">
      <c r="A86" s="70" t="inlineStr">
        <is>
          <t>T083</t>
        </is>
      </c>
      <c r="B86" s="70" t="inlineStr">
        <is>
          <t>شستا</t>
        </is>
      </c>
      <c r="C86" s="70" t="n"/>
      <c r="D86" s="70" t="inlineStr">
        <is>
          <t>CEO</t>
        </is>
      </c>
      <c r="E86" s="70" t="inlineStr">
        <is>
          <t>محمدرضا سعیدی</t>
        </is>
      </c>
      <c r="F86" s="70" t="n"/>
      <c r="G86" s="70" t="inlineStr">
        <is>
          <t>499D35A7</t>
        </is>
      </c>
      <c r="H86" s="70" t="inlineStr">
        <is>
          <t>NATIONAL_ID</t>
        </is>
      </c>
      <c r="I86" s="70" t="inlineStr">
        <is>
          <t>مدیرعامل</t>
        </is>
      </c>
      <c r="J86" s="70" t="inlineStr">
        <is>
          <t>EXACT</t>
        </is>
      </c>
      <c r="K86" s="70" t="inlineStr">
        <is>
          <t>1403/08/20</t>
        </is>
      </c>
      <c r="L86" s="72" t="n">
        <v>45606</v>
      </c>
      <c r="M86" s="70" t="inlineStr">
        <is>
          <t>1403/08/20</t>
        </is>
      </c>
      <c r="N86" s="72" t="n">
        <v>45606</v>
      </c>
      <c r="O86" s="70" t="inlineStr">
        <is>
          <t>1403/08/20</t>
        </is>
      </c>
      <c r="P86" s="72" t="n">
        <v>45606</v>
      </c>
      <c r="Q86" s="70" t="inlineStr">
        <is>
          <t>1404/03/31</t>
        </is>
      </c>
      <c r="R86" s="72" t="n">
        <v>45829</v>
      </c>
      <c r="S86" s="70">
        <f>IF(OR(J86="UNKNOWN",R86=""),"",R86-IF(J86="EXACT",L86,P86))</f>
        <v>223</v>
      </c>
      <c r="T86" s="70">
        <f>IF(J86="EXACT",R86-L86,IF(J86="INTERVAL",R86-N86,""))</f>
        <v>223</v>
      </c>
      <c r="U86" s="70">
        <f>IF(S86="","",S86/365.25)</f>
        <v>0.6105407255304586</v>
      </c>
      <c r="V86" s="70">
        <f>IF(U86="","",U86^2)</f>
        <v>0.3727599775312587</v>
      </c>
      <c r="W86" s="70" t="inlineStr">
        <is>
          <t>BOARD_MEETING_DATE_IN_NOTICE</t>
        </is>
      </c>
      <c r="X86" s="70" t="inlineStr">
        <is>
          <t>TYPE19_ONLY</t>
        </is>
      </c>
      <c r="Y86" s="70" t="n"/>
      <c r="Z86" s="70" t="n"/>
      <c r="AA86" s="70" t="n"/>
      <c r="AB86" s="70" t="inlineStr">
        <is>
          <t>عضو هیئت مدیره</t>
        </is>
      </c>
      <c r="AC86" s="70" t="n"/>
    </row>
    <row r="87" ht="29" customHeight="1" s="76">
      <c r="A87" s="71" t="inlineStr">
        <is>
          <t>T084</t>
        </is>
      </c>
      <c r="B87" s="71" t="inlineStr">
        <is>
          <t>شپنا</t>
        </is>
      </c>
      <c r="C87" s="71" t="inlineStr">
        <is>
          <t>F13-M1</t>
        </is>
      </c>
      <c r="D87" s="71" t="inlineStr">
        <is>
          <t>MEMBER</t>
        </is>
      </c>
      <c r="E87" s="71" t="inlineStr">
        <is>
          <t>عنایت اله نصیری جهان آباد</t>
        </is>
      </c>
      <c r="F87" s="71" t="inlineStr">
        <is>
          <t>سرمایه گذاری استان چهارمحال و بختیاری</t>
        </is>
      </c>
      <c r="G87" s="71" t="inlineStr">
        <is>
          <t>FF64ED9C</t>
        </is>
      </c>
      <c r="H87" s="71" t="inlineStr">
        <is>
          <t>NATIONAL_ID</t>
        </is>
      </c>
      <c r="I87" s="71" t="inlineStr">
        <is>
          <t>عضو هیئت مدیره موظف</t>
        </is>
      </c>
      <c r="J87" s="71" t="inlineStr">
        <is>
          <t>EXACT</t>
        </is>
      </c>
      <c r="K87" s="71" t="inlineStr">
        <is>
          <t>1404/02/03</t>
        </is>
      </c>
      <c r="L87" s="73" t="n">
        <v>45770</v>
      </c>
      <c r="M87" s="71" t="inlineStr">
        <is>
          <t>1404/02/03</t>
        </is>
      </c>
      <c r="N87" s="73" t="n">
        <v>45770</v>
      </c>
      <c r="O87" s="71" t="inlineStr">
        <is>
          <t>1404/02/03</t>
        </is>
      </c>
      <c r="P87" s="73" t="n">
        <v>45770</v>
      </c>
      <c r="Q87" s="71" t="inlineStr">
        <is>
          <t>1404/12/29</t>
        </is>
      </c>
      <c r="R87" s="73" t="n">
        <v>46101</v>
      </c>
      <c r="S87" s="71">
        <f>IF(OR(J87="UNKNOWN",R87=""),"",R87-IF(J87="EXACT",L87,P87))</f>
        <v>331</v>
      </c>
      <c r="T87" s="71">
        <f>IF(J87="EXACT",R87-L87,IF(J87="INTERVAL",R87-N87,""))</f>
        <v>331</v>
      </c>
      <c r="U87" s="71">
        <f>IF(S87="","",S87/365.25)</f>
        <v>0.9062286105407256</v>
      </c>
      <c r="V87" s="71">
        <f>IF(U87="","",U87^2)</f>
        <v>0.821250294562574</v>
      </c>
      <c r="W87" s="71" t="inlineStr">
        <is>
          <t>BOARD_MEETING_DATE_IN_NOTICE</t>
        </is>
      </c>
      <c r="X87" s="71" t="inlineStr">
        <is>
          <t>TYPE19_ONLY</t>
        </is>
      </c>
      <c r="Y87" s="71" t="n"/>
      <c r="Z87" s="71" t="n"/>
      <c r="AA87" s="71" t="n"/>
      <c r="AB87" s="71" t="inlineStr">
        <is>
          <t>MIN_CONTINUOUS|1401/03/31</t>
        </is>
      </c>
      <c r="AC87" s="71" t="n"/>
    </row>
    <row r="88" ht="29" customHeight="1" s="76">
      <c r="A88" s="70" t="inlineStr">
        <is>
          <t>T085</t>
        </is>
      </c>
      <c r="B88" s="70" t="inlineStr">
        <is>
          <t>شپنا</t>
        </is>
      </c>
      <c r="C88" s="70" t="inlineStr">
        <is>
          <t>F13-M2</t>
        </is>
      </c>
      <c r="D88" s="70" t="inlineStr">
        <is>
          <t>MEMBER</t>
        </is>
      </c>
      <c r="E88" s="70" t="inlineStr">
        <is>
          <t>سیدمحمود سیدی</t>
        </is>
      </c>
      <c r="F88" s="70" t="inlineStr">
        <is>
          <t>آوای پردیس سلامت</t>
        </is>
      </c>
      <c r="G88" s="70" t="inlineStr">
        <is>
          <t>2BB29257</t>
        </is>
      </c>
      <c r="H88" s="70" t="inlineStr">
        <is>
          <t>NATIONAL_ID</t>
        </is>
      </c>
      <c r="I88" s="70" t="inlineStr">
        <is>
          <t>عضو هیئت مدیره غیر موظف</t>
        </is>
      </c>
      <c r="J88" s="70" t="inlineStr">
        <is>
          <t>MIN_CONTINUOUS</t>
        </is>
      </c>
      <c r="K88" s="70" t="n"/>
      <c r="L88" s="72" t="n"/>
      <c r="M88" s="70" t="n"/>
      <c r="N88" s="72" t="n"/>
      <c r="O88" s="70" t="inlineStr">
        <is>
          <t>1401/03/31</t>
        </is>
      </c>
      <c r="P88" s="72" t="n">
        <v>44733</v>
      </c>
      <c r="Q88" s="70" t="inlineStr">
        <is>
          <t>1404/12/29</t>
        </is>
      </c>
      <c r="R88" s="72" t="n">
        <v>46101</v>
      </c>
      <c r="S88" s="70">
        <f>IF(OR(J88="UNKNOWN",R88=""),"",R88-IF(J88="EXACT",L88,P88))</f>
        <v>1368</v>
      </c>
      <c r="T88" s="70">
        <f>IF(J88="EXACT",R88-L88,IF(J88="INTERVAL",R88-N88,""))</f>
      </c>
      <c r="U88" s="70">
        <f>IF(S88="","",S88/365.25)</f>
        <v>3.7453798767967146</v>
      </c>
      <c r="V88" s="70">
        <f>IF(U88="","",U88^2)</f>
        <v>14.027870421513773</v>
      </c>
      <c r="W88" s="70" t="inlineStr">
        <is>
          <t>FIRST_OBSERVATION_NOTICE_PUBLICATION</t>
        </is>
      </c>
      <c r="X88" s="70" t="inlineStr">
        <is>
          <t>TYPE19_ONLY</t>
        </is>
      </c>
      <c r="Y88" s="70" t="n"/>
      <c r="Z88" s="70" t="n"/>
      <c r="AA88" s="70" t="n"/>
      <c r="AB88" s="70" t="inlineStr">
        <is>
          <t>MIN_CONTINUOUS|1401/03/31</t>
        </is>
      </c>
      <c r="AC88" s="70" t="n"/>
    </row>
    <row r="89" ht="29" customHeight="1" s="76">
      <c r="A89" s="71" t="inlineStr">
        <is>
          <t>T086</t>
        </is>
      </c>
      <c r="B89" s="71" t="inlineStr">
        <is>
          <t>شپنا</t>
        </is>
      </c>
      <c r="C89" s="71" t="inlineStr">
        <is>
          <t>F13-M3</t>
        </is>
      </c>
      <c r="D89" s="71" t="inlineStr">
        <is>
          <t>MEMBER</t>
        </is>
      </c>
      <c r="E89" s="71" t="inlineStr">
        <is>
          <t>امید جلیل پور</t>
        </is>
      </c>
      <c r="F89" s="71" t="inlineStr">
        <is>
          <t>توسعه سرمایه رفاه</t>
        </is>
      </c>
      <c r="G89" s="71" t="inlineStr">
        <is>
          <t>C5F48904</t>
        </is>
      </c>
      <c r="H89" s="71" t="inlineStr">
        <is>
          <t>NATIONAL_ID</t>
        </is>
      </c>
      <c r="I89" s="71" t="inlineStr">
        <is>
          <t>عضو هیئت مدیره غیر موظف</t>
        </is>
      </c>
      <c r="J89" s="71" t="inlineStr">
        <is>
          <t>EXACT</t>
        </is>
      </c>
      <c r="K89" s="71" t="inlineStr">
        <is>
          <t>1403/11/03</t>
        </is>
      </c>
      <c r="L89" s="73" t="n">
        <v>45679</v>
      </c>
      <c r="M89" s="71" t="inlineStr">
        <is>
          <t>1403/11/03</t>
        </is>
      </c>
      <c r="N89" s="73" t="n">
        <v>45679</v>
      </c>
      <c r="O89" s="71" t="inlineStr">
        <is>
          <t>1403/11/03</t>
        </is>
      </c>
      <c r="P89" s="73" t="n">
        <v>45679</v>
      </c>
      <c r="Q89" s="71" t="inlineStr">
        <is>
          <t>1404/12/29</t>
        </is>
      </c>
      <c r="R89" s="73" t="n">
        <v>46101</v>
      </c>
      <c r="S89" s="71">
        <f>IF(OR(J89="UNKNOWN",R89=""),"",R89-IF(J89="EXACT",L89,P89))</f>
        <v>422</v>
      </c>
      <c r="T89" s="71">
        <f>IF(J89="EXACT",R89-L89,IF(J89="INTERVAL",R89-N89,""))</f>
        <v>422</v>
      </c>
      <c r="U89" s="71">
        <f>IF(S89="","",S89/365.25)</f>
        <v>1.1553730321697468</v>
      </c>
      <c r="V89" s="71">
        <f>IF(U89="","",U89^2)</f>
        <v>1.3348868434651149</v>
      </c>
      <c r="W89" s="71" t="inlineStr">
        <is>
          <t>BOARD_MEETING_DATE_IN_NOTICE</t>
        </is>
      </c>
      <c r="X89" s="71" t="inlineStr">
        <is>
          <t>TYPE19_ONLY</t>
        </is>
      </c>
      <c r="Y89" s="71" t="n"/>
      <c r="Z89" s="71" t="n"/>
      <c r="AA89" s="71" t="n"/>
      <c r="AB89" s="71" t="inlineStr">
        <is>
          <t>MIN_CONTINUOUS|1401/03/31</t>
        </is>
      </c>
      <c r="AC89" s="71" t="n"/>
    </row>
    <row r="90" ht="29" customHeight="1" s="76">
      <c r="A90" s="70" t="inlineStr">
        <is>
          <t>T087</t>
        </is>
      </c>
      <c r="B90" s="70" t="inlineStr">
        <is>
          <t>شپنا</t>
        </is>
      </c>
      <c r="C90" s="70" t="inlineStr">
        <is>
          <t>F13-M4</t>
        </is>
      </c>
      <c r="D90" s="70" t="inlineStr">
        <is>
          <t>MEMBER</t>
        </is>
      </c>
      <c r="E90" s="70" t="inlineStr">
        <is>
          <t>غلامرضا باقری دیزج</t>
        </is>
      </c>
      <c r="F90" s="70" t="inlineStr">
        <is>
          <t>سرمایه گذاری ایرانیان</t>
        </is>
      </c>
      <c r="G90" s="70" t="inlineStr">
        <is>
          <t>9F4E340F</t>
        </is>
      </c>
      <c r="H90" s="70" t="inlineStr">
        <is>
          <t>NATIONAL_ID</t>
        </is>
      </c>
      <c r="I90" s="70" t="inlineStr">
        <is>
          <t>نایب رئیس هیئت مدیره موظف</t>
        </is>
      </c>
      <c r="J90" s="70" t="inlineStr">
        <is>
          <t>EXACT</t>
        </is>
      </c>
      <c r="K90" s="70" t="inlineStr">
        <is>
          <t>1403/11/03</t>
        </is>
      </c>
      <c r="L90" s="72" t="n">
        <v>45679</v>
      </c>
      <c r="M90" s="70" t="inlineStr">
        <is>
          <t>1403/11/03</t>
        </is>
      </c>
      <c r="N90" s="72" t="n">
        <v>45679</v>
      </c>
      <c r="O90" s="70" t="inlineStr">
        <is>
          <t>1403/11/03</t>
        </is>
      </c>
      <c r="P90" s="72" t="n">
        <v>45679</v>
      </c>
      <c r="Q90" s="70" t="inlineStr">
        <is>
          <t>1404/12/29</t>
        </is>
      </c>
      <c r="R90" s="72" t="n">
        <v>46101</v>
      </c>
      <c r="S90" s="70">
        <f>IF(OR(J90="UNKNOWN",R90=""),"",R90-IF(J90="EXACT",L90,P90))</f>
        <v>422</v>
      </c>
      <c r="T90" s="70">
        <f>IF(J90="EXACT",R90-L90,IF(J90="INTERVAL",R90-N90,""))</f>
        <v>422</v>
      </c>
      <c r="U90" s="70">
        <f>IF(S90="","",S90/365.25)</f>
        <v>1.1553730321697468</v>
      </c>
      <c r="V90" s="70">
        <f>IF(U90="","",U90^2)</f>
        <v>1.3348868434651149</v>
      </c>
      <c r="W90" s="70" t="inlineStr">
        <is>
          <t>BOARD_MEETING_DATE_IN_NOTICE</t>
        </is>
      </c>
      <c r="X90" s="70" t="inlineStr">
        <is>
          <t>TYPE19_ONLY</t>
        </is>
      </c>
      <c r="Y90" s="70" t="n"/>
      <c r="Z90" s="70" t="n"/>
      <c r="AA90" s="70" t="n"/>
      <c r="AB90" s="70" t="inlineStr">
        <is>
          <t>EXACT|1403/06/08</t>
        </is>
      </c>
      <c r="AC90" s="70" t="n"/>
    </row>
    <row r="91" ht="29" customHeight="1" s="76">
      <c r="A91" s="71" t="inlineStr">
        <is>
          <t>T088</t>
        </is>
      </c>
      <c r="B91" s="71" t="inlineStr">
        <is>
          <t>شپنا</t>
        </is>
      </c>
      <c r="C91" s="71" t="inlineStr">
        <is>
          <t>F13-M5</t>
        </is>
      </c>
      <c r="D91" s="71" t="inlineStr">
        <is>
          <t>MEMBER</t>
        </is>
      </c>
      <c r="E91" s="71" t="inlineStr">
        <is>
          <t>فرهاد امین دهقان</t>
        </is>
      </c>
      <c r="F91" s="71" t="inlineStr">
        <is>
          <t>گروه پتروشیمی تابان فردا</t>
        </is>
      </c>
      <c r="G91" s="71" t="inlineStr">
        <is>
          <t>6FDA273B</t>
        </is>
      </c>
      <c r="H91" s="71" t="inlineStr">
        <is>
          <t>NATIONAL_ID</t>
        </is>
      </c>
      <c r="I91" s="71" t="inlineStr">
        <is>
          <t>رئیس هیئت مدیره غیر موظف</t>
        </is>
      </c>
      <c r="J91" s="71" t="inlineStr">
        <is>
          <t>EXACT</t>
        </is>
      </c>
      <c r="K91" s="71" t="inlineStr">
        <is>
          <t>1403/11/03</t>
        </is>
      </c>
      <c r="L91" s="73" t="n">
        <v>45679</v>
      </c>
      <c r="M91" s="71" t="inlineStr">
        <is>
          <t>1403/11/03</t>
        </is>
      </c>
      <c r="N91" s="73" t="n">
        <v>45679</v>
      </c>
      <c r="O91" s="71" t="inlineStr">
        <is>
          <t>1403/11/03</t>
        </is>
      </c>
      <c r="P91" s="73" t="n">
        <v>45679</v>
      </c>
      <c r="Q91" s="71" t="inlineStr">
        <is>
          <t>1404/12/29</t>
        </is>
      </c>
      <c r="R91" s="73" t="n">
        <v>46101</v>
      </c>
      <c r="S91" s="71">
        <f>IF(OR(J91="UNKNOWN",R91=""),"",R91-IF(J91="EXACT",L91,P91))</f>
        <v>422</v>
      </c>
      <c r="T91" s="71">
        <f>IF(J91="EXACT",R91-L91,IF(J91="INTERVAL",R91-N91,""))</f>
        <v>422</v>
      </c>
      <c r="U91" s="71">
        <f>IF(S91="","",S91/365.25)</f>
        <v>1.1553730321697468</v>
      </c>
      <c r="V91" s="71">
        <f>IF(U91="","",U91^2)</f>
        <v>1.3348868434651149</v>
      </c>
      <c r="W91" s="71" t="inlineStr">
        <is>
          <t>BOARD_MEETING_DATE_IN_NOTICE</t>
        </is>
      </c>
      <c r="X91" s="71" t="inlineStr">
        <is>
          <t>TYPE19_ONLY</t>
        </is>
      </c>
      <c r="Y91" s="71" t="n"/>
      <c r="Z91" s="71" t="n"/>
      <c r="AA91" s="71" t="n"/>
      <c r="AB91" s="71" t="inlineStr">
        <is>
          <t>EXACT|1403/06/08</t>
        </is>
      </c>
      <c r="AC91" s="71" t="n"/>
    </row>
    <row r="92" ht="29" customHeight="1" s="76">
      <c r="A92" s="70" t="inlineStr">
        <is>
          <t>T089</t>
        </is>
      </c>
      <c r="B92" s="70" t="inlineStr">
        <is>
          <t>شپنا</t>
        </is>
      </c>
      <c r="C92" s="70" t="inlineStr">
        <is>
          <t>F13-M5</t>
        </is>
      </c>
      <c r="D92" s="70" t="inlineStr">
        <is>
          <t>CHAIR</t>
        </is>
      </c>
      <c r="E92" s="70" t="inlineStr">
        <is>
          <t>فرهاد امین دهقان</t>
        </is>
      </c>
      <c r="F92" s="70" t="inlineStr">
        <is>
          <t>گروه پتروشیمی تابان فردا</t>
        </is>
      </c>
      <c r="G92" s="70" t="inlineStr">
        <is>
          <t>6FDA273B</t>
        </is>
      </c>
      <c r="H92" s="70" t="inlineStr">
        <is>
          <t>NATIONAL_ID</t>
        </is>
      </c>
      <c r="I92" s="70" t="inlineStr">
        <is>
          <t>رئیس هیئت مدیره</t>
        </is>
      </c>
      <c r="J92" s="70" t="inlineStr">
        <is>
          <t>EXACT</t>
        </is>
      </c>
      <c r="K92" s="70" t="inlineStr">
        <is>
          <t>1403/11/03</t>
        </is>
      </c>
      <c r="L92" s="72" t="n">
        <v>45679</v>
      </c>
      <c r="M92" s="70" t="inlineStr">
        <is>
          <t>1403/11/03</t>
        </is>
      </c>
      <c r="N92" s="72" t="n">
        <v>45679</v>
      </c>
      <c r="O92" s="70" t="inlineStr">
        <is>
          <t>1403/11/03</t>
        </is>
      </c>
      <c r="P92" s="72" t="n">
        <v>45679</v>
      </c>
      <c r="Q92" s="70" t="inlineStr">
        <is>
          <t>1404/12/29</t>
        </is>
      </c>
      <c r="R92" s="72" t="n">
        <v>46101</v>
      </c>
      <c r="S92" s="70">
        <f>IF(OR(J92="UNKNOWN",R92=""),"",R92-IF(J92="EXACT",L92,P92))</f>
        <v>422</v>
      </c>
      <c r="T92" s="70">
        <f>IF(J92="EXACT",R92-L92,IF(J92="INTERVAL",R92-N92,""))</f>
        <v>422</v>
      </c>
      <c r="U92" s="70">
        <f>IF(S92="","",S92/365.25)</f>
        <v>1.1553730321697468</v>
      </c>
      <c r="V92" s="70">
        <f>IF(U92="","",U92^2)</f>
        <v>1.3348868434651149</v>
      </c>
      <c r="W92" s="70" t="inlineStr">
        <is>
          <t>BOARD_MEETING_DATE_IN_NOTICE</t>
        </is>
      </c>
      <c r="X92" s="70" t="inlineStr">
        <is>
          <t>TYPE19_ONLY|PERSON_ROLE_CHAIN</t>
        </is>
      </c>
      <c r="Y92" s="70" t="n"/>
      <c r="Z92" s="70" t="n"/>
      <c r="AA92" s="70" t="n"/>
      <c r="AB92" s="70" t="n"/>
      <c r="AC92" s="70" t="n"/>
    </row>
    <row r="93" ht="29" customHeight="1" s="76">
      <c r="A93" s="71" t="inlineStr">
        <is>
          <t>T090</t>
        </is>
      </c>
      <c r="B93" s="71" t="inlineStr">
        <is>
          <t>شپنا</t>
        </is>
      </c>
      <c r="C93" s="71" t="n"/>
      <c r="D93" s="71" t="inlineStr">
        <is>
          <t>CEO</t>
        </is>
      </c>
      <c r="E93" s="71" t="inlineStr">
        <is>
          <t>غلامرضا باقری دیزج</t>
        </is>
      </c>
      <c r="F93" s="71" t="n"/>
      <c r="G93" s="71" t="inlineStr">
        <is>
          <t>9F4E340F</t>
        </is>
      </c>
      <c r="H93" s="71" t="inlineStr">
        <is>
          <t>NATIONAL_ID</t>
        </is>
      </c>
      <c r="I93" s="71" t="inlineStr">
        <is>
          <t>مدیرعامل</t>
        </is>
      </c>
      <c r="J93" s="71" t="inlineStr">
        <is>
          <t>EXACT</t>
        </is>
      </c>
      <c r="K93" s="71" t="inlineStr">
        <is>
          <t>1403/09/19</t>
        </is>
      </c>
      <c r="L93" s="73" t="n">
        <v>45635</v>
      </c>
      <c r="M93" s="71" t="inlineStr">
        <is>
          <t>1403/09/19</t>
        </is>
      </c>
      <c r="N93" s="73" t="n">
        <v>45635</v>
      </c>
      <c r="O93" s="71" t="inlineStr">
        <is>
          <t>1403/09/19</t>
        </is>
      </c>
      <c r="P93" s="73" t="n">
        <v>45635</v>
      </c>
      <c r="Q93" s="71" t="inlineStr">
        <is>
          <t>1404/12/29</t>
        </is>
      </c>
      <c r="R93" s="73" t="n">
        <v>46101</v>
      </c>
      <c r="S93" s="71">
        <f>IF(OR(J93="UNKNOWN",R93=""),"",R93-IF(J93="EXACT",L93,P93))</f>
        <v>466</v>
      </c>
      <c r="T93" s="71">
        <f>IF(J93="EXACT",R93-L93,IF(J93="INTERVAL",R93-N93,""))</f>
        <v>466</v>
      </c>
      <c r="U93" s="71">
        <f>IF(S93="","",S93/365.25)</f>
        <v>1.2758384668035592</v>
      </c>
      <c r="V93" s="71">
        <f>IF(U93="","",U93^2)</f>
        <v>1.6277637933756566</v>
      </c>
      <c r="W93" s="71" t="inlineStr">
        <is>
          <t>BOARD_MEETING_DATE_IN_NOTICE</t>
        </is>
      </c>
      <c r="X93" s="71" t="inlineStr">
        <is>
          <t>TYPE19_ONLY</t>
        </is>
      </c>
      <c r="Y93" s="71" t="n"/>
      <c r="Z93" s="71" t="n"/>
      <c r="AA93" s="71" t="n"/>
      <c r="AB93" s="71" t="inlineStr">
        <is>
          <t>عضو هیئت مدیره</t>
        </is>
      </c>
      <c r="AC93" s="71" t="n"/>
    </row>
    <row r="94" ht="29" customHeight="1" s="76">
      <c r="A94" s="70" t="inlineStr">
        <is>
          <t>T091</t>
        </is>
      </c>
      <c r="B94" s="70" t="inlineStr">
        <is>
          <t>وغدیر</t>
        </is>
      </c>
      <c r="C94" s="70" t="inlineStr">
        <is>
          <t>F14-M1</t>
        </is>
      </c>
      <c r="D94" s="70" t="inlineStr">
        <is>
          <t>MEMBER</t>
        </is>
      </c>
      <c r="E94" s="70" t="inlineStr">
        <is>
          <t>متین دیداری</t>
        </is>
      </c>
      <c r="F94" s="70" t="inlineStr">
        <is>
          <t>توسعه و مدیریت سرمایه صبا</t>
        </is>
      </c>
      <c r="G94" s="70" t="inlineStr">
        <is>
          <t>A3E3C90E</t>
        </is>
      </c>
      <c r="H94" s="70" t="inlineStr">
        <is>
          <t>NATIONAL_ID</t>
        </is>
      </c>
      <c r="I94" s="70" t="inlineStr">
        <is>
          <t>عضو هیئت مدیره غیر موظف</t>
        </is>
      </c>
      <c r="J94" s="70" t="inlineStr">
        <is>
          <t>EXACT</t>
        </is>
      </c>
      <c r="K94" s="70" t="inlineStr">
        <is>
          <t>1404/06/23</t>
        </is>
      </c>
      <c r="L94" s="72" t="n">
        <v>45914</v>
      </c>
      <c r="M94" s="70" t="inlineStr">
        <is>
          <t>1404/06/23</t>
        </is>
      </c>
      <c r="N94" s="72" t="n">
        <v>45914</v>
      </c>
      <c r="O94" s="70" t="inlineStr">
        <is>
          <t>1404/06/23</t>
        </is>
      </c>
      <c r="P94" s="72" t="n">
        <v>45914</v>
      </c>
      <c r="Q94" s="70" t="inlineStr">
        <is>
          <t>1404/09/30</t>
        </is>
      </c>
      <c r="R94" s="72" t="n">
        <v>46012</v>
      </c>
      <c r="S94" s="70">
        <f>IF(OR(J94="UNKNOWN",R94=""),"",R94-IF(J94="EXACT",L94,P94))</f>
        <v>98</v>
      </c>
      <c r="T94" s="70">
        <f>IF(J94="EXACT",R94-L94,IF(J94="INTERVAL",R94-N94,""))</f>
        <v>98</v>
      </c>
      <c r="U94" s="70">
        <f>IF(S94="","",S94/365.25)</f>
        <v>0.2683093771389459</v>
      </c>
      <c r="V94" s="70">
        <f>IF(U94="","",U94^2)</f>
        <v>0.07198992186068912</v>
      </c>
      <c r="W94" s="70" t="inlineStr">
        <is>
          <t>BOARD_MEETING_DATE_IN_NOTICE</t>
        </is>
      </c>
      <c r="X94" s="70" t="inlineStr">
        <is>
          <t>TYPE19+REPORT_CORROBORATED</t>
        </is>
      </c>
      <c r="Y94" s="70" t="inlineStr">
        <is>
          <t>1404/06/23</t>
        </is>
      </c>
      <c r="Z94" s="70" t="inlineStr">
        <is>
          <t>START</t>
        </is>
      </c>
      <c r="AA94" s="70" t="n"/>
      <c r="AB94" s="70" t="inlineStr">
        <is>
          <t>MIN_CONTINUOUS|1401/05/01</t>
        </is>
      </c>
      <c r="AC94" s="70" t="inlineStr">
        <is>
          <t>report date 1404/06/23 (diff 0d)</t>
        </is>
      </c>
    </row>
    <row r="95" ht="29" customHeight="1" s="76">
      <c r="A95" s="71" t="inlineStr">
        <is>
          <t>T092</t>
        </is>
      </c>
      <c r="B95" s="71" t="inlineStr">
        <is>
          <t>وغدیر</t>
        </is>
      </c>
      <c r="C95" s="71" t="inlineStr">
        <is>
          <t>F14-M2</t>
        </is>
      </c>
      <c r="D95" s="71" t="inlineStr">
        <is>
          <t>MEMBER</t>
        </is>
      </c>
      <c r="E95" s="71" t="inlineStr">
        <is>
          <t>مهدی ریاضی کلاهدوزمحله</t>
        </is>
      </c>
      <c r="F95" s="71" t="inlineStr">
        <is>
          <t>سرمایه گذاری تجاری شستان</t>
        </is>
      </c>
      <c r="G95" s="71" t="inlineStr">
        <is>
          <t>24C536D8</t>
        </is>
      </c>
      <c r="H95" s="71" t="inlineStr">
        <is>
          <t>NATIONAL_ID</t>
        </is>
      </c>
      <c r="I95" s="71" t="inlineStr">
        <is>
          <t>عضو هیئت مدیره غیر موظف</t>
        </is>
      </c>
      <c r="J95" s="71" t="inlineStr">
        <is>
          <t>EXACT</t>
        </is>
      </c>
      <c r="K95" s="71" t="inlineStr">
        <is>
          <t>1403/07/23</t>
        </is>
      </c>
      <c r="L95" s="73" t="n">
        <v>45579</v>
      </c>
      <c r="M95" s="71" t="inlineStr">
        <is>
          <t>1403/07/23</t>
        </is>
      </c>
      <c r="N95" s="73" t="n">
        <v>45579</v>
      </c>
      <c r="O95" s="71" t="inlineStr">
        <is>
          <t>1403/07/23</t>
        </is>
      </c>
      <c r="P95" s="73" t="n">
        <v>45579</v>
      </c>
      <c r="Q95" s="71" t="inlineStr">
        <is>
          <t>1404/09/30</t>
        </is>
      </c>
      <c r="R95" s="73" t="n">
        <v>46012</v>
      </c>
      <c r="S95" s="71">
        <f>IF(OR(J95="UNKNOWN",R95=""),"",R95-IF(J95="EXACT",L95,P95))</f>
        <v>433</v>
      </c>
      <c r="T95" s="71">
        <f>IF(J95="EXACT",R95-L95,IF(J95="INTERVAL",R95-N95,""))</f>
        <v>433</v>
      </c>
      <c r="U95" s="71">
        <f>IF(S95="","",S95/365.25)</f>
        <v>1.1854893908281998</v>
      </c>
      <c r="V95" s="71">
        <f>IF(U95="","",U95^2)</f>
        <v>1.4053850957662164</v>
      </c>
      <c r="W95" s="71" t="inlineStr">
        <is>
          <t>BOARD_MEETING_DATE_IN_NOTICE</t>
        </is>
      </c>
      <c r="X95" s="71" t="inlineStr">
        <is>
          <t>TYPE19+REPORT_CORROBORATED</t>
        </is>
      </c>
      <c r="Y95" s="71" t="inlineStr">
        <is>
          <t>1403/07/23</t>
        </is>
      </c>
      <c r="Z95" s="71" t="inlineStr">
        <is>
          <t>START</t>
        </is>
      </c>
      <c r="AA95" s="71" t="n"/>
      <c r="AB95" s="71" t="inlineStr">
        <is>
          <t>MIN_CONTINUOUS|1401/05/01</t>
        </is>
      </c>
      <c r="AC95" s="71" t="inlineStr">
        <is>
          <t>report date 1403/07/23 (diff 0d)</t>
        </is>
      </c>
    </row>
    <row r="96" ht="58" customHeight="1" s="76">
      <c r="A96" s="70" t="inlineStr">
        <is>
          <t>T093</t>
        </is>
      </c>
      <c r="B96" s="70" t="inlineStr">
        <is>
          <t>وغدیر</t>
        </is>
      </c>
      <c r="C96" s="70" t="inlineStr">
        <is>
          <t>F14-M3</t>
        </is>
      </c>
      <c r="D96" s="70" t="inlineStr">
        <is>
          <t>MEMBER</t>
        </is>
      </c>
      <c r="E96" s="70" t="inlineStr">
        <is>
          <t>علی اکبر مصطفی پور</t>
        </is>
      </c>
      <c r="F96" s="70" t="inlineStr">
        <is>
          <t>صندوق بازنشستگی وظیفه از کار افتادگی و پس انداز کارکنان بانکهای ملی و ادغام شده</t>
        </is>
      </c>
      <c r="G96" s="70" t="inlineStr">
        <is>
          <t>62C3D2FF</t>
        </is>
      </c>
      <c r="H96" s="70" t="inlineStr">
        <is>
          <t>NATIONAL_ID</t>
        </is>
      </c>
      <c r="I96" s="70" t="inlineStr">
        <is>
          <t>نایب رئیس هیئت مدیره غیر موظف</t>
        </is>
      </c>
      <c r="J96" s="70" t="inlineStr">
        <is>
          <t>EXACT</t>
        </is>
      </c>
      <c r="K96" s="70" t="inlineStr">
        <is>
          <t>1404/01/25</t>
        </is>
      </c>
      <c r="L96" s="72" t="n">
        <v>45761</v>
      </c>
      <c r="M96" s="70" t="inlineStr">
        <is>
          <t>1404/01/25</t>
        </is>
      </c>
      <c r="N96" s="72" t="n">
        <v>45761</v>
      </c>
      <c r="O96" s="70" t="inlineStr">
        <is>
          <t>1404/01/25</t>
        </is>
      </c>
      <c r="P96" s="72" t="n">
        <v>45761</v>
      </c>
      <c r="Q96" s="70" t="inlineStr">
        <is>
          <t>1404/09/30</t>
        </is>
      </c>
      <c r="R96" s="72" t="n">
        <v>46012</v>
      </c>
      <c r="S96" s="70">
        <f>IF(OR(J96="UNKNOWN",R96=""),"",R96-IF(J96="EXACT",L96,P96))</f>
        <v>251</v>
      </c>
      <c r="T96" s="70">
        <f>IF(J96="EXACT",R96-L96,IF(J96="INTERVAL",R96-N96,""))</f>
        <v>251</v>
      </c>
      <c r="U96" s="70">
        <f>IF(S96="","",S96/365.25)</f>
        <v>0.6872005475701575</v>
      </c>
      <c r="V96" s="70">
        <f>IF(U96="","",U96^2)</f>
        <v>0.47224459258072427</v>
      </c>
      <c r="W96" s="70" t="inlineStr">
        <is>
          <t>BOARD_MEETING_DATE_IN_NOTICE</t>
        </is>
      </c>
      <c r="X96" s="70" t="inlineStr">
        <is>
          <t>TYPE19+REPORT_CORROBORATED</t>
        </is>
      </c>
      <c r="Y96" s="70" t="inlineStr">
        <is>
          <t>1404/01/25</t>
        </is>
      </c>
      <c r="Z96" s="70" t="inlineStr">
        <is>
          <t>START</t>
        </is>
      </c>
      <c r="AA96" s="70" t="n"/>
      <c r="AB96" s="70" t="inlineStr">
        <is>
          <t>MIN_CONTINUOUS|1401/05/01</t>
        </is>
      </c>
      <c r="AC96" s="70" t="inlineStr">
        <is>
          <t>report date 1404/01/25 (diff 0d)</t>
        </is>
      </c>
    </row>
    <row r="97" ht="29" customHeight="1" s="76">
      <c r="A97" s="71" t="inlineStr">
        <is>
          <t>T094</t>
        </is>
      </c>
      <c r="B97" s="71" t="inlineStr">
        <is>
          <t>وغدیر</t>
        </is>
      </c>
      <c r="C97" s="71" t="inlineStr">
        <is>
          <t>F14-M4</t>
        </is>
      </c>
      <c r="D97" s="71" t="inlineStr">
        <is>
          <t>MEMBER</t>
        </is>
      </c>
      <c r="E97" s="71" t="inlineStr">
        <is>
          <t>سیدمجید هدایت</t>
        </is>
      </c>
      <c r="F97" s="71" t="inlineStr">
        <is>
          <t>صندوق بازنشستگی نیروهای مسلح</t>
        </is>
      </c>
      <c r="G97" s="71" t="inlineStr">
        <is>
          <t>5D310C9E</t>
        </is>
      </c>
      <c r="H97" s="71" t="inlineStr">
        <is>
          <t>NATIONAL_ID</t>
        </is>
      </c>
      <c r="I97" s="71" t="inlineStr">
        <is>
          <t>عضو هیئت مدیره موظف</t>
        </is>
      </c>
      <c r="J97" s="71" t="inlineStr">
        <is>
          <t>EXACT</t>
        </is>
      </c>
      <c r="K97" s="71" t="inlineStr">
        <is>
          <t>1403/07/04</t>
        </is>
      </c>
      <c r="L97" s="73" t="n">
        <v>45560</v>
      </c>
      <c r="M97" s="71" t="inlineStr">
        <is>
          <t>1403/07/04</t>
        </is>
      </c>
      <c r="N97" s="73" t="n">
        <v>45560</v>
      </c>
      <c r="O97" s="71" t="inlineStr">
        <is>
          <t>1403/07/04</t>
        </is>
      </c>
      <c r="P97" s="73" t="n">
        <v>45560</v>
      </c>
      <c r="Q97" s="71" t="inlineStr">
        <is>
          <t>1404/09/30</t>
        </is>
      </c>
      <c r="R97" s="73" t="n">
        <v>46012</v>
      </c>
      <c r="S97" s="71">
        <f>IF(OR(J97="UNKNOWN",R97=""),"",R97-IF(J97="EXACT",L97,P97))</f>
        <v>452</v>
      </c>
      <c r="T97" s="71">
        <f>IF(J97="EXACT",R97-L97,IF(J97="INTERVAL",R97-N97,""))</f>
        <v>452</v>
      </c>
      <c r="U97" s="71">
        <f>IF(S97="","",S97/365.25)</f>
        <v>1.2375085557837098</v>
      </c>
      <c r="V97" s="71">
        <f>IF(U97="","",U97^2)</f>
        <v>1.531427425637883</v>
      </c>
      <c r="W97" s="71" t="inlineStr">
        <is>
          <t>BOARD_MEETING_DATE_IN_NOTICE</t>
        </is>
      </c>
      <c r="X97" s="71" t="inlineStr">
        <is>
          <t>TYPE19+REPORT_CORROBORATED</t>
        </is>
      </c>
      <c r="Y97" s="71" t="inlineStr">
        <is>
          <t>1403/07/04</t>
        </is>
      </c>
      <c r="Z97" s="71" t="inlineStr">
        <is>
          <t>START</t>
        </is>
      </c>
      <c r="AA97" s="71" t="n"/>
      <c r="AB97" s="71" t="inlineStr">
        <is>
          <t>MIN_CONTINUOUS|1401/05/01</t>
        </is>
      </c>
      <c r="AC97" s="71" t="inlineStr">
        <is>
          <t>report date 1403/07/04 (diff 0d)</t>
        </is>
      </c>
    </row>
    <row r="98" ht="29" customHeight="1" s="76">
      <c r="A98" s="70" t="inlineStr">
        <is>
          <t>T095</t>
        </is>
      </c>
      <c r="B98" s="70" t="inlineStr">
        <is>
          <t>وغدیر</t>
        </is>
      </c>
      <c r="C98" s="70" t="inlineStr">
        <is>
          <t>F14-M5</t>
        </is>
      </c>
      <c r="D98" s="70" t="inlineStr">
        <is>
          <t>MEMBER</t>
        </is>
      </c>
      <c r="E98" s="70" t="inlineStr">
        <is>
          <t>احد امیری</t>
        </is>
      </c>
      <c r="F98" s="70" t="inlineStr">
        <is>
          <t>صندوق بیمه عمر و حوادث نیروهای مسلح</t>
        </is>
      </c>
      <c r="G98" s="70" t="inlineStr">
        <is>
          <t>E0BD85B9</t>
        </is>
      </c>
      <c r="H98" s="70" t="inlineStr">
        <is>
          <t>NATIONAL_ID</t>
        </is>
      </c>
      <c r="I98" s="70" t="inlineStr">
        <is>
          <t>رئیس هیئت مدیره غیر موظف</t>
        </is>
      </c>
      <c r="J98" s="70" t="inlineStr">
        <is>
          <t>EXACT</t>
        </is>
      </c>
      <c r="K98" s="70" t="inlineStr">
        <is>
          <t>1403/07/23</t>
        </is>
      </c>
      <c r="L98" s="72" t="n">
        <v>45579</v>
      </c>
      <c r="M98" s="70" t="inlineStr">
        <is>
          <t>1403/07/23</t>
        </is>
      </c>
      <c r="N98" s="72" t="n">
        <v>45579</v>
      </c>
      <c r="O98" s="70" t="inlineStr">
        <is>
          <t>1403/07/23</t>
        </is>
      </c>
      <c r="P98" s="72" t="n">
        <v>45579</v>
      </c>
      <c r="Q98" s="70" t="inlineStr">
        <is>
          <t>1404/09/30</t>
        </is>
      </c>
      <c r="R98" s="72" t="n">
        <v>46012</v>
      </c>
      <c r="S98" s="70">
        <f>IF(OR(J98="UNKNOWN",R98=""),"",R98-IF(J98="EXACT",L98,P98))</f>
        <v>433</v>
      </c>
      <c r="T98" s="70">
        <f>IF(J98="EXACT",R98-L98,IF(J98="INTERVAL",R98-N98,""))</f>
        <v>433</v>
      </c>
      <c r="U98" s="70">
        <f>IF(S98="","",S98/365.25)</f>
        <v>1.1854893908281998</v>
      </c>
      <c r="V98" s="70">
        <f>IF(U98="","",U98^2)</f>
        <v>1.4053850957662164</v>
      </c>
      <c r="W98" s="70" t="inlineStr">
        <is>
          <t>BOARD_MEETING_DATE_IN_NOTICE</t>
        </is>
      </c>
      <c r="X98" s="70" t="inlineStr">
        <is>
          <t>TYPE19+REPORT_CORROBORATED</t>
        </is>
      </c>
      <c r="Y98" s="70" t="inlineStr">
        <is>
          <t>1403/07/23</t>
        </is>
      </c>
      <c r="Z98" s="70" t="inlineStr">
        <is>
          <t>START</t>
        </is>
      </c>
      <c r="AA98" s="70" t="n"/>
      <c r="AB98" s="70" t="inlineStr">
        <is>
          <t>EXACT|1402/03/22</t>
        </is>
      </c>
      <c r="AC98" s="70" t="inlineStr">
        <is>
          <t>report date 1403/07/23 (diff 0d)</t>
        </is>
      </c>
    </row>
    <row r="99" ht="29" customHeight="1" s="76">
      <c r="A99" s="71" t="inlineStr">
        <is>
          <t>T096</t>
        </is>
      </c>
      <c r="B99" s="71" t="inlineStr">
        <is>
          <t>وغدیر</t>
        </is>
      </c>
      <c r="C99" s="71" t="inlineStr">
        <is>
          <t>F14-M5</t>
        </is>
      </c>
      <c r="D99" s="71" t="inlineStr">
        <is>
          <t>CHAIR</t>
        </is>
      </c>
      <c r="E99" s="71" t="inlineStr">
        <is>
          <t>احد امیری</t>
        </is>
      </c>
      <c r="F99" s="71" t="inlineStr">
        <is>
          <t>صندوق بیمه عمر و حوادث نیروهای مسلح</t>
        </is>
      </c>
      <c r="G99" s="71" t="inlineStr">
        <is>
          <t>E0BD85B9</t>
        </is>
      </c>
      <c r="H99" s="71" t="inlineStr">
        <is>
          <t>NATIONAL_ID</t>
        </is>
      </c>
      <c r="I99" s="71" t="inlineStr">
        <is>
          <t>رئیس هیئت مدیره</t>
        </is>
      </c>
      <c r="J99" s="71" t="inlineStr">
        <is>
          <t>EXACT</t>
        </is>
      </c>
      <c r="K99" s="71" t="inlineStr">
        <is>
          <t>1403/07/23</t>
        </is>
      </c>
      <c r="L99" s="73" t="n">
        <v>45579</v>
      </c>
      <c r="M99" s="71" t="inlineStr">
        <is>
          <t>1403/07/23</t>
        </is>
      </c>
      <c r="N99" s="73" t="n">
        <v>45579</v>
      </c>
      <c r="O99" s="71" t="inlineStr">
        <is>
          <t>1403/07/23</t>
        </is>
      </c>
      <c r="P99" s="73" t="n">
        <v>45579</v>
      </c>
      <c r="Q99" s="71" t="inlineStr">
        <is>
          <t>1404/09/30</t>
        </is>
      </c>
      <c r="R99" s="73" t="n">
        <v>46012</v>
      </c>
      <c r="S99" s="71">
        <f>IF(OR(J99="UNKNOWN",R99=""),"",R99-IF(J99="EXACT",L99,P99))</f>
        <v>433</v>
      </c>
      <c r="T99" s="71">
        <f>IF(J99="EXACT",R99-L99,IF(J99="INTERVAL",R99-N99,""))</f>
        <v>433</v>
      </c>
      <c r="U99" s="71">
        <f>IF(S99="","",S99/365.25)</f>
        <v>1.1854893908281998</v>
      </c>
      <c r="V99" s="71">
        <f>IF(U99="","",U99^2)</f>
        <v>1.4053850957662164</v>
      </c>
      <c r="W99" s="71" t="inlineStr">
        <is>
          <t>BOARD_MEETING_DATE_IN_NOTICE</t>
        </is>
      </c>
      <c r="X99" s="71" t="inlineStr">
        <is>
          <t>TYPE19_ONLY|PERSON_ROLE_CHAIN</t>
        </is>
      </c>
      <c r="Y99" s="71" t="n"/>
      <c r="Z99" s="71" t="n"/>
      <c r="AA99" s="71" t="n"/>
      <c r="AB99" s="71" t="n"/>
      <c r="AC99" s="71" t="n"/>
    </row>
    <row r="100" ht="29" customHeight="1" s="76">
      <c r="A100" s="70" t="inlineStr">
        <is>
          <t>T097</t>
        </is>
      </c>
      <c r="B100" s="70" t="inlineStr">
        <is>
          <t>وغدیر</t>
        </is>
      </c>
      <c r="C100" s="70" t="n"/>
      <c r="D100" s="70" t="inlineStr">
        <is>
          <t>CEO</t>
        </is>
      </c>
      <c r="E100" s="70" t="inlineStr">
        <is>
          <t>سیدمجید هدایت</t>
        </is>
      </c>
      <c r="F100" s="70" t="n"/>
      <c r="G100" s="70" t="inlineStr">
        <is>
          <t>5D310C9E</t>
        </is>
      </c>
      <c r="H100" s="70" t="inlineStr">
        <is>
          <t>NATIONAL_ID</t>
        </is>
      </c>
      <c r="I100" s="70" t="inlineStr">
        <is>
          <t>مدیرعامل</t>
        </is>
      </c>
      <c r="J100" s="70" t="inlineStr">
        <is>
          <t>EXACT</t>
        </is>
      </c>
      <c r="K100" s="70" t="inlineStr">
        <is>
          <t>1403/07/04</t>
        </is>
      </c>
      <c r="L100" s="72" t="n">
        <v>45560</v>
      </c>
      <c r="M100" s="70" t="inlineStr">
        <is>
          <t>1403/07/04</t>
        </is>
      </c>
      <c r="N100" s="72" t="n">
        <v>45560</v>
      </c>
      <c r="O100" s="70" t="inlineStr">
        <is>
          <t>1403/07/04</t>
        </is>
      </c>
      <c r="P100" s="72" t="n">
        <v>45560</v>
      </c>
      <c r="Q100" s="70" t="inlineStr">
        <is>
          <t>1404/09/30</t>
        </is>
      </c>
      <c r="R100" s="72" t="n">
        <v>46012</v>
      </c>
      <c r="S100" s="70">
        <f>IF(OR(J100="UNKNOWN",R100=""),"",R100-IF(J100="EXACT",L100,P100))</f>
        <v>452</v>
      </c>
      <c r="T100" s="70">
        <f>IF(J100="EXACT",R100-L100,IF(J100="INTERVAL",R100-N100,""))</f>
        <v>452</v>
      </c>
      <c r="U100" s="70">
        <f>IF(S100="","",S100/365.25)</f>
        <v>1.2375085557837098</v>
      </c>
      <c r="V100" s="70">
        <f>IF(U100="","",U100^2)</f>
        <v>1.531427425637883</v>
      </c>
      <c r="W100" s="70" t="inlineStr">
        <is>
          <t>BOARD_MEETING_DATE_IN_NOTICE</t>
        </is>
      </c>
      <c r="X100" s="70" t="inlineStr">
        <is>
          <t>TYPE19_ONLY</t>
        </is>
      </c>
      <c r="Y100" s="70" t="n"/>
      <c r="Z100" s="70" t="n"/>
      <c r="AA100" s="70" t="n"/>
      <c r="AB100" s="70" t="inlineStr">
        <is>
          <t>عضو هیئت مدیره</t>
        </is>
      </c>
      <c r="AC100" s="70" t="n"/>
    </row>
    <row r="101" ht="43.5" customHeight="1" s="76">
      <c r="A101" s="71" t="inlineStr">
        <is>
          <t>T098</t>
        </is>
      </c>
      <c r="B101" s="71" t="inlineStr">
        <is>
          <t>نوری</t>
        </is>
      </c>
      <c r="C101" s="71" t="inlineStr">
        <is>
          <t>F15-M1</t>
        </is>
      </c>
      <c r="D101" s="71" t="inlineStr">
        <is>
          <t>MEMBER</t>
        </is>
      </c>
      <c r="E101" s="71" t="inlineStr">
        <is>
          <t>صالح رحیمی</t>
        </is>
      </c>
      <c r="F101" s="71" t="inlineStr">
        <is>
          <t>سرمایه گذاری نفت و گاز و پتروشیمی تامین</t>
        </is>
      </c>
      <c r="G101" s="71" t="inlineStr">
        <is>
          <t>9069E6BF</t>
        </is>
      </c>
      <c r="H101" s="71" t="inlineStr">
        <is>
          <t>NATIONAL_ID</t>
        </is>
      </c>
      <c r="I101" s="71" t="inlineStr">
        <is>
          <t>عضو هیئت مدیره غیر موظف</t>
        </is>
      </c>
      <c r="J101" s="71" t="inlineStr">
        <is>
          <t>INTERVAL</t>
        </is>
      </c>
      <c r="K101" s="71" t="n"/>
      <c r="L101" s="73" t="n"/>
      <c r="M101" s="71" t="inlineStr">
        <is>
          <t>1404/11/18</t>
        </is>
      </c>
      <c r="N101" s="73" t="n">
        <v>46060</v>
      </c>
      <c r="O101" s="71" t="inlineStr">
        <is>
          <t>1404/12/03</t>
        </is>
      </c>
      <c r="P101" s="73" t="n">
        <v>46075</v>
      </c>
      <c r="Q101" s="71" t="inlineStr">
        <is>
          <t>1404/12/29</t>
        </is>
      </c>
      <c r="R101" s="73" t="n">
        <v>46101</v>
      </c>
      <c r="S101" s="71">
        <f>IF(OR(J101="UNKNOWN",R101=""),"",R101-IF(J101="EXACT",L101,P101))</f>
        <v>26</v>
      </c>
      <c r="T101" s="71">
        <f>IF(J101="EXACT",R101-L101,IF(J101="INTERVAL",R101-N101,""))</f>
        <v>41</v>
      </c>
      <c r="U101" s="71">
        <f>IF(S101="","",S101/365.25)</f>
        <v>0.07118412046543464</v>
      </c>
      <c r="V101" s="71">
        <f>IF(U101="","",U101^2)</f>
        <v>0.005067179006437511</v>
      </c>
      <c r="W101" s="71" t="inlineStr">
        <is>
          <t>BM_DATE_CONFLICT_BETWEEN_NOTICE_VERSIONS:1404/11/18|1404/12/03</t>
        </is>
      </c>
      <c r="X101" s="71" t="inlineStr">
        <is>
          <t>TYPE19_ONLY</t>
        </is>
      </c>
      <c r="Y101" s="71" t="n"/>
      <c r="Z101" s="71" t="n"/>
      <c r="AA101" s="71" t="n"/>
      <c r="AB101" s="71" t="inlineStr">
        <is>
          <t>MIN_CONTINUOUS|1401/03/11</t>
        </is>
      </c>
      <c r="AC101" s="71" t="inlineStr">
        <is>
          <t>BM versions conflict</t>
        </is>
      </c>
    </row>
    <row r="102" ht="29" customHeight="1" s="76">
      <c r="A102" s="70" t="inlineStr">
        <is>
          <t>T099</t>
        </is>
      </c>
      <c r="B102" s="70" t="inlineStr">
        <is>
          <t>نوری</t>
        </is>
      </c>
      <c r="C102" s="70" t="inlineStr">
        <is>
          <t>F15-M2</t>
        </is>
      </c>
      <c r="D102" s="70" t="inlineStr">
        <is>
          <t>MEMBER</t>
        </is>
      </c>
      <c r="E102" s="70" t="inlineStr">
        <is>
          <t>حسام خوشبین فر</t>
        </is>
      </c>
      <c r="F102" s="70" t="inlineStr">
        <is>
          <t>صنایع پتروشیمی دهدشت</t>
        </is>
      </c>
      <c r="G102" s="70" t="inlineStr">
        <is>
          <t>9C4FF8BF</t>
        </is>
      </c>
      <c r="H102" s="70" t="inlineStr">
        <is>
          <t>NATIONAL_ID</t>
        </is>
      </c>
      <c r="I102" s="70" t="inlineStr">
        <is>
          <t>عضو هیئت مدیره غیر موظف</t>
        </is>
      </c>
      <c r="J102" s="70" t="inlineStr">
        <is>
          <t>EXACT</t>
        </is>
      </c>
      <c r="K102" s="70" t="inlineStr">
        <is>
          <t>1404/05/27</t>
        </is>
      </c>
      <c r="L102" s="72" t="n">
        <v>45887</v>
      </c>
      <c r="M102" s="70" t="inlineStr">
        <is>
          <t>1404/05/27</t>
        </is>
      </c>
      <c r="N102" s="72" t="n">
        <v>45887</v>
      </c>
      <c r="O102" s="70" t="inlineStr">
        <is>
          <t>1404/05/27</t>
        </is>
      </c>
      <c r="P102" s="72" t="n">
        <v>45887</v>
      </c>
      <c r="Q102" s="70" t="inlineStr">
        <is>
          <t>1404/12/29</t>
        </is>
      </c>
      <c r="R102" s="72" t="n">
        <v>46101</v>
      </c>
      <c r="S102" s="70">
        <f>IF(OR(J102="UNKNOWN",R102=""),"",R102-IF(J102="EXACT",L102,P102))</f>
        <v>214</v>
      </c>
      <c r="T102" s="70">
        <f>IF(J102="EXACT",R102-L102,IF(J102="INTERVAL",R102-N102,""))</f>
        <v>214</v>
      </c>
      <c r="U102" s="70">
        <f>IF(S102="","",S102/365.25)</f>
        <v>0.5859000684462696</v>
      </c>
      <c r="V102" s="70">
        <f>IF(U102="","",U102^2)</f>
        <v>0.3432788902053434</v>
      </c>
      <c r="W102" s="70" t="inlineStr">
        <is>
          <t>BOARD_MEETING_DATE_IN_NOTICE</t>
        </is>
      </c>
      <c r="X102" s="70" t="inlineStr">
        <is>
          <t>TYPE19_ONLY</t>
        </is>
      </c>
      <c r="Y102" s="70" t="n"/>
      <c r="Z102" s="70" t="n"/>
      <c r="AA102" s="70" t="n"/>
      <c r="AB102" s="70" t="inlineStr">
        <is>
          <t>INTERVAL|1404/12/03</t>
        </is>
      </c>
      <c r="AC102" s="70" t="n"/>
    </row>
    <row r="103" ht="29" customHeight="1" s="76">
      <c r="A103" s="71" t="inlineStr">
        <is>
          <t>T100</t>
        </is>
      </c>
      <c r="B103" s="71" t="inlineStr">
        <is>
          <t>نوری</t>
        </is>
      </c>
      <c r="C103" s="71" t="inlineStr">
        <is>
          <t>F15-M3</t>
        </is>
      </c>
      <c r="D103" s="71" t="inlineStr">
        <is>
          <t>MEMBER</t>
        </is>
      </c>
      <c r="E103" s="71" t="inlineStr">
        <is>
          <t>تقی صانعی</t>
        </is>
      </c>
      <c r="F103" s="71" t="inlineStr">
        <is>
          <t>پالایش گاز هویزه خلیج فارس</t>
        </is>
      </c>
      <c r="G103" s="71" t="inlineStr">
        <is>
          <t>476E45A4</t>
        </is>
      </c>
      <c r="H103" s="71" t="inlineStr">
        <is>
          <t>NATIONAL_ID</t>
        </is>
      </c>
      <c r="I103" s="71" t="inlineStr">
        <is>
          <t>رئیس هیئت مدیره غیر موظف</t>
        </is>
      </c>
      <c r="J103" s="71" t="inlineStr">
        <is>
          <t>EXACT</t>
        </is>
      </c>
      <c r="K103" s="71" t="inlineStr">
        <is>
          <t>1404/04/03</t>
        </is>
      </c>
      <c r="L103" s="73" t="n">
        <v>45832</v>
      </c>
      <c r="M103" s="71" t="inlineStr">
        <is>
          <t>1404/04/03</t>
        </is>
      </c>
      <c r="N103" s="73" t="n">
        <v>45832</v>
      </c>
      <c r="O103" s="71" t="inlineStr">
        <is>
          <t>1404/04/03</t>
        </is>
      </c>
      <c r="P103" s="73" t="n">
        <v>45832</v>
      </c>
      <c r="Q103" s="71" t="inlineStr">
        <is>
          <t>1404/12/29</t>
        </is>
      </c>
      <c r="R103" s="73" t="n">
        <v>46101</v>
      </c>
      <c r="S103" s="71">
        <f>IF(OR(J103="UNKNOWN",R103=""),"",R103-IF(J103="EXACT",L103,P103))</f>
        <v>269</v>
      </c>
      <c r="T103" s="71">
        <f>IF(J103="EXACT",R103-L103,IF(J103="INTERVAL",R103-N103,""))</f>
        <v>269</v>
      </c>
      <c r="U103" s="71">
        <f>IF(S103="","",S103/365.25)</f>
        <v>0.7364818617385352</v>
      </c>
      <c r="V103" s="71">
        <f>IF(U103="","",U103^2)</f>
        <v>0.5424055326698589</v>
      </c>
      <c r="W103" s="71" t="inlineStr">
        <is>
          <t>BOARD_MEETING_DATE_IN_NOTICE</t>
        </is>
      </c>
      <c r="X103" s="71" t="inlineStr">
        <is>
          <t>TYPE19_ONLY</t>
        </is>
      </c>
      <c r="Y103" s="71" t="n"/>
      <c r="Z103" s="71" t="n"/>
      <c r="AA103" s="71" t="n"/>
      <c r="AB103" s="71" t="inlineStr">
        <is>
          <t>INTERVAL|1404/12/03</t>
        </is>
      </c>
      <c r="AC103" s="71" t="n"/>
    </row>
    <row r="104" ht="29" customHeight="1" s="76">
      <c r="A104" s="70" t="inlineStr">
        <is>
          <t>T101</t>
        </is>
      </c>
      <c r="B104" s="70" t="inlineStr">
        <is>
          <t>نوری</t>
        </is>
      </c>
      <c r="C104" s="70" t="inlineStr">
        <is>
          <t>F15-M3</t>
        </is>
      </c>
      <c r="D104" s="70" t="inlineStr">
        <is>
          <t>CHAIR</t>
        </is>
      </c>
      <c r="E104" s="70" t="inlineStr">
        <is>
          <t>تقی صانعی</t>
        </is>
      </c>
      <c r="F104" s="70" t="inlineStr">
        <is>
          <t>پالایش گاز هویزه خلیج فارس</t>
        </is>
      </c>
      <c r="G104" s="70" t="inlineStr">
        <is>
          <t>476E45A4</t>
        </is>
      </c>
      <c r="H104" s="70" t="inlineStr">
        <is>
          <t>NATIONAL_ID</t>
        </is>
      </c>
      <c r="I104" s="70" t="inlineStr">
        <is>
          <t>رئیس هیئت مدیره</t>
        </is>
      </c>
      <c r="J104" s="70" t="inlineStr">
        <is>
          <t>EXACT</t>
        </is>
      </c>
      <c r="K104" s="70" t="inlineStr">
        <is>
          <t>1404/06/30</t>
        </is>
      </c>
      <c r="L104" s="72" t="n">
        <v>45921</v>
      </c>
      <c r="M104" s="70" t="inlineStr">
        <is>
          <t>1404/06/30</t>
        </is>
      </c>
      <c r="N104" s="72" t="n">
        <v>45921</v>
      </c>
      <c r="O104" s="70" t="inlineStr">
        <is>
          <t>1404/06/30</t>
        </is>
      </c>
      <c r="P104" s="72" t="n">
        <v>45921</v>
      </c>
      <c r="Q104" s="70" t="inlineStr">
        <is>
          <t>1404/12/29</t>
        </is>
      </c>
      <c r="R104" s="72" t="n">
        <v>46101</v>
      </c>
      <c r="S104" s="70">
        <f>IF(OR(J104="UNKNOWN",R104=""),"",R104-IF(J104="EXACT",L104,P104))</f>
        <v>180</v>
      </c>
      <c r="T104" s="70">
        <f>IF(J104="EXACT",R104-L104,IF(J104="INTERVAL",R104-N104,""))</f>
        <v>180</v>
      </c>
      <c r="U104" s="70">
        <f>IF(S104="","",S104/365.25)</f>
        <v>0.4928131416837782</v>
      </c>
      <c r="V104" s="70">
        <f>IF(U104="","",U104^2)</f>
        <v>0.24286479261623567</v>
      </c>
      <c r="W104" s="70" t="inlineStr">
        <is>
          <t>BOARD_MEETING_DATE_IN_NOTICE</t>
        </is>
      </c>
      <c r="X104" s="70" t="inlineStr">
        <is>
          <t>TYPE19_ONLY|PERSON_ROLE_CHAIN</t>
        </is>
      </c>
      <c r="Y104" s="70" t="n"/>
      <c r="Z104" s="70" t="n"/>
      <c r="AA104" s="70" t="n"/>
      <c r="AB104" s="70" t="n"/>
      <c r="AC104" s="70" t="n"/>
    </row>
    <row r="105" ht="29" customHeight="1" s="76">
      <c r="A105" s="71" t="inlineStr">
        <is>
          <t>T102</t>
        </is>
      </c>
      <c r="B105" s="71" t="inlineStr">
        <is>
          <t>نوری</t>
        </is>
      </c>
      <c r="C105" s="71" t="inlineStr">
        <is>
          <t>F15-M4</t>
        </is>
      </c>
      <c r="D105" s="71" t="inlineStr">
        <is>
          <t>MEMBER</t>
        </is>
      </c>
      <c r="E105" s="71" t="inlineStr">
        <is>
          <t>فریدون امیری</t>
        </is>
      </c>
      <c r="F105" s="71" t="inlineStr">
        <is>
          <t>پتروشیمی الماس ماهشهر</t>
        </is>
      </c>
      <c r="G105" s="71" t="inlineStr">
        <is>
          <t>069121A2</t>
        </is>
      </c>
      <c r="H105" s="71" t="inlineStr">
        <is>
          <t>NATIONAL_ID</t>
        </is>
      </c>
      <c r="I105" s="71" t="inlineStr">
        <is>
          <t>عضو هیئت مدیره غیر موظف</t>
        </is>
      </c>
      <c r="J105" s="71" t="inlineStr">
        <is>
          <t>EXACT</t>
        </is>
      </c>
      <c r="K105" s="71" t="inlineStr">
        <is>
          <t>1404/08/25</t>
        </is>
      </c>
      <c r="L105" s="73" t="n">
        <v>45977</v>
      </c>
      <c r="M105" s="71" t="inlineStr">
        <is>
          <t>1404/08/25</t>
        </is>
      </c>
      <c r="N105" s="73" t="n">
        <v>45977</v>
      </c>
      <c r="O105" s="71" t="inlineStr">
        <is>
          <t>1404/08/25</t>
        </is>
      </c>
      <c r="P105" s="73" t="n">
        <v>45977</v>
      </c>
      <c r="Q105" s="71" t="inlineStr">
        <is>
          <t>1404/12/29</t>
        </is>
      </c>
      <c r="R105" s="73" t="n">
        <v>46101</v>
      </c>
      <c r="S105" s="71">
        <f>IF(OR(J105="UNKNOWN",R105=""),"",R105-IF(J105="EXACT",L105,P105))</f>
        <v>124</v>
      </c>
      <c r="T105" s="71">
        <f>IF(J105="EXACT",R105-L105,IF(J105="INTERVAL",R105-N105,""))</f>
        <v>124</v>
      </c>
      <c r="U105" s="71">
        <f>IF(S105="","",S105/365.25)</f>
        <v>0.3394934976043806</v>
      </c>
      <c r="V105" s="71">
        <f>IF(U105="","",U105^2)</f>
        <v>0.11525583491565557</v>
      </c>
      <c r="W105" s="71" t="inlineStr">
        <is>
          <t>BOARD_MEETING_DATE_IN_NOTICE</t>
        </is>
      </c>
      <c r="X105" s="71" t="inlineStr">
        <is>
          <t>TYPE19_ONLY</t>
        </is>
      </c>
      <c r="Y105" s="71" t="n"/>
      <c r="Z105" s="71" t="n"/>
      <c r="AA105" s="71" t="n"/>
      <c r="AB105" s="71" t="inlineStr">
        <is>
          <t>INTERVAL|1404/12/03</t>
        </is>
      </c>
      <c r="AC105" s="71" t="n"/>
    </row>
    <row r="106" ht="29" customHeight="1" s="76">
      <c r="A106" s="70" t="inlineStr">
        <is>
          <t>T103</t>
        </is>
      </c>
      <c r="B106" s="70" t="inlineStr">
        <is>
          <t>نوری</t>
        </is>
      </c>
      <c r="C106" s="70" t="inlineStr">
        <is>
          <t>F15-M5</t>
        </is>
      </c>
      <c r="D106" s="70" t="inlineStr">
        <is>
          <t>MEMBER</t>
        </is>
      </c>
      <c r="E106" s="70" t="inlineStr">
        <is>
          <t>غلامرضا جمشیدی</t>
        </is>
      </c>
      <c r="F106" s="70" t="inlineStr">
        <is>
          <t>پالایش گاز بیدبلند خلیج فارس</t>
        </is>
      </c>
      <c r="G106" s="70" t="inlineStr">
        <is>
          <t>2BBA85DE</t>
        </is>
      </c>
      <c r="H106" s="70" t="inlineStr">
        <is>
          <t>NATIONAL_ID</t>
        </is>
      </c>
      <c r="I106" s="70" t="inlineStr">
        <is>
          <t>نایب رئیس هیئت مدیره موظف</t>
        </is>
      </c>
      <c r="J106" s="70" t="inlineStr">
        <is>
          <t>EXACT</t>
        </is>
      </c>
      <c r="K106" s="70" t="inlineStr">
        <is>
          <t>1403/08/27</t>
        </is>
      </c>
      <c r="L106" s="72" t="n">
        <v>45613</v>
      </c>
      <c r="M106" s="70" t="inlineStr">
        <is>
          <t>1403/08/27</t>
        </is>
      </c>
      <c r="N106" s="72" t="n">
        <v>45613</v>
      </c>
      <c r="O106" s="70" t="inlineStr">
        <is>
          <t>1403/08/27</t>
        </is>
      </c>
      <c r="P106" s="72" t="n">
        <v>45613</v>
      </c>
      <c r="Q106" s="70" t="inlineStr">
        <is>
          <t>1404/12/29</t>
        </is>
      </c>
      <c r="R106" s="72" t="n">
        <v>46101</v>
      </c>
      <c r="S106" s="70">
        <f>IF(OR(J106="UNKNOWN",R106=""),"",R106-IF(J106="EXACT",L106,P106))</f>
        <v>488</v>
      </c>
      <c r="T106" s="70">
        <f>IF(J106="EXACT",R106-L106,IF(J106="INTERVAL",R106-N106,""))</f>
        <v>488</v>
      </c>
      <c r="U106" s="70">
        <f>IF(S106="","",S106/365.25)</f>
        <v>1.3360711841204653</v>
      </c>
      <c r="V106" s="70">
        <f>IF(U106="","",U106^2)</f>
        <v>1.7850862090370623</v>
      </c>
      <c r="W106" s="70" t="inlineStr">
        <is>
          <t>BOARD_MEETING_DATE_IN_NOTICE</t>
        </is>
      </c>
      <c r="X106" s="70" t="inlineStr">
        <is>
          <t>TYPE19_ONLY</t>
        </is>
      </c>
      <c r="Y106" s="70" t="n"/>
      <c r="Z106" s="70" t="n"/>
      <c r="AA106" s="70" t="n"/>
      <c r="AB106" s="70" t="inlineStr">
        <is>
          <t>INTERVAL|1404/12/03</t>
        </is>
      </c>
      <c r="AC106" s="70" t="n"/>
    </row>
    <row r="107" ht="29" customHeight="1" s="76">
      <c r="A107" s="71" t="inlineStr">
        <is>
          <t>T104</t>
        </is>
      </c>
      <c r="B107" s="71" t="inlineStr">
        <is>
          <t>نوری</t>
        </is>
      </c>
      <c r="C107" s="71" t="n"/>
      <c r="D107" s="71" t="inlineStr">
        <is>
          <t>CEO</t>
        </is>
      </c>
      <c r="E107" s="71" t="inlineStr">
        <is>
          <t>غلامرضا جمشیدی</t>
        </is>
      </c>
      <c r="F107" s="71" t="n"/>
      <c r="G107" s="71" t="inlineStr">
        <is>
          <t>2BBA85DE</t>
        </is>
      </c>
      <c r="H107" s="71" t="inlineStr">
        <is>
          <t>NATIONAL_ID</t>
        </is>
      </c>
      <c r="I107" s="71" t="inlineStr">
        <is>
          <t>مدیرعامل</t>
        </is>
      </c>
      <c r="J107" s="71" t="inlineStr">
        <is>
          <t>MIN_CONTINUOUS</t>
        </is>
      </c>
      <c r="K107" s="71" t="n"/>
      <c r="L107" s="73" t="n"/>
      <c r="M107" s="71" t="n"/>
      <c r="N107" s="73" t="n"/>
      <c r="O107" s="71" t="inlineStr">
        <is>
          <t>1403/08/27</t>
        </is>
      </c>
      <c r="P107" s="73" t="n">
        <v>45613</v>
      </c>
      <c r="Q107" s="71" t="inlineStr">
        <is>
          <t>1404/12/29</t>
        </is>
      </c>
      <c r="R107" s="73" t="n">
        <v>46101</v>
      </c>
      <c r="S107" s="71">
        <f>IF(OR(J107="UNKNOWN",R107=""),"",R107-IF(J107="EXACT",L107,P107))</f>
        <v>488</v>
      </c>
      <c r="T107" s="71">
        <f>IF(J107="EXACT",R107-L107,IF(J107="INTERVAL",R107-N107,""))</f>
      </c>
      <c r="U107" s="71">
        <f>IF(S107="","",S107/365.25)</f>
        <v>1.3360711841204653</v>
      </c>
      <c r="V107" s="71">
        <f>IF(U107="","",U107^2)</f>
        <v>1.7850862090370623</v>
      </c>
      <c r="W107" s="71" t="inlineStr">
        <is>
          <t>FIRST_OBSERVATION_NOTICE_PUBLICATION</t>
        </is>
      </c>
      <c r="X107" s="71" t="inlineStr">
        <is>
          <t>TYPE19_ONLY</t>
        </is>
      </c>
      <c r="Y107" s="71" t="n"/>
      <c r="Z107" s="71" t="n"/>
      <c r="AA107" s="71" t="n"/>
      <c r="AB107" s="71" t="inlineStr">
        <is>
          <t>عضو هیئت مدیره</t>
        </is>
      </c>
      <c r="AC107" s="71" t="n"/>
    </row>
    <row r="108" ht="43.5" customHeight="1" s="76">
      <c r="A108" s="70" t="inlineStr">
        <is>
          <t>T105</t>
        </is>
      </c>
      <c r="B108" s="70" t="inlineStr">
        <is>
          <t>فولاد</t>
        </is>
      </c>
      <c r="C108" s="70" t="inlineStr">
        <is>
          <t>F16-M1</t>
        </is>
      </c>
      <c r="D108" s="70" t="inlineStr">
        <is>
          <t>MEMBER</t>
        </is>
      </c>
      <c r="E108" s="70" t="inlineStr">
        <is>
          <t>محسن صالحی نیا</t>
        </is>
      </c>
      <c r="F108" s="70" t="inlineStr">
        <is>
          <t>سازمان توسعه و نوسازی معادن و صنایع معدنی ایران</t>
        </is>
      </c>
      <c r="G108" s="70" t="inlineStr">
        <is>
          <t>0D415D50</t>
        </is>
      </c>
      <c r="H108" s="70" t="inlineStr">
        <is>
          <t>NATIONAL_ID</t>
        </is>
      </c>
      <c r="I108" s="70" t="inlineStr">
        <is>
          <t>نایب رئیس هیئت مدیره غیر موظف</t>
        </is>
      </c>
      <c r="J108" s="70" t="inlineStr">
        <is>
          <t>CONFLICT_MIN</t>
        </is>
      </c>
      <c r="K108" s="70" t="n"/>
      <c r="L108" s="72" t="n"/>
      <c r="M108" s="70" t="n"/>
      <c r="N108" s="72" t="n"/>
      <c r="O108" s="70" t="inlineStr">
        <is>
          <t>1402/07/23</t>
        </is>
      </c>
      <c r="P108" s="72" t="n">
        <v>45214</v>
      </c>
      <c r="Q108" s="70" t="inlineStr">
        <is>
          <t>1404/12/29</t>
        </is>
      </c>
      <c r="R108" s="72" t="n">
        <v>46101</v>
      </c>
      <c r="S108" s="70">
        <f>IF(OR(J108="UNKNOWN",R108=""),"",R108-IF(J108="EXACT",L108,P108))</f>
        <v>887</v>
      </c>
      <c r="T108" s="70">
        <f>IF(J108="EXACT",R108-L108,IF(J108="INTERVAL",R108-N108,""))</f>
      </c>
      <c r="U108" s="70">
        <f>IF(S108="","",S108/365.25)</f>
        <v>2.428473648186174</v>
      </c>
      <c r="V108" s="70">
        <f>IF(U108="","",U108^2)</f>
        <v>5.897484259934665</v>
      </c>
      <c r="W108" s="70" t="inlineStr">
        <is>
          <t>REPORT_DATE_AFTER_TYPE19_FIRST_OBSERVATION</t>
        </is>
      </c>
      <c r="X108" s="70" t="inlineStr">
        <is>
          <t>CONFLICT</t>
        </is>
      </c>
      <c r="Y108" s="70" t="inlineStr">
        <is>
          <t>1402/07/23</t>
        </is>
      </c>
      <c r="Z108" s="70" t="inlineStr">
        <is>
          <t>START</t>
        </is>
      </c>
      <c r="AA108" s="70" t="n"/>
      <c r="AB108" s="70" t="inlineStr">
        <is>
          <t>MIN_CONTINUOUS|1401/03/29</t>
        </is>
      </c>
      <c r="AC108" s="70" t="inlineStr">
        <is>
          <t>type19 shows person from 1401/03/29 but report states 1402/07/23</t>
        </is>
      </c>
    </row>
    <row r="109" ht="29" customHeight="1" s="76">
      <c r="A109" s="71" t="inlineStr">
        <is>
          <t>T106</t>
        </is>
      </c>
      <c r="B109" s="71" t="inlineStr">
        <is>
          <t>فولاد</t>
        </is>
      </c>
      <c r="C109" s="71" t="inlineStr">
        <is>
          <t>F16-M2</t>
        </is>
      </c>
      <c r="D109" s="71" t="inlineStr">
        <is>
          <t>MEMBER</t>
        </is>
      </c>
      <c r="E109" s="71" t="inlineStr">
        <is>
          <t>محمدحسین مقیمی</t>
        </is>
      </c>
      <c r="F109" s="71" t="inlineStr">
        <is>
          <t>سرمایه گذاری استان اصفهان</t>
        </is>
      </c>
      <c r="G109" s="71" t="inlineStr">
        <is>
          <t>2B9665C3</t>
        </is>
      </c>
      <c r="H109" s="71" t="inlineStr">
        <is>
          <t>NATIONAL_ID</t>
        </is>
      </c>
      <c r="I109" s="71" t="inlineStr">
        <is>
          <t>رئیس هیئت مدیره غیر موظف</t>
        </is>
      </c>
      <c r="J109" s="71" t="inlineStr">
        <is>
          <t>INTERVAL</t>
        </is>
      </c>
      <c r="K109" s="71" t="n"/>
      <c r="L109" s="73" t="n"/>
      <c r="M109" s="71" t="inlineStr">
        <is>
          <t>1404/10/03</t>
        </is>
      </c>
      <c r="N109" s="73" t="n">
        <v>46015</v>
      </c>
      <c r="O109" s="71" t="inlineStr">
        <is>
          <t>1404/10/08</t>
        </is>
      </c>
      <c r="P109" s="73" t="n">
        <v>46020</v>
      </c>
      <c r="Q109" s="71" t="inlineStr">
        <is>
          <t>1404/12/29</t>
        </is>
      </c>
      <c r="R109" s="73" t="n">
        <v>46101</v>
      </c>
      <c r="S109" s="71">
        <f>IF(OR(J109="UNKNOWN",R109=""),"",R109-IF(J109="EXACT",L109,P109))</f>
        <v>81</v>
      </c>
      <c r="T109" s="71">
        <f>IF(J109="EXACT",R109-L109,IF(J109="INTERVAL",R109-N109,""))</f>
        <v>86</v>
      </c>
      <c r="U109" s="71">
        <f>IF(S109="","",S109/365.25)</f>
        <v>0.22176591375770022</v>
      </c>
      <c r="V109" s="71">
        <f>IF(U109="","",U109^2)</f>
        <v>0.04918012050478773</v>
      </c>
      <c r="W109" s="71" t="inlineStr">
        <is>
          <t>SOURCE_CONFLICT:type19=1404/10/03;report=1404/10/08</t>
        </is>
      </c>
      <c r="X109" s="71" t="inlineStr">
        <is>
          <t>TYPE19_VS_REPORT_CONFLICT</t>
        </is>
      </c>
      <c r="Y109" s="71" t="inlineStr">
        <is>
          <t>1404/10/08</t>
        </is>
      </c>
      <c r="Z109" s="71" t="inlineStr">
        <is>
          <t>START</t>
        </is>
      </c>
      <c r="AA109" s="71" t="n"/>
      <c r="AB109" s="71" t="inlineStr">
        <is>
          <t>EXACT|1404/08/07</t>
        </is>
      </c>
      <c r="AC109" s="71" t="inlineStr">
        <is>
          <t>sources disagree by 5d</t>
        </is>
      </c>
    </row>
    <row r="110" ht="29" customHeight="1" s="76">
      <c r="A110" s="70" t="inlineStr">
        <is>
          <t>T107</t>
        </is>
      </c>
      <c r="B110" s="70" t="inlineStr">
        <is>
          <t>فولاد</t>
        </is>
      </c>
      <c r="C110" s="70" t="inlineStr">
        <is>
          <t>F16-M2</t>
        </is>
      </c>
      <c r="D110" s="70" t="inlineStr">
        <is>
          <t>CHAIR</t>
        </is>
      </c>
      <c r="E110" s="70" t="inlineStr">
        <is>
          <t>محمدحسین مقیمی</t>
        </is>
      </c>
      <c r="F110" s="70" t="inlineStr">
        <is>
          <t>سرمایه گذاری استان اصفهان</t>
        </is>
      </c>
      <c r="G110" s="70" t="inlineStr">
        <is>
          <t>2B9665C3</t>
        </is>
      </c>
      <c r="H110" s="70" t="inlineStr">
        <is>
          <t>NATIONAL_ID</t>
        </is>
      </c>
      <c r="I110" s="70" t="inlineStr">
        <is>
          <t>رئیس هیئت مدیره</t>
        </is>
      </c>
      <c r="J110" s="70" t="inlineStr">
        <is>
          <t>EXACT</t>
        </is>
      </c>
      <c r="K110" s="70" t="inlineStr">
        <is>
          <t>1404/10/03</t>
        </is>
      </c>
      <c r="L110" s="72" t="n">
        <v>46015</v>
      </c>
      <c r="M110" s="70" t="inlineStr">
        <is>
          <t>1404/10/03</t>
        </is>
      </c>
      <c r="N110" s="72" t="n">
        <v>46015</v>
      </c>
      <c r="O110" s="70" t="inlineStr">
        <is>
          <t>1404/10/03</t>
        </is>
      </c>
      <c r="P110" s="72" t="n">
        <v>46015</v>
      </c>
      <c r="Q110" s="70" t="inlineStr">
        <is>
          <t>1404/12/29</t>
        </is>
      </c>
      <c r="R110" s="72" t="n">
        <v>46101</v>
      </c>
      <c r="S110" s="70">
        <f>IF(OR(J110="UNKNOWN",R110=""),"",R110-IF(J110="EXACT",L110,P110))</f>
        <v>86</v>
      </c>
      <c r="T110" s="70">
        <f>IF(J110="EXACT",R110-L110,IF(J110="INTERVAL",R110-N110,""))</f>
        <v>86</v>
      </c>
      <c r="U110" s="70">
        <f>IF(S110="","",S110/365.25)</f>
        <v>0.23545516769336072</v>
      </c>
      <c r="V110" s="70">
        <f>IF(U110="","",U110^2)</f>
        <v>0.055439135993508616</v>
      </c>
      <c r="W110" s="70" t="inlineStr">
        <is>
          <t>BOARD_MEETING_DATE_IN_NOTICE</t>
        </is>
      </c>
      <c r="X110" s="70" t="inlineStr">
        <is>
          <t>TYPE19_ONLY|PERSON_ROLE_CHAIN</t>
        </is>
      </c>
      <c r="Y110" s="70" t="n"/>
      <c r="Z110" s="70" t="n"/>
      <c r="AA110" s="70" t="n"/>
      <c r="AB110" s="70" t="n"/>
      <c r="AC110" s="70" t="n"/>
    </row>
    <row r="111" ht="29" customHeight="1" s="76">
      <c r="A111" s="71" t="inlineStr">
        <is>
          <t>T108</t>
        </is>
      </c>
      <c r="B111" s="71" t="inlineStr">
        <is>
          <t>فولاد</t>
        </is>
      </c>
      <c r="C111" s="71" t="inlineStr">
        <is>
          <t>F16-M3</t>
        </is>
      </c>
      <c r="D111" s="71" t="inlineStr">
        <is>
          <t>MEMBER</t>
        </is>
      </c>
      <c r="E111" s="71" t="inlineStr">
        <is>
          <t>علی افشین</t>
        </is>
      </c>
      <c r="F111" s="71" t="inlineStr">
        <is>
          <t>بهسازان انرژی تدبیر زنگان</t>
        </is>
      </c>
      <c r="G111" s="71" t="inlineStr">
        <is>
          <t>C30BBE71</t>
        </is>
      </c>
      <c r="H111" s="71" t="inlineStr">
        <is>
          <t>NATIONAL_ID</t>
        </is>
      </c>
      <c r="I111" s="71" t="inlineStr">
        <is>
          <t>عضو هیئت مدیره غیر موظف</t>
        </is>
      </c>
      <c r="J111" s="71" t="inlineStr">
        <is>
          <t>EXACT</t>
        </is>
      </c>
      <c r="K111" s="71" t="inlineStr">
        <is>
          <t>1402/07/23</t>
        </is>
      </c>
      <c r="L111" s="73" t="n">
        <v>45214</v>
      </c>
      <c r="M111" s="71" t="inlineStr">
        <is>
          <t>1402/07/23</t>
        </is>
      </c>
      <c r="N111" s="73" t="n">
        <v>45214</v>
      </c>
      <c r="O111" s="71" t="inlineStr">
        <is>
          <t>1402/07/23</t>
        </is>
      </c>
      <c r="P111" s="73" t="n">
        <v>45214</v>
      </c>
      <c r="Q111" s="71" t="inlineStr">
        <is>
          <t>1404/12/29</t>
        </is>
      </c>
      <c r="R111" s="73" t="n">
        <v>46101</v>
      </c>
      <c r="S111" s="71">
        <f>IF(OR(J111="UNKNOWN",R111=""),"",R111-IF(J111="EXACT",L111,P111))</f>
        <v>887</v>
      </c>
      <c r="T111" s="71">
        <f>IF(J111="EXACT",R111-L111,IF(J111="INTERVAL",R111-N111,""))</f>
        <v>887</v>
      </c>
      <c r="U111" s="71">
        <f>IF(S111="","",S111/365.25)</f>
        <v>2.428473648186174</v>
      </c>
      <c r="V111" s="71">
        <f>IF(U111="","",U111^2)</f>
        <v>5.897484259934665</v>
      </c>
      <c r="W111" s="71" t="inlineStr">
        <is>
          <t>BOARD_MEETING_DATE_IN_NOTICE</t>
        </is>
      </c>
      <c r="X111" s="71" t="inlineStr">
        <is>
          <t>TYPE19+REPORT_CORROBORATED</t>
        </is>
      </c>
      <c r="Y111" s="71" t="inlineStr">
        <is>
          <t>1402/07/23</t>
        </is>
      </c>
      <c r="Z111" s="71" t="inlineStr">
        <is>
          <t>START</t>
        </is>
      </c>
      <c r="AA111" s="71" t="n"/>
      <c r="AB111" s="71" t="inlineStr">
        <is>
          <t>MIN_CONTINUOUS|1401/03/29</t>
        </is>
      </c>
      <c r="AC111" s="71" t="inlineStr">
        <is>
          <t>report date 1402/07/23 (diff 0d)</t>
        </is>
      </c>
    </row>
    <row r="112" ht="43.5" customHeight="1" s="76">
      <c r="A112" s="70" t="inlineStr">
        <is>
          <t>T109</t>
        </is>
      </c>
      <c r="B112" s="70" t="inlineStr">
        <is>
          <t>فولاد</t>
        </is>
      </c>
      <c r="C112" s="70" t="inlineStr">
        <is>
          <t>F16-M4</t>
        </is>
      </c>
      <c r="D112" s="70" t="inlineStr">
        <is>
          <t>MEMBER</t>
        </is>
      </c>
      <c r="E112" s="70" t="inlineStr">
        <is>
          <t>سعید زرندی</t>
        </is>
      </c>
      <c r="F112" s="70" t="inlineStr">
        <is>
          <t>ملی صنایع مس ایران</t>
        </is>
      </c>
      <c r="G112" s="70" t="inlineStr">
        <is>
          <t>300BBFDB</t>
        </is>
      </c>
      <c r="H112" s="70" t="inlineStr">
        <is>
          <t>NATIONAL_ID</t>
        </is>
      </c>
      <c r="I112" s="70" t="inlineStr">
        <is>
          <t>عضو هیئت مدیره موظف</t>
        </is>
      </c>
      <c r="J112" s="70" t="inlineStr">
        <is>
          <t>INTERVAL</t>
        </is>
      </c>
      <c r="K112" s="70" t="n"/>
      <c r="L112" s="72" t="n"/>
      <c r="M112" s="70" t="inlineStr">
        <is>
          <t>1403/11/30</t>
        </is>
      </c>
      <c r="N112" s="72" t="n">
        <v>45706</v>
      </c>
      <c r="O112" s="70" t="inlineStr">
        <is>
          <t>1404/01/28</t>
        </is>
      </c>
      <c r="P112" s="72" t="n">
        <v>45764</v>
      </c>
      <c r="Q112" s="70" t="inlineStr">
        <is>
          <t>1404/12/29</t>
        </is>
      </c>
      <c r="R112" s="72" t="n">
        <v>46101</v>
      </c>
      <c r="S112" s="70">
        <f>IF(OR(J112="UNKNOWN",R112=""),"",R112-IF(J112="EXACT",L112,P112))</f>
        <v>337</v>
      </c>
      <c r="T112" s="70">
        <f>IF(J112="EXACT",R112-L112,IF(J112="INTERVAL",R112-N112,""))</f>
        <v>395</v>
      </c>
      <c r="U112" s="70">
        <f>IF(S112="","",S112/365.25)</f>
        <v>0.9226557152635181</v>
      </c>
      <c r="V112" s="70">
        <f>IF(U112="","",U112^2)</f>
        <v>0.8512935689084341</v>
      </c>
      <c r="W112" s="70" t="inlineStr">
        <is>
          <t>SOURCE_CONFLICT</t>
        </is>
      </c>
      <c r="X112" s="70" t="inlineStr">
        <is>
          <t>TYPE19_VS_REPORT_CONFLICT</t>
        </is>
      </c>
      <c r="Y112" s="70" t="inlineStr">
        <is>
          <t>1403/11/30</t>
        </is>
      </c>
      <c r="Z112" s="70" t="inlineStr">
        <is>
          <t>START</t>
        </is>
      </c>
      <c r="AA112" s="70" t="n"/>
      <c r="AB112" s="70" t="inlineStr">
        <is>
          <t>MIN_CONTINUOUS|1401/03/29</t>
        </is>
      </c>
      <c r="AC112" s="70" t="inlineStr">
        <is>
          <t>report 1403/11/30 outside type19 interval 1403/12/16..1404/01/28</t>
        </is>
      </c>
    </row>
    <row r="113" ht="29" customHeight="1" s="76">
      <c r="A113" s="71" t="inlineStr">
        <is>
          <t>T110</t>
        </is>
      </c>
      <c r="B113" s="71" t="inlineStr">
        <is>
          <t>فولاد</t>
        </is>
      </c>
      <c r="C113" s="71" t="inlineStr">
        <is>
          <t>F16-M5</t>
        </is>
      </c>
      <c r="D113" s="71" t="inlineStr">
        <is>
          <t>MEMBER</t>
        </is>
      </c>
      <c r="E113" s="71" t="inlineStr">
        <is>
          <t>مهدی زحمت کش</t>
        </is>
      </c>
      <c r="F113" s="71" t="inlineStr">
        <is>
          <t>سرمایه گذاری توسعه سرمایه رفاه</t>
        </is>
      </c>
      <c r="G113" s="71" t="inlineStr">
        <is>
          <t>6342FBA8</t>
        </is>
      </c>
      <c r="H113" s="71" t="inlineStr">
        <is>
          <t>NATIONAL_ID</t>
        </is>
      </c>
      <c r="I113" s="71" t="inlineStr">
        <is>
          <t>عضو هیئت مدیره غیر موظف</t>
        </is>
      </c>
      <c r="J113" s="71" t="inlineStr">
        <is>
          <t>INTERVAL</t>
        </is>
      </c>
      <c r="K113" s="71" t="n"/>
      <c r="L113" s="73" t="n"/>
      <c r="M113" s="71" t="inlineStr">
        <is>
          <t>1404/06/29</t>
        </is>
      </c>
      <c r="N113" s="73" t="n">
        <v>45920</v>
      </c>
      <c r="O113" s="71" t="inlineStr">
        <is>
          <t>1404/08/07</t>
        </is>
      </c>
      <c r="P113" s="73" t="n">
        <v>45959</v>
      </c>
      <c r="Q113" s="71" t="inlineStr">
        <is>
          <t>1404/12/29</t>
        </is>
      </c>
      <c r="R113" s="73" t="n">
        <v>46101</v>
      </c>
      <c r="S113" s="71">
        <f>IF(OR(J113="UNKNOWN",R113=""),"",R113-IF(J113="EXACT",L113,P113))</f>
        <v>142</v>
      </c>
      <c r="T113" s="71">
        <f>IF(J113="EXACT",R113-L113,IF(J113="INTERVAL",R113-N113,""))</f>
        <v>181</v>
      </c>
      <c r="U113" s="71">
        <f>IF(S113="","",S113/365.25)</f>
        <v>0.3887748117727584</v>
      </c>
      <c r="V113" s="71">
        <f>IF(U113="","",U113^2)</f>
        <v>0.15114585426894372</v>
      </c>
      <c r="W113" s="71" t="inlineStr">
        <is>
          <t>SOURCE_CONFLICT:type19=1404/08/07;report=1404/06/29</t>
        </is>
      </c>
      <c r="X113" s="71" t="inlineStr">
        <is>
          <t>TYPE19_VS_REPORT_CONFLICT</t>
        </is>
      </c>
      <c r="Y113" s="71" t="inlineStr">
        <is>
          <t>1404/06/29</t>
        </is>
      </c>
      <c r="Z113" s="71" t="inlineStr">
        <is>
          <t>START</t>
        </is>
      </c>
      <c r="AA113" s="71" t="n"/>
      <c r="AB113" s="71" t="inlineStr">
        <is>
          <t>MIN_CONTINUOUS|1401/03/29</t>
        </is>
      </c>
      <c r="AC113" s="71" t="inlineStr">
        <is>
          <t>sources disagree by 39d</t>
        </is>
      </c>
    </row>
    <row r="114" ht="29" customHeight="1" s="76">
      <c r="A114" s="70" t="inlineStr">
        <is>
          <t>T111</t>
        </is>
      </c>
      <c r="B114" s="70" t="inlineStr">
        <is>
          <t>فولاد</t>
        </is>
      </c>
      <c r="C114" s="70" t="n"/>
      <c r="D114" s="70" t="inlineStr">
        <is>
          <t>CEO</t>
        </is>
      </c>
      <c r="E114" s="70" t="inlineStr">
        <is>
          <t>سعید زرندی</t>
        </is>
      </c>
      <c r="F114" s="70" t="n"/>
      <c r="G114" s="70" t="inlineStr">
        <is>
          <t>300BBFDB</t>
        </is>
      </c>
      <c r="H114" s="70" t="inlineStr">
        <is>
          <t>NATIONAL_ID</t>
        </is>
      </c>
      <c r="I114" s="70" t="inlineStr">
        <is>
          <t>مدیرعامل</t>
        </is>
      </c>
      <c r="J114" s="70" t="inlineStr">
        <is>
          <t>EXACT</t>
        </is>
      </c>
      <c r="K114" s="70" t="inlineStr">
        <is>
          <t>1403/11/30</t>
        </is>
      </c>
      <c r="L114" s="72" t="n">
        <v>45706</v>
      </c>
      <c r="M114" s="70" t="inlineStr">
        <is>
          <t>1403/11/30</t>
        </is>
      </c>
      <c r="N114" s="72" t="n">
        <v>45706</v>
      </c>
      <c r="O114" s="70" t="inlineStr">
        <is>
          <t>1403/11/30</t>
        </is>
      </c>
      <c r="P114" s="72" t="n">
        <v>45706</v>
      </c>
      <c r="Q114" s="70" t="inlineStr">
        <is>
          <t>1404/12/29</t>
        </is>
      </c>
      <c r="R114" s="72" t="n">
        <v>46101</v>
      </c>
      <c r="S114" s="70">
        <f>IF(OR(J114="UNKNOWN",R114=""),"",R114-IF(J114="EXACT",L114,P114))</f>
        <v>395</v>
      </c>
      <c r="T114" s="70">
        <f>IF(J114="EXACT",R114-L114,IF(J114="INTERVAL",R114-N114,""))</f>
        <v>395</v>
      </c>
      <c r="U114" s="70">
        <f>IF(S114="","",S114/365.25)</f>
        <v>1.08145106091718</v>
      </c>
      <c r="V114" s="70">
        <f>IF(U114="","",U114^2)</f>
        <v>1.169536397158894</v>
      </c>
      <c r="W114" s="70" t="inlineStr">
        <is>
          <t>BOARD_MEETING_DATE_IN_NOTICE</t>
        </is>
      </c>
      <c r="X114" s="70" t="inlineStr">
        <is>
          <t>TYPE19_ONLY</t>
        </is>
      </c>
      <c r="Y114" s="70" t="n"/>
      <c r="Z114" s="70" t="n"/>
      <c r="AA114" s="70" t="n"/>
      <c r="AB114" s="70" t="inlineStr">
        <is>
          <t>عضو هیئت مدیره</t>
        </is>
      </c>
      <c r="AC114" s="70" t="n"/>
    </row>
    <row r="115" ht="29" customHeight="1" s="76">
      <c r="A115" s="71" t="inlineStr">
        <is>
          <t>T112</t>
        </is>
      </c>
      <c r="B115" s="71" t="inlineStr">
        <is>
          <t>کچاد</t>
        </is>
      </c>
      <c r="C115" s="71" t="inlineStr">
        <is>
          <t>F17-M1</t>
        </is>
      </c>
      <c r="D115" s="71" t="inlineStr">
        <is>
          <t>MEMBER</t>
        </is>
      </c>
      <c r="E115" s="71" t="inlineStr">
        <is>
          <t>محمدرضا تابش</t>
        </is>
      </c>
      <c r="F115" s="71" t="inlineStr">
        <is>
          <t>گروه مدیریت سرمایه گذاری امید</t>
        </is>
      </c>
      <c r="G115" s="71" t="inlineStr">
        <is>
          <t>BF9304E7</t>
        </is>
      </c>
      <c r="H115" s="71" t="inlineStr">
        <is>
          <t>NATIONAL_ID</t>
        </is>
      </c>
      <c r="I115" s="71" t="inlineStr">
        <is>
          <t>رئیس هیئت مدیره غیر موظف</t>
        </is>
      </c>
      <c r="J115" s="71" t="inlineStr">
        <is>
          <t>EXACT</t>
        </is>
      </c>
      <c r="K115" s="71" t="inlineStr">
        <is>
          <t>1404/02/24</t>
        </is>
      </c>
      <c r="L115" s="73" t="n">
        <v>45791</v>
      </c>
      <c r="M115" s="71" t="inlineStr">
        <is>
          <t>1404/02/24</t>
        </is>
      </c>
      <c r="N115" s="73" t="n">
        <v>45791</v>
      </c>
      <c r="O115" s="71" t="inlineStr">
        <is>
          <t>1404/02/24</t>
        </is>
      </c>
      <c r="P115" s="73" t="n">
        <v>45791</v>
      </c>
      <c r="Q115" s="71" t="inlineStr">
        <is>
          <t>1404/09/30</t>
        </is>
      </c>
      <c r="R115" s="73" t="n">
        <v>46012</v>
      </c>
      <c r="S115" s="71">
        <f>IF(OR(J115="UNKNOWN",R115=""),"",R115-IF(J115="EXACT",L115,P115))</f>
        <v>221</v>
      </c>
      <c r="T115" s="71">
        <f>IF(J115="EXACT",R115-L115,IF(J115="INTERVAL",R115-N115,""))</f>
        <v>221</v>
      </c>
      <c r="U115" s="71">
        <f>IF(S115="","",S115/365.25)</f>
        <v>0.6050650239561944</v>
      </c>
      <c r="V115" s="71">
        <f>IF(U115="","",U115^2)</f>
        <v>0.36610368321511016</v>
      </c>
      <c r="W115" s="71" t="inlineStr">
        <is>
          <t>BOARD_MEETING_DATE_IN_NOTICE</t>
        </is>
      </c>
      <c r="X115" s="71" t="inlineStr">
        <is>
          <t>TYPE19_ONLY</t>
        </is>
      </c>
      <c r="Y115" s="71" t="inlineStr">
        <is>
          <t>1404/05/06</t>
        </is>
      </c>
      <c r="Z115" s="71" t="inlineStr">
        <is>
          <t>TERM</t>
        </is>
      </c>
      <c r="AA115" s="71" t="n"/>
      <c r="AB115" s="71" t="inlineStr">
        <is>
          <t>MIN_CONTINUOUS|1401/02/10</t>
        </is>
      </c>
      <c r="AC115" s="71" t="n"/>
    </row>
    <row r="116" ht="29" customHeight="1" s="76">
      <c r="A116" s="70" t="inlineStr">
        <is>
          <t>T113</t>
        </is>
      </c>
      <c r="B116" s="70" t="inlineStr">
        <is>
          <t>کچاد</t>
        </is>
      </c>
      <c r="C116" s="70" t="inlineStr">
        <is>
          <t>F17-M1</t>
        </is>
      </c>
      <c r="D116" s="70" t="inlineStr">
        <is>
          <t>CHAIR</t>
        </is>
      </c>
      <c r="E116" s="70" t="inlineStr">
        <is>
          <t>محمدرضا تابش</t>
        </is>
      </c>
      <c r="F116" s="70" t="inlineStr">
        <is>
          <t>گروه مدیریت سرمایه گذاری امید</t>
        </is>
      </c>
      <c r="G116" s="70" t="inlineStr">
        <is>
          <t>BF9304E7</t>
        </is>
      </c>
      <c r="H116" s="70" t="inlineStr">
        <is>
          <t>NATIONAL_ID</t>
        </is>
      </c>
      <c r="I116" s="70" t="inlineStr">
        <is>
          <t>رئیس هیئت مدیره</t>
        </is>
      </c>
      <c r="J116" s="70" t="inlineStr">
        <is>
          <t>EXACT</t>
        </is>
      </c>
      <c r="K116" s="70" t="inlineStr">
        <is>
          <t>1404/02/24</t>
        </is>
      </c>
      <c r="L116" s="72" t="n">
        <v>45791</v>
      </c>
      <c r="M116" s="70" t="inlineStr">
        <is>
          <t>1404/02/24</t>
        </is>
      </c>
      <c r="N116" s="72" t="n">
        <v>45791</v>
      </c>
      <c r="O116" s="70" t="inlineStr">
        <is>
          <t>1404/02/24</t>
        </is>
      </c>
      <c r="P116" s="72" t="n">
        <v>45791</v>
      </c>
      <c r="Q116" s="70" t="inlineStr">
        <is>
          <t>1404/09/30</t>
        </is>
      </c>
      <c r="R116" s="72" t="n">
        <v>46012</v>
      </c>
      <c r="S116" s="70">
        <f>IF(OR(J116="UNKNOWN",R116=""),"",R116-IF(J116="EXACT",L116,P116))</f>
        <v>221</v>
      </c>
      <c r="T116" s="70">
        <f>IF(J116="EXACT",R116-L116,IF(J116="INTERVAL",R116-N116,""))</f>
        <v>221</v>
      </c>
      <c r="U116" s="70">
        <f>IF(S116="","",S116/365.25)</f>
        <v>0.6050650239561944</v>
      </c>
      <c r="V116" s="70">
        <f>IF(U116="","",U116^2)</f>
        <v>0.36610368321511016</v>
      </c>
      <c r="W116" s="70" t="inlineStr">
        <is>
          <t>BOARD_MEETING_DATE_IN_NOTICE</t>
        </is>
      </c>
      <c r="X116" s="70" t="inlineStr">
        <is>
          <t>TYPE19_ONLY|PERSON_ROLE_CHAIN</t>
        </is>
      </c>
      <c r="Y116" s="70" t="n"/>
      <c r="Z116" s="70" t="n"/>
      <c r="AA116" s="70" t="n"/>
      <c r="AB116" s="70" t="n"/>
      <c r="AC116" s="70" t="n"/>
    </row>
    <row r="117" ht="29" customHeight="1" s="76">
      <c r="A117" s="71" t="inlineStr">
        <is>
          <t>T114</t>
        </is>
      </c>
      <c r="B117" s="71" t="inlineStr">
        <is>
          <t>کچاد</t>
        </is>
      </c>
      <c r="C117" s="71" t="inlineStr">
        <is>
          <t>F17-M2</t>
        </is>
      </c>
      <c r="D117" s="71" t="inlineStr">
        <is>
          <t>MEMBER</t>
        </is>
      </c>
      <c r="E117" s="71" t="inlineStr">
        <is>
          <t>فرید دهقانی</t>
        </is>
      </c>
      <c r="F117" s="71" t="inlineStr">
        <is>
          <t>سرمایه گذاری توسعه معادن و فلزات</t>
        </is>
      </c>
      <c r="G117" s="71" t="inlineStr">
        <is>
          <t>FFE4C633</t>
        </is>
      </c>
      <c r="H117" s="71" t="inlineStr">
        <is>
          <t>NATIONAL_ID</t>
        </is>
      </c>
      <c r="I117" s="71" t="inlineStr">
        <is>
          <t>عضو هیئت مدیره موظف</t>
        </is>
      </c>
      <c r="J117" s="71" t="inlineStr">
        <is>
          <t>EXACT</t>
        </is>
      </c>
      <c r="K117" s="71" t="inlineStr">
        <is>
          <t>1403/09/04</t>
        </is>
      </c>
      <c r="L117" s="73" t="n">
        <v>45620</v>
      </c>
      <c r="M117" s="71" t="inlineStr">
        <is>
          <t>1403/09/04</t>
        </is>
      </c>
      <c r="N117" s="73" t="n">
        <v>45620</v>
      </c>
      <c r="O117" s="71" t="inlineStr">
        <is>
          <t>1403/09/04</t>
        </is>
      </c>
      <c r="P117" s="73" t="n">
        <v>45620</v>
      </c>
      <c r="Q117" s="71" t="inlineStr">
        <is>
          <t>1404/09/30</t>
        </is>
      </c>
      <c r="R117" s="73" t="n">
        <v>46012</v>
      </c>
      <c r="S117" s="71">
        <f>IF(OR(J117="UNKNOWN",R117=""),"",R117-IF(J117="EXACT",L117,P117))</f>
        <v>392</v>
      </c>
      <c r="T117" s="71">
        <f>IF(J117="EXACT",R117-L117,IF(J117="INTERVAL",R117-N117,""))</f>
        <v>392</v>
      </c>
      <c r="U117" s="71">
        <f>IF(S117="","",S117/365.25)</f>
        <v>1.0732375085557837</v>
      </c>
      <c r="V117" s="71">
        <f>IF(U117="","",U117^2)</f>
        <v>1.1518387497710258</v>
      </c>
      <c r="W117" s="71" t="inlineStr">
        <is>
          <t>BOARD_MEETING_DATE_IN_NOTICE</t>
        </is>
      </c>
      <c r="X117" s="71" t="inlineStr">
        <is>
          <t>TYPE19_ONLY</t>
        </is>
      </c>
      <c r="Y117" s="71" t="n"/>
      <c r="Z117" s="71" t="n"/>
      <c r="AA117" s="71" t="n"/>
      <c r="AB117" s="71" t="inlineStr">
        <is>
          <t>MIN_CONTINUOUS|1401/02/10</t>
        </is>
      </c>
      <c r="AC117" s="71" t="n"/>
    </row>
    <row r="118" ht="29" customHeight="1" s="76">
      <c r="A118" s="70" t="inlineStr">
        <is>
          <t>T115</t>
        </is>
      </c>
      <c r="B118" s="70" t="inlineStr">
        <is>
          <t>کچاد</t>
        </is>
      </c>
      <c r="C118" s="70" t="inlineStr">
        <is>
          <t>F17-M3</t>
        </is>
      </c>
      <c r="D118" s="70" t="inlineStr">
        <is>
          <t>MEMBER</t>
        </is>
      </c>
      <c r="E118" s="70" t="inlineStr">
        <is>
          <t>حامد دهقانان</t>
        </is>
      </c>
      <c r="F118" s="70" t="inlineStr">
        <is>
          <t>سرمایه گذاری سپه</t>
        </is>
      </c>
      <c r="G118" s="70" t="inlineStr">
        <is>
          <t>A2FCB00B</t>
        </is>
      </c>
      <c r="H118" s="70" t="inlineStr">
        <is>
          <t>NATIONAL_ID</t>
        </is>
      </c>
      <c r="I118" s="70" t="inlineStr">
        <is>
          <t>نایب رئیس هیئت مدیره موظف</t>
        </is>
      </c>
      <c r="J118" s="70" t="inlineStr">
        <is>
          <t>EXACT</t>
        </is>
      </c>
      <c r="K118" s="70" t="inlineStr">
        <is>
          <t>1404/02/24</t>
        </is>
      </c>
      <c r="L118" s="72" t="n">
        <v>45791</v>
      </c>
      <c r="M118" s="70" t="inlineStr">
        <is>
          <t>1404/02/24</t>
        </is>
      </c>
      <c r="N118" s="72" t="n">
        <v>45791</v>
      </c>
      <c r="O118" s="70" t="inlineStr">
        <is>
          <t>1404/02/24</t>
        </is>
      </c>
      <c r="P118" s="72" t="n">
        <v>45791</v>
      </c>
      <c r="Q118" s="70" t="inlineStr">
        <is>
          <t>1404/09/30</t>
        </is>
      </c>
      <c r="R118" s="72" t="n">
        <v>46012</v>
      </c>
      <c r="S118" s="70">
        <f>IF(OR(J118="UNKNOWN",R118=""),"",R118-IF(J118="EXACT",L118,P118))</f>
        <v>221</v>
      </c>
      <c r="T118" s="70">
        <f>IF(J118="EXACT",R118-L118,IF(J118="INTERVAL",R118-N118,""))</f>
        <v>221</v>
      </c>
      <c r="U118" s="70">
        <f>IF(S118="","",S118/365.25)</f>
        <v>0.6050650239561944</v>
      </c>
      <c r="V118" s="70">
        <f>IF(U118="","",U118^2)</f>
        <v>0.36610368321511016</v>
      </c>
      <c r="W118" s="70" t="inlineStr">
        <is>
          <t>BOARD_MEETING_DATE_IN_NOTICE</t>
        </is>
      </c>
      <c r="X118" s="70" t="inlineStr">
        <is>
          <t>TYPE19_ONLY</t>
        </is>
      </c>
      <c r="Y118" s="70" t="n"/>
      <c r="Z118" s="70" t="n"/>
      <c r="AA118" s="70" t="n"/>
      <c r="AB118" s="70" t="inlineStr">
        <is>
          <t>MIN_CONTINUOUS|1401/02/10</t>
        </is>
      </c>
      <c r="AC118" s="70" t="n"/>
    </row>
    <row r="119" ht="29" customHeight="1" s="76">
      <c r="A119" s="71" t="inlineStr">
        <is>
          <t>T116</t>
        </is>
      </c>
      <c r="B119" s="71" t="inlineStr">
        <is>
          <t>کچاد</t>
        </is>
      </c>
      <c r="C119" s="71" t="inlineStr">
        <is>
          <t>F17-M4</t>
        </is>
      </c>
      <c r="D119" s="71" t="inlineStr">
        <is>
          <t>MEMBER</t>
        </is>
      </c>
      <c r="E119" s="71" t="inlineStr">
        <is>
          <t>مهدی آقاپوربی شک</t>
        </is>
      </c>
      <c r="F119" s="71" t="inlineStr">
        <is>
          <t>فولاد مبارکه اصفهان</t>
        </is>
      </c>
      <c r="G119" s="71" t="inlineStr">
        <is>
          <t>542478A0</t>
        </is>
      </c>
      <c r="H119" s="71" t="inlineStr">
        <is>
          <t>NATIONAL_ID</t>
        </is>
      </c>
      <c r="I119" s="71" t="inlineStr">
        <is>
          <t>عضو هیئت مدیره غیر موظف</t>
        </is>
      </c>
      <c r="J119" s="71" t="inlineStr">
        <is>
          <t>EXACT</t>
        </is>
      </c>
      <c r="K119" s="71" t="inlineStr">
        <is>
          <t>1403/09/26</t>
        </is>
      </c>
      <c r="L119" s="73" t="n">
        <v>45642</v>
      </c>
      <c r="M119" s="71" t="inlineStr">
        <is>
          <t>1403/09/26</t>
        </is>
      </c>
      <c r="N119" s="73" t="n">
        <v>45642</v>
      </c>
      <c r="O119" s="71" t="inlineStr">
        <is>
          <t>1403/09/26</t>
        </is>
      </c>
      <c r="P119" s="73" t="n">
        <v>45642</v>
      </c>
      <c r="Q119" s="71" t="inlineStr">
        <is>
          <t>1404/09/30</t>
        </is>
      </c>
      <c r="R119" s="73" t="n">
        <v>46012</v>
      </c>
      <c r="S119" s="71">
        <f>IF(OR(J119="UNKNOWN",R119=""),"",R119-IF(J119="EXACT",L119,P119))</f>
        <v>370</v>
      </c>
      <c r="T119" s="71">
        <f>IF(J119="EXACT",R119-L119,IF(J119="INTERVAL",R119-N119,""))</f>
        <v>370</v>
      </c>
      <c r="U119" s="71">
        <f>IF(S119="","",S119/365.25)</f>
        <v>1.0130047912388775</v>
      </c>
      <c r="V119" s="71">
        <f>IF(U119="","",U119^2)</f>
        <v>1.0261787070729218</v>
      </c>
      <c r="W119" s="71" t="inlineStr">
        <is>
          <t>BOARD_MEETING_DATE_IN_NOTICE</t>
        </is>
      </c>
      <c r="X119" s="71" t="inlineStr">
        <is>
          <t>TYPE19_ONLY</t>
        </is>
      </c>
      <c r="Y119" s="71" t="n"/>
      <c r="Z119" s="71" t="n"/>
      <c r="AA119" s="71" t="n"/>
      <c r="AB119" s="71" t="inlineStr">
        <is>
          <t>MIN_CONTINUOUS|1401/02/10</t>
        </is>
      </c>
      <c r="AC119" s="71" t="n"/>
    </row>
    <row r="120" ht="29" customHeight="1" s="76">
      <c r="A120" s="70" t="inlineStr">
        <is>
          <t>T117</t>
        </is>
      </c>
      <c r="B120" s="70" t="inlineStr">
        <is>
          <t>کچاد</t>
        </is>
      </c>
      <c r="C120" s="70" t="inlineStr">
        <is>
          <t>F17-M5</t>
        </is>
      </c>
      <c r="D120" s="70" t="inlineStr">
        <is>
          <t>MEMBER</t>
        </is>
      </c>
      <c r="E120" s="70" t="inlineStr">
        <is>
          <t>خدایار کریم نژادسرخی</t>
        </is>
      </c>
      <c r="F120" s="70" t="inlineStr">
        <is>
          <t>سرمایه گذاری استان خوزستان</t>
        </is>
      </c>
      <c r="G120" s="70" t="inlineStr">
        <is>
          <t>9561AED1</t>
        </is>
      </c>
      <c r="H120" s="70" t="inlineStr">
        <is>
          <t>NATIONAL_ID</t>
        </is>
      </c>
      <c r="I120" s="70" t="inlineStr">
        <is>
          <t>عضو هیئت مدیره غیر موظف</t>
        </is>
      </c>
      <c r="J120" s="70" t="inlineStr">
        <is>
          <t>EXACT</t>
        </is>
      </c>
      <c r="K120" s="70" t="inlineStr">
        <is>
          <t>1404/05/20</t>
        </is>
      </c>
      <c r="L120" s="72" t="n">
        <v>45880</v>
      </c>
      <c r="M120" s="70" t="inlineStr">
        <is>
          <t>1404/05/20</t>
        </is>
      </c>
      <c r="N120" s="72" t="n">
        <v>45880</v>
      </c>
      <c r="O120" s="70" t="inlineStr">
        <is>
          <t>1404/05/20</t>
        </is>
      </c>
      <c r="P120" s="72" t="n">
        <v>45880</v>
      </c>
      <c r="Q120" s="70" t="inlineStr">
        <is>
          <t>1404/09/30</t>
        </is>
      </c>
      <c r="R120" s="72" t="n">
        <v>46012</v>
      </c>
      <c r="S120" s="70">
        <f>IF(OR(J120="UNKNOWN",R120=""),"",R120-IF(J120="EXACT",L120,P120))</f>
        <v>132</v>
      </c>
      <c r="T120" s="70">
        <f>IF(J120="EXACT",R120-L120,IF(J120="INTERVAL",R120-N120,""))</f>
        <v>132</v>
      </c>
      <c r="U120" s="70">
        <f>IF(S120="","",S120/365.25)</f>
        <v>0.3613963039014374</v>
      </c>
      <c r="V120" s="70">
        <f>IF(U120="","",U120^2)</f>
        <v>0.1306072884736201</v>
      </c>
      <c r="W120" s="70" t="inlineStr">
        <is>
          <t>BOARD_MEETING_DATE_IN_NOTICE</t>
        </is>
      </c>
      <c r="X120" s="70" t="inlineStr">
        <is>
          <t>TYPE19_ONLY</t>
        </is>
      </c>
      <c r="Y120" s="70" t="n"/>
      <c r="Z120" s="70" t="n"/>
      <c r="AA120" s="70" t="n"/>
      <c r="AB120" s="70" t="inlineStr">
        <is>
          <t>EXACT|1402/04/31</t>
        </is>
      </c>
      <c r="AC120" s="70" t="n"/>
    </row>
    <row r="121" ht="29" customHeight="1" s="76">
      <c r="A121" s="71" t="inlineStr">
        <is>
          <t>T118</t>
        </is>
      </c>
      <c r="B121" s="71" t="inlineStr">
        <is>
          <t>کچاد</t>
        </is>
      </c>
      <c r="C121" s="71" t="n"/>
      <c r="D121" s="71" t="inlineStr">
        <is>
          <t>CEO</t>
        </is>
      </c>
      <c r="E121" s="71" t="inlineStr">
        <is>
          <t>فرید دهقانی</t>
        </is>
      </c>
      <c r="F121" s="71" t="n"/>
      <c r="G121" s="71" t="inlineStr">
        <is>
          <t>FFE4C633</t>
        </is>
      </c>
      <c r="H121" s="71" t="inlineStr">
        <is>
          <t>NATIONAL_ID</t>
        </is>
      </c>
      <c r="I121" s="71" t="inlineStr">
        <is>
          <t>مدیرعامل</t>
        </is>
      </c>
      <c r="J121" s="71" t="inlineStr">
        <is>
          <t>EXACT</t>
        </is>
      </c>
      <c r="K121" s="71" t="inlineStr">
        <is>
          <t>1403/09/04</t>
        </is>
      </c>
      <c r="L121" s="73" t="n">
        <v>45620</v>
      </c>
      <c r="M121" s="71" t="inlineStr">
        <is>
          <t>1403/09/04</t>
        </is>
      </c>
      <c r="N121" s="73" t="n">
        <v>45620</v>
      </c>
      <c r="O121" s="71" t="inlineStr">
        <is>
          <t>1403/09/04</t>
        </is>
      </c>
      <c r="P121" s="73" t="n">
        <v>45620</v>
      </c>
      <c r="Q121" s="71" t="inlineStr">
        <is>
          <t>1404/09/30</t>
        </is>
      </c>
      <c r="R121" s="73" t="n">
        <v>46012</v>
      </c>
      <c r="S121" s="71">
        <f>IF(OR(J121="UNKNOWN",R121=""),"",R121-IF(J121="EXACT",L121,P121))</f>
        <v>392</v>
      </c>
      <c r="T121" s="71">
        <f>IF(J121="EXACT",R121-L121,IF(J121="INTERVAL",R121-N121,""))</f>
        <v>392</v>
      </c>
      <c r="U121" s="71">
        <f>IF(S121="","",S121/365.25)</f>
        <v>1.0732375085557837</v>
      </c>
      <c r="V121" s="71">
        <f>IF(U121="","",U121^2)</f>
        <v>1.1518387497710258</v>
      </c>
      <c r="W121" s="71" t="inlineStr">
        <is>
          <t>BOARD_MEETING_DATE_IN_NOTICE</t>
        </is>
      </c>
      <c r="X121" s="71" t="inlineStr">
        <is>
          <t>TYPE19_ONLY</t>
        </is>
      </c>
      <c r="Y121" s="71" t="n"/>
      <c r="Z121" s="71" t="n"/>
      <c r="AA121" s="71" t="n"/>
      <c r="AB121" s="71" t="inlineStr">
        <is>
          <t>عضو هیئت مدیره</t>
        </is>
      </c>
      <c r="AC121" s="71" t="n"/>
    </row>
    <row r="122" ht="29" customHeight="1" s="76">
      <c r="A122" s="70" t="inlineStr">
        <is>
          <t>T119</t>
        </is>
      </c>
      <c r="B122" s="70" t="inlineStr">
        <is>
          <t>کگل</t>
        </is>
      </c>
      <c r="C122" s="70" t="inlineStr">
        <is>
          <t>F18-M1</t>
        </is>
      </c>
      <c r="D122" s="70" t="inlineStr">
        <is>
          <t>MEMBER</t>
        </is>
      </c>
      <c r="E122" s="70" t="inlineStr">
        <is>
          <t>حمیدرضا فولادگر</t>
        </is>
      </c>
      <c r="F122" s="70" t="inlineStr">
        <is>
          <t>فولاد مبارکه اصفهان</t>
        </is>
      </c>
      <c r="G122" s="70" t="inlineStr">
        <is>
          <t>A95ECB5A</t>
        </is>
      </c>
      <c r="H122" s="70" t="inlineStr">
        <is>
          <t>NATIONAL_ID</t>
        </is>
      </c>
      <c r="I122" s="70" t="inlineStr">
        <is>
          <t>عضو هیئت مدیره غیر موظف</t>
        </is>
      </c>
      <c r="J122" s="70" t="inlineStr">
        <is>
          <t>EXACT</t>
        </is>
      </c>
      <c r="K122" s="70" t="inlineStr">
        <is>
          <t>1403/03/26</t>
        </is>
      </c>
      <c r="L122" s="72" t="n">
        <v>45458</v>
      </c>
      <c r="M122" s="70" t="inlineStr">
        <is>
          <t>1403/03/26</t>
        </is>
      </c>
      <c r="N122" s="72" t="n">
        <v>45458</v>
      </c>
      <c r="O122" s="70" t="inlineStr">
        <is>
          <t>1403/03/26</t>
        </is>
      </c>
      <c r="P122" s="72" t="n">
        <v>45458</v>
      </c>
      <c r="Q122" s="70" t="inlineStr">
        <is>
          <t>1404/09/30</t>
        </is>
      </c>
      <c r="R122" s="72" t="n">
        <v>46012</v>
      </c>
      <c r="S122" s="70">
        <f>IF(OR(J122="UNKNOWN",R122=""),"",R122-IF(J122="EXACT",L122,P122))</f>
        <v>554</v>
      </c>
      <c r="T122" s="70">
        <f>IF(J122="EXACT",R122-L122,IF(J122="INTERVAL",R122-N122,""))</f>
        <v>554</v>
      </c>
      <c r="U122" s="70">
        <f>IF(S122="","",S122/365.25)</f>
        <v>1.516769336071184</v>
      </c>
      <c r="V122" s="70">
        <f>IF(U122="","",U122^2)</f>
        <v>2.3005892188458206</v>
      </c>
      <c r="W122" s="70" t="inlineStr">
        <is>
          <t>BOARD_MEETING_DATE_IN_NOTICE</t>
        </is>
      </c>
      <c r="X122" s="70" t="inlineStr">
        <is>
          <t>TYPE19_ONLY</t>
        </is>
      </c>
      <c r="Y122" s="70" t="inlineStr">
        <is>
          <t>1404/04/23</t>
        </is>
      </c>
      <c r="Z122" s="70" t="inlineStr">
        <is>
          <t>TERM</t>
        </is>
      </c>
      <c r="AA122" s="70" t="n"/>
      <c r="AB122" s="70" t="inlineStr">
        <is>
          <t>MIN_CONTINUOUS|1401/01/28</t>
        </is>
      </c>
      <c r="AC122" s="70" t="n"/>
    </row>
    <row r="123" ht="29" customHeight="1" s="76">
      <c r="A123" s="71" t="inlineStr">
        <is>
          <t>T120</t>
        </is>
      </c>
      <c r="B123" s="71" t="inlineStr">
        <is>
          <t>کگل</t>
        </is>
      </c>
      <c r="C123" s="71" t="inlineStr">
        <is>
          <t>F18-M2</t>
        </is>
      </c>
      <c r="D123" s="71" t="inlineStr">
        <is>
          <t>MEMBER</t>
        </is>
      </c>
      <c r="E123" s="71" t="inlineStr">
        <is>
          <t>مجتبی رضاخواه</t>
        </is>
      </c>
      <c r="F123" s="71" t="inlineStr">
        <is>
          <t>گروه مدیریت سرمایه گذاری امید</t>
        </is>
      </c>
      <c r="G123" s="71" t="inlineStr">
        <is>
          <t>82742591</t>
        </is>
      </c>
      <c r="H123" s="71" t="inlineStr">
        <is>
          <t>NATIONAL_ID</t>
        </is>
      </c>
      <c r="I123" s="71" t="inlineStr">
        <is>
          <t>رئیس هیئت مدیره غیر موظف</t>
        </is>
      </c>
      <c r="J123" s="71" t="inlineStr">
        <is>
          <t>EXACT</t>
        </is>
      </c>
      <c r="K123" s="71" t="inlineStr">
        <is>
          <t>1404/01/25</t>
        </is>
      </c>
      <c r="L123" s="73" t="n">
        <v>45761</v>
      </c>
      <c r="M123" s="71" t="inlineStr">
        <is>
          <t>1404/01/25</t>
        </is>
      </c>
      <c r="N123" s="73" t="n">
        <v>45761</v>
      </c>
      <c r="O123" s="71" t="inlineStr">
        <is>
          <t>1404/01/25</t>
        </is>
      </c>
      <c r="P123" s="73" t="n">
        <v>45761</v>
      </c>
      <c r="Q123" s="71" t="inlineStr">
        <is>
          <t>1404/09/30</t>
        </is>
      </c>
      <c r="R123" s="73" t="n">
        <v>46012</v>
      </c>
      <c r="S123" s="71">
        <f>IF(OR(J123="UNKNOWN",R123=""),"",R123-IF(J123="EXACT",L123,P123))</f>
        <v>251</v>
      </c>
      <c r="T123" s="71">
        <f>IF(J123="EXACT",R123-L123,IF(J123="INTERVAL",R123-N123,""))</f>
        <v>251</v>
      </c>
      <c r="U123" s="71">
        <f>IF(S123="","",S123/365.25)</f>
        <v>0.6872005475701575</v>
      </c>
      <c r="V123" s="71">
        <f>IF(U123="","",U123^2)</f>
        <v>0.47224459258072427</v>
      </c>
      <c r="W123" s="71" t="inlineStr">
        <is>
          <t>BOARD_MEETING_DATE_IN_NOTICE</t>
        </is>
      </c>
      <c r="X123" s="71" t="inlineStr">
        <is>
          <t>TYPE19_ONLY</t>
        </is>
      </c>
      <c r="Y123" s="71" t="inlineStr">
        <is>
          <t>1404/04/23</t>
        </is>
      </c>
      <c r="Z123" s="71" t="inlineStr">
        <is>
          <t>TERM</t>
        </is>
      </c>
      <c r="AA123" s="71" t="n"/>
      <c r="AB123" s="71" t="inlineStr">
        <is>
          <t>MIN_CONTINUOUS|1401/01/28</t>
        </is>
      </c>
      <c r="AC123" s="71" t="n"/>
    </row>
    <row r="124" ht="29" customHeight="1" s="76">
      <c r="A124" s="70" t="inlineStr">
        <is>
          <t>T121</t>
        </is>
      </c>
      <c r="B124" s="70" t="inlineStr">
        <is>
          <t>کگل</t>
        </is>
      </c>
      <c r="C124" s="70" t="inlineStr">
        <is>
          <t>F18-M2</t>
        </is>
      </c>
      <c r="D124" s="70" t="inlineStr">
        <is>
          <t>CHAIR</t>
        </is>
      </c>
      <c r="E124" s="70" t="inlineStr">
        <is>
          <t>مجتبی رضاخواه</t>
        </is>
      </c>
      <c r="F124" s="70" t="inlineStr">
        <is>
          <t>گروه مدیریت سرمایه گذاری امید</t>
        </is>
      </c>
      <c r="G124" s="70" t="inlineStr">
        <is>
          <t>82742591</t>
        </is>
      </c>
      <c r="H124" s="70" t="inlineStr">
        <is>
          <t>NATIONAL_ID</t>
        </is>
      </c>
      <c r="I124" s="70" t="inlineStr">
        <is>
          <t>رئیس هیئت مدیره</t>
        </is>
      </c>
      <c r="J124" s="70" t="inlineStr">
        <is>
          <t>EXACT</t>
        </is>
      </c>
      <c r="K124" s="70" t="inlineStr">
        <is>
          <t>1404/01/25</t>
        </is>
      </c>
      <c r="L124" s="72" t="n">
        <v>45761</v>
      </c>
      <c r="M124" s="70" t="inlineStr">
        <is>
          <t>1404/01/25</t>
        </is>
      </c>
      <c r="N124" s="72" t="n">
        <v>45761</v>
      </c>
      <c r="O124" s="70" t="inlineStr">
        <is>
          <t>1404/01/25</t>
        </is>
      </c>
      <c r="P124" s="72" t="n">
        <v>45761</v>
      </c>
      <c r="Q124" s="70" t="inlineStr">
        <is>
          <t>1404/09/30</t>
        </is>
      </c>
      <c r="R124" s="72" t="n">
        <v>46012</v>
      </c>
      <c r="S124" s="70">
        <f>IF(OR(J124="UNKNOWN",R124=""),"",R124-IF(J124="EXACT",L124,P124))</f>
        <v>251</v>
      </c>
      <c r="T124" s="70">
        <f>IF(J124="EXACT",R124-L124,IF(J124="INTERVAL",R124-N124,""))</f>
        <v>251</v>
      </c>
      <c r="U124" s="70">
        <f>IF(S124="","",S124/365.25)</f>
        <v>0.6872005475701575</v>
      </c>
      <c r="V124" s="70">
        <f>IF(U124="","",U124^2)</f>
        <v>0.47224459258072427</v>
      </c>
      <c r="W124" s="70" t="inlineStr">
        <is>
          <t>BOARD_MEETING_DATE_IN_NOTICE</t>
        </is>
      </c>
      <c r="X124" s="70" t="inlineStr">
        <is>
          <t>TYPE19_ONLY|PERSON_ROLE_CHAIN</t>
        </is>
      </c>
      <c r="Y124" s="70" t="n"/>
      <c r="Z124" s="70" t="n"/>
      <c r="AA124" s="70" t="n"/>
      <c r="AB124" s="70" t="n"/>
      <c r="AC124" s="70" t="n"/>
    </row>
    <row r="125" ht="29" customHeight="1" s="76">
      <c r="A125" s="71" t="inlineStr">
        <is>
          <t>T122</t>
        </is>
      </c>
      <c r="B125" s="71" t="inlineStr">
        <is>
          <t>کگل</t>
        </is>
      </c>
      <c r="C125" s="71" t="inlineStr">
        <is>
          <t>F18-M3</t>
        </is>
      </c>
      <c r="D125" s="71" t="inlineStr">
        <is>
          <t>MEMBER</t>
        </is>
      </c>
      <c r="E125" s="71" t="inlineStr">
        <is>
          <t>ایمان عتیقی</t>
        </is>
      </c>
      <c r="F125" s="71" t="inlineStr">
        <is>
          <t>سرمایه گذاری توسعه معادن و فلزات</t>
        </is>
      </c>
      <c r="G125" s="71" t="inlineStr">
        <is>
          <t>903A1198</t>
        </is>
      </c>
      <c r="H125" s="71" t="inlineStr">
        <is>
          <t>NATIONAL_ID</t>
        </is>
      </c>
      <c r="I125" s="71" t="inlineStr">
        <is>
          <t>عضو هیئت مدیره موظف</t>
        </is>
      </c>
      <c r="J125" s="71" t="inlineStr">
        <is>
          <t>MIN_CONTINUOUS</t>
        </is>
      </c>
      <c r="K125" s="71" t="n"/>
      <c r="L125" s="73" t="n"/>
      <c r="M125" s="71" t="n"/>
      <c r="N125" s="73" t="n"/>
      <c r="O125" s="71" t="inlineStr">
        <is>
          <t>1401/01/28</t>
        </is>
      </c>
      <c r="P125" s="73" t="n">
        <v>44668</v>
      </c>
      <c r="Q125" s="71" t="inlineStr">
        <is>
          <t>1404/09/30</t>
        </is>
      </c>
      <c r="R125" s="73" t="n">
        <v>46012</v>
      </c>
      <c r="S125" s="71">
        <f>IF(OR(J125="UNKNOWN",R125=""),"",R125-IF(J125="EXACT",L125,P125))</f>
        <v>1344</v>
      </c>
      <c r="T125" s="71">
        <f>IF(J125="EXACT",R125-L125,IF(J125="INTERVAL",R125-N125,""))</f>
      </c>
      <c r="U125" s="71">
        <f>IF(S125="","",S125/365.25)</f>
        <v>3.679671457905544</v>
      </c>
      <c r="V125" s="71">
        <f>IF(U125="","",U125^2)</f>
        <v>13.539982038124712</v>
      </c>
      <c r="W125" s="71" t="inlineStr">
        <is>
          <t>FIRST_OBSERVATION_NOTICE_PUBLICATION</t>
        </is>
      </c>
      <c r="X125" s="71" t="inlineStr">
        <is>
          <t>TYPE19_ONLY</t>
        </is>
      </c>
      <c r="Y125" s="71" t="inlineStr">
        <is>
          <t>1404/04/23</t>
        </is>
      </c>
      <c r="Z125" s="71" t="inlineStr">
        <is>
          <t>TERM</t>
        </is>
      </c>
      <c r="AA125" s="71" t="n"/>
      <c r="AB125" s="71" t="inlineStr">
        <is>
          <t>MIN_CONTINUOUS|1401/01/28</t>
        </is>
      </c>
      <c r="AC125" s="71" t="n"/>
    </row>
    <row r="126" ht="29" customHeight="1" s="76">
      <c r="A126" s="70" t="inlineStr">
        <is>
          <t>T123</t>
        </is>
      </c>
      <c r="B126" s="70" t="inlineStr">
        <is>
          <t>کگل</t>
        </is>
      </c>
      <c r="C126" s="70" t="inlineStr">
        <is>
          <t>F18-M4</t>
        </is>
      </c>
      <c r="D126" s="70" t="inlineStr">
        <is>
          <t>MEMBER</t>
        </is>
      </c>
      <c r="E126" s="70" t="inlineStr">
        <is>
          <t>محمد امید</t>
        </is>
      </c>
      <c r="F126" s="70" t="inlineStr">
        <is>
          <t>توسعه معدنی و صنعتی صبانور</t>
        </is>
      </c>
      <c r="G126" s="70" t="inlineStr">
        <is>
          <t>B0EEF607</t>
        </is>
      </c>
      <c r="H126" s="70" t="inlineStr">
        <is>
          <t>NATIONAL_ID</t>
        </is>
      </c>
      <c r="I126" s="70" t="inlineStr">
        <is>
          <t>عضو هیئت مدیره غیر موظف</t>
        </is>
      </c>
      <c r="J126" s="70" t="inlineStr">
        <is>
          <t>EXACT</t>
        </is>
      </c>
      <c r="K126" s="70" t="inlineStr">
        <is>
          <t>1403/12/19</t>
        </is>
      </c>
      <c r="L126" s="72" t="n">
        <v>45725</v>
      </c>
      <c r="M126" s="70" t="inlineStr">
        <is>
          <t>1403/12/19</t>
        </is>
      </c>
      <c r="N126" s="72" t="n">
        <v>45725</v>
      </c>
      <c r="O126" s="70" t="inlineStr">
        <is>
          <t>1403/12/19</t>
        </is>
      </c>
      <c r="P126" s="72" t="n">
        <v>45725</v>
      </c>
      <c r="Q126" s="70" t="inlineStr">
        <is>
          <t>1404/09/30</t>
        </is>
      </c>
      <c r="R126" s="72" t="n">
        <v>46012</v>
      </c>
      <c r="S126" s="70">
        <f>IF(OR(J126="UNKNOWN",R126=""),"",R126-IF(J126="EXACT",L126,P126))</f>
        <v>287</v>
      </c>
      <c r="T126" s="70">
        <f>IF(J126="EXACT",R126-L126,IF(J126="INTERVAL",R126-N126,""))</f>
        <v>287</v>
      </c>
      <c r="U126" s="70">
        <f>IF(S126="","",S126/365.25)</f>
        <v>0.785763175906913</v>
      </c>
      <c r="V126" s="70">
        <f>IF(U126="","",U126^2)</f>
        <v>0.6174237686113183</v>
      </c>
      <c r="W126" s="70" t="inlineStr">
        <is>
          <t>BOARD_MEETING_DATE_IN_NOTICE</t>
        </is>
      </c>
      <c r="X126" s="70" t="inlineStr">
        <is>
          <t>TYPE19_ONLY</t>
        </is>
      </c>
      <c r="Y126" s="70" t="inlineStr">
        <is>
          <t>1404/04/23</t>
        </is>
      </c>
      <c r="Z126" s="70" t="inlineStr">
        <is>
          <t>TERM</t>
        </is>
      </c>
      <c r="AA126" s="70" t="n"/>
      <c r="AB126" s="70" t="inlineStr">
        <is>
          <t>MIN_CONTINUOUS|1401/01/28</t>
        </is>
      </c>
      <c r="AC126" s="70" t="n"/>
    </row>
    <row r="127" ht="29" customHeight="1" s="76">
      <c r="A127" s="71" t="inlineStr">
        <is>
          <t>T124</t>
        </is>
      </c>
      <c r="B127" s="71" t="inlineStr">
        <is>
          <t>کگل</t>
        </is>
      </c>
      <c r="C127" s="71" t="inlineStr">
        <is>
          <t>F18-M5</t>
        </is>
      </c>
      <c r="D127" s="71" t="inlineStr">
        <is>
          <t>MEMBER</t>
        </is>
      </c>
      <c r="E127" s="71" t="inlineStr">
        <is>
          <t>محمدحسین ایران منش</t>
        </is>
      </c>
      <c r="F127" s="71" t="inlineStr">
        <is>
          <t>سرمایه گذاری سپه</t>
        </is>
      </c>
      <c r="G127" s="71" t="inlineStr">
        <is>
          <t>E1712878</t>
        </is>
      </c>
      <c r="H127" s="71" t="inlineStr">
        <is>
          <t>NATIONAL_ID</t>
        </is>
      </c>
      <c r="I127" s="71" t="inlineStr">
        <is>
          <t>نایب رئیس هیئت مدیره موظف</t>
        </is>
      </c>
      <c r="J127" s="71" t="inlineStr">
        <is>
          <t>MIN_CONTINUOUS</t>
        </is>
      </c>
      <c r="K127" s="71" t="n"/>
      <c r="L127" s="73" t="n"/>
      <c r="M127" s="71" t="n"/>
      <c r="N127" s="73" t="n"/>
      <c r="O127" s="71" t="inlineStr">
        <is>
          <t>1401/01/28</t>
        </is>
      </c>
      <c r="P127" s="73" t="n">
        <v>44668</v>
      </c>
      <c r="Q127" s="71" t="inlineStr">
        <is>
          <t>1404/09/30</t>
        </is>
      </c>
      <c r="R127" s="73" t="n">
        <v>46012</v>
      </c>
      <c r="S127" s="71">
        <f>IF(OR(J127="UNKNOWN",R127=""),"",R127-IF(J127="EXACT",L127,P127))</f>
        <v>1344</v>
      </c>
      <c r="T127" s="71">
        <f>IF(J127="EXACT",R127-L127,IF(J127="INTERVAL",R127-N127,""))</f>
      </c>
      <c r="U127" s="71">
        <f>IF(S127="","",S127/365.25)</f>
        <v>3.679671457905544</v>
      </c>
      <c r="V127" s="71">
        <f>IF(U127="","",U127^2)</f>
        <v>13.539982038124712</v>
      </c>
      <c r="W127" s="71" t="inlineStr">
        <is>
          <t>FIRST_OBSERVATION_NOTICE_PUBLICATION</t>
        </is>
      </c>
      <c r="X127" s="71" t="inlineStr">
        <is>
          <t>TYPE19_ONLY</t>
        </is>
      </c>
      <c r="Y127" s="71" t="inlineStr">
        <is>
          <t>1404/04/23</t>
        </is>
      </c>
      <c r="Z127" s="71" t="inlineStr">
        <is>
          <t>TERM</t>
        </is>
      </c>
      <c r="AA127" s="71" t="n"/>
      <c r="AB127" s="71" t="inlineStr">
        <is>
          <t>MIN_CONTINUOUS|1401/01/28</t>
        </is>
      </c>
      <c r="AC127" s="71" t="n"/>
    </row>
    <row r="128" ht="29" customHeight="1" s="76">
      <c r="A128" s="70" t="inlineStr">
        <is>
          <t>T125</t>
        </is>
      </c>
      <c r="B128" s="70" t="inlineStr">
        <is>
          <t>کگل</t>
        </is>
      </c>
      <c r="C128" s="70" t="n"/>
      <c r="D128" s="70" t="inlineStr">
        <is>
          <t>CEO</t>
        </is>
      </c>
      <c r="E128" s="70" t="inlineStr">
        <is>
          <t>ایمان عتیقی</t>
        </is>
      </c>
      <c r="F128" s="70" t="n"/>
      <c r="G128" s="70" t="inlineStr">
        <is>
          <t>903A1198</t>
        </is>
      </c>
      <c r="H128" s="70" t="inlineStr">
        <is>
          <t>NATIONAL_ID</t>
        </is>
      </c>
      <c r="I128" s="70" t="inlineStr">
        <is>
          <t>مدیرعامل</t>
        </is>
      </c>
      <c r="J128" s="70" t="inlineStr">
        <is>
          <t>MIN_CONTINUOUS</t>
        </is>
      </c>
      <c r="K128" s="70" t="n"/>
      <c r="L128" s="72" t="n"/>
      <c r="M128" s="70" t="n"/>
      <c r="N128" s="72" t="n"/>
      <c r="O128" s="70" t="inlineStr">
        <is>
          <t>1402/05/15</t>
        </is>
      </c>
      <c r="P128" s="72" t="n">
        <v>45144</v>
      </c>
      <c r="Q128" s="70" t="inlineStr">
        <is>
          <t>1404/09/30</t>
        </is>
      </c>
      <c r="R128" s="72" t="n">
        <v>46012</v>
      </c>
      <c r="S128" s="70">
        <f>IF(OR(J128="UNKNOWN",R128=""),"",R128-IF(J128="EXACT",L128,P128))</f>
        <v>868</v>
      </c>
      <c r="T128" s="70">
        <f>IF(J128="EXACT",R128-L128,IF(J128="INTERVAL",R128-N128,""))</f>
      </c>
      <c r="U128" s="70">
        <f>IF(S128="","",S128/365.25)</f>
        <v>2.3764544832306638</v>
      </c>
      <c r="V128" s="70">
        <f>IF(U128="","",U128^2)</f>
        <v>5.647535910867121</v>
      </c>
      <c r="W128" s="70" t="inlineStr">
        <is>
          <t>FIRST_OBSERVATION_NOTICE_PUBLICATION</t>
        </is>
      </c>
      <c r="X128" s="70" t="inlineStr">
        <is>
          <t>TYPE19_ONLY</t>
        </is>
      </c>
      <c r="Y128" s="70" t="n"/>
      <c r="Z128" s="70" t="n"/>
      <c r="AA128" s="70" t="n"/>
      <c r="AB128" s="70" t="inlineStr">
        <is>
          <t>عضو هیئت مدیره</t>
        </is>
      </c>
      <c r="AC128" s="70" t="n"/>
    </row>
    <row r="129" ht="29" customHeight="1" s="76">
      <c r="A129" s="71" t="inlineStr">
        <is>
          <t>T126</t>
        </is>
      </c>
      <c r="B129" s="71" t="inlineStr">
        <is>
          <t>پارسان</t>
        </is>
      </c>
      <c r="C129" s="71" t="inlineStr">
        <is>
          <t>F19-M1</t>
        </is>
      </c>
      <c r="D129" s="71" t="inlineStr">
        <is>
          <t>MEMBER</t>
        </is>
      </c>
      <c r="E129" s="71" t="inlineStr">
        <is>
          <t>سیدجعفر هاشمی</t>
        </is>
      </c>
      <c r="F129" s="71" t="inlineStr">
        <is>
          <t>سرمایه گذاری غدیر</t>
        </is>
      </c>
      <c r="G129" s="71" t="inlineStr">
        <is>
          <t>EB6DCDEC</t>
        </is>
      </c>
      <c r="H129" s="71" t="inlineStr">
        <is>
          <t>NATIONAL_ID</t>
        </is>
      </c>
      <c r="I129" s="71" t="inlineStr">
        <is>
          <t>عضو هیئت مدیره موظف</t>
        </is>
      </c>
      <c r="J129" s="71" t="inlineStr">
        <is>
          <t>INTERVAL</t>
        </is>
      </c>
      <c r="K129" s="71" t="n"/>
      <c r="L129" s="73" t="n"/>
      <c r="M129" s="71" t="inlineStr">
        <is>
          <t>1402/02/14</t>
        </is>
      </c>
      <c r="N129" s="73" t="n">
        <v>45050</v>
      </c>
      <c r="O129" s="71" t="inlineStr">
        <is>
          <t>1403/02/24</t>
        </is>
      </c>
      <c r="P129" s="73" t="n">
        <v>45425</v>
      </c>
      <c r="Q129" s="71" t="inlineStr">
        <is>
          <t>1404/06/31</t>
        </is>
      </c>
      <c r="R129" s="73" t="n">
        <v>45922</v>
      </c>
      <c r="S129" s="71">
        <f>IF(OR(J129="UNKNOWN",R129=""),"",R129-IF(J129="EXACT",L129,P129))</f>
        <v>497</v>
      </c>
      <c r="T129" s="71">
        <f>IF(J129="EXACT",R129-L129,IF(J129="INTERVAL",R129-N129,""))</f>
        <v>872</v>
      </c>
      <c r="U129" s="71">
        <f>IF(S129="","",S129/365.25)</f>
        <v>1.3607118412046544</v>
      </c>
      <c r="V129" s="71">
        <f>IF(U129="","",U129^2)</f>
        <v>1.8515367147945605</v>
      </c>
      <c r="W129" s="71" t="inlineStr">
        <is>
          <t>SOURCE_CONFLICT:type19=1403/02/24;report=1402/02/14</t>
        </is>
      </c>
      <c r="X129" s="71" t="inlineStr">
        <is>
          <t>TYPE19_VS_REPORT_CONFLICT</t>
        </is>
      </c>
      <c r="Y129" s="71" t="inlineStr">
        <is>
          <t>1402/02/14</t>
        </is>
      </c>
      <c r="Z129" s="71" t="inlineStr">
        <is>
          <t>START</t>
        </is>
      </c>
      <c r="AA129" s="71" t="n"/>
      <c r="AB129" s="71" t="inlineStr">
        <is>
          <t>MIN_CONTINUOUS|1402/07/24</t>
        </is>
      </c>
      <c r="AC129" s="71" t="inlineStr">
        <is>
          <t>sources disagree by 375d</t>
        </is>
      </c>
    </row>
    <row r="130" ht="43.5" customHeight="1" s="76">
      <c r="A130" s="70" t="inlineStr">
        <is>
          <t>T127</t>
        </is>
      </c>
      <c r="B130" s="70" t="inlineStr">
        <is>
          <t>پارسان</t>
        </is>
      </c>
      <c r="C130" s="70" t="inlineStr">
        <is>
          <t>F19-M2</t>
        </is>
      </c>
      <c r="D130" s="70" t="inlineStr">
        <is>
          <t>MEMBER</t>
        </is>
      </c>
      <c r="E130" s="70" t="inlineStr">
        <is>
          <t>رحیم اسماعیلی دانا</t>
        </is>
      </c>
      <c r="F130" s="70" t="inlineStr">
        <is>
          <t>سرمایه گذاری اعتضاد غدیر</t>
        </is>
      </c>
      <c r="G130" s="70" t="inlineStr">
        <is>
          <t>8EC31DA4</t>
        </is>
      </c>
      <c r="H130" s="70" t="inlineStr">
        <is>
          <t>NATIONAL_ID</t>
        </is>
      </c>
      <c r="I130" s="70" t="inlineStr">
        <is>
          <t>نایب رئیس هیئت مدیره غیر موظف</t>
        </is>
      </c>
      <c r="J130" s="70" t="inlineStr">
        <is>
          <t>EXACT</t>
        </is>
      </c>
      <c r="K130" s="70" t="inlineStr">
        <is>
          <t>1390/07/12</t>
        </is>
      </c>
      <c r="L130" s="72" t="n">
        <v>40820</v>
      </c>
      <c r="M130" s="70" t="inlineStr">
        <is>
          <t>1390/07/12</t>
        </is>
      </c>
      <c r="N130" s="72" t="n">
        <v>40820</v>
      </c>
      <c r="O130" s="70" t="inlineStr">
        <is>
          <t>1390/07/12</t>
        </is>
      </c>
      <c r="P130" s="72" t="n">
        <v>40820</v>
      </c>
      <c r="Q130" s="70" t="inlineStr">
        <is>
          <t>1404/06/31</t>
        </is>
      </c>
      <c r="R130" s="72" t="n">
        <v>45922</v>
      </c>
      <c r="S130" s="70">
        <f>IF(OR(J130="UNKNOWN",R130=""),"",R130-IF(J130="EXACT",L130,P130))</f>
        <v>5102</v>
      </c>
      <c r="T130" s="70">
        <f>IF(J130="EXACT",R130-L130,IF(J130="INTERVAL",R130-N130,""))</f>
        <v>5102</v>
      </c>
      <c r="U130" s="70">
        <f>IF(S130="","",S130/365.25)</f>
        <v>13.96851471594798</v>
      </c>
      <c r="V130" s="70">
        <f>IF(U130="","",U130^2)</f>
        <v>195.1194033696553</v>
      </c>
      <c r="W130" s="70" t="inlineStr">
        <is>
          <t>REPORT_DECLARED_START_CONSISTENT_WITH_TYPE19_CONTINUITY</t>
        </is>
      </c>
      <c r="X130" s="70" t="inlineStr">
        <is>
          <t>REPORT+TYPE19_CONTINUITY</t>
        </is>
      </c>
      <c r="Y130" s="70" t="inlineStr">
        <is>
          <t>1390/07/12</t>
        </is>
      </c>
      <c r="Z130" s="70" t="inlineStr">
        <is>
          <t>START</t>
        </is>
      </c>
      <c r="AA130" s="70" t="n"/>
      <c r="AB130" s="70" t="inlineStr">
        <is>
          <t>MIN_CONTINUOUS|1402/07/24</t>
        </is>
      </c>
      <c r="AC130" s="70" t="inlineStr">
        <is>
          <t>type19 shows same person from 1402/07/24</t>
        </is>
      </c>
    </row>
    <row r="131" ht="29" customHeight="1" s="76">
      <c r="A131" s="71" t="inlineStr">
        <is>
          <t>T128</t>
        </is>
      </c>
      <c r="B131" s="71" t="inlineStr">
        <is>
          <t>پارسان</t>
        </is>
      </c>
      <c r="C131" s="71" t="inlineStr">
        <is>
          <t>F19-M3</t>
        </is>
      </c>
      <c r="D131" s="71" t="inlineStr">
        <is>
          <t>MEMBER</t>
        </is>
      </c>
      <c r="E131" s="71" t="inlineStr">
        <is>
          <t>علی مهری پرگو</t>
        </is>
      </c>
      <c r="F131" s="71" t="inlineStr">
        <is>
          <t>دریابان جنوب ایران کیش</t>
        </is>
      </c>
      <c r="G131" s="71" t="inlineStr">
        <is>
          <t>C7BCA96A</t>
        </is>
      </c>
      <c r="H131" s="71" t="inlineStr">
        <is>
          <t>NATIONAL_ID</t>
        </is>
      </c>
      <c r="I131" s="71" t="inlineStr">
        <is>
          <t>عضو هیئت مدیره غیر موظف</t>
        </is>
      </c>
      <c r="J131" s="71" t="inlineStr">
        <is>
          <t>EXACT</t>
        </is>
      </c>
      <c r="K131" s="71" t="inlineStr">
        <is>
          <t>1404/02/24</t>
        </is>
      </c>
      <c r="L131" s="73" t="n">
        <v>45791</v>
      </c>
      <c r="M131" s="71" t="inlineStr">
        <is>
          <t>1404/02/24</t>
        </is>
      </c>
      <c r="N131" s="73" t="n">
        <v>45791</v>
      </c>
      <c r="O131" s="71" t="inlineStr">
        <is>
          <t>1404/02/24</t>
        </is>
      </c>
      <c r="P131" s="73" t="n">
        <v>45791</v>
      </c>
      <c r="Q131" s="71" t="inlineStr">
        <is>
          <t>1404/06/31</t>
        </is>
      </c>
      <c r="R131" s="73" t="n">
        <v>45922</v>
      </c>
      <c r="S131" s="71">
        <f>IF(OR(J131="UNKNOWN",R131=""),"",R131-IF(J131="EXACT",L131,P131))</f>
        <v>131</v>
      </c>
      <c r="T131" s="71">
        <f>IF(J131="EXACT",R131-L131,IF(J131="INTERVAL",R131-N131,""))</f>
        <v>131</v>
      </c>
      <c r="U131" s="71">
        <f>IF(S131="","",S131/365.25)</f>
        <v>0.3586584531143053</v>
      </c>
      <c r="V131" s="71">
        <f>IF(U131="","",U131^2)</f>
        <v>0.1286358859903463</v>
      </c>
      <c r="W131" s="71" t="inlineStr">
        <is>
          <t>BOARD_MEETING_DATE_IN_NOTICE</t>
        </is>
      </c>
      <c r="X131" s="71" t="inlineStr">
        <is>
          <t>TYPE19_ONLY</t>
        </is>
      </c>
      <c r="Y131" s="71" t="n"/>
      <c r="Z131" s="71" t="n"/>
      <c r="AA131" s="71" t="n"/>
      <c r="AB131" s="71" t="inlineStr">
        <is>
          <t>MIN_CONTINUOUS|1402/07/24</t>
        </is>
      </c>
      <c r="AC131" s="71" t="n"/>
    </row>
    <row r="132" ht="29" customHeight="1" s="76">
      <c r="A132" s="70" t="inlineStr">
        <is>
          <t>T129</t>
        </is>
      </c>
      <c r="B132" s="70" t="inlineStr">
        <is>
          <t>پارسان</t>
        </is>
      </c>
      <c r="C132" s="70" t="inlineStr">
        <is>
          <t>F19-M4</t>
        </is>
      </c>
      <c r="D132" s="70" t="inlineStr">
        <is>
          <t>MEMBER</t>
        </is>
      </c>
      <c r="E132" s="70" t="inlineStr">
        <is>
          <t>علیرضا غلامی</t>
        </is>
      </c>
      <c r="F132" s="70" t="inlineStr">
        <is>
          <t>صنعتی و بازرگانی غدیر</t>
        </is>
      </c>
      <c r="G132" s="70" t="inlineStr">
        <is>
          <t>ED56C3D7</t>
        </is>
      </c>
      <c r="H132" s="70" t="inlineStr">
        <is>
          <t>NATIONAL_ID</t>
        </is>
      </c>
      <c r="I132" s="70" t="inlineStr">
        <is>
          <t>عضو هیئت مدیره غیر موظف</t>
        </is>
      </c>
      <c r="J132" s="70" t="inlineStr">
        <is>
          <t>EXACT</t>
        </is>
      </c>
      <c r="K132" s="70" t="inlineStr">
        <is>
          <t>1404/02/24</t>
        </is>
      </c>
      <c r="L132" s="72" t="n">
        <v>45791</v>
      </c>
      <c r="M132" s="70" t="inlineStr">
        <is>
          <t>1404/02/24</t>
        </is>
      </c>
      <c r="N132" s="72" t="n">
        <v>45791</v>
      </c>
      <c r="O132" s="70" t="inlineStr">
        <is>
          <t>1404/02/24</t>
        </is>
      </c>
      <c r="P132" s="72" t="n">
        <v>45791</v>
      </c>
      <c r="Q132" s="70" t="inlineStr">
        <is>
          <t>1404/06/31</t>
        </is>
      </c>
      <c r="R132" s="72" t="n">
        <v>45922</v>
      </c>
      <c r="S132" s="70">
        <f>IF(OR(J132="UNKNOWN",R132=""),"",R132-IF(J132="EXACT",L132,P132))</f>
        <v>131</v>
      </c>
      <c r="T132" s="70">
        <f>IF(J132="EXACT",R132-L132,IF(J132="INTERVAL",R132-N132,""))</f>
        <v>131</v>
      </c>
      <c r="U132" s="70">
        <f>IF(S132="","",S132/365.25)</f>
        <v>0.3586584531143053</v>
      </c>
      <c r="V132" s="70">
        <f>IF(U132="","",U132^2)</f>
        <v>0.1286358859903463</v>
      </c>
      <c r="W132" s="70" t="inlineStr">
        <is>
          <t>BOARD_MEETING_DATE_IN_NOTICE</t>
        </is>
      </c>
      <c r="X132" s="70" t="inlineStr">
        <is>
          <t>TYPE19_ONLY</t>
        </is>
      </c>
      <c r="Y132" s="70" t="n"/>
      <c r="Z132" s="70" t="n"/>
      <c r="AA132" s="70" t="n"/>
      <c r="AB132" s="70" t="inlineStr">
        <is>
          <t>MIN_CONTINUOUS|1402/07/24</t>
        </is>
      </c>
      <c r="AC132" s="70" t="n"/>
    </row>
    <row r="133" ht="43.5" customHeight="1" s="76">
      <c r="A133" s="71" t="inlineStr">
        <is>
          <t>T130</t>
        </is>
      </c>
      <c r="B133" s="71" t="inlineStr">
        <is>
          <t>پارسان</t>
        </is>
      </c>
      <c r="C133" s="71" t="inlineStr">
        <is>
          <t>F19-M5</t>
        </is>
      </c>
      <c r="D133" s="71" t="inlineStr">
        <is>
          <t>MEMBER</t>
        </is>
      </c>
      <c r="E133" s="71" t="inlineStr">
        <is>
          <t>احد امیری</t>
        </is>
      </c>
      <c r="F133" s="71" t="inlineStr">
        <is>
          <t>سرمایه گذاری مهرگان تامین پارس</t>
        </is>
      </c>
      <c r="G133" s="71" t="inlineStr">
        <is>
          <t>E0BD85B9</t>
        </is>
      </c>
      <c r="H133" s="71" t="inlineStr">
        <is>
          <t>NATIONAL_ID</t>
        </is>
      </c>
      <c r="I133" s="71" t="inlineStr">
        <is>
          <t>رئیس هیئت مدیره غیر موظف</t>
        </is>
      </c>
      <c r="J133" s="71" t="inlineStr">
        <is>
          <t>EXACT</t>
        </is>
      </c>
      <c r="K133" s="71" t="inlineStr">
        <is>
          <t>1402/07/22</t>
        </is>
      </c>
      <c r="L133" s="73" t="n">
        <v>45213</v>
      </c>
      <c r="M133" s="71" t="inlineStr">
        <is>
          <t>1402/07/22</t>
        </is>
      </c>
      <c r="N133" s="73" t="n">
        <v>45213</v>
      </c>
      <c r="O133" s="71" t="inlineStr">
        <is>
          <t>1402/07/22</t>
        </is>
      </c>
      <c r="P133" s="73" t="n">
        <v>45213</v>
      </c>
      <c r="Q133" s="71" t="inlineStr">
        <is>
          <t>1404/06/31</t>
        </is>
      </c>
      <c r="R133" s="73" t="n">
        <v>45922</v>
      </c>
      <c r="S133" s="71">
        <f>IF(OR(J133="UNKNOWN",R133=""),"",R133-IF(J133="EXACT",L133,P133))</f>
        <v>709</v>
      </c>
      <c r="T133" s="71">
        <f>IF(J133="EXACT",R133-L133,IF(J133="INTERVAL",R133-N133,""))</f>
        <v>709</v>
      </c>
      <c r="U133" s="71">
        <f>IF(S133="","",S133/365.25)</f>
        <v>1.9411362080766599</v>
      </c>
      <c r="V133" s="71">
        <f>IF(U133="","",U133^2)</f>
        <v>3.768009778306234</v>
      </c>
      <c r="W133" s="71" t="inlineStr">
        <is>
          <t>REPORT_DECLARED_START_CONSISTENT_WITH_TYPE19_CONTINUITY</t>
        </is>
      </c>
      <c r="X133" s="71" t="inlineStr">
        <is>
          <t>REPORT+TYPE19_CONTINUITY</t>
        </is>
      </c>
      <c r="Y133" s="71" t="inlineStr">
        <is>
          <t>1402/07/22</t>
        </is>
      </c>
      <c r="Z133" s="71" t="inlineStr">
        <is>
          <t>START</t>
        </is>
      </c>
      <c r="AA133" s="71" t="n"/>
      <c r="AB133" s="71" t="inlineStr">
        <is>
          <t>MIN_CONTINUOUS|1402/07/24</t>
        </is>
      </c>
      <c r="AC133" s="71" t="inlineStr">
        <is>
          <t>type19 shows same person from 1402/07/24</t>
        </is>
      </c>
    </row>
    <row r="134" ht="29" customHeight="1" s="76">
      <c r="A134" s="70" t="inlineStr">
        <is>
          <t>T131</t>
        </is>
      </c>
      <c r="B134" s="70" t="inlineStr">
        <is>
          <t>پارسان</t>
        </is>
      </c>
      <c r="C134" s="70" t="inlineStr">
        <is>
          <t>F19-M5</t>
        </is>
      </c>
      <c r="D134" s="70" t="inlineStr">
        <is>
          <t>CHAIR</t>
        </is>
      </c>
      <c r="E134" s="70" t="inlineStr">
        <is>
          <t>احد امیری</t>
        </is>
      </c>
      <c r="F134" s="70" t="inlineStr">
        <is>
          <t>سرمایه گذاری مهرگان تامین پارس</t>
        </is>
      </c>
      <c r="G134" s="70" t="inlineStr">
        <is>
          <t>E0BD85B9</t>
        </is>
      </c>
      <c r="H134" s="70" t="inlineStr">
        <is>
          <t>NATIONAL_ID</t>
        </is>
      </c>
      <c r="I134" s="70" t="inlineStr">
        <is>
          <t>رئیس هیئت مدیره</t>
        </is>
      </c>
      <c r="J134" s="70" t="inlineStr">
        <is>
          <t>MIN_CONTINUOUS</t>
        </is>
      </c>
      <c r="K134" s="70" t="n"/>
      <c r="L134" s="72" t="n"/>
      <c r="M134" s="70" t="n"/>
      <c r="N134" s="72" t="n"/>
      <c r="O134" s="70" t="inlineStr">
        <is>
          <t>1402/07/24</t>
        </is>
      </c>
      <c r="P134" s="72" t="n">
        <v>45215</v>
      </c>
      <c r="Q134" s="70" t="inlineStr">
        <is>
          <t>1404/06/31</t>
        </is>
      </c>
      <c r="R134" s="72" t="n">
        <v>45922</v>
      </c>
      <c r="S134" s="70">
        <f>IF(OR(J134="UNKNOWN",R134=""),"",R134-IF(J134="EXACT",L134,P134))</f>
        <v>707</v>
      </c>
      <c r="T134" s="70">
        <f>IF(J134="EXACT",R134-L134,IF(J134="INTERVAL",R134-N134,""))</f>
      </c>
      <c r="U134" s="70">
        <f>IF(S134="","",S134/365.25)</f>
        <v>1.9356605065023955</v>
      </c>
      <c r="V134" s="70">
        <f>IF(U134="","",U134^2)</f>
        <v>3.7467815964331104</v>
      </c>
      <c r="W134" s="70" t="inlineStr">
        <is>
          <t>FIRST_OBSERVATION_NOTICE_PUBLICATION</t>
        </is>
      </c>
      <c r="X134" s="70" t="inlineStr">
        <is>
          <t>TYPE19_ONLY|PERSON_ROLE_CHAIN</t>
        </is>
      </c>
      <c r="Y134" s="70" t="n"/>
      <c r="Z134" s="70" t="n"/>
      <c r="AA134" s="70" t="n"/>
      <c r="AB134" s="70" t="n"/>
      <c r="AC134" s="70" t="n"/>
    </row>
    <row r="135" ht="29" customHeight="1" s="76">
      <c r="A135" s="71" t="inlineStr">
        <is>
          <t>T132</t>
        </is>
      </c>
      <c r="B135" s="71" t="inlineStr">
        <is>
          <t>پارسان</t>
        </is>
      </c>
      <c r="C135" s="71" t="n"/>
      <c r="D135" s="71" t="inlineStr">
        <is>
          <t>CEO</t>
        </is>
      </c>
      <c r="E135" s="71" t="inlineStr">
        <is>
          <t>سیدجعفر هاشمی</t>
        </is>
      </c>
      <c r="F135" s="71" t="n"/>
      <c r="G135" s="71" t="inlineStr">
        <is>
          <t>EB6DCDEC</t>
        </is>
      </c>
      <c r="H135" s="71" t="inlineStr">
        <is>
          <t>NATIONAL_ID</t>
        </is>
      </c>
      <c r="I135" s="71" t="inlineStr">
        <is>
          <t>مدیرعامل</t>
        </is>
      </c>
      <c r="J135" s="71" t="inlineStr">
        <is>
          <t>MIN_CONTINUOUS</t>
        </is>
      </c>
      <c r="K135" s="71" t="n"/>
      <c r="L135" s="73" t="n"/>
      <c r="M135" s="71" t="n"/>
      <c r="N135" s="73" t="n"/>
      <c r="O135" s="71" t="inlineStr">
        <is>
          <t>1403/02/25</t>
        </is>
      </c>
      <c r="P135" s="73" t="n">
        <v>45426</v>
      </c>
      <c r="Q135" s="71" t="inlineStr">
        <is>
          <t>1404/06/31</t>
        </is>
      </c>
      <c r="R135" s="73" t="n">
        <v>45922</v>
      </c>
      <c r="S135" s="71">
        <f>IF(OR(J135="UNKNOWN",R135=""),"",R135-IF(J135="EXACT",L135,P135))</f>
        <v>496</v>
      </c>
      <c r="T135" s="71">
        <f>IF(J135="EXACT",R135-L135,IF(J135="INTERVAL",R135-N135,""))</f>
      </c>
      <c r="U135" s="71">
        <f>IF(S135="","",S135/365.25)</f>
        <v>1.3579739904175223</v>
      </c>
      <c r="V135" s="71">
        <f>IF(U135="","",U135^2)</f>
        <v>1.844093358650489</v>
      </c>
      <c r="W135" s="71" t="inlineStr">
        <is>
          <t>FIRST_OBSERVATION_NOTICE_PUBLICATION</t>
        </is>
      </c>
      <c r="X135" s="71" t="inlineStr">
        <is>
          <t>TYPE19_ONLY</t>
        </is>
      </c>
      <c r="Y135" s="71" t="n"/>
      <c r="Z135" s="71" t="n"/>
      <c r="AA135" s="71" t="n"/>
      <c r="AB135" s="71" t="inlineStr">
        <is>
          <t>عضو هیئت مدیره</t>
        </is>
      </c>
      <c r="AC135" s="71" t="n"/>
    </row>
    <row r="136" ht="29" customHeight="1" s="76">
      <c r="A136" s="70" t="inlineStr">
        <is>
          <t>T133</t>
        </is>
      </c>
      <c r="B136" s="70" t="inlineStr">
        <is>
          <t>اخابر</t>
        </is>
      </c>
      <c r="C136" s="70" t="inlineStr">
        <is>
          <t>F20-M1</t>
        </is>
      </c>
      <c r="D136" s="70" t="inlineStr">
        <is>
          <t>MEMBER</t>
        </is>
      </c>
      <c r="E136" s="70" t="inlineStr">
        <is>
          <t>محمد جعفرپورترشیزی</t>
        </is>
      </c>
      <c r="F136" s="70" t="inlineStr">
        <is>
          <t>وزارت امور اقتصادی و دارایی</t>
        </is>
      </c>
      <c r="G136" s="70" t="inlineStr">
        <is>
          <t>B9E2F869</t>
        </is>
      </c>
      <c r="H136" s="70" t="inlineStr">
        <is>
          <t>NATIONAL_ID</t>
        </is>
      </c>
      <c r="I136" s="70" t="inlineStr">
        <is>
          <t>عضو هیئت مدیره موظف</t>
        </is>
      </c>
      <c r="J136" s="70" t="inlineStr">
        <is>
          <t>EXACT</t>
        </is>
      </c>
      <c r="K136" s="70" t="inlineStr">
        <is>
          <t>1403/06/21</t>
        </is>
      </c>
      <c r="L136" s="72" t="n">
        <v>45546</v>
      </c>
      <c r="M136" s="70" t="inlineStr">
        <is>
          <t>1403/06/21</t>
        </is>
      </c>
      <c r="N136" s="72" t="n">
        <v>45546</v>
      </c>
      <c r="O136" s="70" t="inlineStr">
        <is>
          <t>1403/06/21</t>
        </is>
      </c>
      <c r="P136" s="72" t="n">
        <v>45546</v>
      </c>
      <c r="Q136" s="70" t="inlineStr">
        <is>
          <t>1404/12/29</t>
        </is>
      </c>
      <c r="R136" s="72" t="n">
        <v>46101</v>
      </c>
      <c r="S136" s="70">
        <f>IF(OR(J136="UNKNOWN",R136=""),"",R136-IF(J136="EXACT",L136,P136))</f>
        <v>555</v>
      </c>
      <c r="T136" s="70">
        <f>IF(J136="EXACT",R136-L136,IF(J136="INTERVAL",R136-N136,""))</f>
        <v>555</v>
      </c>
      <c r="U136" s="70">
        <f>IF(S136="","",S136/365.25)</f>
        <v>1.5195071868583163</v>
      </c>
      <c r="V136" s="70">
        <f>IF(U136="","",U136^2)</f>
        <v>2.3089020909140743</v>
      </c>
      <c r="W136" s="70" t="inlineStr">
        <is>
          <t>BOARD_MEETING_DATE_IN_NOTICE</t>
        </is>
      </c>
      <c r="X136" s="70" t="inlineStr">
        <is>
          <t>TYPE19_ONLY</t>
        </is>
      </c>
      <c r="Y136" s="70" t="n"/>
      <c r="Z136" s="70" t="n"/>
      <c r="AA136" s="70" t="n"/>
      <c r="AB136" s="70" t="inlineStr">
        <is>
          <t>MIN_CONTINUOUS|1401/01/17</t>
        </is>
      </c>
      <c r="AC136" s="70" t="n"/>
    </row>
    <row r="137" ht="29" customHeight="1" s="76">
      <c r="A137" s="71" t="inlineStr">
        <is>
          <t>T134</t>
        </is>
      </c>
      <c r="B137" s="71" t="inlineStr">
        <is>
          <t>اخابر</t>
        </is>
      </c>
      <c r="C137" s="71" t="inlineStr">
        <is>
          <t>F20-M2</t>
        </is>
      </c>
      <c r="D137" s="71" t="inlineStr">
        <is>
          <t>MEMBER</t>
        </is>
      </c>
      <c r="E137" s="71" t="inlineStr">
        <is>
          <t>سیداسداله دهناد</t>
        </is>
      </c>
      <c r="F137" s="71" t="inlineStr">
        <is>
          <t>توسعه اعتماد مبین</t>
        </is>
      </c>
      <c r="G137" s="71" t="inlineStr">
        <is>
          <t>F6F44DDD</t>
        </is>
      </c>
      <c r="H137" s="71" t="inlineStr">
        <is>
          <t>NATIONAL_ID</t>
        </is>
      </c>
      <c r="I137" s="71" t="inlineStr">
        <is>
          <t>نایب رئیس هیئت مدیره غیر موظف</t>
        </is>
      </c>
      <c r="J137" s="71" t="inlineStr">
        <is>
          <t>MIN_CONTINUOUS</t>
        </is>
      </c>
      <c r="K137" s="71" t="n"/>
      <c r="L137" s="73" t="n"/>
      <c r="M137" s="71" t="n"/>
      <c r="N137" s="73" t="n"/>
      <c r="O137" s="71" t="inlineStr">
        <is>
          <t>1401/01/17</t>
        </is>
      </c>
      <c r="P137" s="73" t="n">
        <v>44657</v>
      </c>
      <c r="Q137" s="71" t="inlineStr">
        <is>
          <t>1404/12/29</t>
        </is>
      </c>
      <c r="R137" s="73" t="n">
        <v>46101</v>
      </c>
      <c r="S137" s="71">
        <f>IF(OR(J137="UNKNOWN",R137=""),"",R137-IF(J137="EXACT",L137,P137))</f>
        <v>1444</v>
      </c>
      <c r="T137" s="71">
        <f>IF(J137="EXACT",R137-L137,IF(J137="INTERVAL",R137-N137,""))</f>
      </c>
      <c r="U137" s="71">
        <f>IF(S137="","",S137/365.25)</f>
        <v>3.9534565366187544</v>
      </c>
      <c r="V137" s="71">
        <f>IF(U137="","",U137^2)</f>
        <v>15.629818586933556</v>
      </c>
      <c r="W137" s="71" t="inlineStr">
        <is>
          <t>FIRST_OBSERVATION_NOTICE_PUBLICATION</t>
        </is>
      </c>
      <c r="X137" s="71" t="inlineStr">
        <is>
          <t>TYPE19_ONLY</t>
        </is>
      </c>
      <c r="Y137" s="71" t="n"/>
      <c r="Z137" s="71" t="n"/>
      <c r="AA137" s="71" t="n"/>
      <c r="AB137" s="71" t="inlineStr">
        <is>
          <t>MIN_CONTINUOUS|1401/01/17</t>
        </is>
      </c>
      <c r="AC137" s="71" t="n"/>
    </row>
    <row r="138" ht="29" customHeight="1" s="76">
      <c r="A138" s="70" t="inlineStr">
        <is>
          <t>T135</t>
        </is>
      </c>
      <c r="B138" s="70" t="inlineStr">
        <is>
          <t>اخابر</t>
        </is>
      </c>
      <c r="C138" s="70" t="inlineStr">
        <is>
          <t>F20-M3</t>
        </is>
      </c>
      <c r="D138" s="70" t="inlineStr">
        <is>
          <t>MEMBER</t>
        </is>
      </c>
      <c r="E138" s="70" t="inlineStr">
        <is>
          <t>رضا خضردوست</t>
        </is>
      </c>
      <c r="F138" s="70" t="inlineStr">
        <is>
          <t>سرمایه گذاری استان تهران</t>
        </is>
      </c>
      <c r="G138" s="70" t="inlineStr">
        <is>
          <t>712ABA73</t>
        </is>
      </c>
      <c r="H138" s="70" t="inlineStr">
        <is>
          <t>NATIONAL_ID</t>
        </is>
      </c>
      <c r="I138" s="70" t="inlineStr">
        <is>
          <t>عضو هیئت مدیره غیر موظف</t>
        </is>
      </c>
      <c r="J138" s="70" t="inlineStr">
        <is>
          <t>EXACT</t>
        </is>
      </c>
      <c r="K138" s="70" t="inlineStr">
        <is>
          <t>1404/08/13</t>
        </is>
      </c>
      <c r="L138" s="72" t="n">
        <v>45965</v>
      </c>
      <c r="M138" s="70" t="inlineStr">
        <is>
          <t>1404/08/13</t>
        </is>
      </c>
      <c r="N138" s="72" t="n">
        <v>45965</v>
      </c>
      <c r="O138" s="70" t="inlineStr">
        <is>
          <t>1404/08/13</t>
        </is>
      </c>
      <c r="P138" s="72" t="n">
        <v>45965</v>
      </c>
      <c r="Q138" s="70" t="inlineStr">
        <is>
          <t>1404/12/29</t>
        </is>
      </c>
      <c r="R138" s="72" t="n">
        <v>46101</v>
      </c>
      <c r="S138" s="70">
        <f>IF(OR(J138="UNKNOWN",R138=""),"",R138-IF(J138="EXACT",L138,P138))</f>
        <v>136</v>
      </c>
      <c r="T138" s="70">
        <f>IF(J138="EXACT",R138-L138,IF(J138="INTERVAL",R138-N138,""))</f>
        <v>136</v>
      </c>
      <c r="U138" s="70">
        <f>IF(S138="","",S138/365.25)</f>
        <v>0.3723477070499658</v>
      </c>
      <c r="V138" s="70">
        <f>IF(U138="","",U138^2)</f>
        <v>0.13864281494536715</v>
      </c>
      <c r="W138" s="70" t="inlineStr">
        <is>
          <t>BOARD_MEETING_DATE_IN_NOTICE</t>
        </is>
      </c>
      <c r="X138" s="70" t="inlineStr">
        <is>
          <t>TYPE19_ONLY</t>
        </is>
      </c>
      <c r="Y138" s="70" t="n"/>
      <c r="Z138" s="70" t="n"/>
      <c r="AA138" s="70" t="n"/>
      <c r="AB138" s="70" t="inlineStr">
        <is>
          <t>EXACT|1401/12/22</t>
        </is>
      </c>
      <c r="AC138" s="70" t="n"/>
    </row>
    <row r="139" ht="29" customHeight="1" s="76">
      <c r="A139" s="71" t="inlineStr">
        <is>
          <t>T136</t>
        </is>
      </c>
      <c r="B139" s="71" t="inlineStr">
        <is>
          <t>اخابر</t>
        </is>
      </c>
      <c r="C139" s="71" t="inlineStr">
        <is>
          <t>F20-M4</t>
        </is>
      </c>
      <c r="D139" s="71" t="inlineStr">
        <is>
          <t>MEMBER</t>
        </is>
      </c>
      <c r="E139" s="71" t="inlineStr">
        <is>
          <t>ابراهیم محمودزاده</t>
        </is>
      </c>
      <c r="F139" s="71" t="inlineStr">
        <is>
          <t>فراز و فرود اقتصاد آینده</t>
        </is>
      </c>
      <c r="G139" s="71" t="inlineStr">
        <is>
          <t>20328EF4</t>
        </is>
      </c>
      <c r="H139" s="71" t="inlineStr">
        <is>
          <t>NATIONAL_ID</t>
        </is>
      </c>
      <c r="I139" s="71" t="inlineStr">
        <is>
          <t>رئیس هیئت مدیره غیر موظف</t>
        </is>
      </c>
      <c r="J139" s="71" t="inlineStr">
        <is>
          <t>MIN_CONTINUOUS</t>
        </is>
      </c>
      <c r="K139" s="71" t="n"/>
      <c r="L139" s="73" t="n"/>
      <c r="M139" s="71" t="n"/>
      <c r="N139" s="73" t="n"/>
      <c r="O139" s="71" t="inlineStr">
        <is>
          <t>1401/01/17</t>
        </is>
      </c>
      <c r="P139" s="73" t="n">
        <v>44657</v>
      </c>
      <c r="Q139" s="71" t="inlineStr">
        <is>
          <t>1404/12/29</t>
        </is>
      </c>
      <c r="R139" s="73" t="n">
        <v>46101</v>
      </c>
      <c r="S139" s="71">
        <f>IF(OR(J139="UNKNOWN",R139=""),"",R139-IF(J139="EXACT",L139,P139))</f>
        <v>1444</v>
      </c>
      <c r="T139" s="71">
        <f>IF(J139="EXACT",R139-L139,IF(J139="INTERVAL",R139-N139,""))</f>
      </c>
      <c r="U139" s="71">
        <f>IF(S139="","",S139/365.25)</f>
        <v>3.9534565366187544</v>
      </c>
      <c r="V139" s="71">
        <f>IF(U139="","",U139^2)</f>
        <v>15.629818586933556</v>
      </c>
      <c r="W139" s="71" t="inlineStr">
        <is>
          <t>FIRST_OBSERVATION_NOTICE_PUBLICATION</t>
        </is>
      </c>
      <c r="X139" s="71" t="inlineStr">
        <is>
          <t>TYPE19_ONLY</t>
        </is>
      </c>
      <c r="Y139" s="71" t="n"/>
      <c r="Z139" s="71" t="n"/>
      <c r="AA139" s="71" t="n"/>
      <c r="AB139" s="71" t="inlineStr">
        <is>
          <t>EXACT|1404/06/23</t>
        </is>
      </c>
      <c r="AC139" s="71" t="n"/>
    </row>
    <row r="140" ht="29" customHeight="1" s="76">
      <c r="A140" s="70" t="inlineStr">
        <is>
          <t>T137</t>
        </is>
      </c>
      <c r="B140" s="70" t="inlineStr">
        <is>
          <t>اخابر</t>
        </is>
      </c>
      <c r="C140" s="70" t="inlineStr">
        <is>
          <t>F20-M4</t>
        </is>
      </c>
      <c r="D140" s="70" t="inlineStr">
        <is>
          <t>CHAIR</t>
        </is>
      </c>
      <c r="E140" s="70" t="inlineStr">
        <is>
          <t>ابراهیم محمودزاده</t>
        </is>
      </c>
      <c r="F140" s="70" t="inlineStr">
        <is>
          <t>فراز و فرود اقتصاد آینده</t>
        </is>
      </c>
      <c r="G140" s="70" t="inlineStr">
        <is>
          <t>20328EF4</t>
        </is>
      </c>
      <c r="H140" s="70" t="inlineStr">
        <is>
          <t>NATIONAL_ID</t>
        </is>
      </c>
      <c r="I140" s="70" t="inlineStr">
        <is>
          <t>رئیس هیئت مدیره</t>
        </is>
      </c>
      <c r="J140" s="70" t="inlineStr">
        <is>
          <t>MIN_CONTINUOUS</t>
        </is>
      </c>
      <c r="K140" s="70" t="n"/>
      <c r="L140" s="72" t="n"/>
      <c r="M140" s="70" t="n"/>
      <c r="N140" s="72" t="n"/>
      <c r="O140" s="70" t="inlineStr">
        <is>
          <t>1401/01/17</t>
        </is>
      </c>
      <c r="P140" s="72" t="n">
        <v>44657</v>
      </c>
      <c r="Q140" s="70" t="inlineStr">
        <is>
          <t>1404/12/29</t>
        </is>
      </c>
      <c r="R140" s="72" t="n">
        <v>46101</v>
      </c>
      <c r="S140" s="70">
        <f>IF(OR(J140="UNKNOWN",R140=""),"",R140-IF(J140="EXACT",L140,P140))</f>
        <v>1444</v>
      </c>
      <c r="T140" s="70">
        <f>IF(J140="EXACT",R140-L140,IF(J140="INTERVAL",R140-N140,""))</f>
      </c>
      <c r="U140" s="70">
        <f>IF(S140="","",S140/365.25)</f>
        <v>3.9534565366187544</v>
      </c>
      <c r="V140" s="70">
        <f>IF(U140="","",U140^2)</f>
        <v>15.629818586933556</v>
      </c>
      <c r="W140" s="70" t="inlineStr">
        <is>
          <t>FIRST_OBSERVATION_NOTICE_PUBLICATION</t>
        </is>
      </c>
      <c r="X140" s="70" t="inlineStr">
        <is>
          <t>TYPE19_ONLY|PERSON_ROLE_CHAIN</t>
        </is>
      </c>
      <c r="Y140" s="70" t="n"/>
      <c r="Z140" s="70" t="n"/>
      <c r="AA140" s="70" t="n"/>
      <c r="AB140" s="70" t="n"/>
      <c r="AC140" s="70" t="n"/>
    </row>
    <row r="141" ht="29" customHeight="1" s="76">
      <c r="A141" s="71" t="inlineStr">
        <is>
          <t>T138</t>
        </is>
      </c>
      <c r="B141" s="71" t="inlineStr">
        <is>
          <t>اخابر</t>
        </is>
      </c>
      <c r="C141" s="71" t="inlineStr">
        <is>
          <t>F20-M5</t>
        </is>
      </c>
      <c r="D141" s="71" t="inlineStr">
        <is>
          <t>MEMBER</t>
        </is>
      </c>
      <c r="E141" s="71" t="inlineStr">
        <is>
          <t>علی اصغر طراوتی</t>
        </is>
      </c>
      <c r="F141" s="71" t="inlineStr">
        <is>
          <t>امین اعتماد پیشرو</t>
        </is>
      </c>
      <c r="G141" s="71" t="inlineStr">
        <is>
          <t>94DACF51</t>
        </is>
      </c>
      <c r="H141" s="71" t="inlineStr">
        <is>
          <t>NATIONAL_ID</t>
        </is>
      </c>
      <c r="I141" s="71" t="inlineStr">
        <is>
          <t>عضو هیئت مدیره غیر موظف</t>
        </is>
      </c>
      <c r="J141" s="71" t="inlineStr">
        <is>
          <t>MIN_CONTINUOUS</t>
        </is>
      </c>
      <c r="K141" s="71" t="n"/>
      <c r="L141" s="73" t="n"/>
      <c r="M141" s="71" t="n"/>
      <c r="N141" s="73" t="n"/>
      <c r="O141" s="71" t="inlineStr">
        <is>
          <t>1401/01/17</t>
        </is>
      </c>
      <c r="P141" s="73" t="n">
        <v>44657</v>
      </c>
      <c r="Q141" s="71" t="inlineStr">
        <is>
          <t>1404/12/29</t>
        </is>
      </c>
      <c r="R141" s="73" t="n">
        <v>46101</v>
      </c>
      <c r="S141" s="71">
        <f>IF(OR(J141="UNKNOWN",R141=""),"",R141-IF(J141="EXACT",L141,P141))</f>
        <v>1444</v>
      </c>
      <c r="T141" s="71">
        <f>IF(J141="EXACT",R141-L141,IF(J141="INTERVAL",R141-N141,""))</f>
      </c>
      <c r="U141" s="71">
        <f>IF(S141="","",S141/365.25)</f>
        <v>3.9534565366187544</v>
      </c>
      <c r="V141" s="71">
        <f>IF(U141="","",U141^2)</f>
        <v>15.629818586933556</v>
      </c>
      <c r="W141" s="71" t="inlineStr">
        <is>
          <t>FIRST_OBSERVATION_NOTICE_PUBLICATION</t>
        </is>
      </c>
      <c r="X141" s="71" t="inlineStr">
        <is>
          <t>TYPE19_ONLY</t>
        </is>
      </c>
      <c r="Y141" s="71" t="n"/>
      <c r="Z141" s="71" t="n"/>
      <c r="AA141" s="71" t="n"/>
      <c r="AB141" s="71" t="inlineStr">
        <is>
          <t>EXACT|1404/06/23</t>
        </is>
      </c>
      <c r="AC141" s="71" t="n"/>
    </row>
    <row r="142" ht="29" customHeight="1" s="76">
      <c r="A142" s="70" t="inlineStr">
        <is>
          <t>T139</t>
        </is>
      </c>
      <c r="B142" s="70" t="inlineStr">
        <is>
          <t>اخابر</t>
        </is>
      </c>
      <c r="C142" s="70" t="n"/>
      <c r="D142" s="70" t="inlineStr">
        <is>
          <t>CEO</t>
        </is>
      </c>
      <c r="E142" s="70" t="inlineStr">
        <is>
          <t>محمد جعفرپورترشیزی</t>
        </is>
      </c>
      <c r="F142" s="70" t="n"/>
      <c r="G142" s="70" t="inlineStr">
        <is>
          <t>B9E2F869</t>
        </is>
      </c>
      <c r="H142" s="70" t="inlineStr">
        <is>
          <t>NATIONAL_ID</t>
        </is>
      </c>
      <c r="I142" s="70" t="inlineStr">
        <is>
          <t>مدیرعامل</t>
        </is>
      </c>
      <c r="J142" s="70" t="inlineStr">
        <is>
          <t>EXACT</t>
        </is>
      </c>
      <c r="K142" s="70" t="inlineStr">
        <is>
          <t>1403/08/13</t>
        </is>
      </c>
      <c r="L142" s="72" t="n">
        <v>45599</v>
      </c>
      <c r="M142" s="70" t="inlineStr">
        <is>
          <t>1403/08/13</t>
        </is>
      </c>
      <c r="N142" s="72" t="n">
        <v>45599</v>
      </c>
      <c r="O142" s="70" t="inlineStr">
        <is>
          <t>1403/08/13</t>
        </is>
      </c>
      <c r="P142" s="72" t="n">
        <v>45599</v>
      </c>
      <c r="Q142" s="70" t="inlineStr">
        <is>
          <t>1404/12/29</t>
        </is>
      </c>
      <c r="R142" s="72" t="n">
        <v>46101</v>
      </c>
      <c r="S142" s="70">
        <f>IF(OR(J142="UNKNOWN",R142=""),"",R142-IF(J142="EXACT",L142,P142))</f>
        <v>502</v>
      </c>
      <c r="T142" s="70">
        <f>IF(J142="EXACT",R142-L142,IF(J142="INTERVAL",R142-N142,""))</f>
        <v>502</v>
      </c>
      <c r="U142" s="70">
        <f>IF(S142="","",S142/365.25)</f>
        <v>1.374401095140315</v>
      </c>
      <c r="V142" s="70">
        <f>IF(U142="","",U142^2)</f>
        <v>1.888978370322897</v>
      </c>
      <c r="W142" s="70" t="inlineStr">
        <is>
          <t>BOARD_MEETING_DATE_IN_NOTICE</t>
        </is>
      </c>
      <c r="X142" s="70" t="inlineStr">
        <is>
          <t>TYPE19_ONLY</t>
        </is>
      </c>
      <c r="Y142" s="70" t="n"/>
      <c r="Z142" s="70" t="n"/>
      <c r="AA142" s="70" t="n"/>
      <c r="AB142" s="70" t="inlineStr">
        <is>
          <t>عضو هیئت مدیره</t>
        </is>
      </c>
      <c r="AC142" s="70" t="n"/>
    </row>
    <row r="143" ht="29" customHeight="1" s="76">
      <c r="A143" s="71" t="inlineStr">
        <is>
          <t>T140</t>
        </is>
      </c>
      <c r="B143" s="71" t="inlineStr">
        <is>
          <t>جم</t>
        </is>
      </c>
      <c r="C143" s="71" t="inlineStr">
        <is>
          <t>F21-M1</t>
        </is>
      </c>
      <c r="D143" s="71" t="inlineStr">
        <is>
          <t>MEMBER</t>
        </is>
      </c>
      <c r="E143" s="71" t="inlineStr">
        <is>
          <t>امیر اکبری</t>
        </is>
      </c>
      <c r="F143" s="71" t="inlineStr">
        <is>
          <t>صبا انرژی جهان گستر</t>
        </is>
      </c>
      <c r="G143" s="71" t="inlineStr">
        <is>
          <t>E277B1F4</t>
        </is>
      </c>
      <c r="H143" s="71" t="inlineStr">
        <is>
          <t>NATIONAL_ID</t>
        </is>
      </c>
      <c r="I143" s="71" t="inlineStr">
        <is>
          <t>نایب رئیس هیئت مدیره موظف</t>
        </is>
      </c>
      <c r="J143" s="71" t="inlineStr">
        <is>
          <t>EXACT</t>
        </is>
      </c>
      <c r="K143" s="71" t="inlineStr">
        <is>
          <t>1402/12/28</t>
        </is>
      </c>
      <c r="L143" s="73" t="n">
        <v>45369</v>
      </c>
      <c r="M143" s="71" t="inlineStr">
        <is>
          <t>1402/12/28</t>
        </is>
      </c>
      <c r="N143" s="73" t="n">
        <v>45369</v>
      </c>
      <c r="O143" s="71" t="inlineStr">
        <is>
          <t>1402/12/28</t>
        </is>
      </c>
      <c r="P143" s="73" t="n">
        <v>45369</v>
      </c>
      <c r="Q143" s="71" t="inlineStr">
        <is>
          <t>1404/12/29</t>
        </is>
      </c>
      <c r="R143" s="73" t="n">
        <v>46101</v>
      </c>
      <c r="S143" s="71">
        <f>IF(OR(J143="UNKNOWN",R143=""),"",R143-IF(J143="EXACT",L143,P143))</f>
        <v>732</v>
      </c>
      <c r="T143" s="71">
        <f>IF(J143="EXACT",R143-L143,IF(J143="INTERVAL",R143-N143,""))</f>
        <v>732</v>
      </c>
      <c r="U143" s="71">
        <f>IF(S143="","",S143/365.25)</f>
        <v>2.004106776180698</v>
      </c>
      <c r="V143" s="71">
        <f>IF(U143="","",U143^2)</f>
        <v>4.016443970333391</v>
      </c>
      <c r="W143" s="71" t="inlineStr">
        <is>
          <t>BOARD_MEETING_DATE_IN_NOTICE</t>
        </is>
      </c>
      <c r="X143" s="71" t="inlineStr">
        <is>
          <t>TYPE19_ONLY</t>
        </is>
      </c>
      <c r="Y143" s="71" t="n"/>
      <c r="Z143" s="71" t="n"/>
      <c r="AA143" s="71" t="n"/>
      <c r="AB143" s="71" t="inlineStr">
        <is>
          <t>MIN_CONTINUOUS|1401/01/10</t>
        </is>
      </c>
      <c r="AC143" s="71" t="n"/>
    </row>
    <row r="144" ht="29" customHeight="1" s="76">
      <c r="A144" s="70" t="inlineStr">
        <is>
          <t>T141</t>
        </is>
      </c>
      <c r="B144" s="70" t="inlineStr">
        <is>
          <t>جم</t>
        </is>
      </c>
      <c r="C144" s="70" t="inlineStr">
        <is>
          <t>F21-M2</t>
        </is>
      </c>
      <c r="D144" s="70" t="inlineStr">
        <is>
          <t>MEMBER</t>
        </is>
      </c>
      <c r="E144" s="70" t="inlineStr">
        <is>
          <t>محمدسجاد سیاهکارزاده</t>
        </is>
      </c>
      <c r="F144" s="70" t="inlineStr">
        <is>
          <t>کاوشگران بازار سرمایه</t>
        </is>
      </c>
      <c r="G144" s="70" t="inlineStr">
        <is>
          <t>83478ACD</t>
        </is>
      </c>
      <c r="H144" s="70" t="inlineStr">
        <is>
          <t>NATIONAL_ID</t>
        </is>
      </c>
      <c r="I144" s="70" t="inlineStr">
        <is>
          <t>رئیس هیئت مدیره غیر موظف</t>
        </is>
      </c>
      <c r="J144" s="70" t="inlineStr">
        <is>
          <t>MIN_CONTINUOUS</t>
        </is>
      </c>
      <c r="K144" s="70" t="n"/>
      <c r="L144" s="72" t="n"/>
      <c r="M144" s="70" t="n"/>
      <c r="N144" s="72" t="n"/>
      <c r="O144" s="70" t="inlineStr">
        <is>
          <t>1401/01/10</t>
        </is>
      </c>
      <c r="P144" s="72" t="n">
        <v>44650</v>
      </c>
      <c r="Q144" s="70" t="inlineStr">
        <is>
          <t>1404/12/29</t>
        </is>
      </c>
      <c r="R144" s="72" t="n">
        <v>46101</v>
      </c>
      <c r="S144" s="70">
        <f>IF(OR(J144="UNKNOWN",R144=""),"",R144-IF(J144="EXACT",L144,P144))</f>
        <v>1451</v>
      </c>
      <c r="T144" s="70">
        <f>IF(J144="EXACT",R144-L144,IF(J144="INTERVAL",R144-N144,""))</f>
      </c>
      <c r="U144" s="70">
        <f>IF(S144="","",S144/365.25)</f>
        <v>3.972621492128679</v>
      </c>
      <c r="V144" s="70">
        <f>IF(U144="","",U144^2)</f>
        <v>15.78172151972269</v>
      </c>
      <c r="W144" s="70" t="inlineStr">
        <is>
          <t>FIRST_OBSERVATION_NOTICE_PUBLICATION</t>
        </is>
      </c>
      <c r="X144" s="70" t="inlineStr">
        <is>
          <t>TYPE19_ONLY</t>
        </is>
      </c>
      <c r="Y144" s="70" t="n"/>
      <c r="Z144" s="70" t="n"/>
      <c r="AA144" s="70" t="n"/>
      <c r="AB144" s="70" t="inlineStr">
        <is>
          <t>MIN_CONTINUOUS|1401/01/10</t>
        </is>
      </c>
      <c r="AC144" s="70" t="n"/>
    </row>
    <row r="145" ht="29" customHeight="1" s="76">
      <c r="A145" s="71" t="inlineStr">
        <is>
          <t>T142</t>
        </is>
      </c>
      <c r="B145" s="71" t="inlineStr">
        <is>
          <t>جم</t>
        </is>
      </c>
      <c r="C145" s="71" t="inlineStr">
        <is>
          <t>F21-M2</t>
        </is>
      </c>
      <c r="D145" s="71" t="inlineStr">
        <is>
          <t>CHAIR</t>
        </is>
      </c>
      <c r="E145" s="71" t="inlineStr">
        <is>
          <t>محمدسجاد سیاهکارزاده</t>
        </is>
      </c>
      <c r="F145" s="71" t="inlineStr">
        <is>
          <t>کاوشگران بازار سرمایه</t>
        </is>
      </c>
      <c r="G145" s="71" t="inlineStr">
        <is>
          <t>83478ACD</t>
        </is>
      </c>
      <c r="H145" s="71" t="inlineStr">
        <is>
          <t>NATIONAL_ID</t>
        </is>
      </c>
      <c r="I145" s="71" t="inlineStr">
        <is>
          <t>رئیس هیئت مدیره</t>
        </is>
      </c>
      <c r="J145" s="71" t="inlineStr">
        <is>
          <t>EXACT</t>
        </is>
      </c>
      <c r="K145" s="71" t="inlineStr">
        <is>
          <t>1404/12/25</t>
        </is>
      </c>
      <c r="L145" s="73" t="n">
        <v>46097</v>
      </c>
      <c r="M145" s="71" t="inlineStr">
        <is>
          <t>1404/12/25</t>
        </is>
      </c>
      <c r="N145" s="73" t="n">
        <v>46097</v>
      </c>
      <c r="O145" s="71" t="inlineStr">
        <is>
          <t>1404/12/25</t>
        </is>
      </c>
      <c r="P145" s="73" t="n">
        <v>46097</v>
      </c>
      <c r="Q145" s="71" t="inlineStr">
        <is>
          <t>1404/12/29</t>
        </is>
      </c>
      <c r="R145" s="73" t="n">
        <v>46101</v>
      </c>
      <c r="S145" s="71">
        <f>IF(OR(J145="UNKNOWN",R145=""),"",R145-IF(J145="EXACT",L145,P145))</f>
        <v>4</v>
      </c>
      <c r="T145" s="71">
        <f>IF(J145="EXACT",R145-L145,IF(J145="INTERVAL",R145-N145,""))</f>
        <v>4</v>
      </c>
      <c r="U145" s="71">
        <f>IF(S145="","",S145/365.25)</f>
        <v>0.010951403148528405</v>
      </c>
      <c r="V145" s="71">
        <f>IF(U145="","",U145^2)</f>
        <v>0.00011993323092159786</v>
      </c>
      <c r="W145" s="71" t="inlineStr">
        <is>
          <t>BOARD_MEETING_DATE_IN_NOTICE</t>
        </is>
      </c>
      <c r="X145" s="71" t="inlineStr">
        <is>
          <t>TYPE19_ONLY|PERSON_ROLE_CHAIN</t>
        </is>
      </c>
      <c r="Y145" s="71" t="n"/>
      <c r="Z145" s="71" t="n"/>
      <c r="AA145" s="71" t="n"/>
      <c r="AB145" s="71" t="n"/>
      <c r="AC145" s="71" t="n"/>
    </row>
    <row r="146" ht="29" customHeight="1" s="76">
      <c r="A146" s="70" t="inlineStr">
        <is>
          <t>T143</t>
        </is>
      </c>
      <c r="B146" s="70" t="inlineStr">
        <is>
          <t>جم</t>
        </is>
      </c>
      <c r="C146" s="70" t="inlineStr">
        <is>
          <t>F21-M3</t>
        </is>
      </c>
      <c r="D146" s="70" t="inlineStr">
        <is>
          <t>MEMBER</t>
        </is>
      </c>
      <c r="E146" s="70" t="inlineStr">
        <is>
          <t>مهدی قربانی</t>
        </is>
      </c>
      <c r="F146" s="70" t="inlineStr">
        <is>
          <t>سرمایه گذاری استان اردبیل</t>
        </is>
      </c>
      <c r="G146" s="70" t="inlineStr">
        <is>
          <t>690BB416</t>
        </is>
      </c>
      <c r="H146" s="70" t="inlineStr">
        <is>
          <t>NATIONAL_ID</t>
        </is>
      </c>
      <c r="I146" s="70" t="inlineStr">
        <is>
          <t>عضو هیئت مدیره غیر موظف</t>
        </is>
      </c>
      <c r="J146" s="70" t="inlineStr">
        <is>
          <t>EXACT</t>
        </is>
      </c>
      <c r="K146" s="70" t="inlineStr">
        <is>
          <t>1402/08/07</t>
        </is>
      </c>
      <c r="L146" s="72" t="n">
        <v>45228</v>
      </c>
      <c r="M146" s="70" t="inlineStr">
        <is>
          <t>1402/08/07</t>
        </is>
      </c>
      <c r="N146" s="72" t="n">
        <v>45228</v>
      </c>
      <c r="O146" s="70" t="inlineStr">
        <is>
          <t>1402/08/07</t>
        </is>
      </c>
      <c r="P146" s="72" t="n">
        <v>45228</v>
      </c>
      <c r="Q146" s="70" t="inlineStr">
        <is>
          <t>1404/12/29</t>
        </is>
      </c>
      <c r="R146" s="72" t="n">
        <v>46101</v>
      </c>
      <c r="S146" s="70">
        <f>IF(OR(J146="UNKNOWN",R146=""),"",R146-IF(J146="EXACT",L146,P146))</f>
        <v>873</v>
      </c>
      <c r="T146" s="70">
        <f>IF(J146="EXACT",R146-L146,IF(J146="INTERVAL",R146-N146,""))</f>
        <v>873</v>
      </c>
      <c r="U146" s="70">
        <f>IF(S146="","",S146/365.25)</f>
        <v>2.3901437371663246</v>
      </c>
      <c r="V146" s="70">
        <f>IF(U146="","",U146^2)</f>
        <v>5.712787084315404</v>
      </c>
      <c r="W146" s="70" t="inlineStr">
        <is>
          <t>BOARD_MEETING_DATE_IN_NOTICE</t>
        </is>
      </c>
      <c r="X146" s="70" t="inlineStr">
        <is>
          <t>TYPE19_ONLY</t>
        </is>
      </c>
      <c r="Y146" s="70" t="n"/>
      <c r="Z146" s="70" t="n"/>
      <c r="AA146" s="70" t="n"/>
      <c r="AB146" s="70" t="inlineStr">
        <is>
          <t>EXACT|1402/08/07</t>
        </is>
      </c>
      <c r="AC146" s="70" t="n"/>
    </row>
    <row r="147" ht="29" customHeight="1" s="76">
      <c r="A147" s="71" t="inlineStr">
        <is>
          <t>T144</t>
        </is>
      </c>
      <c r="B147" s="71" t="inlineStr">
        <is>
          <t>جم</t>
        </is>
      </c>
      <c r="C147" s="71" t="inlineStr">
        <is>
          <t>F21-M4</t>
        </is>
      </c>
      <c r="D147" s="71" t="inlineStr">
        <is>
          <t>MEMBER</t>
        </is>
      </c>
      <c r="E147" s="71" t="inlineStr">
        <is>
          <t>حسن معینی</t>
        </is>
      </c>
      <c r="F147" s="71" t="inlineStr">
        <is>
          <t>خدمات گستر صبا انرژی</t>
        </is>
      </c>
      <c r="G147" s="71" t="inlineStr">
        <is>
          <t>475F67F4</t>
        </is>
      </c>
      <c r="H147" s="71" t="inlineStr">
        <is>
          <t>NATIONAL_ID</t>
        </is>
      </c>
      <c r="I147" s="71" t="inlineStr">
        <is>
          <t>عضو هیئت مدیره موظف</t>
        </is>
      </c>
      <c r="J147" s="71" t="inlineStr">
        <is>
          <t>EXACT</t>
        </is>
      </c>
      <c r="K147" s="71" t="inlineStr">
        <is>
          <t>1404/12/25</t>
        </is>
      </c>
      <c r="L147" s="73" t="n">
        <v>46097</v>
      </c>
      <c r="M147" s="71" t="inlineStr">
        <is>
          <t>1404/12/25</t>
        </is>
      </c>
      <c r="N147" s="73" t="n">
        <v>46097</v>
      </c>
      <c r="O147" s="71" t="inlineStr">
        <is>
          <t>1404/12/25</t>
        </is>
      </c>
      <c r="P147" s="73" t="n">
        <v>46097</v>
      </c>
      <c r="Q147" s="71" t="inlineStr">
        <is>
          <t>1404/12/29</t>
        </is>
      </c>
      <c r="R147" s="73" t="n">
        <v>46101</v>
      </c>
      <c r="S147" s="71">
        <f>IF(OR(J147="UNKNOWN",R147=""),"",R147-IF(J147="EXACT",L147,P147))</f>
        <v>4</v>
      </c>
      <c r="T147" s="71">
        <f>IF(J147="EXACT",R147-L147,IF(J147="INTERVAL",R147-N147,""))</f>
        <v>4</v>
      </c>
      <c r="U147" s="71">
        <f>IF(S147="","",S147/365.25)</f>
        <v>0.010951403148528405</v>
      </c>
      <c r="V147" s="71">
        <f>IF(U147="","",U147^2)</f>
        <v>0.00011993323092159786</v>
      </c>
      <c r="W147" s="71" t="inlineStr">
        <is>
          <t>BOARD_MEETING_DATE_IN_NOTICE</t>
        </is>
      </c>
      <c r="X147" s="71" t="inlineStr">
        <is>
          <t>TYPE19_ONLY</t>
        </is>
      </c>
      <c r="Y147" s="71" t="n"/>
      <c r="Z147" s="71" t="n"/>
      <c r="AA147" s="71" t="n"/>
      <c r="AB147" s="71" t="inlineStr">
        <is>
          <t>EXACT|1402/08/07</t>
        </is>
      </c>
      <c r="AC147" s="71" t="n"/>
    </row>
    <row r="148" ht="29" customHeight="1" s="76">
      <c r="A148" s="70" t="inlineStr">
        <is>
          <t>T145</t>
        </is>
      </c>
      <c r="B148" s="70" t="inlineStr">
        <is>
          <t>جم</t>
        </is>
      </c>
      <c r="C148" s="70" t="inlineStr">
        <is>
          <t>F21-M5</t>
        </is>
      </c>
      <c r="D148" s="70" t="inlineStr">
        <is>
          <t>MEMBER</t>
        </is>
      </c>
      <c r="E148" s="70" t="inlineStr">
        <is>
          <t>متین دیداری</t>
        </is>
      </c>
      <c r="F148" s="70" t="inlineStr">
        <is>
          <t>گسترش تجارت هامون</t>
        </is>
      </c>
      <c r="G148" s="70" t="inlineStr">
        <is>
          <t>A3E3C90E</t>
        </is>
      </c>
      <c r="H148" s="70" t="inlineStr">
        <is>
          <t>NATIONAL_ID</t>
        </is>
      </c>
      <c r="I148" s="70" t="inlineStr">
        <is>
          <t>عضو هیئت مدیره غیر موظف</t>
        </is>
      </c>
      <c r="J148" s="70" t="inlineStr">
        <is>
          <t>EXACT</t>
        </is>
      </c>
      <c r="K148" s="70" t="inlineStr">
        <is>
          <t>1402/11/14</t>
        </is>
      </c>
      <c r="L148" s="72" t="n">
        <v>45325</v>
      </c>
      <c r="M148" s="70" t="inlineStr">
        <is>
          <t>1402/11/14</t>
        </is>
      </c>
      <c r="N148" s="72" t="n">
        <v>45325</v>
      </c>
      <c r="O148" s="70" t="inlineStr">
        <is>
          <t>1402/11/14</t>
        </is>
      </c>
      <c r="P148" s="72" t="n">
        <v>45325</v>
      </c>
      <c r="Q148" s="70" t="inlineStr">
        <is>
          <t>1404/12/29</t>
        </is>
      </c>
      <c r="R148" s="72" t="n">
        <v>46101</v>
      </c>
      <c r="S148" s="70">
        <f>IF(OR(J148="UNKNOWN",R148=""),"",R148-IF(J148="EXACT",L148,P148))</f>
        <v>776</v>
      </c>
      <c r="T148" s="70">
        <f>IF(J148="EXACT",R148-L148,IF(J148="INTERVAL",R148-N148,""))</f>
        <v>776</v>
      </c>
      <c r="U148" s="70">
        <f>IF(S148="","",S148/365.25)</f>
        <v>2.1245722108145104</v>
      </c>
      <c r="V148" s="70">
        <f>IF(U148="","",U148^2)</f>
        <v>4.5138070789652565</v>
      </c>
      <c r="W148" s="70" t="inlineStr">
        <is>
          <t>BOARD_MEETING_DATE_IN_NOTICE</t>
        </is>
      </c>
      <c r="X148" s="70" t="inlineStr">
        <is>
          <t>TYPE19_ONLY</t>
        </is>
      </c>
      <c r="Y148" s="70" t="n"/>
      <c r="Z148" s="70" t="n"/>
      <c r="AA148" s="70" t="n"/>
      <c r="AB148" s="70" t="inlineStr">
        <is>
          <t>EXACT|1404/06/04</t>
        </is>
      </c>
      <c r="AC148" s="70" t="n"/>
    </row>
    <row r="149" ht="29" customHeight="1" s="76">
      <c r="A149" s="71" t="inlineStr">
        <is>
          <t>T146</t>
        </is>
      </c>
      <c r="B149" s="71" t="inlineStr">
        <is>
          <t>جم</t>
        </is>
      </c>
      <c r="C149" s="71" t="n"/>
      <c r="D149" s="71" t="inlineStr">
        <is>
          <t>CEO</t>
        </is>
      </c>
      <c r="E149" s="71" t="inlineStr">
        <is>
          <t>امیر اکبری</t>
        </is>
      </c>
      <c r="F149" s="71" t="n"/>
      <c r="G149" s="71" t="inlineStr">
        <is>
          <t>E277B1F4</t>
        </is>
      </c>
      <c r="H149" s="71" t="inlineStr">
        <is>
          <t>NATIONAL_ID</t>
        </is>
      </c>
      <c r="I149" s="71" t="inlineStr">
        <is>
          <t>مدیرعامل</t>
        </is>
      </c>
      <c r="J149" s="71" t="inlineStr">
        <is>
          <t>EXACT</t>
        </is>
      </c>
      <c r="K149" s="71" t="inlineStr">
        <is>
          <t>1404/06/04</t>
        </is>
      </c>
      <c r="L149" s="73" t="n">
        <v>45895</v>
      </c>
      <c r="M149" s="71" t="inlineStr">
        <is>
          <t>1404/06/04</t>
        </is>
      </c>
      <c r="N149" s="73" t="n">
        <v>45895</v>
      </c>
      <c r="O149" s="71" t="inlineStr">
        <is>
          <t>1404/06/04</t>
        </is>
      </c>
      <c r="P149" s="73" t="n">
        <v>45895</v>
      </c>
      <c r="Q149" s="71" t="inlineStr">
        <is>
          <t>1404/12/29</t>
        </is>
      </c>
      <c r="R149" s="73" t="n">
        <v>46101</v>
      </c>
      <c r="S149" s="71">
        <f>IF(OR(J149="UNKNOWN",R149=""),"",R149-IF(J149="EXACT",L149,P149))</f>
        <v>206</v>
      </c>
      <c r="T149" s="71">
        <f>IF(J149="EXACT",R149-L149,IF(J149="INTERVAL",R149-N149,""))</f>
        <v>206</v>
      </c>
      <c r="U149" s="71">
        <f>IF(S149="","",S149/365.25)</f>
        <v>0.5639972621492129</v>
      </c>
      <c r="V149" s="71">
        <f>IF(U149="","",U149^2)</f>
        <v>0.3180929117118079</v>
      </c>
      <c r="W149" s="71" t="inlineStr">
        <is>
          <t>BOARD_MEETING_DATE_IN_NOTICE</t>
        </is>
      </c>
      <c r="X149" s="71" t="inlineStr">
        <is>
          <t>TYPE19_ONLY</t>
        </is>
      </c>
      <c r="Y149" s="71" t="n"/>
      <c r="Z149" s="71" t="n"/>
      <c r="AA149" s="71" t="n"/>
      <c r="AB149" s="71" t="inlineStr">
        <is>
          <t>عضو هیئت مدیره</t>
        </is>
      </c>
      <c r="AC149" s="71" t="n"/>
    </row>
    <row r="150" ht="29" customHeight="1" s="76">
      <c r="A150" s="70" t="inlineStr">
        <is>
          <t>T147</t>
        </is>
      </c>
      <c r="B150" s="70" t="inlineStr">
        <is>
          <t>ومعادن</t>
        </is>
      </c>
      <c r="C150" s="70" t="inlineStr">
        <is>
          <t>F22-M1</t>
        </is>
      </c>
      <c r="D150" s="70" t="inlineStr">
        <is>
          <t>MEMBER</t>
        </is>
      </c>
      <c r="E150" s="70" t="inlineStr">
        <is>
          <t>محمد آقاجانلو</t>
        </is>
      </c>
      <c r="F150" s="70" t="inlineStr">
        <is>
          <t>فولاد مبارکه اصفهان</t>
        </is>
      </c>
      <c r="G150" s="70" t="inlineStr">
        <is>
          <t>0FCA7012</t>
        </is>
      </c>
      <c r="H150" s="70" t="inlineStr">
        <is>
          <t>NATIONAL_ID</t>
        </is>
      </c>
      <c r="I150" s="70" t="inlineStr">
        <is>
          <t>رئیس هیئت مدیره غیر موظف</t>
        </is>
      </c>
      <c r="J150" s="70" t="inlineStr">
        <is>
          <t>EXACT</t>
        </is>
      </c>
      <c r="K150" s="70" t="inlineStr">
        <is>
          <t>1404/07/30</t>
        </is>
      </c>
      <c r="L150" s="72" t="n">
        <v>45952</v>
      </c>
      <c r="M150" s="70" t="inlineStr">
        <is>
          <t>1404/07/30</t>
        </is>
      </c>
      <c r="N150" s="72" t="n">
        <v>45952</v>
      </c>
      <c r="O150" s="70" t="inlineStr">
        <is>
          <t>1404/07/30</t>
        </is>
      </c>
      <c r="P150" s="72" t="n">
        <v>45952</v>
      </c>
      <c r="Q150" s="70" t="inlineStr">
        <is>
          <t>1404/12/29</t>
        </is>
      </c>
      <c r="R150" s="72" t="n">
        <v>46101</v>
      </c>
      <c r="S150" s="70">
        <f>IF(OR(J150="UNKNOWN",R150=""),"",R150-IF(J150="EXACT",L150,P150))</f>
        <v>149</v>
      </c>
      <c r="T150" s="70">
        <f>IF(J150="EXACT",R150-L150,IF(J150="INTERVAL",R150-N150,""))</f>
        <v>149</v>
      </c>
      <c r="U150" s="70">
        <f>IF(S150="","",S150/365.25)</f>
        <v>0.4079397672826831</v>
      </c>
      <c r="V150" s="70">
        <f>IF(U150="","",U150^2)</f>
        <v>0.16641485373064965</v>
      </c>
      <c r="W150" s="70" t="inlineStr">
        <is>
          <t>BOARD_MEETING_DATE_IN_NOTICE</t>
        </is>
      </c>
      <c r="X150" s="70" t="inlineStr">
        <is>
          <t>TYPE19+REPORT_CORROBORATED</t>
        </is>
      </c>
      <c r="Y150" s="70" t="inlineStr">
        <is>
          <t>1404/07/30</t>
        </is>
      </c>
      <c r="Z150" s="70" t="inlineStr">
        <is>
          <t>START</t>
        </is>
      </c>
      <c r="AA150" s="70" t="n"/>
      <c r="AB150" s="70" t="inlineStr">
        <is>
          <t>MIN_CONTINUOUS|1401/07/27</t>
        </is>
      </c>
      <c r="AC150" s="70" t="inlineStr">
        <is>
          <t>report date 1404/07/30 (diff 0d)</t>
        </is>
      </c>
    </row>
    <row r="151" ht="29" customHeight="1" s="76">
      <c r="A151" s="71" t="inlineStr">
        <is>
          <t>T148</t>
        </is>
      </c>
      <c r="B151" s="71" t="inlineStr">
        <is>
          <t>ومعادن</t>
        </is>
      </c>
      <c r="C151" s="71" t="inlineStr">
        <is>
          <t>F22-M1</t>
        </is>
      </c>
      <c r="D151" s="71" t="inlineStr">
        <is>
          <t>CHAIR</t>
        </is>
      </c>
      <c r="E151" s="71" t="inlineStr">
        <is>
          <t>محمد آقاجانلو</t>
        </is>
      </c>
      <c r="F151" s="71" t="inlineStr">
        <is>
          <t>فولاد مبارکه اصفهان</t>
        </is>
      </c>
      <c r="G151" s="71" t="inlineStr">
        <is>
          <t>0FCA7012</t>
        </is>
      </c>
      <c r="H151" s="71" t="inlineStr">
        <is>
          <t>NATIONAL_ID</t>
        </is>
      </c>
      <c r="I151" s="71" t="inlineStr">
        <is>
          <t>رئیس هیئت مدیره</t>
        </is>
      </c>
      <c r="J151" s="71" t="inlineStr">
        <is>
          <t>EXACT</t>
        </is>
      </c>
      <c r="K151" s="71" t="inlineStr">
        <is>
          <t>1404/07/30</t>
        </is>
      </c>
      <c r="L151" s="73" t="n">
        <v>45952</v>
      </c>
      <c r="M151" s="71" t="inlineStr">
        <is>
          <t>1404/07/30</t>
        </is>
      </c>
      <c r="N151" s="73" t="n">
        <v>45952</v>
      </c>
      <c r="O151" s="71" t="inlineStr">
        <is>
          <t>1404/07/30</t>
        </is>
      </c>
      <c r="P151" s="73" t="n">
        <v>45952</v>
      </c>
      <c r="Q151" s="71" t="inlineStr">
        <is>
          <t>1404/12/29</t>
        </is>
      </c>
      <c r="R151" s="73" t="n">
        <v>46101</v>
      </c>
      <c r="S151" s="71">
        <f>IF(OR(J151="UNKNOWN",R151=""),"",R151-IF(J151="EXACT",L151,P151))</f>
        <v>149</v>
      </c>
      <c r="T151" s="71">
        <f>IF(J151="EXACT",R151-L151,IF(J151="INTERVAL",R151-N151,""))</f>
        <v>149</v>
      </c>
      <c r="U151" s="71">
        <f>IF(S151="","",S151/365.25)</f>
        <v>0.4079397672826831</v>
      </c>
      <c r="V151" s="71">
        <f>IF(U151="","",U151^2)</f>
        <v>0.16641485373064965</v>
      </c>
      <c r="W151" s="71" t="inlineStr">
        <is>
          <t>BOARD_MEETING_DATE_IN_NOTICE</t>
        </is>
      </c>
      <c r="X151" s="71" t="inlineStr">
        <is>
          <t>TYPE19_ONLY|PERSON_ROLE_CHAIN</t>
        </is>
      </c>
      <c r="Y151" s="71" t="n"/>
      <c r="Z151" s="71" t="n"/>
      <c r="AA151" s="71" t="n"/>
      <c r="AB151" s="71" t="n"/>
      <c r="AC151" s="71" t="n"/>
    </row>
    <row r="152" ht="29" customHeight="1" s="76">
      <c r="A152" s="70" t="inlineStr">
        <is>
          <t>T149</t>
        </is>
      </c>
      <c r="B152" s="70" t="inlineStr">
        <is>
          <t>ومعادن</t>
        </is>
      </c>
      <c r="C152" s="70" t="inlineStr">
        <is>
          <t>F22-M2</t>
        </is>
      </c>
      <c r="D152" s="70" t="inlineStr">
        <is>
          <t>MEMBER</t>
        </is>
      </c>
      <c r="E152" s="70" t="inlineStr">
        <is>
          <t>سجاد طهماسبی</t>
        </is>
      </c>
      <c r="F152" s="70" t="inlineStr">
        <is>
          <t>معدنی و صنعتی فولاد سنگ مبارکه اصفهان</t>
        </is>
      </c>
      <c r="G152" s="70" t="inlineStr">
        <is>
          <t>73667103</t>
        </is>
      </c>
      <c r="H152" s="70" t="inlineStr">
        <is>
          <t>NATIONAL_ID</t>
        </is>
      </c>
      <c r="I152" s="70" t="inlineStr">
        <is>
          <t>عضو هیئت مدیره غیر موظف</t>
        </is>
      </c>
      <c r="J152" s="70" t="inlineStr">
        <is>
          <t>EXACT</t>
        </is>
      </c>
      <c r="K152" s="70" t="inlineStr">
        <is>
          <t>1404/05/08</t>
        </is>
      </c>
      <c r="L152" s="72" t="n">
        <v>45868</v>
      </c>
      <c r="M152" s="70" t="inlineStr">
        <is>
          <t>1404/05/08</t>
        </is>
      </c>
      <c r="N152" s="72" t="n">
        <v>45868</v>
      </c>
      <c r="O152" s="70" t="inlineStr">
        <is>
          <t>1404/05/08</t>
        </is>
      </c>
      <c r="P152" s="72" t="n">
        <v>45868</v>
      </c>
      <c r="Q152" s="70" t="inlineStr">
        <is>
          <t>1404/12/29</t>
        </is>
      </c>
      <c r="R152" s="72" t="n">
        <v>46101</v>
      </c>
      <c r="S152" s="70">
        <f>IF(OR(J152="UNKNOWN",R152=""),"",R152-IF(J152="EXACT",L152,P152))</f>
        <v>233</v>
      </c>
      <c r="T152" s="70">
        <f>IF(J152="EXACT",R152-L152,IF(J152="INTERVAL",R152-N152,""))</f>
        <v>233</v>
      </c>
      <c r="U152" s="70">
        <f>IF(S152="","",S152/365.25)</f>
        <v>0.6379192334017796</v>
      </c>
      <c r="V152" s="70">
        <f>IF(U152="","",U152^2)</f>
        <v>0.40694094834391414</v>
      </c>
      <c r="W152" s="70" t="inlineStr">
        <is>
          <t>BOARD_MEETING_DATE_IN_NOTICE</t>
        </is>
      </c>
      <c r="X152" s="70" t="inlineStr">
        <is>
          <t>TYPE19+REPORT_CORROBORATED</t>
        </is>
      </c>
      <c r="Y152" s="70" t="inlineStr">
        <is>
          <t>1404/05/08</t>
        </is>
      </c>
      <c r="Z152" s="70" t="inlineStr">
        <is>
          <t>START</t>
        </is>
      </c>
      <c r="AA152" s="70" t="n"/>
      <c r="AB152" s="70" t="inlineStr">
        <is>
          <t>MIN_CONTINUOUS|1401/07/27</t>
        </is>
      </c>
      <c r="AC152" s="70" t="inlineStr">
        <is>
          <t>report date 1404/05/08 (diff 0d)</t>
        </is>
      </c>
    </row>
    <row r="153" ht="43.5" customHeight="1" s="76">
      <c r="A153" s="71" t="inlineStr">
        <is>
          <t>T150</t>
        </is>
      </c>
      <c r="B153" s="71" t="inlineStr">
        <is>
          <t>ومعادن</t>
        </is>
      </c>
      <c r="C153" s="71" t="inlineStr">
        <is>
          <t>F22-M3</t>
        </is>
      </c>
      <c r="D153" s="71" t="inlineStr">
        <is>
          <t>MEMBER</t>
        </is>
      </c>
      <c r="E153" s="71" t="inlineStr">
        <is>
          <t>اردشیر سعدمحمدی</t>
        </is>
      </c>
      <c r="F153" s="71" t="inlineStr">
        <is>
          <t>فولاد هرمزگان جنوب</t>
        </is>
      </c>
      <c r="G153" s="71" t="inlineStr">
        <is>
          <t>37FEC0F7</t>
        </is>
      </c>
      <c r="H153" s="71" t="inlineStr">
        <is>
          <t>NATIONAL_ID</t>
        </is>
      </c>
      <c r="I153" s="71" t="inlineStr">
        <is>
          <t>عضو هیئت مدیره موظف</t>
        </is>
      </c>
      <c r="J153" s="71" t="inlineStr">
        <is>
          <t>EXACT</t>
        </is>
      </c>
      <c r="K153" s="71" t="inlineStr">
        <is>
          <t>1400/12/25</t>
        </is>
      </c>
      <c r="L153" s="73" t="n">
        <v>44636</v>
      </c>
      <c r="M153" s="71" t="inlineStr">
        <is>
          <t>1400/12/25</t>
        </is>
      </c>
      <c r="N153" s="73" t="n">
        <v>44636</v>
      </c>
      <c r="O153" s="71" t="inlineStr">
        <is>
          <t>1400/12/25</t>
        </is>
      </c>
      <c r="P153" s="73" t="n">
        <v>44636</v>
      </c>
      <c r="Q153" s="71" t="inlineStr">
        <is>
          <t>1404/12/29</t>
        </is>
      </c>
      <c r="R153" s="73" t="n">
        <v>46101</v>
      </c>
      <c r="S153" s="71">
        <f>IF(OR(J153="UNKNOWN",R153=""),"",R153-IF(J153="EXACT",L153,P153))</f>
        <v>1465</v>
      </c>
      <c r="T153" s="71">
        <f>IF(J153="EXACT",R153-L153,IF(J153="INTERVAL",R153-N153,""))</f>
        <v>1465</v>
      </c>
      <c r="U153" s="71">
        <f>IF(S153="","",S153/365.25)</f>
        <v>4.010951403148528</v>
      </c>
      <c r="V153" s="71">
        <f>IF(U153="","",U153^2)</f>
        <v>16.087731158419146</v>
      </c>
      <c r="W153" s="71" t="inlineStr">
        <is>
          <t>REPORT_DECLARED_START_CONSISTENT_WITH_TYPE19_CONTINUITY</t>
        </is>
      </c>
      <c r="X153" s="71" t="inlineStr">
        <is>
          <t>REPORT+TYPE19_CONTINUITY</t>
        </is>
      </c>
      <c r="Y153" s="71" t="inlineStr">
        <is>
          <t>1400/12/25</t>
        </is>
      </c>
      <c r="Z153" s="71" t="inlineStr">
        <is>
          <t>START</t>
        </is>
      </c>
      <c r="AA153" s="71" t="n"/>
      <c r="AB153" s="71" t="inlineStr">
        <is>
          <t>EXACT|1402/11/01</t>
        </is>
      </c>
      <c r="AC153" s="71" t="inlineStr">
        <is>
          <t>type19 shows same person from 1401/07/27</t>
        </is>
      </c>
    </row>
    <row r="154" ht="29" customHeight="1" s="76">
      <c r="A154" s="70" t="inlineStr">
        <is>
          <t>T151</t>
        </is>
      </c>
      <c r="B154" s="70" t="inlineStr">
        <is>
          <t>ومعادن</t>
        </is>
      </c>
      <c r="C154" s="70" t="inlineStr">
        <is>
          <t>F22-M4</t>
        </is>
      </c>
      <c r="D154" s="70" t="inlineStr">
        <is>
          <t>MEMBER</t>
        </is>
      </c>
      <c r="E154" s="70" t="inlineStr">
        <is>
          <t>محمدرضا درخشنده</t>
        </is>
      </c>
      <c r="F154" s="70" t="inlineStr">
        <is>
          <t>سرمایه گذاری ملی ایران</t>
        </is>
      </c>
      <c r="G154" s="70" t="inlineStr">
        <is>
          <t>9C826E7B</t>
        </is>
      </c>
      <c r="H154" s="70" t="inlineStr">
        <is>
          <t>NATIONAL_ID</t>
        </is>
      </c>
      <c r="I154" s="70" t="inlineStr">
        <is>
          <t>عضو هیئت مدیره موظف</t>
        </is>
      </c>
      <c r="J154" s="70" t="inlineStr">
        <is>
          <t>EXACT</t>
        </is>
      </c>
      <c r="K154" s="70" t="inlineStr">
        <is>
          <t>1402/11/01</t>
        </is>
      </c>
      <c r="L154" s="72" t="n">
        <v>45312</v>
      </c>
      <c r="M154" s="70" t="inlineStr">
        <is>
          <t>1402/11/01</t>
        </is>
      </c>
      <c r="N154" s="72" t="n">
        <v>45312</v>
      </c>
      <c r="O154" s="70" t="inlineStr">
        <is>
          <t>1402/11/01</t>
        </is>
      </c>
      <c r="P154" s="72" t="n">
        <v>45312</v>
      </c>
      <c r="Q154" s="70" t="inlineStr">
        <is>
          <t>1404/12/29</t>
        </is>
      </c>
      <c r="R154" s="72" t="n">
        <v>46101</v>
      </c>
      <c r="S154" s="70">
        <f>IF(OR(J154="UNKNOWN",R154=""),"",R154-IF(J154="EXACT",L154,P154))</f>
        <v>789</v>
      </c>
      <c r="T154" s="70">
        <f>IF(J154="EXACT",R154-L154,IF(J154="INTERVAL",R154-N154,""))</f>
        <v>789</v>
      </c>
      <c r="U154" s="70">
        <f>IF(S154="","",S154/365.25)</f>
        <v>2.1601642710472277</v>
      </c>
      <c r="V154" s="70">
        <f>IF(U154="","",U154^2)</f>
        <v>4.666309677909001</v>
      </c>
      <c r="W154" s="70" t="inlineStr">
        <is>
          <t>BOARD_MEETING_DATE_IN_NOTICE</t>
        </is>
      </c>
      <c r="X154" s="70" t="inlineStr">
        <is>
          <t>TYPE19+REPORT_CORROBORATED</t>
        </is>
      </c>
      <c r="Y154" s="70" t="inlineStr">
        <is>
          <t>1402/11/01</t>
        </is>
      </c>
      <c r="Z154" s="70" t="inlineStr">
        <is>
          <t>START</t>
        </is>
      </c>
      <c r="AA154" s="70" t="n"/>
      <c r="AB154" s="70" t="inlineStr">
        <is>
          <t>EXACT|1402/11/01</t>
        </is>
      </c>
      <c r="AC154" s="70" t="inlineStr">
        <is>
          <t>report date 1402/11/01 (diff 0d)</t>
        </is>
      </c>
    </row>
    <row r="155" ht="29" customHeight="1" s="76">
      <c r="A155" s="71" t="inlineStr">
        <is>
          <t>T152</t>
        </is>
      </c>
      <c r="B155" s="71" t="inlineStr">
        <is>
          <t>ومعادن</t>
        </is>
      </c>
      <c r="C155" s="71" t="inlineStr">
        <is>
          <t>F22-M5</t>
        </is>
      </c>
      <c r="D155" s="71" t="inlineStr">
        <is>
          <t>MEMBER</t>
        </is>
      </c>
      <c r="E155" s="71" t="inlineStr">
        <is>
          <t>محمد کلانتری</t>
        </is>
      </c>
      <c r="F155" s="71" t="inlineStr">
        <is>
          <t>سرمایه گذاری ارشک</t>
        </is>
      </c>
      <c r="G155" s="71" t="inlineStr">
        <is>
          <t>45F05B28</t>
        </is>
      </c>
      <c r="H155" s="71" t="inlineStr">
        <is>
          <t>NATIONAL_ID</t>
        </is>
      </c>
      <c r="I155" s="71" t="inlineStr">
        <is>
          <t>نایب رئیس هیئت مدیره غیر موظف</t>
        </is>
      </c>
      <c r="J155" s="71" t="inlineStr">
        <is>
          <t>EXACT</t>
        </is>
      </c>
      <c r="K155" s="71" t="inlineStr">
        <is>
          <t>1403/11/28</t>
        </is>
      </c>
      <c r="L155" s="73" t="n">
        <v>45704</v>
      </c>
      <c r="M155" s="71" t="inlineStr">
        <is>
          <t>1403/11/28</t>
        </is>
      </c>
      <c r="N155" s="73" t="n">
        <v>45704</v>
      </c>
      <c r="O155" s="71" t="inlineStr">
        <is>
          <t>1403/11/28</t>
        </is>
      </c>
      <c r="P155" s="73" t="n">
        <v>45704</v>
      </c>
      <c r="Q155" s="71" t="inlineStr">
        <is>
          <t>1404/12/29</t>
        </is>
      </c>
      <c r="R155" s="73" t="n">
        <v>46101</v>
      </c>
      <c r="S155" s="71">
        <f>IF(OR(J155="UNKNOWN",R155=""),"",R155-IF(J155="EXACT",L155,P155))</f>
        <v>397</v>
      </c>
      <c r="T155" s="71">
        <f>IF(J155="EXACT",R155-L155,IF(J155="INTERVAL",R155-N155,""))</f>
        <v>397</v>
      </c>
      <c r="U155" s="71">
        <f>IF(S155="","",S155/365.25)</f>
        <v>1.0869267624914443</v>
      </c>
      <c r="V155" s="71">
        <f>IF(U155="","",U155^2)</f>
        <v>1.1814097870201326</v>
      </c>
      <c r="W155" s="71" t="inlineStr">
        <is>
          <t>BOARD_MEETING_DATE_IN_NOTICE</t>
        </is>
      </c>
      <c r="X155" s="71" t="inlineStr">
        <is>
          <t>TYPE19+REPORT_CORROBORATED</t>
        </is>
      </c>
      <c r="Y155" s="71" t="inlineStr">
        <is>
          <t>1403/11/28</t>
        </is>
      </c>
      <c r="Z155" s="71" t="inlineStr">
        <is>
          <t>START</t>
        </is>
      </c>
      <c r="AA155" s="71" t="n"/>
      <c r="AB155" s="71" t="inlineStr">
        <is>
          <t>EXACT|1404/05/08</t>
        </is>
      </c>
      <c r="AC155" s="71" t="inlineStr">
        <is>
          <t>report date 1403/11/28 (diff 0d)</t>
        </is>
      </c>
    </row>
    <row r="156" ht="29" customHeight="1" s="76">
      <c r="A156" s="70" t="inlineStr">
        <is>
          <t>T153</t>
        </is>
      </c>
      <c r="B156" s="70" t="inlineStr">
        <is>
          <t>ومعادن</t>
        </is>
      </c>
      <c r="C156" s="70" t="n"/>
      <c r="D156" s="70" t="inlineStr">
        <is>
          <t>CEO</t>
        </is>
      </c>
      <c r="E156" s="70" t="inlineStr">
        <is>
          <t>اردشیر سعدمحمدی</t>
        </is>
      </c>
      <c r="F156" s="70" t="n"/>
      <c r="G156" s="70" t="inlineStr">
        <is>
          <t>37FEC0F7</t>
        </is>
      </c>
      <c r="H156" s="70" t="inlineStr">
        <is>
          <t>NATIONAL_ID</t>
        </is>
      </c>
      <c r="I156" s="70" t="inlineStr">
        <is>
          <t>مدیرعامل</t>
        </is>
      </c>
      <c r="J156" s="70" t="inlineStr">
        <is>
          <t>MIN_CONTINUOUS</t>
        </is>
      </c>
      <c r="K156" s="70" t="n"/>
      <c r="L156" s="72" t="n"/>
      <c r="M156" s="70" t="n"/>
      <c r="N156" s="72" t="n"/>
      <c r="O156" s="70" t="inlineStr">
        <is>
          <t>1401/07/27</t>
        </is>
      </c>
      <c r="P156" s="72" t="n">
        <v>44853</v>
      </c>
      <c r="Q156" s="70" t="inlineStr">
        <is>
          <t>1404/12/29</t>
        </is>
      </c>
      <c r="R156" s="72" t="n">
        <v>46101</v>
      </c>
      <c r="S156" s="70">
        <f>IF(OR(J156="UNKNOWN",R156=""),"",R156-IF(J156="EXACT",L156,P156))</f>
        <v>1248</v>
      </c>
      <c r="T156" s="70">
        <f>IF(J156="EXACT",R156-L156,IF(J156="INTERVAL",R156-N156,""))</f>
      </c>
      <c r="U156" s="70">
        <f>IF(S156="","",S156/365.25)</f>
        <v>3.4168377823408624</v>
      </c>
      <c r="V156" s="70">
        <f>IF(U156="","",U156^2)</f>
        <v>11.674780430832023</v>
      </c>
      <c r="W156" s="70" t="inlineStr">
        <is>
          <t>FIRST_OBSERVATION_NOTICE_PUBLICATION</t>
        </is>
      </c>
      <c r="X156" s="70" t="inlineStr">
        <is>
          <t>TYPE19_ONLY</t>
        </is>
      </c>
      <c r="Y156" s="70" t="n"/>
      <c r="Z156" s="70" t="n"/>
      <c r="AA156" s="70" t="n"/>
      <c r="AB156" s="70" t="inlineStr">
        <is>
          <t>عضو هیئت مدیره</t>
        </is>
      </c>
      <c r="AC156" s="70" t="n"/>
    </row>
    <row r="157" ht="29" customHeight="1" s="76">
      <c r="A157" s="71" t="inlineStr">
        <is>
          <t>T154</t>
        </is>
      </c>
      <c r="B157" s="71" t="inlineStr">
        <is>
          <t>وامید</t>
        </is>
      </c>
      <c r="C157" s="71" t="inlineStr">
        <is>
          <t>F23-M1</t>
        </is>
      </c>
      <c r="D157" s="71" t="inlineStr">
        <is>
          <t>MEMBER</t>
        </is>
      </c>
      <c r="E157" s="71" t="inlineStr">
        <is>
          <t>سیدبابک ابراهیمی</t>
        </is>
      </c>
      <c r="F157" s="71" t="inlineStr">
        <is>
          <t>بانک سپه</t>
        </is>
      </c>
      <c r="G157" s="71" t="inlineStr">
        <is>
          <t>47E211F7</t>
        </is>
      </c>
      <c r="H157" s="71" t="inlineStr">
        <is>
          <t>NATIONAL_ID</t>
        </is>
      </c>
      <c r="I157" s="71" t="inlineStr">
        <is>
          <t>عضو هیئت مدیره موظف</t>
        </is>
      </c>
      <c r="J157" s="71" t="inlineStr">
        <is>
          <t>EXACT</t>
        </is>
      </c>
      <c r="K157" s="71" t="inlineStr">
        <is>
          <t>1403/09/06</t>
        </is>
      </c>
      <c r="L157" s="73" t="n">
        <v>45622</v>
      </c>
      <c r="M157" s="71" t="inlineStr">
        <is>
          <t>1403/09/06</t>
        </is>
      </c>
      <c r="N157" s="73" t="n">
        <v>45622</v>
      </c>
      <c r="O157" s="71" t="inlineStr">
        <is>
          <t>1403/09/06</t>
        </is>
      </c>
      <c r="P157" s="73" t="n">
        <v>45622</v>
      </c>
      <c r="Q157" s="71" t="inlineStr">
        <is>
          <t>1404/10/30</t>
        </is>
      </c>
      <c r="R157" s="73" t="n">
        <v>46042</v>
      </c>
      <c r="S157" s="71">
        <f>IF(OR(J157="UNKNOWN",R157=""),"",R157-IF(J157="EXACT",L157,P157))</f>
        <v>420</v>
      </c>
      <c r="T157" s="71">
        <f>IF(J157="EXACT",R157-L157,IF(J157="INTERVAL",R157-N157,""))</f>
        <v>420</v>
      </c>
      <c r="U157" s="71">
        <f>IF(S157="","",S157/365.25)</f>
        <v>1.1498973305954825</v>
      </c>
      <c r="V157" s="71">
        <f>IF(U157="","",U157^2)</f>
        <v>1.3222638709106163</v>
      </c>
      <c r="W157" s="71" t="inlineStr">
        <is>
          <t>BOARD_MEETING_DATE_IN_NOTICE</t>
        </is>
      </c>
      <c r="X157" s="71" t="inlineStr">
        <is>
          <t>TYPE19_ONLY</t>
        </is>
      </c>
      <c r="Y157" s="71" t="n"/>
      <c r="Z157" s="71" t="n"/>
      <c r="AA157" s="71" t="n"/>
      <c r="AB157" s="71" t="inlineStr">
        <is>
          <t>MIN_CONTINUOUS|1401/04/04</t>
        </is>
      </c>
      <c r="AC157" s="71" t="n"/>
    </row>
    <row r="158" ht="29" customHeight="1" s="76">
      <c r="A158" s="70" t="inlineStr">
        <is>
          <t>T155</t>
        </is>
      </c>
      <c r="B158" s="70" t="inlineStr">
        <is>
          <t>وامید</t>
        </is>
      </c>
      <c r="C158" s="70" t="inlineStr">
        <is>
          <t>F23-M2</t>
        </is>
      </c>
      <c r="D158" s="70" t="inlineStr">
        <is>
          <t>MEMBER</t>
        </is>
      </c>
      <c r="E158" s="70" t="inlineStr">
        <is>
          <t>محمدعلی یزدان جو</t>
        </is>
      </c>
      <c r="F158" s="70" t="inlineStr">
        <is>
          <t>گروه مالی سپه</t>
        </is>
      </c>
      <c r="G158" s="70" t="inlineStr">
        <is>
          <t>C50A0B2D</t>
        </is>
      </c>
      <c r="H158" s="70" t="inlineStr">
        <is>
          <t>NATIONAL_ID</t>
        </is>
      </c>
      <c r="I158" s="70" t="inlineStr">
        <is>
          <t>نایب رئیس هیئت مدیره غیر موظف</t>
        </is>
      </c>
      <c r="J158" s="70" t="inlineStr">
        <is>
          <t>MIN_CONTINUOUS</t>
        </is>
      </c>
      <c r="K158" s="70" t="n"/>
      <c r="L158" s="72" t="n"/>
      <c r="M158" s="70" t="n"/>
      <c r="N158" s="72" t="n"/>
      <c r="O158" s="70" t="inlineStr">
        <is>
          <t>1401/04/04</t>
        </is>
      </c>
      <c r="P158" s="72" t="n">
        <v>44737</v>
      </c>
      <c r="Q158" s="70" t="inlineStr">
        <is>
          <t>1404/10/30</t>
        </is>
      </c>
      <c r="R158" s="72" t="n">
        <v>46042</v>
      </c>
      <c r="S158" s="70">
        <f>IF(OR(J158="UNKNOWN",R158=""),"",R158-IF(J158="EXACT",L158,P158))</f>
        <v>1305</v>
      </c>
      <c r="T158" s="70">
        <f>IF(J158="EXACT",R158-L158,IF(J158="INTERVAL",R158-N158,""))</f>
      </c>
      <c r="U158" s="70">
        <f>IF(S158="","",S158/365.25)</f>
        <v>3.572895277207392</v>
      </c>
      <c r="V158" s="70">
        <f>IF(U158="","",U158^2)</f>
        <v>12.765580661890887</v>
      </c>
      <c r="W158" s="70" t="inlineStr">
        <is>
          <t>FIRST_OBSERVATION_NOTICE_PUBLICATION</t>
        </is>
      </c>
      <c r="X158" s="70" t="inlineStr">
        <is>
          <t>TYPE19_ONLY</t>
        </is>
      </c>
      <c r="Y158" s="70" t="n"/>
      <c r="Z158" s="70" t="n"/>
      <c r="AA158" s="70" t="n"/>
      <c r="AB158" s="70" t="inlineStr">
        <is>
          <t>EXACT|1403/02/05</t>
        </is>
      </c>
      <c r="AC158" s="70" t="n"/>
    </row>
    <row r="159" ht="58" customHeight="1" s="76">
      <c r="A159" s="71" t="inlineStr">
        <is>
          <t>T156</t>
        </is>
      </c>
      <c r="B159" s="71" t="inlineStr">
        <is>
          <t>وامید</t>
        </is>
      </c>
      <c r="C159" s="71" t="inlineStr">
        <is>
          <t>F23-M3</t>
        </is>
      </c>
      <c r="D159" s="71" t="inlineStr">
        <is>
          <t>MEMBER</t>
        </is>
      </c>
      <c r="E159" s="71" t="inlineStr">
        <is>
          <t>حامد دهقانان</t>
        </is>
      </c>
      <c r="F159" s="71" t="inlineStr">
        <is>
          <t>صندوق بازنشستگی وظیفه از کار افتادگی و پس انداز کارکنان بانکهای ملی و ادغام شده</t>
        </is>
      </c>
      <c r="G159" s="71" t="inlineStr">
        <is>
          <t>A2FCB00B</t>
        </is>
      </c>
      <c r="H159" s="71" t="inlineStr">
        <is>
          <t>NATIONAL_ID</t>
        </is>
      </c>
      <c r="I159" s="71" t="inlineStr">
        <is>
          <t>عضو هیئت مدیره غیر موظف</t>
        </is>
      </c>
      <c r="J159" s="71" t="inlineStr">
        <is>
          <t>EXACT</t>
        </is>
      </c>
      <c r="K159" s="71" t="inlineStr">
        <is>
          <t>1401/11/18</t>
        </is>
      </c>
      <c r="L159" s="73" t="n">
        <v>44964</v>
      </c>
      <c r="M159" s="71" t="inlineStr">
        <is>
          <t>1401/11/18</t>
        </is>
      </c>
      <c r="N159" s="73" t="n">
        <v>44964</v>
      </c>
      <c r="O159" s="71" t="inlineStr">
        <is>
          <t>1401/11/18</t>
        </is>
      </c>
      <c r="P159" s="73" t="n">
        <v>44964</v>
      </c>
      <c r="Q159" s="71" t="inlineStr">
        <is>
          <t>1404/10/30</t>
        </is>
      </c>
      <c r="R159" s="73" t="n">
        <v>46042</v>
      </c>
      <c r="S159" s="71">
        <f>IF(OR(J159="UNKNOWN",R159=""),"",R159-IF(J159="EXACT",L159,P159))</f>
        <v>1078</v>
      </c>
      <c r="T159" s="71">
        <f>IF(J159="EXACT",R159-L159,IF(J159="INTERVAL",R159-N159,""))</f>
        <v>1078</v>
      </c>
      <c r="U159" s="71">
        <f>IF(S159="","",S159/365.25)</f>
        <v>2.951403148528405</v>
      </c>
      <c r="V159" s="71">
        <f>IF(U159="","",U159^2)</f>
        <v>8.710780545143383</v>
      </c>
      <c r="W159" s="71" t="inlineStr">
        <is>
          <t>BOARD_MEETING_DATE_IN_NOTICE</t>
        </is>
      </c>
      <c r="X159" s="71" t="inlineStr">
        <is>
          <t>TYPE19_ONLY</t>
        </is>
      </c>
      <c r="Y159" s="71" t="n"/>
      <c r="Z159" s="71" t="n"/>
      <c r="AA159" s="71" t="n"/>
      <c r="AB159" s="71" t="inlineStr">
        <is>
          <t>MIN_CONTINUOUS|1401/04/04</t>
        </is>
      </c>
      <c r="AC159" s="71" t="n"/>
    </row>
    <row r="160" ht="29" customHeight="1" s="76">
      <c r="A160" s="70" t="inlineStr">
        <is>
          <t>T157</t>
        </is>
      </c>
      <c r="B160" s="70" t="inlineStr">
        <is>
          <t>وامید</t>
        </is>
      </c>
      <c r="C160" s="70" t="inlineStr">
        <is>
          <t>F23-M4</t>
        </is>
      </c>
      <c r="D160" s="70" t="inlineStr">
        <is>
          <t>MEMBER</t>
        </is>
      </c>
      <c r="E160" s="70" t="inlineStr">
        <is>
          <t>سیدمصطفی سیدهاشمی</t>
        </is>
      </c>
      <c r="F160" s="70" t="inlineStr">
        <is>
          <t>گروه خدمات کارکنان سپه نوین</t>
        </is>
      </c>
      <c r="G160" s="70" t="inlineStr">
        <is>
          <t>4A21F36C</t>
        </is>
      </c>
      <c r="H160" s="70" t="inlineStr">
        <is>
          <t>NATIONAL_ID</t>
        </is>
      </c>
      <c r="I160" s="70" t="inlineStr">
        <is>
          <t>رئیس هیئت مدیره غیر موظف</t>
        </is>
      </c>
      <c r="J160" s="70" t="inlineStr">
        <is>
          <t>EXACT</t>
        </is>
      </c>
      <c r="K160" s="70" t="inlineStr">
        <is>
          <t>1402/09/15</t>
        </is>
      </c>
      <c r="L160" s="72" t="n">
        <v>45266</v>
      </c>
      <c r="M160" s="70" t="inlineStr">
        <is>
          <t>1402/09/15</t>
        </is>
      </c>
      <c r="N160" s="72" t="n">
        <v>45266</v>
      </c>
      <c r="O160" s="70" t="inlineStr">
        <is>
          <t>1402/09/15</t>
        </is>
      </c>
      <c r="P160" s="72" t="n">
        <v>45266</v>
      </c>
      <c r="Q160" s="70" t="inlineStr">
        <is>
          <t>1404/10/30</t>
        </is>
      </c>
      <c r="R160" s="72" t="n">
        <v>46042</v>
      </c>
      <c r="S160" s="70">
        <f>IF(OR(J160="UNKNOWN",R160=""),"",R160-IF(J160="EXACT",L160,P160))</f>
        <v>776</v>
      </c>
      <c r="T160" s="70">
        <f>IF(J160="EXACT",R160-L160,IF(J160="INTERVAL",R160-N160,""))</f>
        <v>776</v>
      </c>
      <c r="U160" s="70">
        <f>IF(S160="","",S160/365.25)</f>
        <v>2.1245722108145104</v>
      </c>
      <c r="V160" s="70">
        <f>IF(U160="","",U160^2)</f>
        <v>4.5138070789652565</v>
      </c>
      <c r="W160" s="70" t="inlineStr">
        <is>
          <t>BOARD_MEETING_DATE_IN_NOTICE</t>
        </is>
      </c>
      <c r="X160" s="70" t="inlineStr">
        <is>
          <t>TYPE19_ONLY</t>
        </is>
      </c>
      <c r="Y160" s="70" t="n"/>
      <c r="Z160" s="70" t="n"/>
      <c r="AA160" s="70" t="n"/>
      <c r="AB160" s="70" t="inlineStr">
        <is>
          <t>EXACT|1404/05/22</t>
        </is>
      </c>
      <c r="AC160" s="70" t="n"/>
    </row>
    <row r="161" ht="29" customHeight="1" s="76">
      <c r="A161" s="71" t="inlineStr">
        <is>
          <t>T158</t>
        </is>
      </c>
      <c r="B161" s="71" t="inlineStr">
        <is>
          <t>وامید</t>
        </is>
      </c>
      <c r="C161" s="71" t="inlineStr">
        <is>
          <t>F23-M4</t>
        </is>
      </c>
      <c r="D161" s="71" t="inlineStr">
        <is>
          <t>CHAIR</t>
        </is>
      </c>
      <c r="E161" s="71" t="inlineStr">
        <is>
          <t>سیدمصطفی سیدهاشمی</t>
        </is>
      </c>
      <c r="F161" s="71" t="inlineStr">
        <is>
          <t>گروه خدمات کارکنان سپه نوین</t>
        </is>
      </c>
      <c r="G161" s="71" t="inlineStr">
        <is>
          <t>4A21F36C</t>
        </is>
      </c>
      <c r="H161" s="71" t="inlineStr">
        <is>
          <t>NATIONAL_ID</t>
        </is>
      </c>
      <c r="I161" s="71" t="inlineStr">
        <is>
          <t>رئیس هیئت مدیره</t>
        </is>
      </c>
      <c r="J161" s="71" t="inlineStr">
        <is>
          <t>EXACT</t>
        </is>
      </c>
      <c r="K161" s="71" t="inlineStr">
        <is>
          <t>1402/09/15</t>
        </is>
      </c>
      <c r="L161" s="73" t="n">
        <v>45266</v>
      </c>
      <c r="M161" s="71" t="inlineStr">
        <is>
          <t>1402/09/15</t>
        </is>
      </c>
      <c r="N161" s="73" t="n">
        <v>45266</v>
      </c>
      <c r="O161" s="71" t="inlineStr">
        <is>
          <t>1402/09/15</t>
        </is>
      </c>
      <c r="P161" s="73" t="n">
        <v>45266</v>
      </c>
      <c r="Q161" s="71" t="inlineStr">
        <is>
          <t>1404/10/30</t>
        </is>
      </c>
      <c r="R161" s="73" t="n">
        <v>46042</v>
      </c>
      <c r="S161" s="71">
        <f>IF(OR(J161="UNKNOWN",R161=""),"",R161-IF(J161="EXACT",L161,P161))</f>
        <v>776</v>
      </c>
      <c r="T161" s="71">
        <f>IF(J161="EXACT",R161-L161,IF(J161="INTERVAL",R161-N161,""))</f>
        <v>776</v>
      </c>
      <c r="U161" s="71">
        <f>IF(S161="","",S161/365.25)</f>
        <v>2.1245722108145104</v>
      </c>
      <c r="V161" s="71">
        <f>IF(U161="","",U161^2)</f>
        <v>4.5138070789652565</v>
      </c>
      <c r="W161" s="71" t="inlineStr">
        <is>
          <t>BOARD_MEETING_DATE_IN_NOTICE</t>
        </is>
      </c>
      <c r="X161" s="71" t="inlineStr">
        <is>
          <t>TYPE19_ONLY|PERSON_ROLE_CHAIN</t>
        </is>
      </c>
      <c r="Y161" s="71" t="n"/>
      <c r="Z161" s="71" t="n"/>
      <c r="AA161" s="71" t="n"/>
      <c r="AB161" s="71" t="n"/>
      <c r="AC161" s="71" t="n"/>
    </row>
    <row r="162" ht="29" customHeight="1" s="76">
      <c r="A162" s="70" t="inlineStr">
        <is>
          <t>T159</t>
        </is>
      </c>
      <c r="B162" s="70" t="inlineStr">
        <is>
          <t>وامید</t>
        </is>
      </c>
      <c r="C162" s="70" t="inlineStr">
        <is>
          <t>F23-M5</t>
        </is>
      </c>
      <c r="D162" s="70" t="inlineStr">
        <is>
          <t>MEMBER</t>
        </is>
      </c>
      <c r="E162" s="70" t="inlineStr">
        <is>
          <t>وحید خاشعی ورنامخواستی</t>
        </is>
      </c>
      <c r="F162" s="70" t="inlineStr">
        <is>
          <t>توسعه کسب و کار مهستان</t>
        </is>
      </c>
      <c r="G162" s="70" t="inlineStr">
        <is>
          <t>92127CB4</t>
        </is>
      </c>
      <c r="H162" s="70" t="inlineStr">
        <is>
          <t>NATIONAL_ID</t>
        </is>
      </c>
      <c r="I162" s="70" t="inlineStr">
        <is>
          <t>عضو هیئت مدیره موظف</t>
        </is>
      </c>
      <c r="J162" s="70" t="inlineStr">
        <is>
          <t>MIN_CONTINUOUS</t>
        </is>
      </c>
      <c r="K162" s="70" t="n"/>
      <c r="L162" s="72" t="n"/>
      <c r="M162" s="70" t="n"/>
      <c r="N162" s="72" t="n"/>
      <c r="O162" s="70" t="inlineStr">
        <is>
          <t>1401/04/04</t>
        </is>
      </c>
      <c r="P162" s="72" t="n">
        <v>44737</v>
      </c>
      <c r="Q162" s="70" t="inlineStr">
        <is>
          <t>1404/10/30</t>
        </is>
      </c>
      <c r="R162" s="72" t="n">
        <v>46042</v>
      </c>
      <c r="S162" s="70">
        <f>IF(OR(J162="UNKNOWN",R162=""),"",R162-IF(J162="EXACT",L162,P162))</f>
        <v>1305</v>
      </c>
      <c r="T162" s="70">
        <f>IF(J162="EXACT",R162-L162,IF(J162="INTERVAL",R162-N162,""))</f>
      </c>
      <c r="U162" s="70">
        <f>IF(S162="","",S162/365.25)</f>
        <v>3.572895277207392</v>
      </c>
      <c r="V162" s="70">
        <f>IF(U162="","",U162^2)</f>
        <v>12.765580661890887</v>
      </c>
      <c r="W162" s="70" t="inlineStr">
        <is>
          <t>FIRST_OBSERVATION_NOTICE_PUBLICATION</t>
        </is>
      </c>
      <c r="X162" s="70" t="inlineStr">
        <is>
          <t>TYPE19_ONLY</t>
        </is>
      </c>
      <c r="Y162" s="70" t="n"/>
      <c r="Z162" s="70" t="n"/>
      <c r="AA162" s="70" t="n"/>
      <c r="AB162" s="70" t="inlineStr">
        <is>
          <t>EXACT|1404/05/22</t>
        </is>
      </c>
      <c r="AC162" s="70" t="n"/>
    </row>
    <row r="163" ht="29" customHeight="1" s="76">
      <c r="A163" s="71" t="inlineStr">
        <is>
          <t>T160</t>
        </is>
      </c>
      <c r="B163" s="71" t="inlineStr">
        <is>
          <t>وامید</t>
        </is>
      </c>
      <c r="C163" s="71" t="n"/>
      <c r="D163" s="71" t="inlineStr">
        <is>
          <t>CEO</t>
        </is>
      </c>
      <c r="E163" s="71" t="inlineStr">
        <is>
          <t>سیدبابک ابراهیمی</t>
        </is>
      </c>
      <c r="F163" s="71" t="n"/>
      <c r="G163" s="71" t="inlineStr">
        <is>
          <t>47E211F7</t>
        </is>
      </c>
      <c r="H163" s="71" t="inlineStr">
        <is>
          <t>NATIONAL_ID</t>
        </is>
      </c>
      <c r="I163" s="71" t="inlineStr">
        <is>
          <t>مدیرعامل</t>
        </is>
      </c>
      <c r="J163" s="71" t="inlineStr">
        <is>
          <t>EXACT</t>
        </is>
      </c>
      <c r="K163" s="71" t="inlineStr">
        <is>
          <t>1403/09/06</t>
        </is>
      </c>
      <c r="L163" s="73" t="n">
        <v>45622</v>
      </c>
      <c r="M163" s="71" t="inlineStr">
        <is>
          <t>1403/09/06</t>
        </is>
      </c>
      <c r="N163" s="73" t="n">
        <v>45622</v>
      </c>
      <c r="O163" s="71" t="inlineStr">
        <is>
          <t>1403/09/06</t>
        </is>
      </c>
      <c r="P163" s="73" t="n">
        <v>45622</v>
      </c>
      <c r="Q163" s="71" t="inlineStr">
        <is>
          <t>1404/10/30</t>
        </is>
      </c>
      <c r="R163" s="73" t="n">
        <v>46042</v>
      </c>
      <c r="S163" s="71">
        <f>IF(OR(J163="UNKNOWN",R163=""),"",R163-IF(J163="EXACT",L163,P163))</f>
        <v>420</v>
      </c>
      <c r="T163" s="71">
        <f>IF(J163="EXACT",R163-L163,IF(J163="INTERVAL",R163-N163,""))</f>
        <v>420</v>
      </c>
      <c r="U163" s="71">
        <f>IF(S163="","",S163/365.25)</f>
        <v>1.1498973305954825</v>
      </c>
      <c r="V163" s="71">
        <f>IF(U163="","",U163^2)</f>
        <v>1.3222638709106163</v>
      </c>
      <c r="W163" s="71" t="inlineStr">
        <is>
          <t>BOARD_MEETING_DATE_IN_NOTICE</t>
        </is>
      </c>
      <c r="X163" s="71" t="inlineStr">
        <is>
          <t>TYPE19_ONLY</t>
        </is>
      </c>
      <c r="Y163" s="71" t="n"/>
      <c r="Z163" s="71" t="n"/>
      <c r="AA163" s="71" t="n"/>
      <c r="AB163" s="71" t="inlineStr">
        <is>
          <t>عضو هیئت مدیره</t>
        </is>
      </c>
      <c r="AC163" s="71" t="n"/>
    </row>
    <row r="164" ht="29" customHeight="1" s="76">
      <c r="A164" s="70" t="inlineStr">
        <is>
          <t>T161</t>
        </is>
      </c>
      <c r="B164" s="70" t="inlineStr">
        <is>
          <t>خساپا</t>
        </is>
      </c>
      <c r="C164" s="70" t="inlineStr">
        <is>
          <t>F24-M1</t>
        </is>
      </c>
      <c r="D164" s="70" t="inlineStr">
        <is>
          <t>MEMBER</t>
        </is>
      </c>
      <c r="E164" s="70" t="inlineStr">
        <is>
          <t>رحیم علیشاهی</t>
        </is>
      </c>
      <c r="F164" s="70" t="inlineStr">
        <is>
          <t>سرمایه گذاری گروه صنعتی رنا</t>
        </is>
      </c>
      <c r="G164" s="70" t="inlineStr">
        <is>
          <t>94200F78</t>
        </is>
      </c>
      <c r="H164" s="70" t="inlineStr">
        <is>
          <t>NATIONAL_ID</t>
        </is>
      </c>
      <c r="I164" s="70" t="inlineStr">
        <is>
          <t>عضو هیئت مدیره غیر موظف</t>
        </is>
      </c>
      <c r="J164" s="70" t="inlineStr">
        <is>
          <t>EXACT</t>
        </is>
      </c>
      <c r="K164" s="70" t="inlineStr">
        <is>
          <t>1404/02/08</t>
        </is>
      </c>
      <c r="L164" s="72" t="n">
        <v>45775</v>
      </c>
      <c r="M164" s="70" t="inlineStr">
        <is>
          <t>1404/02/08</t>
        </is>
      </c>
      <c r="N164" s="72" t="n">
        <v>45775</v>
      </c>
      <c r="O164" s="70" t="inlineStr">
        <is>
          <t>1404/02/08</t>
        </is>
      </c>
      <c r="P164" s="72" t="n">
        <v>45775</v>
      </c>
      <c r="Q164" s="70" t="inlineStr">
        <is>
          <t>1404/12/29</t>
        </is>
      </c>
      <c r="R164" s="72" t="n">
        <v>46101</v>
      </c>
      <c r="S164" s="70">
        <f>IF(OR(J164="UNKNOWN",R164=""),"",R164-IF(J164="EXACT",L164,P164))</f>
        <v>326</v>
      </c>
      <c r="T164" s="70">
        <f>IF(J164="EXACT",R164-L164,IF(J164="INTERVAL",R164-N164,""))</f>
        <v>326</v>
      </c>
      <c r="U164" s="70">
        <f>IF(S164="","",S164/365.25)</f>
        <v>0.892539356605065</v>
      </c>
      <c r="V164" s="70">
        <f>IF(U164="","",U164^2)</f>
        <v>0.7966265030889834</v>
      </c>
      <c r="W164" s="70" t="inlineStr">
        <is>
          <t>BOARD_MEETING_DATE_IN_NOTICE</t>
        </is>
      </c>
      <c r="X164" s="70" t="inlineStr">
        <is>
          <t>TYPE19_ONLY</t>
        </is>
      </c>
      <c r="Y164" s="70" t="n"/>
      <c r="Z164" s="70" t="n"/>
      <c r="AA164" s="70" t="n"/>
      <c r="AB164" s="70" t="inlineStr">
        <is>
          <t>MIN_CONTINUOUS|1401/12/15</t>
        </is>
      </c>
      <c r="AC164" s="70" t="n"/>
    </row>
    <row r="165" ht="43.5" customHeight="1" s="76">
      <c r="A165" s="71" t="inlineStr">
        <is>
          <t>T162</t>
        </is>
      </c>
      <c r="B165" s="71" t="inlineStr">
        <is>
          <t>خساپا</t>
        </is>
      </c>
      <c r="C165" s="71" t="inlineStr">
        <is>
          <t>F24-M2</t>
        </is>
      </c>
      <c r="D165" s="71" t="inlineStr">
        <is>
          <t>MEMBER</t>
        </is>
      </c>
      <c r="E165" s="71" t="inlineStr">
        <is>
          <t>علی شیخ زاده</t>
        </is>
      </c>
      <c r="F165" s="71" t="inlineStr">
        <is>
          <t>گروه سرمایه گذاری کارکنان سایپا</t>
        </is>
      </c>
      <c r="G165" s="71" t="inlineStr">
        <is>
          <t>D34AB942</t>
        </is>
      </c>
      <c r="H165" s="71" t="inlineStr">
        <is>
          <t>NATIONAL_ID</t>
        </is>
      </c>
      <c r="I165" s="71" t="inlineStr">
        <is>
          <t>نایب رئیس هیئت مدیره موظف</t>
        </is>
      </c>
      <c r="J165" s="71" t="inlineStr">
        <is>
          <t>INTERVAL</t>
        </is>
      </c>
      <c r="K165" s="71" t="n"/>
      <c r="L165" s="73" t="n"/>
      <c r="M165" s="71" t="inlineStr">
        <is>
          <t>1403/09/14</t>
        </is>
      </c>
      <c r="N165" s="73" t="n">
        <v>45630</v>
      </c>
      <c r="O165" s="71" t="inlineStr">
        <is>
          <t>1403/09/21</t>
        </is>
      </c>
      <c r="P165" s="73" t="n">
        <v>45637</v>
      </c>
      <c r="Q165" s="71" t="inlineStr">
        <is>
          <t>1404/12/29</t>
        </is>
      </c>
      <c r="R165" s="73" t="n">
        <v>46101</v>
      </c>
      <c r="S165" s="71">
        <f>IF(OR(J165="UNKNOWN",R165=""),"",R165-IF(J165="EXACT",L165,P165))</f>
        <v>464</v>
      </c>
      <c r="T165" s="71">
        <f>IF(J165="EXACT",R165-L165,IF(J165="INTERVAL",R165-N165,""))</f>
        <v>471</v>
      </c>
      <c r="U165" s="71">
        <f>IF(S165="","",S165/365.25)</f>
        <v>1.270362765229295</v>
      </c>
      <c r="V165" s="71">
        <f>IF(U165="","",U165^2)</f>
        <v>1.613821555281021</v>
      </c>
      <c r="W165" s="71" t="inlineStr">
        <is>
          <t>BM_DATE_CONFLICT_BETWEEN_NOTICE_VERSIONS:1403/09/14|1403/09/21</t>
        </is>
      </c>
      <c r="X165" s="71" t="inlineStr">
        <is>
          <t>TYPE19_ONLY</t>
        </is>
      </c>
      <c r="Y165" s="71" t="n"/>
      <c r="Z165" s="71" t="n"/>
      <c r="AA165" s="71" t="n"/>
      <c r="AB165" s="71" t="inlineStr">
        <is>
          <t>MIN_CONTINUOUS|1401/12/15</t>
        </is>
      </c>
      <c r="AC165" s="71" t="inlineStr">
        <is>
          <t>BM versions conflict</t>
        </is>
      </c>
    </row>
    <row r="166" ht="29" customHeight="1" s="76">
      <c r="A166" s="70" t="inlineStr">
        <is>
          <t>T163</t>
        </is>
      </c>
      <c r="B166" s="70" t="inlineStr">
        <is>
          <t>خساپا</t>
        </is>
      </c>
      <c r="C166" s="70" t="inlineStr">
        <is>
          <t>F24-M3</t>
        </is>
      </c>
      <c r="D166" s="70" t="inlineStr">
        <is>
          <t>MEMBER</t>
        </is>
      </c>
      <c r="E166" s="70" t="inlineStr">
        <is>
          <t>مجید بهرامی</t>
        </is>
      </c>
      <c r="F166" s="70" t="inlineStr">
        <is>
          <t>صندوق حمایت وبازنشستگی کارکنان فولاد</t>
        </is>
      </c>
      <c r="G166" s="70" t="inlineStr">
        <is>
          <t>30470B5F</t>
        </is>
      </c>
      <c r="H166" s="70" t="inlineStr">
        <is>
          <t>NATIONAL_ID</t>
        </is>
      </c>
      <c r="I166" s="70" t="inlineStr">
        <is>
          <t>عضو هیئت مدیره غیر موظف</t>
        </is>
      </c>
      <c r="J166" s="70" t="inlineStr">
        <is>
          <t>EXACT</t>
        </is>
      </c>
      <c r="K166" s="70" t="inlineStr">
        <is>
          <t>1403/11/03</t>
        </is>
      </c>
      <c r="L166" s="72" t="n">
        <v>45679</v>
      </c>
      <c r="M166" s="70" t="inlineStr">
        <is>
          <t>1403/11/03</t>
        </is>
      </c>
      <c r="N166" s="72" t="n">
        <v>45679</v>
      </c>
      <c r="O166" s="70" t="inlineStr">
        <is>
          <t>1403/11/03</t>
        </is>
      </c>
      <c r="P166" s="72" t="n">
        <v>45679</v>
      </c>
      <c r="Q166" s="70" t="inlineStr">
        <is>
          <t>1404/12/29</t>
        </is>
      </c>
      <c r="R166" s="72" t="n">
        <v>46101</v>
      </c>
      <c r="S166" s="70">
        <f>IF(OR(J166="UNKNOWN",R166=""),"",R166-IF(J166="EXACT",L166,P166))</f>
        <v>422</v>
      </c>
      <c r="T166" s="70">
        <f>IF(J166="EXACT",R166-L166,IF(J166="INTERVAL",R166-N166,""))</f>
        <v>422</v>
      </c>
      <c r="U166" s="70">
        <f>IF(S166="","",S166/365.25)</f>
        <v>1.1553730321697468</v>
      </c>
      <c r="V166" s="70">
        <f>IF(U166="","",U166^2)</f>
        <v>1.3348868434651149</v>
      </c>
      <c r="W166" s="70" t="inlineStr">
        <is>
          <t>BOARD_MEETING_DATE_IN_NOTICE</t>
        </is>
      </c>
      <c r="X166" s="70" t="inlineStr">
        <is>
          <t>TYPE19_ONLY</t>
        </is>
      </c>
      <c r="Y166" s="70" t="n"/>
      <c r="Z166" s="70" t="n"/>
      <c r="AA166" s="70" t="n"/>
      <c r="AB166" s="70" t="inlineStr">
        <is>
          <t>MIN_CONTINUOUS|1401/12/15</t>
        </is>
      </c>
      <c r="AC166" s="70" t="n"/>
    </row>
    <row r="167" ht="29" customHeight="1" s="76">
      <c r="A167" s="71" t="inlineStr">
        <is>
          <t>T164</t>
        </is>
      </c>
      <c r="B167" s="71" t="inlineStr">
        <is>
          <t>خساپا</t>
        </is>
      </c>
      <c r="C167" s="71" t="inlineStr">
        <is>
          <t>F24-M4</t>
        </is>
      </c>
      <c r="D167" s="71" t="inlineStr">
        <is>
          <t>MEMBER</t>
        </is>
      </c>
      <c r="E167" s="71" t="inlineStr">
        <is>
          <t>مهدی رادمنش</t>
        </is>
      </c>
      <c r="F167" s="71" t="inlineStr">
        <is>
          <t>توسعه سرمایه رادین</t>
        </is>
      </c>
      <c r="G167" s="71" t="inlineStr">
        <is>
          <t>C5A10052</t>
        </is>
      </c>
      <c r="H167" s="71" t="inlineStr">
        <is>
          <t>NATIONAL_ID</t>
        </is>
      </c>
      <c r="I167" s="71" t="inlineStr">
        <is>
          <t>عضو هیئت مدیره موظف</t>
        </is>
      </c>
      <c r="J167" s="71" t="inlineStr">
        <is>
          <t>EXACT</t>
        </is>
      </c>
      <c r="K167" s="71" t="inlineStr">
        <is>
          <t>1404/02/08</t>
        </is>
      </c>
      <c r="L167" s="73" t="n">
        <v>45775</v>
      </c>
      <c r="M167" s="71" t="inlineStr">
        <is>
          <t>1404/02/08</t>
        </is>
      </c>
      <c r="N167" s="73" t="n">
        <v>45775</v>
      </c>
      <c r="O167" s="71" t="inlineStr">
        <is>
          <t>1404/02/08</t>
        </is>
      </c>
      <c r="P167" s="73" t="n">
        <v>45775</v>
      </c>
      <c r="Q167" s="71" t="inlineStr">
        <is>
          <t>1404/12/29</t>
        </is>
      </c>
      <c r="R167" s="73" t="n">
        <v>46101</v>
      </c>
      <c r="S167" s="71">
        <f>IF(OR(J167="UNKNOWN",R167=""),"",R167-IF(J167="EXACT",L167,P167))</f>
        <v>326</v>
      </c>
      <c r="T167" s="71">
        <f>IF(J167="EXACT",R167-L167,IF(J167="INTERVAL",R167-N167,""))</f>
        <v>326</v>
      </c>
      <c r="U167" s="71">
        <f>IF(S167="","",S167/365.25)</f>
        <v>0.892539356605065</v>
      </c>
      <c r="V167" s="71">
        <f>IF(U167="","",U167^2)</f>
        <v>0.7966265030889834</v>
      </c>
      <c r="W167" s="71" t="inlineStr">
        <is>
          <t>BOARD_MEETING_DATE_IN_NOTICE</t>
        </is>
      </c>
      <c r="X167" s="71" t="inlineStr">
        <is>
          <t>TYPE19_ONLY</t>
        </is>
      </c>
      <c r="Y167" s="71" t="n"/>
      <c r="Z167" s="71" t="n"/>
      <c r="AA167" s="71" t="n"/>
      <c r="AB167" s="71" t="inlineStr">
        <is>
          <t>MIN_CONTINUOUS|1401/12/15</t>
        </is>
      </c>
      <c r="AC167" s="71" t="n"/>
    </row>
    <row r="168" ht="43.5" customHeight="1" s="76">
      <c r="A168" s="70" t="inlineStr">
        <is>
          <t>T165</t>
        </is>
      </c>
      <c r="B168" s="70" t="inlineStr">
        <is>
          <t>خساپا</t>
        </is>
      </c>
      <c r="C168" s="70" t="inlineStr">
        <is>
          <t>F24-M5</t>
        </is>
      </c>
      <c r="D168" s="70" t="inlineStr">
        <is>
          <t>MEMBER</t>
        </is>
      </c>
      <c r="E168" s="70" t="inlineStr">
        <is>
          <t>کورش پرویزیان</t>
        </is>
      </c>
      <c r="F168" s="70" t="inlineStr">
        <is>
          <t>سازمان مدیریت صنعتی</t>
        </is>
      </c>
      <c r="G168" s="70" t="inlineStr">
        <is>
          <t>94F11CA2</t>
        </is>
      </c>
      <c r="H168" s="70" t="inlineStr">
        <is>
          <t>NATIONAL_ID</t>
        </is>
      </c>
      <c r="I168" s="70" t="inlineStr">
        <is>
          <t>رئیس هیئت مدیره غیر موظف</t>
        </is>
      </c>
      <c r="J168" s="70" t="inlineStr">
        <is>
          <t>INTERVAL</t>
        </is>
      </c>
      <c r="K168" s="70" t="n"/>
      <c r="L168" s="72" t="n"/>
      <c r="M168" s="70" t="inlineStr">
        <is>
          <t>1403/09/14</t>
        </is>
      </c>
      <c r="N168" s="72" t="n">
        <v>45630</v>
      </c>
      <c r="O168" s="70" t="inlineStr">
        <is>
          <t>1403/09/21</t>
        </is>
      </c>
      <c r="P168" s="72" t="n">
        <v>45637</v>
      </c>
      <c r="Q168" s="70" t="inlineStr">
        <is>
          <t>1404/12/29</t>
        </is>
      </c>
      <c r="R168" s="72" t="n">
        <v>46101</v>
      </c>
      <c r="S168" s="70">
        <f>IF(OR(J168="UNKNOWN",R168=""),"",R168-IF(J168="EXACT",L168,P168))</f>
        <v>464</v>
      </c>
      <c r="T168" s="70">
        <f>IF(J168="EXACT",R168-L168,IF(J168="INTERVAL",R168-N168,""))</f>
        <v>471</v>
      </c>
      <c r="U168" s="70">
        <f>IF(S168="","",S168/365.25)</f>
        <v>1.270362765229295</v>
      </c>
      <c r="V168" s="70">
        <f>IF(U168="","",U168^2)</f>
        <v>1.613821555281021</v>
      </c>
      <c r="W168" s="70" t="inlineStr">
        <is>
          <t>BM_DATE_CONFLICT_BETWEEN_NOTICE_VERSIONS:1403/09/14|1403/09/21</t>
        </is>
      </c>
      <c r="X168" s="70" t="inlineStr">
        <is>
          <t>TYPE19_ONLY</t>
        </is>
      </c>
      <c r="Y168" s="70" t="n"/>
      <c r="Z168" s="70" t="n"/>
      <c r="AA168" s="70" t="n"/>
      <c r="AB168" s="70" t="inlineStr">
        <is>
          <t>EXACT|1402/05/17</t>
        </is>
      </c>
      <c r="AC168" s="70" t="inlineStr">
        <is>
          <t>BM versions conflict</t>
        </is>
      </c>
    </row>
    <row r="169" ht="43.5" customHeight="1" s="76">
      <c r="A169" s="71" t="inlineStr">
        <is>
          <t>T166</t>
        </is>
      </c>
      <c r="B169" s="71" t="inlineStr">
        <is>
          <t>خساپا</t>
        </is>
      </c>
      <c r="C169" s="71" t="inlineStr">
        <is>
          <t>F24-M5</t>
        </is>
      </c>
      <c r="D169" s="71" t="inlineStr">
        <is>
          <t>CHAIR</t>
        </is>
      </c>
      <c r="E169" s="71" t="inlineStr">
        <is>
          <t>کورش پرویزیان</t>
        </is>
      </c>
      <c r="F169" s="71" t="inlineStr">
        <is>
          <t>سازمان مدیریت صنعتی</t>
        </is>
      </c>
      <c r="G169" s="71" t="inlineStr">
        <is>
          <t>94F11CA2</t>
        </is>
      </c>
      <c r="H169" s="71" t="inlineStr">
        <is>
          <t>NATIONAL_ID</t>
        </is>
      </c>
      <c r="I169" s="71" t="inlineStr">
        <is>
          <t>رئیس هیئت مدیره</t>
        </is>
      </c>
      <c r="J169" s="71" t="inlineStr">
        <is>
          <t>INTERVAL</t>
        </is>
      </c>
      <c r="K169" s="71" t="n"/>
      <c r="L169" s="73" t="n"/>
      <c r="M169" s="71" t="inlineStr">
        <is>
          <t>1403/09/14</t>
        </is>
      </c>
      <c r="N169" s="73" t="n">
        <v>45630</v>
      </c>
      <c r="O169" s="71" t="inlineStr">
        <is>
          <t>1403/09/21</t>
        </is>
      </c>
      <c r="P169" s="73" t="n">
        <v>45637</v>
      </c>
      <c r="Q169" s="71" t="inlineStr">
        <is>
          <t>1404/12/29</t>
        </is>
      </c>
      <c r="R169" s="73" t="n">
        <v>46101</v>
      </c>
      <c r="S169" s="71">
        <f>IF(OR(J169="UNKNOWN",R169=""),"",R169-IF(J169="EXACT",L169,P169))</f>
        <v>464</v>
      </c>
      <c r="T169" s="71">
        <f>IF(J169="EXACT",R169-L169,IF(J169="INTERVAL",R169-N169,""))</f>
        <v>471</v>
      </c>
      <c r="U169" s="71">
        <f>IF(S169="","",S169/365.25)</f>
        <v>1.270362765229295</v>
      </c>
      <c r="V169" s="71">
        <f>IF(U169="","",U169^2)</f>
        <v>1.613821555281021</v>
      </c>
      <c r="W169" s="71" t="inlineStr">
        <is>
          <t>BM_DATE_CONFLICT_BETWEEN_NOTICE_VERSIONS:1403/09/14|1403/09/21</t>
        </is>
      </c>
      <c r="X169" s="71" t="inlineStr">
        <is>
          <t>TYPE19_ONLY|PERSON_ROLE_CHAIN</t>
        </is>
      </c>
      <c r="Y169" s="71" t="n"/>
      <c r="Z169" s="71" t="n"/>
      <c r="AA169" s="71" t="n"/>
      <c r="AB169" s="71" t="n"/>
      <c r="AC169" s="71" t="inlineStr">
        <is>
          <t>BM versions conflict</t>
        </is>
      </c>
    </row>
    <row r="170" ht="29" customHeight="1" s="76">
      <c r="A170" s="70" t="inlineStr">
        <is>
          <t>T167</t>
        </is>
      </c>
      <c r="B170" s="70" t="inlineStr">
        <is>
          <t>خساپا</t>
        </is>
      </c>
      <c r="C170" s="70" t="n"/>
      <c r="D170" s="70" t="inlineStr">
        <is>
          <t>CEO</t>
        </is>
      </c>
      <c r="E170" s="70" t="inlineStr">
        <is>
          <t>علی شیخ زاده</t>
        </is>
      </c>
      <c r="F170" s="70" t="n"/>
      <c r="G170" s="70" t="inlineStr">
        <is>
          <t>D34AB942</t>
        </is>
      </c>
      <c r="H170" s="70" t="inlineStr">
        <is>
          <t>NATIONAL_ID</t>
        </is>
      </c>
      <c r="I170" s="70" t="inlineStr">
        <is>
          <t>مدیرعامل</t>
        </is>
      </c>
      <c r="J170" s="70" t="inlineStr">
        <is>
          <t>EXACT</t>
        </is>
      </c>
      <c r="K170" s="70" t="inlineStr">
        <is>
          <t>1403/09/14</t>
        </is>
      </c>
      <c r="L170" s="72" t="n">
        <v>45630</v>
      </c>
      <c r="M170" s="70" t="inlineStr">
        <is>
          <t>1403/09/14</t>
        </is>
      </c>
      <c r="N170" s="72" t="n">
        <v>45630</v>
      </c>
      <c r="O170" s="70" t="inlineStr">
        <is>
          <t>1403/09/14</t>
        </is>
      </c>
      <c r="P170" s="72" t="n">
        <v>45630</v>
      </c>
      <c r="Q170" s="70" t="inlineStr">
        <is>
          <t>1404/12/29</t>
        </is>
      </c>
      <c r="R170" s="72" t="n">
        <v>46101</v>
      </c>
      <c r="S170" s="70">
        <f>IF(OR(J170="UNKNOWN",R170=""),"",R170-IF(J170="EXACT",L170,P170))</f>
        <v>471</v>
      </c>
      <c r="T170" s="70">
        <f>IF(J170="EXACT",R170-L170,IF(J170="INTERVAL",R170-N170,""))</f>
        <v>471</v>
      </c>
      <c r="U170" s="70">
        <f>IF(S170="","",S170/365.25)</f>
        <v>1.2895277207392197</v>
      </c>
      <c r="V170" s="70">
        <f>IF(U170="","",U170^2)</f>
        <v>1.662881742554887</v>
      </c>
      <c r="W170" s="70" t="inlineStr">
        <is>
          <t>BOARD_MEETING_DATE_IN_NOTICE</t>
        </is>
      </c>
      <c r="X170" s="70" t="inlineStr">
        <is>
          <t>TYPE19_ONLY</t>
        </is>
      </c>
      <c r="Y170" s="70" t="n"/>
      <c r="Z170" s="70" t="n"/>
      <c r="AA170" s="70" t="n"/>
      <c r="AB170" s="70" t="inlineStr">
        <is>
          <t>عضو هیئت مدیره</t>
        </is>
      </c>
      <c r="AC170" s="70" t="n"/>
    </row>
    <row r="171" ht="43.5" customHeight="1" s="76">
      <c r="A171" s="71" t="inlineStr">
        <is>
          <t>T168</t>
        </is>
      </c>
      <c r="B171" s="71" t="inlineStr">
        <is>
          <t>همراه</t>
        </is>
      </c>
      <c r="C171" s="71" t="inlineStr">
        <is>
          <t>F25-M1</t>
        </is>
      </c>
      <c r="D171" s="71" t="inlineStr">
        <is>
          <t>MEMBER</t>
        </is>
      </c>
      <c r="E171" s="71" t="inlineStr">
        <is>
          <t>حجت اله نیکی ملکی</t>
        </is>
      </c>
      <c r="F171" s="71" t="inlineStr">
        <is>
          <t>مخابرات ایران</t>
        </is>
      </c>
      <c r="G171" s="71" t="inlineStr">
        <is>
          <t>7F7B4C89</t>
        </is>
      </c>
      <c r="H171" s="71" t="inlineStr">
        <is>
          <t>NATIONAL_ID</t>
        </is>
      </c>
      <c r="I171" s="71" t="inlineStr">
        <is>
          <t>عضو هیئت مدیره موظف</t>
        </is>
      </c>
      <c r="J171" s="71" t="inlineStr">
        <is>
          <t>EXACT</t>
        </is>
      </c>
      <c r="K171" s="71" t="inlineStr">
        <is>
          <t>1400/08/09</t>
        </is>
      </c>
      <c r="L171" s="73" t="n">
        <v>44500</v>
      </c>
      <c r="M171" s="71" t="inlineStr">
        <is>
          <t>1400/08/09</t>
        </is>
      </c>
      <c r="N171" s="73" t="n">
        <v>44500</v>
      </c>
      <c r="O171" s="71" t="inlineStr">
        <is>
          <t>1400/08/09</t>
        </is>
      </c>
      <c r="P171" s="73" t="n">
        <v>44500</v>
      </c>
      <c r="Q171" s="71" t="inlineStr">
        <is>
          <t>1404/12/29</t>
        </is>
      </c>
      <c r="R171" s="73" t="n">
        <v>46101</v>
      </c>
      <c r="S171" s="71">
        <f>IF(OR(J171="UNKNOWN",R171=""),"",R171-IF(J171="EXACT",L171,P171))</f>
        <v>1601</v>
      </c>
      <c r="T171" s="71">
        <f>IF(J171="EXACT",R171-L171,IF(J171="INTERVAL",R171-N171,""))</f>
        <v>1601</v>
      </c>
      <c r="U171" s="71">
        <f>IF(S171="","",S171/365.25)</f>
        <v>4.383299110198494</v>
      </c>
      <c r="V171" s="71">
        <f>IF(U171="","",U171^2)</f>
        <v>19.21331108946691</v>
      </c>
      <c r="W171" s="71" t="inlineStr">
        <is>
          <t>REPORT_DECLARED_START_CONSISTENT_WITH_TYPE19_CONTINUITY</t>
        </is>
      </c>
      <c r="X171" s="71" t="inlineStr">
        <is>
          <t>REPORT+TYPE19_CONTINUITY</t>
        </is>
      </c>
      <c r="Y171" s="71" t="inlineStr">
        <is>
          <t>1400/08/09</t>
        </is>
      </c>
      <c r="Z171" s="71" t="inlineStr">
        <is>
          <t>START</t>
        </is>
      </c>
      <c r="AA171" s="71" t="n"/>
      <c r="AB171" s="71" t="inlineStr">
        <is>
          <t>MIN_CONTINUOUS|1401/01/09</t>
        </is>
      </c>
      <c r="AC171" s="71" t="inlineStr">
        <is>
          <t>type19 shows same person from 1401/01/09</t>
        </is>
      </c>
    </row>
    <row r="172" ht="29" customHeight="1" s="76">
      <c r="A172" s="70" t="inlineStr">
        <is>
          <t>T169</t>
        </is>
      </c>
      <c r="B172" s="70" t="inlineStr">
        <is>
          <t>همراه</t>
        </is>
      </c>
      <c r="C172" s="70" t="inlineStr">
        <is>
          <t>F25-M2</t>
        </is>
      </c>
      <c r="D172" s="70" t="inlineStr">
        <is>
          <t>MEMBER</t>
        </is>
      </c>
      <c r="E172" s="70" t="inlineStr">
        <is>
          <t>محمد پیری</t>
        </is>
      </c>
      <c r="F172" s="70" t="inlineStr">
        <is>
          <t>سرمایه گذاری مهر اقتصاد مبین</t>
        </is>
      </c>
      <c r="G172" s="70" t="inlineStr">
        <is>
          <t>08FE9E94</t>
        </is>
      </c>
      <c r="H172" s="70" t="inlineStr">
        <is>
          <t>NATIONAL_ID</t>
        </is>
      </c>
      <c r="I172" s="70" t="inlineStr">
        <is>
          <t>نایب رئیس هیئت مدیره غیر موظف</t>
        </is>
      </c>
      <c r="J172" s="70" t="inlineStr">
        <is>
          <t>EXACT</t>
        </is>
      </c>
      <c r="K172" s="70" t="inlineStr">
        <is>
          <t>1402/07/23</t>
        </is>
      </c>
      <c r="L172" s="72" t="n">
        <v>45214</v>
      </c>
      <c r="M172" s="70" t="inlineStr">
        <is>
          <t>1402/07/23</t>
        </is>
      </c>
      <c r="N172" s="72" t="n">
        <v>45214</v>
      </c>
      <c r="O172" s="70" t="inlineStr">
        <is>
          <t>1402/07/23</t>
        </is>
      </c>
      <c r="P172" s="72" t="n">
        <v>45214</v>
      </c>
      <c r="Q172" s="70" t="inlineStr">
        <is>
          <t>1404/12/29</t>
        </is>
      </c>
      <c r="R172" s="72" t="n">
        <v>46101</v>
      </c>
      <c r="S172" s="70">
        <f>IF(OR(J172="UNKNOWN",R172=""),"",R172-IF(J172="EXACT",L172,P172))</f>
        <v>887</v>
      </c>
      <c r="T172" s="70">
        <f>IF(J172="EXACT",R172-L172,IF(J172="INTERVAL",R172-N172,""))</f>
        <v>887</v>
      </c>
      <c r="U172" s="70">
        <f>IF(S172="","",S172/365.25)</f>
        <v>2.428473648186174</v>
      </c>
      <c r="V172" s="70">
        <f>IF(U172="","",U172^2)</f>
        <v>5.897484259934665</v>
      </c>
      <c r="W172" s="70" t="inlineStr">
        <is>
          <t>BOARD_MEETING_DATE_IN_NOTICE</t>
        </is>
      </c>
      <c r="X172" s="70" t="inlineStr">
        <is>
          <t>TYPE19+REPORT_CORROBORATED</t>
        </is>
      </c>
      <c r="Y172" s="70" t="inlineStr">
        <is>
          <t>1402/07/23</t>
        </is>
      </c>
      <c r="Z172" s="70" t="inlineStr">
        <is>
          <t>START</t>
        </is>
      </c>
      <c r="AA172" s="70" t="n"/>
      <c r="AB172" s="70" t="inlineStr">
        <is>
          <t>MIN_CONTINUOUS|1401/01/09</t>
        </is>
      </c>
      <c r="AC172" s="70" t="inlineStr">
        <is>
          <t>report date 1402/07/23 (diff 0d)</t>
        </is>
      </c>
    </row>
    <row r="173" ht="43.5" customHeight="1" s="76">
      <c r="A173" s="71" t="inlineStr">
        <is>
          <t>T170</t>
        </is>
      </c>
      <c r="B173" s="71" t="inlineStr">
        <is>
          <t>همراه</t>
        </is>
      </c>
      <c r="C173" s="71" t="inlineStr">
        <is>
          <t>F25-M3</t>
        </is>
      </c>
      <c r="D173" s="71" t="inlineStr">
        <is>
          <t>MEMBER</t>
        </is>
      </c>
      <c r="E173" s="71" t="inlineStr">
        <is>
          <t>علی بقائی</t>
        </is>
      </c>
      <c r="F173" s="71" t="inlineStr">
        <is>
          <t>گسترش الکترونیک تدبیر ایران</t>
        </is>
      </c>
      <c r="G173" s="71" t="inlineStr">
        <is>
          <t>CB2524F6</t>
        </is>
      </c>
      <c r="H173" s="71" t="inlineStr">
        <is>
          <t>NATIONAL_ID</t>
        </is>
      </c>
      <c r="I173" s="71" t="inlineStr">
        <is>
          <t>رئیس هیئت مدیره غیر موظف</t>
        </is>
      </c>
      <c r="J173" s="71" t="inlineStr">
        <is>
          <t>EXACT</t>
        </is>
      </c>
      <c r="K173" s="71" t="inlineStr">
        <is>
          <t>1395/02/13</t>
        </is>
      </c>
      <c r="L173" s="73" t="n">
        <v>42492</v>
      </c>
      <c r="M173" s="71" t="inlineStr">
        <is>
          <t>1395/02/13</t>
        </is>
      </c>
      <c r="N173" s="73" t="n">
        <v>42492</v>
      </c>
      <c r="O173" s="71" t="inlineStr">
        <is>
          <t>1395/02/13</t>
        </is>
      </c>
      <c r="P173" s="73" t="n">
        <v>42492</v>
      </c>
      <c r="Q173" s="71" t="inlineStr">
        <is>
          <t>1404/12/29</t>
        </is>
      </c>
      <c r="R173" s="73" t="n">
        <v>46101</v>
      </c>
      <c r="S173" s="71">
        <f>IF(OR(J173="UNKNOWN",R173=""),"",R173-IF(J173="EXACT",L173,P173))</f>
        <v>3609</v>
      </c>
      <c r="T173" s="71">
        <f>IF(J173="EXACT",R173-L173,IF(J173="INTERVAL",R173-N173,""))</f>
        <v>3609</v>
      </c>
      <c r="U173" s="71">
        <f>IF(S173="","",S173/365.25)</f>
        <v>9.880903490759753</v>
      </c>
      <c r="V173" s="71">
        <f>IF(U173="","",U173^2)</f>
        <v>97.63225379370827</v>
      </c>
      <c r="W173" s="71" t="inlineStr">
        <is>
          <t>REPORT_DECLARED_START_CONSISTENT_WITH_TYPE19_CONTINUITY</t>
        </is>
      </c>
      <c r="X173" s="71" t="inlineStr">
        <is>
          <t>REPORT+TYPE19_CONTINUITY</t>
        </is>
      </c>
      <c r="Y173" s="71" t="inlineStr">
        <is>
          <t>1395/02/13</t>
        </is>
      </c>
      <c r="Z173" s="71" t="inlineStr">
        <is>
          <t>START</t>
        </is>
      </c>
      <c r="AA173" s="71" t="n"/>
      <c r="AB173" s="71" t="inlineStr">
        <is>
          <t>MIN_CONTINUOUS|1401/01/09</t>
        </is>
      </c>
      <c r="AC173" s="71" t="inlineStr">
        <is>
          <t>type19 shows same person from 1401/01/09</t>
        </is>
      </c>
    </row>
    <row r="174" ht="29" customHeight="1" s="76">
      <c r="A174" s="70" t="inlineStr">
        <is>
          <t>T171</t>
        </is>
      </c>
      <c r="B174" s="70" t="inlineStr">
        <is>
          <t>همراه</t>
        </is>
      </c>
      <c r="C174" s="70" t="inlineStr">
        <is>
          <t>F25-M3</t>
        </is>
      </c>
      <c r="D174" s="70" t="inlineStr">
        <is>
          <t>CHAIR</t>
        </is>
      </c>
      <c r="E174" s="70" t="inlineStr">
        <is>
          <t>علی بقائی</t>
        </is>
      </c>
      <c r="F174" s="70" t="inlineStr">
        <is>
          <t>گسترش الکترونیک تدبیر ایران</t>
        </is>
      </c>
      <c r="G174" s="70" t="inlineStr">
        <is>
          <t>CB2524F6</t>
        </is>
      </c>
      <c r="H174" s="70" t="inlineStr">
        <is>
          <t>NATIONAL_ID</t>
        </is>
      </c>
      <c r="I174" s="70" t="inlineStr">
        <is>
          <t>رئیس هیئت مدیره</t>
        </is>
      </c>
      <c r="J174" s="70" t="inlineStr">
        <is>
          <t>MIN_CONTINUOUS</t>
        </is>
      </c>
      <c r="K174" s="70" t="n"/>
      <c r="L174" s="72" t="n"/>
      <c r="M174" s="70" t="n"/>
      <c r="N174" s="72" t="n"/>
      <c r="O174" s="70" t="inlineStr">
        <is>
          <t>1401/01/09</t>
        </is>
      </c>
      <c r="P174" s="72" t="n">
        <v>44649</v>
      </c>
      <c r="Q174" s="70" t="inlineStr">
        <is>
          <t>1404/12/29</t>
        </is>
      </c>
      <c r="R174" s="72" t="n">
        <v>46101</v>
      </c>
      <c r="S174" s="70">
        <f>IF(OR(J174="UNKNOWN",R174=""),"",R174-IF(J174="EXACT",L174,P174))</f>
        <v>1452</v>
      </c>
      <c r="T174" s="70">
        <f>IF(J174="EXACT",R174-L174,IF(J174="INTERVAL",R174-N174,""))</f>
      </c>
      <c r="U174" s="70">
        <f>IF(S174="","",S174/365.25)</f>
        <v>3.975359342915811</v>
      </c>
      <c r="V174" s="70">
        <f>IF(U174="","",U174^2)</f>
        <v>15.803481905308027</v>
      </c>
      <c r="W174" s="70" t="inlineStr">
        <is>
          <t>FIRST_OBSERVATION_NOTICE_PUBLICATION</t>
        </is>
      </c>
      <c r="X174" s="70" t="inlineStr">
        <is>
          <t>TYPE19_ONLY|PERSON_ROLE_CHAIN</t>
        </is>
      </c>
      <c r="Y174" s="70" t="n"/>
      <c r="Z174" s="70" t="n"/>
      <c r="AA174" s="70" t="n"/>
      <c r="AB174" s="70" t="n"/>
      <c r="AC174" s="70" t="n"/>
    </row>
    <row r="175" ht="29" customHeight="1" s="76">
      <c r="A175" s="71" t="inlineStr">
        <is>
          <t>T172</t>
        </is>
      </c>
      <c r="B175" s="71" t="inlineStr">
        <is>
          <t>همراه</t>
        </is>
      </c>
      <c r="C175" s="71" t="inlineStr">
        <is>
          <t>F25-M4</t>
        </is>
      </c>
      <c r="D175" s="71" t="inlineStr">
        <is>
          <t>MEMBER</t>
        </is>
      </c>
      <c r="E175" s="71" t="inlineStr">
        <is>
          <t>حسین میرزاپور</t>
        </is>
      </c>
      <c r="F175" s="71" t="inlineStr">
        <is>
          <t>گسترش خدمات ارتباطات کارا شاب</t>
        </is>
      </c>
      <c r="G175" s="71" t="inlineStr">
        <is>
          <t>8156C121</t>
        </is>
      </c>
      <c r="H175" s="71" t="inlineStr">
        <is>
          <t>NATIONAL_ID</t>
        </is>
      </c>
      <c r="I175" s="71" t="inlineStr">
        <is>
          <t>عضو هیئت مدیره غیر موظف</t>
        </is>
      </c>
      <c r="J175" s="71" t="inlineStr">
        <is>
          <t>EXACT</t>
        </is>
      </c>
      <c r="K175" s="71" t="inlineStr">
        <is>
          <t>1401/09/13</t>
        </is>
      </c>
      <c r="L175" s="73" t="n">
        <v>44899</v>
      </c>
      <c r="M175" s="71" t="inlineStr">
        <is>
          <t>1401/09/13</t>
        </is>
      </c>
      <c r="N175" s="73" t="n">
        <v>44899</v>
      </c>
      <c r="O175" s="71" t="inlineStr">
        <is>
          <t>1401/09/13</t>
        </is>
      </c>
      <c r="P175" s="73" t="n">
        <v>44899</v>
      </c>
      <c r="Q175" s="71" t="inlineStr">
        <is>
          <t>1404/12/29</t>
        </is>
      </c>
      <c r="R175" s="73" t="n">
        <v>46101</v>
      </c>
      <c r="S175" s="71">
        <f>IF(OR(J175="UNKNOWN",R175=""),"",R175-IF(J175="EXACT",L175,P175))</f>
        <v>1202</v>
      </c>
      <c r="T175" s="71">
        <f>IF(J175="EXACT",R175-L175,IF(J175="INTERVAL",R175-N175,""))</f>
        <v>1202</v>
      </c>
      <c r="U175" s="71">
        <f>IF(S175="","",S175/365.25)</f>
        <v>3.2908966461327855</v>
      </c>
      <c r="V175" s="71">
        <f>IF(U175="","",U175^2)</f>
        <v>10.830000735528015</v>
      </c>
      <c r="W175" s="71" t="inlineStr">
        <is>
          <t>BOARD_MEETING_DATE_IN_NOTICE</t>
        </is>
      </c>
      <c r="X175" s="71" t="inlineStr">
        <is>
          <t>TYPE19+REPORT_CORROBORATED</t>
        </is>
      </c>
      <c r="Y175" s="71" t="inlineStr">
        <is>
          <t>1401/09/13</t>
        </is>
      </c>
      <c r="Z175" s="71" t="inlineStr">
        <is>
          <t>START</t>
        </is>
      </c>
      <c r="AA175" s="71" t="n"/>
      <c r="AB175" s="71" t="inlineStr">
        <is>
          <t>MIN_CONTINUOUS|1401/01/09</t>
        </is>
      </c>
      <c r="AC175" s="71" t="inlineStr">
        <is>
          <t>report date 1401/09/13 (diff 0d)</t>
        </is>
      </c>
    </row>
    <row r="176" ht="29" customHeight="1" s="76">
      <c r="A176" s="70" t="inlineStr">
        <is>
          <t>T173</t>
        </is>
      </c>
      <c r="B176" s="70" t="inlineStr">
        <is>
          <t>همراه</t>
        </is>
      </c>
      <c r="C176" s="70" t="inlineStr">
        <is>
          <t>F25-M5</t>
        </is>
      </c>
      <c r="D176" s="70" t="inlineStr">
        <is>
          <t>MEMBER</t>
        </is>
      </c>
      <c r="E176" s="70" t="inlineStr">
        <is>
          <t>مهدی اخوان بهابادی</t>
        </is>
      </c>
      <c r="F176" s="70" t="inlineStr">
        <is>
          <t>مدیریت سامان سازه غدیر</t>
        </is>
      </c>
      <c r="G176" s="70" t="inlineStr">
        <is>
          <t>68AE5E04</t>
        </is>
      </c>
      <c r="H176" s="70" t="inlineStr">
        <is>
          <t>NATIONAL_ID</t>
        </is>
      </c>
      <c r="I176" s="70" t="inlineStr">
        <is>
          <t>عضو هیئت مدیره موظف</t>
        </is>
      </c>
      <c r="J176" s="70" t="inlineStr">
        <is>
          <t>EXACT</t>
        </is>
      </c>
      <c r="K176" s="70" t="inlineStr">
        <is>
          <t>1403/04/19</t>
        </is>
      </c>
      <c r="L176" s="72" t="n">
        <v>45482</v>
      </c>
      <c r="M176" s="70" t="inlineStr">
        <is>
          <t>1403/04/19</t>
        </is>
      </c>
      <c r="N176" s="72" t="n">
        <v>45482</v>
      </c>
      <c r="O176" s="70" t="inlineStr">
        <is>
          <t>1403/04/19</t>
        </is>
      </c>
      <c r="P176" s="72" t="n">
        <v>45482</v>
      </c>
      <c r="Q176" s="70" t="inlineStr">
        <is>
          <t>1404/12/29</t>
        </is>
      </c>
      <c r="R176" s="72" t="n">
        <v>46101</v>
      </c>
      <c r="S176" s="70">
        <f>IF(OR(J176="UNKNOWN",R176=""),"",R176-IF(J176="EXACT",L176,P176))</f>
        <v>619</v>
      </c>
      <c r="T176" s="70">
        <f>IF(J176="EXACT",R176-L176,IF(J176="INTERVAL",R176-N176,""))</f>
        <v>619</v>
      </c>
      <c r="U176" s="70">
        <f>IF(S176="","",S176/365.25)</f>
        <v>1.6947296372347707</v>
      </c>
      <c r="V176" s="70">
        <f>IF(U176="","",U176^2)</f>
        <v>2.872108543321897</v>
      </c>
      <c r="W176" s="70" t="inlineStr">
        <is>
          <t>BOARD_MEETING_DATE_IN_NOTICE</t>
        </is>
      </c>
      <c r="X176" s="70" t="inlineStr">
        <is>
          <t>TYPE19+REPORT_CORROBORATED</t>
        </is>
      </c>
      <c r="Y176" s="70" t="inlineStr">
        <is>
          <t>1403/04/19</t>
        </is>
      </c>
      <c r="Z176" s="70" t="inlineStr">
        <is>
          <t>START</t>
        </is>
      </c>
      <c r="AA176" s="70" t="n"/>
      <c r="AB176" s="70" t="inlineStr">
        <is>
          <t>MIN_CONTINUOUS|1401/01/09</t>
        </is>
      </c>
      <c r="AC176" s="70" t="inlineStr">
        <is>
          <t>report date 1403/04/19 (diff 0d)</t>
        </is>
      </c>
    </row>
    <row r="177" ht="29" customHeight="1" s="76">
      <c r="A177" s="71" t="inlineStr">
        <is>
          <t>T174</t>
        </is>
      </c>
      <c r="B177" s="71" t="inlineStr">
        <is>
          <t>همراه</t>
        </is>
      </c>
      <c r="C177" s="71" t="n"/>
      <c r="D177" s="71" t="inlineStr">
        <is>
          <t>CEO</t>
        </is>
      </c>
      <c r="E177" s="71" t="inlineStr">
        <is>
          <t>مهدی اخوان بهابادی</t>
        </is>
      </c>
      <c r="F177" s="71" t="n"/>
      <c r="G177" s="71" t="inlineStr">
        <is>
          <t>68AE5E04</t>
        </is>
      </c>
      <c r="H177" s="71" t="inlineStr">
        <is>
          <t>NATIONAL_ID</t>
        </is>
      </c>
      <c r="I177" s="71" t="inlineStr">
        <is>
          <t>مدیرعامل</t>
        </is>
      </c>
      <c r="J177" s="71" t="inlineStr">
        <is>
          <t>MIN_CONTINUOUS</t>
        </is>
      </c>
      <c r="K177" s="71" t="n"/>
      <c r="L177" s="73" t="n"/>
      <c r="M177" s="71" t="n"/>
      <c r="N177" s="73" t="n"/>
      <c r="O177" s="71" t="inlineStr">
        <is>
          <t>1402/03/10</t>
        </is>
      </c>
      <c r="P177" s="73" t="n">
        <v>45077</v>
      </c>
      <c r="Q177" s="71" t="inlineStr">
        <is>
          <t>1404/12/29</t>
        </is>
      </c>
      <c r="R177" s="73" t="n">
        <v>46101</v>
      </c>
      <c r="S177" s="71">
        <f>IF(OR(J177="UNKNOWN",R177=""),"",R177-IF(J177="EXACT",L177,P177))</f>
        <v>1024</v>
      </c>
      <c r="T177" s="71">
        <f>IF(J177="EXACT",R177-L177,IF(J177="INTERVAL",R177-N177,""))</f>
      </c>
      <c r="U177" s="71">
        <f>IF(S177="","",S177/365.25)</f>
        <v>2.8035592060232717</v>
      </c>
      <c r="V177" s="71">
        <f>IF(U177="","",U177^2)</f>
        <v>7.8599442216778375</v>
      </c>
      <c r="W177" s="71" t="inlineStr">
        <is>
          <t>FIRST_OBSERVATION_NOTICE_PUBLICATION</t>
        </is>
      </c>
      <c r="X177" s="71" t="inlineStr">
        <is>
          <t>TYPE19_ONLY</t>
        </is>
      </c>
      <c r="Y177" s="71" t="n"/>
      <c r="Z177" s="71" t="n"/>
      <c r="AA177" s="71" t="n"/>
      <c r="AB177" s="71" t="inlineStr">
        <is>
          <t>عضو هیئت مدیره</t>
        </is>
      </c>
      <c r="AC177" s="71" t="n"/>
    </row>
    <row r="178" ht="29" customHeight="1" s="76">
      <c r="A178" s="70" t="inlineStr">
        <is>
          <t>T175</t>
        </is>
      </c>
      <c r="B178" s="70" t="inlineStr">
        <is>
          <t>وبملت</t>
        </is>
      </c>
      <c r="C178" s="70" t="inlineStr">
        <is>
          <t>F26-M1</t>
        </is>
      </c>
      <c r="D178" s="70" t="inlineStr">
        <is>
          <t>MEMBER</t>
        </is>
      </c>
      <c r="E178" s="70" t="inlineStr">
        <is>
          <t>سیدکاظم چاوشی</t>
        </is>
      </c>
      <c r="F178" s="70" t="n"/>
      <c r="G178" s="70" t="inlineStr">
        <is>
          <t>EBBC2CBB</t>
        </is>
      </c>
      <c r="H178" s="70" t="inlineStr">
        <is>
          <t>NATIONAL_ID</t>
        </is>
      </c>
      <c r="I178" s="70" t="inlineStr">
        <is>
          <t>نایب رئیس هیئت مدیره موظف</t>
        </is>
      </c>
      <c r="J178" s="70" t="inlineStr">
        <is>
          <t>MIN_CONTINUOUS</t>
        </is>
      </c>
      <c r="K178" s="70" t="n"/>
      <c r="L178" s="72" t="n"/>
      <c r="M178" s="70" t="n"/>
      <c r="N178" s="72" t="n"/>
      <c r="O178" s="70" t="inlineStr">
        <is>
          <t>1401/03/01</t>
        </is>
      </c>
      <c r="P178" s="72" t="n">
        <v>44703</v>
      </c>
      <c r="Q178" s="70" t="inlineStr">
        <is>
          <t>1404/12/29</t>
        </is>
      </c>
      <c r="R178" s="72" t="n">
        <v>46101</v>
      </c>
      <c r="S178" s="70">
        <f>IF(OR(J178="UNKNOWN",R178=""),"",R178-IF(J178="EXACT",L178,P178))</f>
        <v>1398</v>
      </c>
      <c r="T178" s="70">
        <f>IF(J178="EXACT",R178-L178,IF(J178="INTERVAL",R178-N178,""))</f>
      </c>
      <c r="U178" s="70">
        <f>IF(S178="","",S178/365.25)</f>
        <v>3.8275154004106775</v>
      </c>
      <c r="V178" s="70">
        <f>IF(U178="","",U178^2)</f>
        <v>14.64987414038091</v>
      </c>
      <c r="W178" s="70" t="inlineStr">
        <is>
          <t>FIRST_OBSERVATION_NOTICE_PUBLICATION</t>
        </is>
      </c>
      <c r="X178" s="70" t="inlineStr">
        <is>
          <t>TYPE19_ONLY</t>
        </is>
      </c>
      <c r="Y178" s="70" t="n"/>
      <c r="Z178" s="70" t="n"/>
      <c r="AA178" s="70" t="n"/>
      <c r="AB178" s="70" t="inlineStr">
        <is>
          <t>MIN_CONTINUOUS|1401/03/01</t>
        </is>
      </c>
      <c r="AC178" s="70" t="n"/>
    </row>
    <row r="179" ht="29" customHeight="1" s="76">
      <c r="A179" s="71" t="inlineStr">
        <is>
          <t>T176</t>
        </is>
      </c>
      <c r="B179" s="71" t="inlineStr">
        <is>
          <t>وبملت</t>
        </is>
      </c>
      <c r="C179" s="71" t="inlineStr">
        <is>
          <t>F26-M2</t>
        </is>
      </c>
      <c r="D179" s="71" t="inlineStr">
        <is>
          <t>MEMBER</t>
        </is>
      </c>
      <c r="E179" s="71" t="inlineStr">
        <is>
          <t>مسعود نصراصفهانی</t>
        </is>
      </c>
      <c r="F179" s="71" t="n"/>
      <c r="G179" s="71" t="inlineStr">
        <is>
          <t>166F33E2</t>
        </is>
      </c>
      <c r="H179" s="71" t="inlineStr">
        <is>
          <t>NATIONAL_ID</t>
        </is>
      </c>
      <c r="I179" s="71" t="inlineStr">
        <is>
          <t>رئیس هیئت مدیره موظف</t>
        </is>
      </c>
      <c r="J179" s="71" t="inlineStr">
        <is>
          <t>MIN_CONTINUOUS</t>
        </is>
      </c>
      <c r="K179" s="71" t="n"/>
      <c r="L179" s="73" t="n"/>
      <c r="M179" s="71" t="n"/>
      <c r="N179" s="73" t="n"/>
      <c r="O179" s="71" t="inlineStr">
        <is>
          <t>1401/03/01</t>
        </is>
      </c>
      <c r="P179" s="73" t="n">
        <v>44703</v>
      </c>
      <c r="Q179" s="71" t="inlineStr">
        <is>
          <t>1404/12/29</t>
        </is>
      </c>
      <c r="R179" s="73" t="n">
        <v>46101</v>
      </c>
      <c r="S179" s="71">
        <f>IF(OR(J179="UNKNOWN",R179=""),"",R179-IF(J179="EXACT",L179,P179))</f>
        <v>1398</v>
      </c>
      <c r="T179" s="71">
        <f>IF(J179="EXACT",R179-L179,IF(J179="INTERVAL",R179-N179,""))</f>
      </c>
      <c r="U179" s="71">
        <f>IF(S179="","",S179/365.25)</f>
        <v>3.8275154004106775</v>
      </c>
      <c r="V179" s="71">
        <f>IF(U179="","",U179^2)</f>
        <v>14.64987414038091</v>
      </c>
      <c r="W179" s="71" t="inlineStr">
        <is>
          <t>FIRST_OBSERVATION_NOTICE_PUBLICATION</t>
        </is>
      </c>
      <c r="X179" s="71" t="inlineStr">
        <is>
          <t>TYPE19_ONLY</t>
        </is>
      </c>
      <c r="Y179" s="71" t="n"/>
      <c r="Z179" s="71" t="n"/>
      <c r="AA179" s="71" t="n"/>
      <c r="AB179" s="71" t="inlineStr">
        <is>
          <t>MIN_CONTINUOUS|1401/03/01</t>
        </is>
      </c>
      <c r="AC179" s="71" t="n"/>
    </row>
    <row r="180" ht="29" customHeight="1" s="76">
      <c r="A180" s="70" t="inlineStr">
        <is>
          <t>T177</t>
        </is>
      </c>
      <c r="B180" s="70" t="inlineStr">
        <is>
          <t>وبملت</t>
        </is>
      </c>
      <c r="C180" s="70" t="inlineStr">
        <is>
          <t>F26-M2</t>
        </is>
      </c>
      <c r="D180" s="70" t="inlineStr">
        <is>
          <t>CHAIR</t>
        </is>
      </c>
      <c r="E180" s="70" t="inlineStr">
        <is>
          <t>مسعود نصراصفهانی</t>
        </is>
      </c>
      <c r="F180" s="70" t="inlineStr">
        <is>
          <t>مسعود نصراصفهانی</t>
        </is>
      </c>
      <c r="G180" s="70" t="inlineStr">
        <is>
          <t>166F33E2</t>
        </is>
      </c>
      <c r="H180" s="70" t="inlineStr">
        <is>
          <t>NATIONAL_ID</t>
        </is>
      </c>
      <c r="I180" s="70" t="inlineStr">
        <is>
          <t>رئیس هیئت مدیره</t>
        </is>
      </c>
      <c r="J180" s="70" t="inlineStr">
        <is>
          <t>MIN_CONTINUOUS</t>
        </is>
      </c>
      <c r="K180" s="70" t="n"/>
      <c r="L180" s="72" t="n"/>
      <c r="M180" s="70" t="n"/>
      <c r="N180" s="72" t="n"/>
      <c r="O180" s="70" t="inlineStr">
        <is>
          <t>1401/03/01</t>
        </is>
      </c>
      <c r="P180" s="72" t="n">
        <v>44703</v>
      </c>
      <c r="Q180" s="70" t="inlineStr">
        <is>
          <t>1404/12/29</t>
        </is>
      </c>
      <c r="R180" s="72" t="n">
        <v>46101</v>
      </c>
      <c r="S180" s="70">
        <f>IF(OR(J180="UNKNOWN",R180=""),"",R180-IF(J180="EXACT",L180,P180))</f>
        <v>1398</v>
      </c>
      <c r="T180" s="70">
        <f>IF(J180="EXACT",R180-L180,IF(J180="INTERVAL",R180-N180,""))</f>
      </c>
      <c r="U180" s="70">
        <f>IF(S180="","",S180/365.25)</f>
        <v>3.8275154004106775</v>
      </c>
      <c r="V180" s="70">
        <f>IF(U180="","",U180^2)</f>
        <v>14.64987414038091</v>
      </c>
      <c r="W180" s="70" t="inlineStr">
        <is>
          <t>FIRST_OBSERVATION_NOTICE_PUBLICATION</t>
        </is>
      </c>
      <c r="X180" s="70" t="inlineStr">
        <is>
          <t>TYPE19_ONLY|PERSON_ROLE_CHAIN</t>
        </is>
      </c>
      <c r="Y180" s="70" t="n"/>
      <c r="Z180" s="70" t="n"/>
      <c r="AA180" s="70" t="n"/>
      <c r="AB180" s="70" t="n"/>
      <c r="AC180" s="70" t="n"/>
    </row>
    <row r="181" ht="29" customHeight="1" s="76">
      <c r="A181" s="71" t="inlineStr">
        <is>
          <t>T178</t>
        </is>
      </c>
      <c r="B181" s="71" t="inlineStr">
        <is>
          <t>وبملت</t>
        </is>
      </c>
      <c r="C181" s="71" t="inlineStr">
        <is>
          <t>F26-M3</t>
        </is>
      </c>
      <c r="D181" s="71" t="inlineStr">
        <is>
          <t>MEMBER</t>
        </is>
      </c>
      <c r="E181" s="71" t="inlineStr">
        <is>
          <t>عباس اشرف نژاد</t>
        </is>
      </c>
      <c r="F181" s="71" t="n"/>
      <c r="G181" s="71" t="inlineStr">
        <is>
          <t>EF3454D7</t>
        </is>
      </c>
      <c r="H181" s="71" t="inlineStr">
        <is>
          <t>NATIONAL_ID</t>
        </is>
      </c>
      <c r="I181" s="71" t="inlineStr">
        <is>
          <t>عضو هیئت مدیره موظف</t>
        </is>
      </c>
      <c r="J181" s="71" t="inlineStr">
        <is>
          <t>MIN_CONTINUOUS</t>
        </is>
      </c>
      <c r="K181" s="71" t="n"/>
      <c r="L181" s="73" t="n"/>
      <c r="M181" s="71" t="n"/>
      <c r="N181" s="73" t="n"/>
      <c r="O181" s="71" t="inlineStr">
        <is>
          <t>1401/03/01</t>
        </is>
      </c>
      <c r="P181" s="73" t="n">
        <v>44703</v>
      </c>
      <c r="Q181" s="71" t="inlineStr">
        <is>
          <t>1404/12/29</t>
        </is>
      </c>
      <c r="R181" s="73" t="n">
        <v>46101</v>
      </c>
      <c r="S181" s="71">
        <f>IF(OR(J181="UNKNOWN",R181=""),"",R181-IF(J181="EXACT",L181,P181))</f>
        <v>1398</v>
      </c>
      <c r="T181" s="71">
        <f>IF(J181="EXACT",R181-L181,IF(J181="INTERVAL",R181-N181,""))</f>
      </c>
      <c r="U181" s="71">
        <f>IF(S181="","",S181/365.25)</f>
        <v>3.8275154004106775</v>
      </c>
      <c r="V181" s="71">
        <f>IF(U181="","",U181^2)</f>
        <v>14.64987414038091</v>
      </c>
      <c r="W181" s="71" t="inlineStr">
        <is>
          <t>FIRST_OBSERVATION_NOTICE_PUBLICATION</t>
        </is>
      </c>
      <c r="X181" s="71" t="inlineStr">
        <is>
          <t>TYPE19_ONLY</t>
        </is>
      </c>
      <c r="Y181" s="71" t="n"/>
      <c r="Z181" s="71" t="n"/>
      <c r="AA181" s="71" t="n"/>
      <c r="AB181" s="71" t="inlineStr">
        <is>
          <t>MIN_CONTINUOUS|1401/03/01</t>
        </is>
      </c>
      <c r="AC181" s="71" t="n"/>
    </row>
    <row r="182" ht="29" customHeight="1" s="76">
      <c r="A182" s="70" t="inlineStr">
        <is>
          <t>T179</t>
        </is>
      </c>
      <c r="B182" s="70" t="inlineStr">
        <is>
          <t>وبملت</t>
        </is>
      </c>
      <c r="C182" s="70" t="inlineStr">
        <is>
          <t>F26-M4</t>
        </is>
      </c>
      <c r="D182" s="70" t="inlineStr">
        <is>
          <t>MEMBER</t>
        </is>
      </c>
      <c r="E182" s="70" t="inlineStr">
        <is>
          <t>سیدرضا موسوی</t>
        </is>
      </c>
      <c r="F182" s="70" t="n"/>
      <c r="G182" s="70" t="inlineStr">
        <is>
          <t>615EE44A</t>
        </is>
      </c>
      <c r="H182" s="70" t="inlineStr">
        <is>
          <t>NATIONAL_ID</t>
        </is>
      </c>
      <c r="I182" s="70" t="inlineStr">
        <is>
          <t>عضو هیئت مدیره موظف</t>
        </is>
      </c>
      <c r="J182" s="70" t="inlineStr">
        <is>
          <t>EXACT</t>
        </is>
      </c>
      <c r="K182" s="70" t="inlineStr">
        <is>
          <t>1402/12/24</t>
        </is>
      </c>
      <c r="L182" s="72" t="n">
        <v>45365</v>
      </c>
      <c r="M182" s="70" t="inlineStr">
        <is>
          <t>1402/12/24</t>
        </is>
      </c>
      <c r="N182" s="72" t="n">
        <v>45365</v>
      </c>
      <c r="O182" s="70" t="inlineStr">
        <is>
          <t>1402/12/24</t>
        </is>
      </c>
      <c r="P182" s="72" t="n">
        <v>45365</v>
      </c>
      <c r="Q182" s="70" t="inlineStr">
        <is>
          <t>1404/12/29</t>
        </is>
      </c>
      <c r="R182" s="72" t="n">
        <v>46101</v>
      </c>
      <c r="S182" s="70">
        <f>IF(OR(J182="UNKNOWN",R182=""),"",R182-IF(J182="EXACT",L182,P182))</f>
        <v>736</v>
      </c>
      <c r="T182" s="70">
        <f>IF(J182="EXACT",R182-L182,IF(J182="INTERVAL",R182-N182,""))</f>
        <v>736</v>
      </c>
      <c r="U182" s="70">
        <f>IF(S182="","",S182/365.25)</f>
        <v>2.0150581793292264</v>
      </c>
      <c r="V182" s="70">
        <f>IF(U182="","",U182^2)</f>
        <v>4.060459466081617</v>
      </c>
      <c r="W182" s="70" t="inlineStr">
        <is>
          <t>BOARD_MEETING_DATE_IN_NOTICE</t>
        </is>
      </c>
      <c r="X182" s="70" t="inlineStr">
        <is>
          <t>TYPE19_ONLY</t>
        </is>
      </c>
      <c r="Y182" s="70" t="n"/>
      <c r="Z182" s="70" t="n"/>
      <c r="AA182" s="70" t="n"/>
      <c r="AB182" s="70" t="inlineStr">
        <is>
          <t>EXACT|1402/12/24</t>
        </is>
      </c>
      <c r="AC182" s="70" t="n"/>
    </row>
    <row r="183" ht="29" customHeight="1" s="76">
      <c r="A183" s="71" t="inlineStr">
        <is>
          <t>T180</t>
        </is>
      </c>
      <c r="B183" s="71" t="inlineStr">
        <is>
          <t>وبملت</t>
        </is>
      </c>
      <c r="C183" s="71" t="inlineStr">
        <is>
          <t>F26-M5</t>
        </is>
      </c>
      <c r="D183" s="71" t="inlineStr">
        <is>
          <t>MEMBER</t>
        </is>
      </c>
      <c r="E183" s="71" t="inlineStr">
        <is>
          <t>فرشید فرخ نژاد</t>
        </is>
      </c>
      <c r="F183" s="71" t="n"/>
      <c r="G183" s="71" t="inlineStr">
        <is>
          <t>8626F0E0</t>
        </is>
      </c>
      <c r="H183" s="71" t="inlineStr">
        <is>
          <t>NATIONAL_ID</t>
        </is>
      </c>
      <c r="I183" s="71" t="inlineStr">
        <is>
          <t>عضو هیئت مدیره موظف</t>
        </is>
      </c>
      <c r="J183" s="71" t="inlineStr">
        <is>
          <t>EXACT</t>
        </is>
      </c>
      <c r="K183" s="71" t="inlineStr">
        <is>
          <t>1402/12/24</t>
        </is>
      </c>
      <c r="L183" s="73" t="n">
        <v>45365</v>
      </c>
      <c r="M183" s="71" t="inlineStr">
        <is>
          <t>1402/12/24</t>
        </is>
      </c>
      <c r="N183" s="73" t="n">
        <v>45365</v>
      </c>
      <c r="O183" s="71" t="inlineStr">
        <is>
          <t>1402/12/24</t>
        </is>
      </c>
      <c r="P183" s="73" t="n">
        <v>45365</v>
      </c>
      <c r="Q183" s="71" t="inlineStr">
        <is>
          <t>1404/12/29</t>
        </is>
      </c>
      <c r="R183" s="73" t="n">
        <v>46101</v>
      </c>
      <c r="S183" s="71">
        <f>IF(OR(J183="UNKNOWN",R183=""),"",R183-IF(J183="EXACT",L183,P183))</f>
        <v>736</v>
      </c>
      <c r="T183" s="71">
        <f>IF(J183="EXACT",R183-L183,IF(J183="INTERVAL",R183-N183,""))</f>
        <v>736</v>
      </c>
      <c r="U183" s="71">
        <f>IF(S183="","",S183/365.25)</f>
        <v>2.0150581793292264</v>
      </c>
      <c r="V183" s="71">
        <f>IF(U183="","",U183^2)</f>
        <v>4.060459466081617</v>
      </c>
      <c r="W183" s="71" t="inlineStr">
        <is>
          <t>BOARD_MEETING_DATE_IN_NOTICE</t>
        </is>
      </c>
      <c r="X183" s="71" t="inlineStr">
        <is>
          <t>TYPE19_ONLY</t>
        </is>
      </c>
      <c r="Y183" s="71" t="n"/>
      <c r="Z183" s="71" t="n"/>
      <c r="AA183" s="71" t="n"/>
      <c r="AB183" s="71" t="inlineStr">
        <is>
          <t>EXACT|1402/12/24</t>
        </is>
      </c>
      <c r="AC183" s="71" t="n"/>
    </row>
    <row r="184" ht="29" customHeight="1" s="76">
      <c r="A184" s="70" t="inlineStr">
        <is>
          <t>T181</t>
        </is>
      </c>
      <c r="B184" s="70" t="inlineStr">
        <is>
          <t>وبملت</t>
        </is>
      </c>
      <c r="C184" s="70" t="n"/>
      <c r="D184" s="70" t="inlineStr">
        <is>
          <t>CEO</t>
        </is>
      </c>
      <c r="E184" s="70" t="inlineStr">
        <is>
          <t>فرشید فرخ نژاد</t>
        </is>
      </c>
      <c r="F184" s="70" t="n"/>
      <c r="G184" s="70" t="inlineStr">
        <is>
          <t>8626F0E0</t>
        </is>
      </c>
      <c r="H184" s="70" t="inlineStr">
        <is>
          <t>NATIONAL_ID</t>
        </is>
      </c>
      <c r="I184" s="70" t="inlineStr">
        <is>
          <t>مدیرعامل</t>
        </is>
      </c>
      <c r="J184" s="70" t="inlineStr">
        <is>
          <t>EXACT</t>
        </is>
      </c>
      <c r="K184" s="70" t="inlineStr">
        <is>
          <t>1402/12/24</t>
        </is>
      </c>
      <c r="L184" s="72" t="n">
        <v>45365</v>
      </c>
      <c r="M184" s="70" t="inlineStr">
        <is>
          <t>1402/12/24</t>
        </is>
      </c>
      <c r="N184" s="72" t="n">
        <v>45365</v>
      </c>
      <c r="O184" s="70" t="inlineStr">
        <is>
          <t>1402/12/24</t>
        </is>
      </c>
      <c r="P184" s="72" t="n">
        <v>45365</v>
      </c>
      <c r="Q184" s="70" t="inlineStr">
        <is>
          <t>1404/12/29</t>
        </is>
      </c>
      <c r="R184" s="72" t="n">
        <v>46101</v>
      </c>
      <c r="S184" s="70">
        <f>IF(OR(J184="UNKNOWN",R184=""),"",R184-IF(J184="EXACT",L184,P184))</f>
        <v>736</v>
      </c>
      <c r="T184" s="70">
        <f>IF(J184="EXACT",R184-L184,IF(J184="INTERVAL",R184-N184,""))</f>
        <v>736</v>
      </c>
      <c r="U184" s="70">
        <f>IF(S184="","",S184/365.25)</f>
        <v>2.0150581793292264</v>
      </c>
      <c r="V184" s="70">
        <f>IF(U184="","",U184^2)</f>
        <v>4.060459466081617</v>
      </c>
      <c r="W184" s="70" t="inlineStr">
        <is>
          <t>BOARD_MEETING_DATE_IN_NOTICE</t>
        </is>
      </c>
      <c r="X184" s="70" t="inlineStr">
        <is>
          <t>TYPE19_ONLY</t>
        </is>
      </c>
      <c r="Y184" s="70" t="n"/>
      <c r="Z184" s="70" t="n"/>
      <c r="AA184" s="70" t="n"/>
      <c r="AB184" s="70" t="inlineStr">
        <is>
          <t>عضو هیئت مدیره</t>
        </is>
      </c>
      <c r="AC184" s="70" t="n"/>
    </row>
    <row r="185" ht="29" customHeight="1" s="76">
      <c r="A185" s="71" t="inlineStr">
        <is>
          <t>T182</t>
        </is>
      </c>
      <c r="B185" s="71" t="inlineStr">
        <is>
          <t>وبصادر</t>
        </is>
      </c>
      <c r="C185" s="71" t="inlineStr">
        <is>
          <t>F27-M1</t>
        </is>
      </c>
      <c r="D185" s="71" t="inlineStr">
        <is>
          <t>MEMBER</t>
        </is>
      </c>
      <c r="E185" s="71" t="inlineStr">
        <is>
          <t>یاسر مرادی</t>
        </is>
      </c>
      <c r="F185" s="71" t="n"/>
      <c r="G185" s="71" t="inlineStr">
        <is>
          <t>52CC7BE3</t>
        </is>
      </c>
      <c r="H185" s="71" t="inlineStr">
        <is>
          <t>NATIONAL_ID</t>
        </is>
      </c>
      <c r="I185" s="71" t="inlineStr">
        <is>
          <t>عضو هیئت مدیره موظف</t>
        </is>
      </c>
      <c r="J185" s="71" t="inlineStr">
        <is>
          <t>MIN_CONTINUOUS</t>
        </is>
      </c>
      <c r="K185" s="71" t="n"/>
      <c r="L185" s="73" t="n"/>
      <c r="M185" s="71" t="n"/>
      <c r="N185" s="73" t="n"/>
      <c r="O185" s="71" t="inlineStr">
        <is>
          <t>1401/03/12</t>
        </is>
      </c>
      <c r="P185" s="73" t="n">
        <v>44714</v>
      </c>
      <c r="Q185" s="71" t="inlineStr">
        <is>
          <t>1404/12/29</t>
        </is>
      </c>
      <c r="R185" s="73" t="n">
        <v>46101</v>
      </c>
      <c r="S185" s="71">
        <f>IF(OR(J185="UNKNOWN",R185=""),"",R185-IF(J185="EXACT",L185,P185))</f>
        <v>1387</v>
      </c>
      <c r="T185" s="71">
        <f>IF(J185="EXACT",R185-L185,IF(J185="INTERVAL",R185-N185,""))</f>
      </c>
      <c r="U185" s="71">
        <f>IF(S185="","",S185/365.25)</f>
        <v>3.7973990417522243</v>
      </c>
      <c r="V185" s="71">
        <f>IF(U185="","",U185^2)</f>
        <v>14.420239482300712</v>
      </c>
      <c r="W185" s="71" t="inlineStr">
        <is>
          <t>FIRST_OBSERVATION_NOTICE_PUBLICATION</t>
        </is>
      </c>
      <c r="X185" s="71" t="inlineStr">
        <is>
          <t>TYPE19_ONLY</t>
        </is>
      </c>
      <c r="Y185" s="71" t="n"/>
      <c r="Z185" s="71" t="n"/>
      <c r="AA185" s="71" t="n"/>
      <c r="AB185" s="71" t="inlineStr">
        <is>
          <t>MIN_CONTINUOUS|1401/03/12</t>
        </is>
      </c>
      <c r="AC185" s="71" t="n"/>
    </row>
    <row r="186" ht="29" customHeight="1" s="76">
      <c r="A186" s="70" t="inlineStr">
        <is>
          <t>T183</t>
        </is>
      </c>
      <c r="B186" s="70" t="inlineStr">
        <is>
          <t>وبصادر</t>
        </is>
      </c>
      <c r="C186" s="70" t="inlineStr">
        <is>
          <t>F27-M2</t>
        </is>
      </c>
      <c r="D186" s="70" t="inlineStr">
        <is>
          <t>MEMBER</t>
        </is>
      </c>
      <c r="E186" s="70" t="inlineStr">
        <is>
          <t>محسن سیفی کفشگری</t>
        </is>
      </c>
      <c r="F186" s="70" t="n"/>
      <c r="G186" s="70" t="inlineStr">
        <is>
          <t>9A80F57A</t>
        </is>
      </c>
      <c r="H186" s="70" t="inlineStr">
        <is>
          <t>NATIONAL_ID</t>
        </is>
      </c>
      <c r="I186" s="70" t="inlineStr">
        <is>
          <t>عضو هیئت مدیره موظف</t>
        </is>
      </c>
      <c r="J186" s="70" t="inlineStr">
        <is>
          <t>INTERVAL</t>
        </is>
      </c>
      <c r="K186" s="70" t="n"/>
      <c r="L186" s="72" t="n"/>
      <c r="M186" s="70" t="inlineStr">
        <is>
          <t>1401/05/03</t>
        </is>
      </c>
      <c r="N186" s="72" t="n">
        <v>44767</v>
      </c>
      <c r="O186" s="70" t="inlineStr">
        <is>
          <t>1402/08/22</t>
        </is>
      </c>
      <c r="P186" s="72" t="n">
        <v>45243</v>
      </c>
      <c r="Q186" s="70" t="inlineStr">
        <is>
          <t>1404/12/29</t>
        </is>
      </c>
      <c r="R186" s="72" t="n">
        <v>46101</v>
      </c>
      <c r="S186" s="70">
        <f>IF(OR(J186="UNKNOWN",R186=""),"",R186-IF(J186="EXACT",L186,P186))</f>
        <v>858</v>
      </c>
      <c r="T186" s="70">
        <f>IF(J186="EXACT",R186-L186,IF(J186="INTERVAL",R186-N186,""))</f>
        <v>1334</v>
      </c>
      <c r="U186" s="70">
        <f>IF(S186="","",S186/365.25)</f>
        <v>2.349075975359343</v>
      </c>
      <c r="V186" s="70">
        <f>IF(U186="","",U186^2)</f>
        <v>5.518157938010449</v>
      </c>
      <c r="W186" s="70" t="inlineStr">
        <is>
          <t>SOURCE_CONFLICT:type19=1401/05/03;report=1402/08/22</t>
        </is>
      </c>
      <c r="X186" s="70" t="inlineStr">
        <is>
          <t>TYPE19_VS_REPORT_CONFLICT</t>
        </is>
      </c>
      <c r="Y186" s="70" t="inlineStr">
        <is>
          <t>1402/08/22</t>
        </is>
      </c>
      <c r="Z186" s="70" t="inlineStr">
        <is>
          <t>START</t>
        </is>
      </c>
      <c r="AA186" s="70" t="n"/>
      <c r="AB186" s="70" t="inlineStr">
        <is>
          <t>EXACT|1401/05/03</t>
        </is>
      </c>
      <c r="AC186" s="70" t="inlineStr">
        <is>
          <t>sources disagree by 476d</t>
        </is>
      </c>
    </row>
    <row r="187" ht="29" customHeight="1" s="76">
      <c r="A187" s="71" t="inlineStr">
        <is>
          <t>T184</t>
        </is>
      </c>
      <c r="B187" s="71" t="inlineStr">
        <is>
          <t>وبصادر</t>
        </is>
      </c>
      <c r="C187" s="71" t="inlineStr">
        <is>
          <t>F27-M3</t>
        </is>
      </c>
      <c r="D187" s="71" t="inlineStr">
        <is>
          <t>MEMBER</t>
        </is>
      </c>
      <c r="E187" s="71" t="inlineStr">
        <is>
          <t>قربان اسکندری کبودان</t>
        </is>
      </c>
      <c r="F187" s="71" t="n"/>
      <c r="G187" s="71" t="inlineStr">
        <is>
          <t>5620FCC2</t>
        </is>
      </c>
      <c r="H187" s="71" t="inlineStr">
        <is>
          <t>NATIONAL_ID</t>
        </is>
      </c>
      <c r="I187" s="71" t="inlineStr">
        <is>
          <t>رئیس هیئت مدیره موظف</t>
        </is>
      </c>
      <c r="J187" s="71" t="inlineStr">
        <is>
          <t>EXACT</t>
        </is>
      </c>
      <c r="K187" s="71" t="inlineStr">
        <is>
          <t>1402/08/02</t>
        </is>
      </c>
      <c r="L187" s="73" t="n">
        <v>45223</v>
      </c>
      <c r="M187" s="71" t="inlineStr">
        <is>
          <t>1402/08/02</t>
        </is>
      </c>
      <c r="N187" s="73" t="n">
        <v>45223</v>
      </c>
      <c r="O187" s="71" t="inlineStr">
        <is>
          <t>1402/08/02</t>
        </is>
      </c>
      <c r="P187" s="73" t="n">
        <v>45223</v>
      </c>
      <c r="Q187" s="71" t="inlineStr">
        <is>
          <t>1404/12/29</t>
        </is>
      </c>
      <c r="R187" s="73" t="n">
        <v>46101</v>
      </c>
      <c r="S187" s="71">
        <f>IF(OR(J187="UNKNOWN",R187=""),"",R187-IF(J187="EXACT",L187,P187))</f>
        <v>878</v>
      </c>
      <c r="T187" s="71">
        <f>IF(J187="EXACT",R187-L187,IF(J187="INTERVAL",R187-N187,""))</f>
        <v>878</v>
      </c>
      <c r="U187" s="71">
        <f>IF(S187="","",S187/365.25)</f>
        <v>2.403832991101985</v>
      </c>
      <c r="V187" s="71">
        <f>IF(U187="","",U187^2)</f>
        <v>5.778413049110315</v>
      </c>
      <c r="W187" s="71" t="inlineStr">
        <is>
          <t>BOARD_MEETING_DATE_IN_NOTICE</t>
        </is>
      </c>
      <c r="X187" s="71" t="inlineStr">
        <is>
          <t>TYPE19+REPORT_CORROBORATED</t>
        </is>
      </c>
      <c r="Y187" s="71" t="inlineStr">
        <is>
          <t>1402/08/01</t>
        </is>
      </c>
      <c r="Z187" s="71" t="inlineStr">
        <is>
          <t>START</t>
        </is>
      </c>
      <c r="AA187" s="71" t="n"/>
      <c r="AB187" s="71" t="inlineStr">
        <is>
          <t>EXACT|1402/08/02</t>
        </is>
      </c>
      <c r="AC187" s="71" t="inlineStr">
        <is>
          <t>report date 1402/08/01 (diff 1d)</t>
        </is>
      </c>
    </row>
    <row r="188" ht="29" customHeight="1" s="76">
      <c r="A188" s="70" t="inlineStr">
        <is>
          <t>T185</t>
        </is>
      </c>
      <c r="B188" s="70" t="inlineStr">
        <is>
          <t>وبصادر</t>
        </is>
      </c>
      <c r="C188" s="70" t="inlineStr">
        <is>
          <t>F27-M3</t>
        </is>
      </c>
      <c r="D188" s="70" t="inlineStr">
        <is>
          <t>CHAIR</t>
        </is>
      </c>
      <c r="E188" s="70" t="inlineStr">
        <is>
          <t>قربان اسکندری کبودان</t>
        </is>
      </c>
      <c r="F188" s="70" t="inlineStr">
        <is>
          <t>قربان اسکندری کبودان</t>
        </is>
      </c>
      <c r="G188" s="70" t="inlineStr">
        <is>
          <t>5620FCC2</t>
        </is>
      </c>
      <c r="H188" s="70" t="inlineStr">
        <is>
          <t>NATIONAL_ID</t>
        </is>
      </c>
      <c r="I188" s="70" t="inlineStr">
        <is>
          <t>رئیس هیئت مدیره</t>
        </is>
      </c>
      <c r="J188" s="70" t="inlineStr">
        <is>
          <t>EXACT</t>
        </is>
      </c>
      <c r="K188" s="70" t="inlineStr">
        <is>
          <t>1402/08/02</t>
        </is>
      </c>
      <c r="L188" s="72" t="n">
        <v>45223</v>
      </c>
      <c r="M188" s="70" t="inlineStr">
        <is>
          <t>1402/08/02</t>
        </is>
      </c>
      <c r="N188" s="72" t="n">
        <v>45223</v>
      </c>
      <c r="O188" s="70" t="inlineStr">
        <is>
          <t>1402/08/02</t>
        </is>
      </c>
      <c r="P188" s="72" t="n">
        <v>45223</v>
      </c>
      <c r="Q188" s="70" t="inlineStr">
        <is>
          <t>1404/12/29</t>
        </is>
      </c>
      <c r="R188" s="72" t="n">
        <v>46101</v>
      </c>
      <c r="S188" s="70">
        <f>IF(OR(J188="UNKNOWN",R188=""),"",R188-IF(J188="EXACT",L188,P188))</f>
        <v>878</v>
      </c>
      <c r="T188" s="70">
        <f>IF(J188="EXACT",R188-L188,IF(J188="INTERVAL",R188-N188,""))</f>
        <v>878</v>
      </c>
      <c r="U188" s="70">
        <f>IF(S188="","",S188/365.25)</f>
        <v>2.403832991101985</v>
      </c>
      <c r="V188" s="70">
        <f>IF(U188="","",U188^2)</f>
        <v>5.778413049110315</v>
      </c>
      <c r="W188" s="70" t="inlineStr">
        <is>
          <t>BOARD_MEETING_DATE_IN_NOTICE</t>
        </is>
      </c>
      <c r="X188" s="70" t="inlineStr">
        <is>
          <t>TYPE19_ONLY|PERSON_ROLE_CHAIN</t>
        </is>
      </c>
      <c r="Y188" s="70" t="n"/>
      <c r="Z188" s="70" t="n"/>
      <c r="AA188" s="70" t="n"/>
      <c r="AB188" s="70" t="n"/>
      <c r="AC188" s="70" t="n"/>
    </row>
    <row r="189" ht="29" customHeight="1" s="76">
      <c r="A189" s="71" t="inlineStr">
        <is>
          <t>T186</t>
        </is>
      </c>
      <c r="B189" s="71" t="inlineStr">
        <is>
          <t>وبصادر</t>
        </is>
      </c>
      <c r="C189" s="71" t="inlineStr">
        <is>
          <t>F27-M4</t>
        </is>
      </c>
      <c r="D189" s="71" t="inlineStr">
        <is>
          <t>MEMBER</t>
        </is>
      </c>
      <c r="E189" s="71" t="inlineStr">
        <is>
          <t>محمد وطن پور</t>
        </is>
      </c>
      <c r="F189" s="71" t="n"/>
      <c r="G189" s="71" t="inlineStr">
        <is>
          <t>FC9AA5AF</t>
        </is>
      </c>
      <c r="H189" s="71" t="inlineStr">
        <is>
          <t>NATIONAL_ID</t>
        </is>
      </c>
      <c r="I189" s="71" t="inlineStr">
        <is>
          <t>عضو هیئت مدیره موظف</t>
        </is>
      </c>
      <c r="J189" s="71" t="inlineStr">
        <is>
          <t>EXACT</t>
        </is>
      </c>
      <c r="K189" s="71" t="inlineStr">
        <is>
          <t>1403/10/22</t>
        </is>
      </c>
      <c r="L189" s="73" t="n">
        <v>45668</v>
      </c>
      <c r="M189" s="71" t="inlineStr">
        <is>
          <t>1403/10/22</t>
        </is>
      </c>
      <c r="N189" s="73" t="n">
        <v>45668</v>
      </c>
      <c r="O189" s="71" t="inlineStr">
        <is>
          <t>1403/10/22</t>
        </is>
      </c>
      <c r="P189" s="73" t="n">
        <v>45668</v>
      </c>
      <c r="Q189" s="71" t="inlineStr">
        <is>
          <t>1404/12/29</t>
        </is>
      </c>
      <c r="R189" s="73" t="n">
        <v>46101</v>
      </c>
      <c r="S189" s="71">
        <f>IF(OR(J189="UNKNOWN",R189=""),"",R189-IF(J189="EXACT",L189,P189))</f>
        <v>433</v>
      </c>
      <c r="T189" s="71">
        <f>IF(J189="EXACT",R189-L189,IF(J189="INTERVAL",R189-N189,""))</f>
        <v>433</v>
      </c>
      <c r="U189" s="71">
        <f>IF(S189="","",S189/365.25)</f>
        <v>1.1854893908281998</v>
      </c>
      <c r="V189" s="71">
        <f>IF(U189="","",U189^2)</f>
        <v>1.4053850957662164</v>
      </c>
      <c r="W189" s="71" t="inlineStr">
        <is>
          <t>BOARD_MEETING_DATE_IN_NOTICE</t>
        </is>
      </c>
      <c r="X189" s="71" t="inlineStr">
        <is>
          <t>TYPE19+REPORT_CORROBORATED</t>
        </is>
      </c>
      <c r="Y189" s="71" t="inlineStr">
        <is>
          <t>1403/10/22</t>
        </is>
      </c>
      <c r="Z189" s="71" t="inlineStr">
        <is>
          <t>START</t>
        </is>
      </c>
      <c r="AA189" s="71" t="n"/>
      <c r="AB189" s="71" t="inlineStr">
        <is>
          <t>EXACT|1403/10/22</t>
        </is>
      </c>
      <c r="AC189" s="71" t="inlineStr">
        <is>
          <t>report date 1403/10/22 (diff 0d)</t>
        </is>
      </c>
    </row>
    <row r="190" ht="29" customHeight="1" s="76">
      <c r="A190" s="70" t="inlineStr">
        <is>
          <t>T187</t>
        </is>
      </c>
      <c r="B190" s="70" t="inlineStr">
        <is>
          <t>وبصادر</t>
        </is>
      </c>
      <c r="C190" s="70" t="inlineStr">
        <is>
          <t>F27-M5</t>
        </is>
      </c>
      <c r="D190" s="70" t="inlineStr">
        <is>
          <t>MEMBER</t>
        </is>
      </c>
      <c r="E190" s="70" t="inlineStr">
        <is>
          <t>مهدی اقبالی راد</t>
        </is>
      </c>
      <c r="F190" s="70" t="n"/>
      <c r="G190" s="70" t="inlineStr">
        <is>
          <t>7C0AE239</t>
        </is>
      </c>
      <c r="H190" s="70" t="inlineStr">
        <is>
          <t>NATIONAL_ID</t>
        </is>
      </c>
      <c r="I190" s="70" t="inlineStr">
        <is>
          <t>نایب رئیس هیئت مدیره موظف</t>
        </is>
      </c>
      <c r="J190" s="70" t="inlineStr">
        <is>
          <t>EXACT</t>
        </is>
      </c>
      <c r="K190" s="70" t="inlineStr">
        <is>
          <t>1402/08/22</t>
        </is>
      </c>
      <c r="L190" s="72" t="n">
        <v>45243</v>
      </c>
      <c r="M190" s="70" t="inlineStr">
        <is>
          <t>1402/08/22</t>
        </is>
      </c>
      <c r="N190" s="72" t="n">
        <v>45243</v>
      </c>
      <c r="O190" s="70" t="inlineStr">
        <is>
          <t>1402/08/22</t>
        </is>
      </c>
      <c r="P190" s="72" t="n">
        <v>45243</v>
      </c>
      <c r="Q190" s="70" t="inlineStr">
        <is>
          <t>1404/12/29</t>
        </is>
      </c>
      <c r="R190" s="72" t="n">
        <v>46101</v>
      </c>
      <c r="S190" s="70">
        <f>IF(OR(J190="UNKNOWN",R190=""),"",R190-IF(J190="EXACT",L190,P190))</f>
        <v>858</v>
      </c>
      <c r="T190" s="70">
        <f>IF(J190="EXACT",R190-L190,IF(J190="INTERVAL",R190-N190,""))</f>
        <v>858</v>
      </c>
      <c r="U190" s="70">
        <f>IF(S190="","",S190/365.25)</f>
        <v>2.349075975359343</v>
      </c>
      <c r="V190" s="70">
        <f>IF(U190="","",U190^2)</f>
        <v>5.518157938010449</v>
      </c>
      <c r="W190" s="70" t="inlineStr">
        <is>
          <t>BOARD_MEETING_DATE_IN_NOTICE</t>
        </is>
      </c>
      <c r="X190" s="70" t="inlineStr">
        <is>
          <t>TYPE19+REPORT_CORROBORATED</t>
        </is>
      </c>
      <c r="Y190" s="70" t="inlineStr">
        <is>
          <t>1402/08/22</t>
        </is>
      </c>
      <c r="Z190" s="70" t="inlineStr">
        <is>
          <t>START</t>
        </is>
      </c>
      <c r="AA190" s="70" t="n"/>
      <c r="AB190" s="70" t="inlineStr">
        <is>
          <t>EXACT|1402/08/22</t>
        </is>
      </c>
      <c r="AC190" s="70" t="inlineStr">
        <is>
          <t>report date 1402/08/22 (diff 0d)</t>
        </is>
      </c>
    </row>
    <row r="191" ht="29" customHeight="1" s="76">
      <c r="A191" s="71" t="inlineStr">
        <is>
          <t>T188</t>
        </is>
      </c>
      <c r="B191" s="71" t="inlineStr">
        <is>
          <t>وبصادر</t>
        </is>
      </c>
      <c r="C191" s="71" t="n"/>
      <c r="D191" s="71" t="inlineStr">
        <is>
          <t>CEO</t>
        </is>
      </c>
      <c r="E191" s="71" t="inlineStr">
        <is>
          <t>محسن سیفی کفشگری</t>
        </is>
      </c>
      <c r="F191" s="71" t="n"/>
      <c r="G191" s="71" t="inlineStr">
        <is>
          <t>9A80F57A</t>
        </is>
      </c>
      <c r="H191" s="71" t="inlineStr">
        <is>
          <t>NATIONAL_ID</t>
        </is>
      </c>
      <c r="I191" s="71" t="inlineStr">
        <is>
          <t>مدیرعامل</t>
        </is>
      </c>
      <c r="J191" s="71" t="inlineStr">
        <is>
          <t>EXACT</t>
        </is>
      </c>
      <c r="K191" s="71" t="inlineStr">
        <is>
          <t>1402/06/12</t>
        </is>
      </c>
      <c r="L191" s="73" t="n">
        <v>45172</v>
      </c>
      <c r="M191" s="71" t="inlineStr">
        <is>
          <t>1402/06/12</t>
        </is>
      </c>
      <c r="N191" s="73" t="n">
        <v>45172</v>
      </c>
      <c r="O191" s="71" t="inlineStr">
        <is>
          <t>1402/06/12</t>
        </is>
      </c>
      <c r="P191" s="73" t="n">
        <v>45172</v>
      </c>
      <c r="Q191" s="71" t="inlineStr">
        <is>
          <t>1404/12/29</t>
        </is>
      </c>
      <c r="R191" s="73" t="n">
        <v>46101</v>
      </c>
      <c r="S191" s="71">
        <f>IF(OR(J191="UNKNOWN",R191=""),"",R191-IF(J191="EXACT",L191,P191))</f>
        <v>929</v>
      </c>
      <c r="T191" s="71">
        <f>IF(J191="EXACT",R191-L191,IF(J191="INTERVAL",R191-N191,""))</f>
        <v>929</v>
      </c>
      <c r="U191" s="71">
        <f>IF(S191="","",S191/365.25)</f>
        <v>2.543463381245722</v>
      </c>
      <c r="V191" s="71">
        <f>IF(U191="","",U191^2)</f>
        <v>6.469205971737922</v>
      </c>
      <c r="W191" s="71" t="inlineStr">
        <is>
          <t>BOARD_MEETING_DATE_IN_NOTICE</t>
        </is>
      </c>
      <c r="X191" s="71" t="inlineStr">
        <is>
          <t>TYPE19_ONLY</t>
        </is>
      </c>
      <c r="Y191" s="71" t="n"/>
      <c r="Z191" s="71" t="n"/>
      <c r="AA191" s="71" t="n"/>
      <c r="AB191" s="71" t="inlineStr">
        <is>
          <t>عضو هیئت مدیره</t>
        </is>
      </c>
      <c r="AC191" s="71" t="n"/>
    </row>
    <row r="192" ht="29" customHeight="1" s="76">
      <c r="A192" s="70" t="inlineStr">
        <is>
          <t>T189</t>
        </is>
      </c>
      <c r="B192" s="70" t="inlineStr">
        <is>
          <t>وپاسار</t>
        </is>
      </c>
      <c r="C192" s="70" t="inlineStr">
        <is>
          <t>F28-NA</t>
        </is>
      </c>
      <c r="D192" s="70" t="inlineStr">
        <is>
          <t>MEMBER</t>
        </is>
      </c>
      <c r="E192" s="70" t="n"/>
      <c r="F192" s="70" t="n"/>
      <c r="G192" s="70" t="n"/>
      <c r="H192" s="70" t="n"/>
      <c r="I192" s="70" t="n"/>
      <c r="J192" s="70" t="inlineStr">
        <is>
          <t>UNKNOWN</t>
        </is>
      </c>
      <c r="K192" s="70" t="n"/>
      <c r="L192" s="72" t="n"/>
      <c r="M192" s="70" t="n"/>
      <c r="N192" s="72" t="n"/>
      <c r="O192" s="70" t="n"/>
      <c r="P192" s="72" t="n"/>
      <c r="Q192" s="70" t="inlineStr">
        <is>
          <t>1404/12/29</t>
        </is>
      </c>
      <c r="R192" s="72" t="n">
        <v>46101</v>
      </c>
      <c r="S192" s="70">
        <f>IF(OR(J192="UNKNOWN",R192=""),"",R192-IF(J192="EXACT",L192,P192))</f>
      </c>
      <c r="T192" s="70">
        <f>IF(J192="EXACT",R192-L192,IF(J192="INTERVAL",R192-N192,""))</f>
      </c>
      <c r="U192" s="70">
        <f>IF(S192="","",S192/365.25)</f>
      </c>
      <c r="V192" s="70">
        <f>IF(U192="","",U192^2)</f>
      </c>
      <c r="W192" s="70" t="inlineStr">
        <is>
          <t>NO_ROSTER_AT_ASOF</t>
        </is>
      </c>
      <c r="X192" s="70" t="inlineStr">
        <is>
          <t>STALE_ROSTER_ONLY_1402/04/05</t>
        </is>
      </c>
      <c r="Y192" s="70" t="n"/>
      <c r="Z192" s="70" t="n"/>
      <c r="AA192" s="70" t="n"/>
      <c r="AB192" s="70" t="n"/>
      <c r="AC192" s="70" t="n"/>
    </row>
    <row r="193" ht="29" customHeight="1" s="76">
      <c r="A193" s="71" t="inlineStr">
        <is>
          <t>T190</t>
        </is>
      </c>
      <c r="B193" s="71" t="inlineStr">
        <is>
          <t>حکشتی</t>
        </is>
      </c>
      <c r="C193" s="71" t="inlineStr">
        <is>
          <t>F29-M1</t>
        </is>
      </c>
      <c r="D193" s="71" t="inlineStr">
        <is>
          <t>MEMBER</t>
        </is>
      </c>
      <c r="E193" s="71" t="inlineStr">
        <is>
          <t>(نماینده نامشخص)</t>
        </is>
      </c>
      <c r="F193" s="71" t="inlineStr">
        <is>
          <t>سرمایه گذاری تأمین اجتماعی</t>
        </is>
      </c>
      <c r="G193" s="71" t="n"/>
      <c r="H193" s="71" t="inlineStr">
        <is>
          <t>NAME_ONLY</t>
        </is>
      </c>
      <c r="I193" s="71" t="inlineStr">
        <is>
          <t>نایب رئیس هیئت مدیره موظف</t>
        </is>
      </c>
      <c r="J193" s="71" t="inlineStr">
        <is>
          <t>UNKNOWN</t>
        </is>
      </c>
      <c r="K193" s="71" t="n"/>
      <c r="L193" s="73" t="n"/>
      <c r="M193" s="71" t="n"/>
      <c r="N193" s="73" t="n"/>
      <c r="O193" s="71" t="n"/>
      <c r="P193" s="73" t="n"/>
      <c r="Q193" s="71" t="inlineStr">
        <is>
          <t>1404/03/31</t>
        </is>
      </c>
      <c r="R193" s="73" t="n">
        <v>45829</v>
      </c>
      <c r="S193" s="71">
        <f>IF(OR(J193="UNKNOWN",R193=""),"",R193-IF(J193="EXACT",L193,P193))</f>
      </c>
      <c r="T193" s="71">
        <f>IF(J193="EXACT",R193-L193,IF(J193="INTERVAL",R193-N193,""))</f>
      </c>
      <c r="U193" s="71">
        <f>IF(S193="","",S193/365.25)</f>
      </c>
      <c r="V193" s="71">
        <f>IF(U193="","",U193^2)</f>
      </c>
      <c r="W193" s="71" t="inlineStr">
        <is>
          <t>NO_REPRESENTATIVE_NAMED_IN_NOTICE</t>
        </is>
      </c>
      <c r="X193" s="71" t="inlineStr">
        <is>
          <t>NONE</t>
        </is>
      </c>
      <c r="Y193" s="71" t="n"/>
      <c r="Z193" s="71" t="n"/>
      <c r="AA193" s="71" t="n"/>
      <c r="AB193" s="71" t="inlineStr">
        <is>
          <t>MIN_CONTINUOUS|1401/07/06</t>
        </is>
      </c>
      <c r="AC193" s="71" t="inlineStr">
        <is>
          <t>legal-entity seat without named representative</t>
        </is>
      </c>
    </row>
    <row r="194" ht="29" customHeight="1" s="76">
      <c r="A194" s="70" t="inlineStr">
        <is>
          <t>T191</t>
        </is>
      </c>
      <c r="B194" s="70" t="inlineStr">
        <is>
          <t>حکشتی</t>
        </is>
      </c>
      <c r="C194" s="70" t="inlineStr">
        <is>
          <t>F29-M2</t>
        </is>
      </c>
      <c r="D194" s="70" t="inlineStr">
        <is>
          <t>MEMBER</t>
        </is>
      </c>
      <c r="E194" s="70" t="inlineStr">
        <is>
          <t>(نماینده نامشخص)</t>
        </is>
      </c>
      <c r="F194" s="70" t="inlineStr">
        <is>
          <t>مادر تخصصی بازرگانی دولتی ایران</t>
        </is>
      </c>
      <c r="G194" s="70" t="n"/>
      <c r="H194" s="70" t="inlineStr">
        <is>
          <t>NAME_ONLY</t>
        </is>
      </c>
      <c r="I194" s="70" t="inlineStr">
        <is>
          <t>رئیس هیئت مدیره غیر موظف</t>
        </is>
      </c>
      <c r="J194" s="70" t="inlineStr">
        <is>
          <t>UNKNOWN</t>
        </is>
      </c>
      <c r="K194" s="70" t="n"/>
      <c r="L194" s="72" t="n"/>
      <c r="M194" s="70" t="n"/>
      <c r="N194" s="72" t="n"/>
      <c r="O194" s="70" t="n"/>
      <c r="P194" s="72" t="n"/>
      <c r="Q194" s="70" t="inlineStr">
        <is>
          <t>1404/03/31</t>
        </is>
      </c>
      <c r="R194" s="72" t="n">
        <v>45829</v>
      </c>
      <c r="S194" s="70">
        <f>IF(OR(J194="UNKNOWN",R194=""),"",R194-IF(J194="EXACT",L194,P194))</f>
      </c>
      <c r="T194" s="70">
        <f>IF(J194="EXACT",R194-L194,IF(J194="INTERVAL",R194-N194,""))</f>
      </c>
      <c r="U194" s="70">
        <f>IF(S194="","",S194/365.25)</f>
      </c>
      <c r="V194" s="70">
        <f>IF(U194="","",U194^2)</f>
      </c>
      <c r="W194" s="70" t="inlineStr">
        <is>
          <t>NO_REPRESENTATIVE_NAMED_IN_NOTICE</t>
        </is>
      </c>
      <c r="X194" s="70" t="inlineStr">
        <is>
          <t>NONE</t>
        </is>
      </c>
      <c r="Y194" s="70" t="n"/>
      <c r="Z194" s="70" t="n"/>
      <c r="AA194" s="70" t="n"/>
      <c r="AB194" s="70" t="inlineStr">
        <is>
          <t>MIN_CONTINUOUS|1401/07/06</t>
        </is>
      </c>
      <c r="AC194" s="70" t="inlineStr">
        <is>
          <t>legal-entity seat without named representative</t>
        </is>
      </c>
    </row>
    <row r="195" ht="29" customHeight="1" s="76">
      <c r="A195" s="71" t="inlineStr">
        <is>
          <t>T192</t>
        </is>
      </c>
      <c r="B195" s="71" t="inlineStr">
        <is>
          <t>حکشتی</t>
        </is>
      </c>
      <c r="C195" s="71" t="inlineStr">
        <is>
          <t>F29-M2</t>
        </is>
      </c>
      <c r="D195" s="71" t="inlineStr">
        <is>
          <t>CHAIR</t>
        </is>
      </c>
      <c r="E195" s="71" t="inlineStr">
        <is>
          <t>مادر تخصصی بازرگانی دولتی ایران</t>
        </is>
      </c>
      <c r="F195" s="71" t="inlineStr">
        <is>
          <t>مادر تخصصی بازرگانی دولتی ایران</t>
        </is>
      </c>
      <c r="G195" s="71" t="n"/>
      <c r="H195" s="71" t="inlineStr">
        <is>
          <t>ENTITY_ONLY</t>
        </is>
      </c>
      <c r="I195" s="71" t="inlineStr">
        <is>
          <t>رئیس هیئت مدیره</t>
        </is>
      </c>
      <c r="J195" s="71" t="inlineStr">
        <is>
          <t>MIN_CONTINUOUS</t>
        </is>
      </c>
      <c r="K195" s="71" t="n"/>
      <c r="L195" s="73" t="n"/>
      <c r="M195" s="71" t="n"/>
      <c r="N195" s="73" t="n"/>
      <c r="O195" s="71" t="inlineStr">
        <is>
          <t>1401/07/06</t>
        </is>
      </c>
      <c r="P195" s="73" t="n">
        <v>44832</v>
      </c>
      <c r="Q195" s="71" t="inlineStr">
        <is>
          <t>1404/03/31</t>
        </is>
      </c>
      <c r="R195" s="73" t="n">
        <v>45829</v>
      </c>
      <c r="S195" s="71">
        <f>IF(OR(J195="UNKNOWN",R195=""),"",R195-IF(J195="EXACT",L195,P195))</f>
        <v>997</v>
      </c>
      <c r="T195" s="71">
        <f>IF(J195="EXACT",R195-L195,IF(J195="INTERVAL",R195-N195,""))</f>
      </c>
      <c r="U195" s="71">
        <f>IF(S195="","",S195/365.25)</f>
        <v>2.729637234770705</v>
      </c>
      <c r="V195" s="71">
        <f>IF(U195="","",U195^2)</f>
        <v>7.450919433446661</v>
      </c>
      <c r="W195" s="71" t="inlineStr">
        <is>
          <t>FIRST_OBSERVATION_NOTICE_PUBLICATION</t>
        </is>
      </c>
      <c r="X195" s="71" t="inlineStr">
        <is>
          <t>ENTITY_ROLE_CHAIN_NO_REPRESENTATIVE</t>
        </is>
      </c>
      <c r="Y195" s="71" t="n"/>
      <c r="Z195" s="71" t="n"/>
      <c r="AA195" s="71" t="n"/>
      <c r="AB195" s="71" t="n"/>
      <c r="AC195" s="71" t="n"/>
    </row>
    <row r="196" ht="29" customHeight="1" s="76">
      <c r="A196" s="70" t="inlineStr">
        <is>
          <t>T193</t>
        </is>
      </c>
      <c r="B196" s="70" t="inlineStr">
        <is>
          <t>حکشتی</t>
        </is>
      </c>
      <c r="C196" s="70" t="inlineStr">
        <is>
          <t>F29-M3</t>
        </is>
      </c>
      <c r="D196" s="70" t="inlineStr">
        <is>
          <t>MEMBER</t>
        </is>
      </c>
      <c r="E196" s="70" t="inlineStr">
        <is>
          <t>(نماینده نامشخص)</t>
        </is>
      </c>
      <c r="F196" s="70" t="inlineStr">
        <is>
          <t>سرمایه گذاری صباتأمین</t>
        </is>
      </c>
      <c r="G196" s="70" t="n"/>
      <c r="H196" s="70" t="inlineStr">
        <is>
          <t>NAME_ONLY</t>
        </is>
      </c>
      <c r="I196" s="70" t="inlineStr">
        <is>
          <t>عضو هیئت مدیره موظف</t>
        </is>
      </c>
      <c r="J196" s="70" t="inlineStr">
        <is>
          <t>UNKNOWN</t>
        </is>
      </c>
      <c r="K196" s="70" t="n"/>
      <c r="L196" s="72" t="n"/>
      <c r="M196" s="70" t="n"/>
      <c r="N196" s="72" t="n"/>
      <c r="O196" s="70" t="n"/>
      <c r="P196" s="72" t="n"/>
      <c r="Q196" s="70" t="inlineStr">
        <is>
          <t>1404/03/31</t>
        </is>
      </c>
      <c r="R196" s="72" t="n">
        <v>45829</v>
      </c>
      <c r="S196" s="70">
        <f>IF(OR(J196="UNKNOWN",R196=""),"",R196-IF(J196="EXACT",L196,P196))</f>
      </c>
      <c r="T196" s="70">
        <f>IF(J196="EXACT",R196-L196,IF(J196="INTERVAL",R196-N196,""))</f>
      </c>
      <c r="U196" s="70">
        <f>IF(S196="","",S196/365.25)</f>
      </c>
      <c r="V196" s="70">
        <f>IF(U196="","",U196^2)</f>
      </c>
      <c r="W196" s="70" t="inlineStr">
        <is>
          <t>NO_REPRESENTATIVE_NAMED_IN_NOTICE</t>
        </is>
      </c>
      <c r="X196" s="70" t="inlineStr">
        <is>
          <t>NONE</t>
        </is>
      </c>
      <c r="Y196" s="70" t="n"/>
      <c r="Z196" s="70" t="n"/>
      <c r="AA196" s="70" t="n"/>
      <c r="AB196" s="70" t="inlineStr">
        <is>
          <t>MIN_CONTINUOUS|1401/07/06</t>
        </is>
      </c>
      <c r="AC196" s="70" t="inlineStr">
        <is>
          <t>legal-entity seat without named representative</t>
        </is>
      </c>
    </row>
    <row r="197" ht="29" customHeight="1" s="76">
      <c r="A197" s="71" t="inlineStr">
        <is>
          <t>T194</t>
        </is>
      </c>
      <c r="B197" s="71" t="inlineStr">
        <is>
          <t>حکشتی</t>
        </is>
      </c>
      <c r="C197" s="71" t="inlineStr">
        <is>
          <t>F29-M4</t>
        </is>
      </c>
      <c r="D197" s="71" t="inlineStr">
        <is>
          <t>MEMBER</t>
        </is>
      </c>
      <c r="E197" s="71" t="inlineStr">
        <is>
          <t>(نماینده نامشخص)</t>
        </is>
      </c>
      <c r="F197" s="71" t="inlineStr">
        <is>
          <t>صندوق بازنشستگی کشوری</t>
        </is>
      </c>
      <c r="G197" s="71" t="n"/>
      <c r="H197" s="71" t="inlineStr">
        <is>
          <t>NAME_ONLY</t>
        </is>
      </c>
      <c r="I197" s="71" t="inlineStr">
        <is>
          <t>عضو هیئت مدیره غیر موظف</t>
        </is>
      </c>
      <c r="J197" s="71" t="inlineStr">
        <is>
          <t>UNKNOWN</t>
        </is>
      </c>
      <c r="K197" s="71" t="n"/>
      <c r="L197" s="73" t="n"/>
      <c r="M197" s="71" t="n"/>
      <c r="N197" s="73" t="n"/>
      <c r="O197" s="71" t="n"/>
      <c r="P197" s="73" t="n"/>
      <c r="Q197" s="71" t="inlineStr">
        <is>
          <t>1404/03/31</t>
        </is>
      </c>
      <c r="R197" s="73" t="n">
        <v>45829</v>
      </c>
      <c r="S197" s="71">
        <f>IF(OR(J197="UNKNOWN",R197=""),"",R197-IF(J197="EXACT",L197,P197))</f>
      </c>
      <c r="T197" s="71">
        <f>IF(J197="EXACT",R197-L197,IF(J197="INTERVAL",R197-N197,""))</f>
      </c>
      <c r="U197" s="71">
        <f>IF(S197="","",S197/365.25)</f>
      </c>
      <c r="V197" s="71">
        <f>IF(U197="","",U197^2)</f>
      </c>
      <c r="W197" s="71" t="inlineStr">
        <is>
          <t>NO_REPRESENTATIVE_NAMED_IN_NOTICE</t>
        </is>
      </c>
      <c r="X197" s="71" t="inlineStr">
        <is>
          <t>NONE</t>
        </is>
      </c>
      <c r="Y197" s="71" t="n"/>
      <c r="Z197" s="71" t="n"/>
      <c r="AA197" s="71" t="n"/>
      <c r="AB197" s="71" t="inlineStr">
        <is>
          <t>MIN_CONTINUOUS|1401/07/06</t>
        </is>
      </c>
      <c r="AC197" s="71" t="inlineStr">
        <is>
          <t>legal-entity seat without named representative</t>
        </is>
      </c>
    </row>
    <row r="198" ht="29" customHeight="1" s="76">
      <c r="A198" s="70" t="inlineStr">
        <is>
          <t>T195</t>
        </is>
      </c>
      <c r="B198" s="70" t="inlineStr">
        <is>
          <t>حکشتی</t>
        </is>
      </c>
      <c r="C198" s="70" t="inlineStr">
        <is>
          <t>F29-M5</t>
        </is>
      </c>
      <c r="D198" s="70" t="inlineStr">
        <is>
          <t>MEMBER</t>
        </is>
      </c>
      <c r="E198" s="70" t="inlineStr">
        <is>
          <t>(نماینده نامشخص)</t>
        </is>
      </c>
      <c r="F198" s="70" t="inlineStr">
        <is>
          <t>سرمایه گذاری استان گیلان</t>
        </is>
      </c>
      <c r="G198" s="70" t="n"/>
      <c r="H198" s="70" t="inlineStr">
        <is>
          <t>NAME_ONLY</t>
        </is>
      </c>
      <c r="I198" s="70" t="inlineStr">
        <is>
          <t>عضو هیئت مدیره غیر موظف</t>
        </is>
      </c>
      <c r="J198" s="70" t="inlineStr">
        <is>
          <t>UNKNOWN</t>
        </is>
      </c>
      <c r="K198" s="70" t="n"/>
      <c r="L198" s="72" t="n"/>
      <c r="M198" s="70" t="n"/>
      <c r="N198" s="72" t="n"/>
      <c r="O198" s="70" t="n"/>
      <c r="P198" s="72" t="n"/>
      <c r="Q198" s="70" t="inlineStr">
        <is>
          <t>1404/03/31</t>
        </is>
      </c>
      <c r="R198" s="72" t="n">
        <v>45829</v>
      </c>
      <c r="S198" s="70">
        <f>IF(OR(J198="UNKNOWN",R198=""),"",R198-IF(J198="EXACT",L198,P198))</f>
      </c>
      <c r="T198" s="70">
        <f>IF(J198="EXACT",R198-L198,IF(J198="INTERVAL",R198-N198,""))</f>
      </c>
      <c r="U198" s="70">
        <f>IF(S198="","",S198/365.25)</f>
      </c>
      <c r="V198" s="70">
        <f>IF(U198="","",U198^2)</f>
      </c>
      <c r="W198" s="70" t="inlineStr">
        <is>
          <t>NO_REPRESENTATIVE_NAMED_IN_NOTICE</t>
        </is>
      </c>
      <c r="X198" s="70" t="inlineStr">
        <is>
          <t>NONE</t>
        </is>
      </c>
      <c r="Y198" s="70" t="n"/>
      <c r="Z198" s="70" t="n"/>
      <c r="AA198" s="70" t="n"/>
      <c r="AB198" s="70" t="inlineStr">
        <is>
          <t>EXACT|1402/07/12</t>
        </is>
      </c>
      <c r="AC198" s="70" t="inlineStr">
        <is>
          <t>legal-entity seat without named representative</t>
        </is>
      </c>
    </row>
    <row r="199" ht="20" customHeight="1" s="76">
      <c r="A199" s="71" t="inlineStr">
        <is>
          <t>T196</t>
        </is>
      </c>
      <c r="B199" s="71" t="inlineStr">
        <is>
          <t>حکشتی</t>
        </is>
      </c>
      <c r="C199" s="71" t="n"/>
      <c r="D199" s="71" t="inlineStr">
        <is>
          <t>CEO</t>
        </is>
      </c>
      <c r="E199" s="71" t="n"/>
      <c r="F199" s="71" t="n"/>
      <c r="G199" s="71" t="n"/>
      <c r="H199" s="71" t="n"/>
      <c r="I199" s="71" t="n"/>
      <c r="J199" s="71" t="inlineStr">
        <is>
          <t>UNKNOWN</t>
        </is>
      </c>
      <c r="K199" s="71" t="n"/>
      <c r="L199" s="73" t="n"/>
      <c r="M199" s="71" t="n"/>
      <c r="N199" s="73" t="n"/>
      <c r="O199" s="71" t="n"/>
      <c r="P199" s="73" t="n"/>
      <c r="Q199" s="71" t="inlineStr">
        <is>
          <t>1404/03/31</t>
        </is>
      </c>
      <c r="R199" s="73" t="n">
        <v>45829</v>
      </c>
      <c r="S199" s="71">
        <f>IF(OR(J199="UNKNOWN",R199=""),"",R199-IF(J199="EXACT",L199,P199))</f>
      </c>
      <c r="T199" s="71">
        <f>IF(J199="EXACT",R199-L199,IF(J199="INTERVAL",R199-N199,""))</f>
      </c>
      <c r="U199" s="71">
        <f>IF(S199="","",S199/365.25)</f>
      </c>
      <c r="V199" s="71">
        <f>IF(U199="","",U199^2)</f>
      </c>
      <c r="W199" s="71" t="inlineStr">
        <is>
          <t>NO_CEO_BLOCK_IN_NOTICES</t>
        </is>
      </c>
      <c r="X199" s="71" t="n"/>
      <c r="Y199" s="71" t="n"/>
      <c r="Z199" s="71" t="n"/>
      <c r="AA199" s="71" t="n"/>
      <c r="AB199" s="71" t="n"/>
      <c r="AC199" s="71" t="n"/>
    </row>
    <row r="200" ht="29" customHeight="1" s="76">
      <c r="A200" s="70" t="inlineStr">
        <is>
          <t>T197</t>
        </is>
      </c>
      <c r="B200" s="70" t="inlineStr">
        <is>
          <t>شپدیس</t>
        </is>
      </c>
      <c r="C200" s="70" t="inlineStr">
        <is>
          <t>F30-M1</t>
        </is>
      </c>
      <c r="D200" s="70" t="inlineStr">
        <is>
          <t>MEMBER</t>
        </is>
      </c>
      <c r="E200" s="70" t="inlineStr">
        <is>
          <t>عبدالرحیم قنبریان</t>
        </is>
      </c>
      <c r="F200" s="70" t="inlineStr">
        <is>
          <t>گروه گسترش نفت و گاز پارسیان</t>
        </is>
      </c>
      <c r="G200" s="70" t="inlineStr">
        <is>
          <t>F1D05F7B</t>
        </is>
      </c>
      <c r="H200" s="70" t="inlineStr">
        <is>
          <t>NATIONAL_ID</t>
        </is>
      </c>
      <c r="I200" s="70" t="inlineStr">
        <is>
          <t>نایب رئیس هیئت مدیره موظف</t>
        </is>
      </c>
      <c r="J200" s="70" t="inlineStr">
        <is>
          <t>EXACT</t>
        </is>
      </c>
      <c r="K200" s="70" t="inlineStr">
        <is>
          <t>1403/11/29</t>
        </is>
      </c>
      <c r="L200" s="72" t="n">
        <v>45705</v>
      </c>
      <c r="M200" s="70" t="inlineStr">
        <is>
          <t>1403/11/29</t>
        </is>
      </c>
      <c r="N200" s="72" t="n">
        <v>45705</v>
      </c>
      <c r="O200" s="70" t="inlineStr">
        <is>
          <t>1403/11/29</t>
        </is>
      </c>
      <c r="P200" s="72" t="n">
        <v>45705</v>
      </c>
      <c r="Q200" s="70" t="inlineStr">
        <is>
          <t>1404/06/31</t>
        </is>
      </c>
      <c r="R200" s="72" t="n">
        <v>45922</v>
      </c>
      <c r="S200" s="70">
        <f>IF(OR(J200="UNKNOWN",R200=""),"",R200-IF(J200="EXACT",L200,P200))</f>
        <v>217</v>
      </c>
      <c r="T200" s="70">
        <f>IF(J200="EXACT",R200-L200,IF(J200="INTERVAL",R200-N200,""))</f>
        <v>217</v>
      </c>
      <c r="U200" s="70">
        <f>IF(S200="","",S200/365.25)</f>
        <v>0.5941136208076659</v>
      </c>
      <c r="V200" s="70">
        <f>IF(U200="","",U200^2)</f>
        <v>0.35297099442919505</v>
      </c>
      <c r="W200" s="70" t="inlineStr">
        <is>
          <t>BOARD_MEETING_DATE_IN_NOTICE</t>
        </is>
      </c>
      <c r="X200" s="70" t="inlineStr">
        <is>
          <t>TYPE19+REPORT_CORROBORATED</t>
        </is>
      </c>
      <c r="Y200" s="70" t="inlineStr">
        <is>
          <t>1403/11/28</t>
        </is>
      </c>
      <c r="Z200" s="70" t="inlineStr">
        <is>
          <t>START</t>
        </is>
      </c>
      <c r="AA200" s="70" t="n"/>
      <c r="AB200" s="70" t="inlineStr">
        <is>
          <t>MIN_CONTINUOUS|1401/05/10</t>
        </is>
      </c>
      <c r="AC200" s="70" t="inlineStr">
        <is>
          <t>report date 1403/11/28 (diff 1d)</t>
        </is>
      </c>
    </row>
    <row r="201" ht="29" customHeight="1" s="76">
      <c r="A201" s="71" t="inlineStr">
        <is>
          <t>T198</t>
        </is>
      </c>
      <c r="B201" s="71" t="inlineStr">
        <is>
          <t>شپدیس</t>
        </is>
      </c>
      <c r="C201" s="71" t="inlineStr">
        <is>
          <t>F30-M2</t>
        </is>
      </c>
      <c r="D201" s="71" t="inlineStr">
        <is>
          <t>MEMBER</t>
        </is>
      </c>
      <c r="E201" s="71" t="inlineStr">
        <is>
          <t>سعید کاردار</t>
        </is>
      </c>
      <c r="F201" s="71" t="inlineStr">
        <is>
          <t>بازرگانی پتروشیمی</t>
        </is>
      </c>
      <c r="G201" s="71" t="inlineStr">
        <is>
          <t>3FB05217</t>
        </is>
      </c>
      <c r="H201" s="71" t="inlineStr">
        <is>
          <t>NATIONAL_ID</t>
        </is>
      </c>
      <c r="I201" s="71" t="inlineStr">
        <is>
          <t>عضو هیئت مدیره غیر موظف</t>
        </is>
      </c>
      <c r="J201" s="71" t="inlineStr">
        <is>
          <t>EXACT</t>
        </is>
      </c>
      <c r="K201" s="71" t="inlineStr">
        <is>
          <t>1404/03/11</t>
        </is>
      </c>
      <c r="L201" s="73" t="n">
        <v>45809</v>
      </c>
      <c r="M201" s="71" t="inlineStr">
        <is>
          <t>1404/03/11</t>
        </is>
      </c>
      <c r="N201" s="73" t="n">
        <v>45809</v>
      </c>
      <c r="O201" s="71" t="inlineStr">
        <is>
          <t>1404/03/11</t>
        </is>
      </c>
      <c r="P201" s="73" t="n">
        <v>45809</v>
      </c>
      <c r="Q201" s="71" t="inlineStr">
        <is>
          <t>1404/06/31</t>
        </is>
      </c>
      <c r="R201" s="73" t="n">
        <v>45922</v>
      </c>
      <c r="S201" s="71">
        <f>IF(OR(J201="UNKNOWN",R201=""),"",R201-IF(J201="EXACT",L201,P201))</f>
        <v>113</v>
      </c>
      <c r="T201" s="71">
        <f>IF(J201="EXACT",R201-L201,IF(J201="INTERVAL",R201-N201,""))</f>
        <v>113</v>
      </c>
      <c r="U201" s="71">
        <f>IF(S201="","",S201/365.25)</f>
        <v>0.30937713894592744</v>
      </c>
      <c r="V201" s="71">
        <f>IF(U201="","",U201^2)</f>
        <v>0.09571421410236769</v>
      </c>
      <c r="W201" s="71" t="inlineStr">
        <is>
          <t>BOARD_MEETING_DATE_IN_NOTICE</t>
        </is>
      </c>
      <c r="X201" s="71" t="inlineStr">
        <is>
          <t>TYPE19_ONLY</t>
        </is>
      </c>
      <c r="Y201" s="71" t="n"/>
      <c r="Z201" s="71" t="n"/>
      <c r="AA201" s="71" t="n"/>
      <c r="AB201" s="71" t="inlineStr">
        <is>
          <t>MIN_CONTINUOUS|1401/05/10</t>
        </is>
      </c>
      <c r="AC201" s="71" t="n"/>
    </row>
    <row r="202" ht="29" customHeight="1" s="76">
      <c r="A202" s="70" t="inlineStr">
        <is>
          <t>T199</t>
        </is>
      </c>
      <c r="B202" s="70" t="inlineStr">
        <is>
          <t>شپدیس</t>
        </is>
      </c>
      <c r="C202" s="70" t="inlineStr">
        <is>
          <t>F30-M3</t>
        </is>
      </c>
      <c r="D202" s="70" t="inlineStr">
        <is>
          <t>MEMBER</t>
        </is>
      </c>
      <c r="E202" s="70" t="inlineStr">
        <is>
          <t>هوشنگ گودرزی</t>
        </is>
      </c>
      <c r="F202" s="70" t="inlineStr">
        <is>
          <t>خدمات مدیریت هامون سپاهان</t>
        </is>
      </c>
      <c r="G202" s="70" t="inlineStr">
        <is>
          <t>A6C774F7</t>
        </is>
      </c>
      <c r="H202" s="70" t="inlineStr">
        <is>
          <t>NATIONAL_ID</t>
        </is>
      </c>
      <c r="I202" s="70" t="inlineStr">
        <is>
          <t>رئیس هیئت مدیره غیر موظف</t>
        </is>
      </c>
      <c r="J202" s="70" t="inlineStr">
        <is>
          <t>EXACT</t>
        </is>
      </c>
      <c r="K202" s="70" t="inlineStr">
        <is>
          <t>1403/11/29</t>
        </is>
      </c>
      <c r="L202" s="72" t="n">
        <v>45705</v>
      </c>
      <c r="M202" s="70" t="inlineStr">
        <is>
          <t>1403/11/29</t>
        </is>
      </c>
      <c r="N202" s="72" t="n">
        <v>45705</v>
      </c>
      <c r="O202" s="70" t="inlineStr">
        <is>
          <t>1403/11/29</t>
        </is>
      </c>
      <c r="P202" s="72" t="n">
        <v>45705</v>
      </c>
      <c r="Q202" s="70" t="inlineStr">
        <is>
          <t>1404/06/31</t>
        </is>
      </c>
      <c r="R202" s="72" t="n">
        <v>45922</v>
      </c>
      <c r="S202" s="70">
        <f>IF(OR(J202="UNKNOWN",R202=""),"",R202-IF(J202="EXACT",L202,P202))</f>
        <v>217</v>
      </c>
      <c r="T202" s="70">
        <f>IF(J202="EXACT",R202-L202,IF(J202="INTERVAL",R202-N202,""))</f>
        <v>217</v>
      </c>
      <c r="U202" s="70">
        <f>IF(S202="","",S202/365.25)</f>
        <v>0.5941136208076659</v>
      </c>
      <c r="V202" s="70">
        <f>IF(U202="","",U202^2)</f>
        <v>0.35297099442919505</v>
      </c>
      <c r="W202" s="70" t="inlineStr">
        <is>
          <t>BOARD_MEETING_DATE_IN_NOTICE</t>
        </is>
      </c>
      <c r="X202" s="70" t="inlineStr">
        <is>
          <t>TYPE19+REPORT_CORROBORATED</t>
        </is>
      </c>
      <c r="Y202" s="70" t="inlineStr">
        <is>
          <t>1403/11/29</t>
        </is>
      </c>
      <c r="Z202" s="70" t="inlineStr">
        <is>
          <t>START</t>
        </is>
      </c>
      <c r="AA202" s="70" t="n"/>
      <c r="AB202" s="70" t="inlineStr">
        <is>
          <t>MIN_CONTINUOUS|1401/05/10</t>
        </is>
      </c>
      <c r="AC202" s="70" t="inlineStr">
        <is>
          <t>report date 1403/11/29 (diff 0d)</t>
        </is>
      </c>
    </row>
    <row r="203" ht="29" customHeight="1" s="76">
      <c r="A203" s="71" t="inlineStr">
        <is>
          <t>T200</t>
        </is>
      </c>
      <c r="B203" s="71" t="inlineStr">
        <is>
          <t>شپدیس</t>
        </is>
      </c>
      <c r="C203" s="71" t="inlineStr">
        <is>
          <t>F30-M3</t>
        </is>
      </c>
      <c r="D203" s="71" t="inlineStr">
        <is>
          <t>CHAIR</t>
        </is>
      </c>
      <c r="E203" s="71" t="inlineStr">
        <is>
          <t>هوشنگ گودرزی</t>
        </is>
      </c>
      <c r="F203" s="71" t="inlineStr">
        <is>
          <t>خدمات مدیریت هامون سپاهان</t>
        </is>
      </c>
      <c r="G203" s="71" t="inlineStr">
        <is>
          <t>A6C774F7</t>
        </is>
      </c>
      <c r="H203" s="71" t="inlineStr">
        <is>
          <t>NATIONAL_ID</t>
        </is>
      </c>
      <c r="I203" s="71" t="inlineStr">
        <is>
          <t>رئیس هیئت مدیره</t>
        </is>
      </c>
      <c r="J203" s="71" t="inlineStr">
        <is>
          <t>EXACT</t>
        </is>
      </c>
      <c r="K203" s="71" t="inlineStr">
        <is>
          <t>1403/11/29</t>
        </is>
      </c>
      <c r="L203" s="73" t="n">
        <v>45705</v>
      </c>
      <c r="M203" s="71" t="inlineStr">
        <is>
          <t>1403/11/29</t>
        </is>
      </c>
      <c r="N203" s="73" t="n">
        <v>45705</v>
      </c>
      <c r="O203" s="71" t="inlineStr">
        <is>
          <t>1403/11/29</t>
        </is>
      </c>
      <c r="P203" s="73" t="n">
        <v>45705</v>
      </c>
      <c r="Q203" s="71" t="inlineStr">
        <is>
          <t>1404/06/31</t>
        </is>
      </c>
      <c r="R203" s="73" t="n">
        <v>45922</v>
      </c>
      <c r="S203" s="71">
        <f>IF(OR(J203="UNKNOWN",R203=""),"",R203-IF(J203="EXACT",L203,P203))</f>
        <v>217</v>
      </c>
      <c r="T203" s="71">
        <f>IF(J203="EXACT",R203-L203,IF(J203="INTERVAL",R203-N203,""))</f>
        <v>217</v>
      </c>
      <c r="U203" s="71">
        <f>IF(S203="","",S203/365.25)</f>
        <v>0.5941136208076659</v>
      </c>
      <c r="V203" s="71">
        <f>IF(U203="","",U203^2)</f>
        <v>0.35297099442919505</v>
      </c>
      <c r="W203" s="71" t="inlineStr">
        <is>
          <t>BOARD_MEETING_DATE_IN_NOTICE</t>
        </is>
      </c>
      <c r="X203" s="71" t="inlineStr">
        <is>
          <t>TYPE19_ONLY|PERSON_ROLE_CHAIN</t>
        </is>
      </c>
      <c r="Y203" s="71" t="n"/>
      <c r="Z203" s="71" t="n"/>
      <c r="AA203" s="71" t="n"/>
      <c r="AB203" s="71" t="n"/>
      <c r="AC203" s="71" t="n"/>
    </row>
    <row r="204" ht="29" customHeight="1" s="76">
      <c r="A204" s="70" t="inlineStr">
        <is>
          <t>T201</t>
        </is>
      </c>
      <c r="B204" s="70" t="inlineStr">
        <is>
          <t>شپدیس</t>
        </is>
      </c>
      <c r="C204" s="70" t="inlineStr">
        <is>
          <t>F30-M4</t>
        </is>
      </c>
      <c r="D204" s="70" t="inlineStr">
        <is>
          <t>MEMBER</t>
        </is>
      </c>
      <c r="E204" s="70" t="inlineStr">
        <is>
          <t>(نماینده نامشخص)</t>
        </is>
      </c>
      <c r="F204" s="70" t="inlineStr">
        <is>
          <t>سرمایه گذاری هامون سپاهان</t>
        </is>
      </c>
      <c r="G204" s="70" t="n"/>
      <c r="H204" s="70" t="inlineStr">
        <is>
          <t>NAME_ONLY</t>
        </is>
      </c>
      <c r="I204" s="70" t="inlineStr">
        <is>
          <t>عضو هیئت مدیره غیر موظف</t>
        </is>
      </c>
      <c r="J204" s="70" t="inlineStr">
        <is>
          <t>UNKNOWN</t>
        </is>
      </c>
      <c r="K204" s="70" t="n"/>
      <c r="L204" s="72" t="n"/>
      <c r="M204" s="70" t="n"/>
      <c r="N204" s="72" t="n"/>
      <c r="O204" s="70" t="n"/>
      <c r="P204" s="72" t="n"/>
      <c r="Q204" s="70" t="inlineStr">
        <is>
          <t>1404/06/31</t>
        </is>
      </c>
      <c r="R204" s="72" t="n">
        <v>45922</v>
      </c>
      <c r="S204" s="70">
        <f>IF(OR(J204="UNKNOWN",R204=""),"",R204-IF(J204="EXACT",L204,P204))</f>
      </c>
      <c r="T204" s="70">
        <f>IF(J204="EXACT",R204-L204,IF(J204="INTERVAL",R204-N204,""))</f>
      </c>
      <c r="U204" s="70">
        <f>IF(S204="","",S204/365.25)</f>
      </c>
      <c r="V204" s="70">
        <f>IF(U204="","",U204^2)</f>
      </c>
      <c r="W204" s="70" t="inlineStr">
        <is>
          <t>NO_REPRESENTATIVE_NAMED_IN_NOTICE</t>
        </is>
      </c>
      <c r="X204" s="70" t="inlineStr">
        <is>
          <t>NONE</t>
        </is>
      </c>
      <c r="Y204" s="70" t="n"/>
      <c r="Z204" s="70" t="n"/>
      <c r="AA204" s="70" t="n"/>
      <c r="AB204" s="70" t="inlineStr">
        <is>
          <t>EXACT|1402/11/16</t>
        </is>
      </c>
      <c r="AC204" s="70" t="inlineStr">
        <is>
          <t>legal-entity seat without named representative</t>
        </is>
      </c>
    </row>
    <row r="205" ht="29" customHeight="1" s="76">
      <c r="A205" s="71" t="inlineStr">
        <is>
          <t>T202</t>
        </is>
      </c>
      <c r="B205" s="71" t="inlineStr">
        <is>
          <t>شپدیس</t>
        </is>
      </c>
      <c r="C205" s="71" t="inlineStr">
        <is>
          <t>F30-M5</t>
        </is>
      </c>
      <c r="D205" s="71" t="inlineStr">
        <is>
          <t>MEMBER</t>
        </is>
      </c>
      <c r="E205" s="71" t="inlineStr">
        <is>
          <t>محمدعلی سلیمانی</t>
        </is>
      </c>
      <c r="F205" s="71" t="inlineStr">
        <is>
          <t>بازرگانی و تجارت هامون سپاهان</t>
        </is>
      </c>
      <c r="G205" s="71" t="inlineStr">
        <is>
          <t>3F4899FA</t>
        </is>
      </c>
      <c r="H205" s="71" t="inlineStr">
        <is>
          <t>NATIONAL_ID</t>
        </is>
      </c>
      <c r="I205" s="71" t="inlineStr">
        <is>
          <t>عضو هیئت مدیره غیر موظف</t>
        </is>
      </c>
      <c r="J205" s="71" t="inlineStr">
        <is>
          <t>EXACT</t>
        </is>
      </c>
      <c r="K205" s="71" t="inlineStr">
        <is>
          <t>1403/11/29</t>
        </is>
      </c>
      <c r="L205" s="73" t="n">
        <v>45705</v>
      </c>
      <c r="M205" s="71" t="inlineStr">
        <is>
          <t>1403/11/29</t>
        </is>
      </c>
      <c r="N205" s="73" t="n">
        <v>45705</v>
      </c>
      <c r="O205" s="71" t="inlineStr">
        <is>
          <t>1403/11/29</t>
        </is>
      </c>
      <c r="P205" s="73" t="n">
        <v>45705</v>
      </c>
      <c r="Q205" s="71" t="inlineStr">
        <is>
          <t>1404/06/31</t>
        </is>
      </c>
      <c r="R205" s="73" t="n">
        <v>45922</v>
      </c>
      <c r="S205" s="71">
        <f>IF(OR(J205="UNKNOWN",R205=""),"",R205-IF(J205="EXACT",L205,P205))</f>
        <v>217</v>
      </c>
      <c r="T205" s="71">
        <f>IF(J205="EXACT",R205-L205,IF(J205="INTERVAL",R205-N205,""))</f>
        <v>217</v>
      </c>
      <c r="U205" s="71">
        <f>IF(S205="","",S205/365.25)</f>
        <v>0.5941136208076659</v>
      </c>
      <c r="V205" s="71">
        <f>IF(U205="","",U205^2)</f>
        <v>0.35297099442919505</v>
      </c>
      <c r="W205" s="71" t="inlineStr">
        <is>
          <t>BOARD_MEETING_DATE_IN_NOTICE</t>
        </is>
      </c>
      <c r="X205" s="71" t="inlineStr">
        <is>
          <t>TYPE19+REPORT_CORROBORATED</t>
        </is>
      </c>
      <c r="Y205" s="71" t="inlineStr">
        <is>
          <t>1403/11/29</t>
        </is>
      </c>
      <c r="Z205" s="71" t="inlineStr">
        <is>
          <t>START</t>
        </is>
      </c>
      <c r="AA205" s="71" t="n"/>
      <c r="AB205" s="71" t="inlineStr">
        <is>
          <t>MIN_CONTINUOUS|1401/05/10</t>
        </is>
      </c>
      <c r="AC205" s="71" t="inlineStr">
        <is>
          <t>report date 1403/11/29 (diff 0d)</t>
        </is>
      </c>
    </row>
    <row r="206" ht="29" customHeight="1" s="76">
      <c r="A206" s="70" t="inlineStr">
        <is>
          <t>T203</t>
        </is>
      </c>
      <c r="B206" s="70" t="inlineStr">
        <is>
          <t>شپدیس</t>
        </is>
      </c>
      <c r="C206" s="70" t="n"/>
      <c r="D206" s="70" t="inlineStr">
        <is>
          <t>CEO</t>
        </is>
      </c>
      <c r="E206" s="70" t="inlineStr">
        <is>
          <t>عبدالرحیم قنبریان</t>
        </is>
      </c>
      <c r="F206" s="70" t="n"/>
      <c r="G206" s="70" t="inlineStr">
        <is>
          <t>F1D05F7B</t>
        </is>
      </c>
      <c r="H206" s="70" t="inlineStr">
        <is>
          <t>NATIONAL_ID</t>
        </is>
      </c>
      <c r="I206" s="70" t="inlineStr">
        <is>
          <t>مدیرعامل</t>
        </is>
      </c>
      <c r="J206" s="70" t="inlineStr">
        <is>
          <t>EXACT</t>
        </is>
      </c>
      <c r="K206" s="70" t="inlineStr">
        <is>
          <t>1403/11/29</t>
        </is>
      </c>
      <c r="L206" s="72" t="n">
        <v>45705</v>
      </c>
      <c r="M206" s="70" t="inlineStr">
        <is>
          <t>1403/11/29</t>
        </is>
      </c>
      <c r="N206" s="72" t="n">
        <v>45705</v>
      </c>
      <c r="O206" s="70" t="inlineStr">
        <is>
          <t>1403/11/29</t>
        </is>
      </c>
      <c r="P206" s="72" t="n">
        <v>45705</v>
      </c>
      <c r="Q206" s="70" t="inlineStr">
        <is>
          <t>1404/06/31</t>
        </is>
      </c>
      <c r="R206" s="72" t="n">
        <v>45922</v>
      </c>
      <c r="S206" s="70">
        <f>IF(OR(J206="UNKNOWN",R206=""),"",R206-IF(J206="EXACT",L206,P206))</f>
        <v>217</v>
      </c>
      <c r="T206" s="70">
        <f>IF(J206="EXACT",R206-L206,IF(J206="INTERVAL",R206-N206,""))</f>
        <v>217</v>
      </c>
      <c r="U206" s="70">
        <f>IF(S206="","",S206/365.25)</f>
        <v>0.5941136208076659</v>
      </c>
      <c r="V206" s="70">
        <f>IF(U206="","",U206^2)</f>
        <v>0.35297099442919505</v>
      </c>
      <c r="W206" s="70" t="inlineStr">
        <is>
          <t>BOARD_MEETING_DATE_IN_NOTICE</t>
        </is>
      </c>
      <c r="X206" s="70" t="inlineStr">
        <is>
          <t>TYPE19_ONLY</t>
        </is>
      </c>
      <c r="Y206" s="70" t="n"/>
      <c r="Z206" s="70" t="n"/>
      <c r="AA206" s="70" t="n"/>
      <c r="AB206" s="70" t="inlineStr">
        <is>
          <t>عضو هیئت مدیره</t>
        </is>
      </c>
      <c r="AC206" s="70" t="n"/>
    </row>
  </sheetData>
  <mergeCells count="2">
    <mergeCell ref="A2:AC2"/>
    <mergeCell ref="A1:AC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33"/>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style="76" min="1" max="1"/>
    <col width="9" customWidth="1" style="76" min="2" max="2"/>
    <col width="10" customWidth="1" style="76" min="3" max="3"/>
    <col width="8" customWidth="1" style="76" min="4" max="4"/>
    <col width="22" customWidth="1" style="76" min="5" max="5"/>
    <col width="8" customWidth="1" style="76" min="6" max="6"/>
    <col width="22" customWidth="1" style="76" min="7" max="7"/>
    <col width="10" customWidth="1" style="76" min="8" max="36"/>
  </cols>
  <sheetData>
    <row r="1" ht="30" customHeight="1" s="76">
      <c r="A1" s="88" t="inlineStr">
        <is>
          <t>خلاصه شرکت</t>
        </is>
      </c>
    </row>
    <row r="2" ht="22" customHeight="1" s="76">
      <c r="A2" s="85" t="inlineStr">
        <is>
          <t>تفکیک مستقل تایید شده، غیرمستقل تایید شده، نامشخص و متعارض. نسبت دقیق فقط با مخرج معتبر و همه اعضای معلوم؛ در غیر این صورت نسبت در میان قابل ارزیابی و کران‌ها جدا آمده است. صفر در ستون مستقل مستند به معنای نبود برچسب صریح است و نه اثبات وابستگی همه اعضا. میانگین و SD تصدی فقط روی اعضای EXACT؛ ستون حد پایین یکنواخت جدا و مخلوط نشده است.</t>
        </is>
      </c>
    </row>
    <row r="3" ht="56" customHeight="1" s="76">
      <c r="A3" s="69" t="inlineStr">
        <is>
          <t>شناسه</t>
        </is>
      </c>
      <c r="B3" s="69" t="inlineStr">
        <is>
          <t>نماد</t>
        </is>
      </c>
      <c r="C3" s="69" t="inlineStr">
        <is>
          <t>as-of</t>
        </is>
      </c>
      <c r="D3" s="69" t="inlineStr">
        <is>
          <t>تعداد اعضا (N)</t>
        </is>
      </c>
      <c r="E3" s="69" t="inlineStr">
        <is>
          <t>مدیرعامل</t>
        </is>
      </c>
      <c r="F3" s="69" t="inlineStr">
        <is>
          <t>مدیرعامل عضو هیئت مدیره</t>
        </is>
      </c>
      <c r="G3" s="69" t="inlineStr">
        <is>
          <t>رئیس هیئت مدیره</t>
        </is>
      </c>
      <c r="H3" s="69" t="inlineStr">
        <is>
          <t>مستقل مستند تایید شده</t>
        </is>
      </c>
      <c r="I3" s="69" t="inlineStr">
        <is>
          <t>غیرمستقل مستند (موظف/مدیرعامل)</t>
        </is>
      </c>
      <c r="J3" s="69" t="inlineStr">
        <is>
          <t>نامشخص</t>
        </is>
      </c>
      <c r="K3" s="69" t="inlineStr">
        <is>
          <t>متعارض</t>
        </is>
      </c>
      <c r="L3" s="69" t="inlineStr">
        <is>
          <t>نسبت دقیق (فقط اگر همه اعضا معلوم)</t>
        </is>
      </c>
      <c r="M3" s="69" t="inlineStr">
        <is>
          <t>نسبت در میان قابل ارزیابی</t>
        </is>
      </c>
      <c r="N3" s="69" t="inlineStr">
        <is>
          <t>کران پایین سهم مستقل</t>
        </is>
      </c>
      <c r="O3" s="69" t="inlineStr">
        <is>
          <t>کران بالا سهم مستقل</t>
        </is>
      </c>
      <c r="P3" s="69" t="inlineStr">
        <is>
          <t>استقلال رئیس</t>
        </is>
      </c>
      <c r="Q3" s="69" t="inlineStr">
        <is>
          <t>همزمانی: اعضای با اعلام یا صفر</t>
        </is>
      </c>
      <c r="R3" s="69" t="inlineStr">
        <is>
          <t>همزمانی: فقط حد پایین</t>
        </is>
      </c>
      <c r="S3" s="69" t="inlineStr">
        <is>
          <t>همزمانی: نامشخص</t>
        </is>
      </c>
      <c r="T3" s="69" t="inlineStr">
        <is>
          <t>همزمانی: تعارض</t>
        </is>
      </c>
      <c r="U3" s="69" t="inlineStr">
        <is>
          <t>تعداد شناسایی‌شده کل (حد پایین)</t>
        </is>
      </c>
      <c r="V3" s="69" t="inlineStr">
        <is>
          <t>میانگین در میان اعضای با اعلام کامل</t>
        </is>
      </c>
      <c r="W3" s="69" t="inlineStr">
        <is>
          <t>تصدی EXACT</t>
        </is>
      </c>
      <c r="X3" s="69" t="inlineStr">
        <is>
          <t>تصدی INTERVAL</t>
        </is>
      </c>
      <c r="Y3" s="69" t="inlineStr">
        <is>
          <t>تصدی MIN</t>
        </is>
      </c>
      <c r="Z3" s="69" t="inlineStr">
        <is>
          <t>تصدی CONFLICT_MIN</t>
        </is>
      </c>
      <c r="AA3" s="69" t="inlineStr">
        <is>
          <t>تصدی UNKNOWN</t>
        </is>
      </c>
      <c r="AB3" s="69" t="inlineStr">
        <is>
          <t>میانگین سال (فقط EXACT)</t>
        </is>
      </c>
      <c r="AC3" s="69" t="inlineStr">
        <is>
          <t>SD سال (فقط EXACT)</t>
        </is>
      </c>
      <c r="AD3" s="69" t="inlineStr">
        <is>
          <t>کلاس تصدی رئیس</t>
        </is>
      </c>
      <c r="AE3" s="69" t="inlineStr">
        <is>
          <t>تصدی رئیس سال حداقل</t>
        </is>
      </c>
      <c r="AF3" s="69" t="inlineStr">
        <is>
          <t>کلاس تصدی مدیرعامل</t>
        </is>
      </c>
      <c r="AG3" s="69" t="inlineStr">
        <is>
          <t>تصدی مدیرعامل سال حداقل</t>
        </is>
      </c>
      <c r="AH3" s="69" t="inlineStr">
        <is>
          <t>وضعیت پوشش تصدی اعضا</t>
        </is>
      </c>
      <c r="AI3" s="69" t="inlineStr">
        <is>
          <t>میانگین حداقل سال (حد پایین یکنواخت)</t>
        </is>
      </c>
      <c r="AJ3" s="69" t="inlineStr">
        <is>
          <t>تعداد دارای شاهد حداقل</t>
        </is>
      </c>
    </row>
    <row r="4" ht="20" customHeight="1" s="76">
      <c r="A4" s="70" t="inlineStr">
        <is>
          <t>F01</t>
        </is>
      </c>
      <c r="B4" s="70" t="inlineStr">
        <is>
          <t>فملی</t>
        </is>
      </c>
      <c r="C4" s="70" t="inlineStr">
        <is>
          <t>1404/12/29</t>
        </is>
      </c>
      <c r="D4" s="70" t="n">
        <v>5</v>
      </c>
      <c r="E4" s="70" t="inlineStr">
        <is>
          <t>سیدمصطفی فیض اردکانی</t>
        </is>
      </c>
      <c r="F4" s="70" t="inlineStr">
        <is>
          <t>بله</t>
        </is>
      </c>
      <c r="G4" s="70" t="inlineStr">
        <is>
          <t>غلامرضا شافعی</t>
        </is>
      </c>
      <c r="H4" s="70" t="n">
        <v>0</v>
      </c>
      <c r="I4" s="70">
        <f>COUNTIFS('BR Independence v41'!$B$4:$B$148,B4,'BR Independence v41'!$P$4:$P$148,"NOT_INDEPENDENT_DOCUMENTED_EXECUTIVE")</f>
        <v>2</v>
      </c>
      <c r="J4" s="70">
        <f>COUNTIFS('BR Independence v41'!$B$4:$B$148,B4,'BR Independence v41'!$P$4:$P$148,"UNKNOWN")</f>
        <v>3</v>
      </c>
      <c r="K4" s="70">
        <f>COUNTIFS('BR Independence v41'!$B$4:$B$148,B4,'BR Independence v41'!$P$4:$P$148,"CONFLICT_DUTY_STATUS")</f>
        <v>0</v>
      </c>
      <c r="L4" s="70">
        <f>IF(AND(J4=0,K4=0),H4/D4,"")</f>
      </c>
      <c r="M4" s="70">
        <f>IF(H4+I4=0,"",H4/(H4+I4))</f>
        <v>0</v>
      </c>
      <c r="N4" s="70">
        <f>H4/D4</f>
        <v>0</v>
      </c>
      <c r="O4" s="70">
        <f>(D4-I4)/D4</f>
        <v>0.6</v>
      </c>
      <c r="P4" s="70" t="inlineStr">
        <is>
          <t>UNKNOWN</t>
        </is>
      </c>
      <c r="Q4" s="70" t="n">
        <v>5</v>
      </c>
      <c r="R4" s="70" t="n">
        <v>0</v>
      </c>
      <c r="S4" s="70" t="n">
        <v>0</v>
      </c>
      <c r="T4" s="70" t="n">
        <v>0</v>
      </c>
      <c r="U4" s="70" t="n">
        <v>2</v>
      </c>
      <c r="V4" s="70" t="n">
        <v>0.4</v>
      </c>
      <c r="W4" s="70">
        <f>COUNTIFS('BR Tenure v41'!$B$4:$B$206,B4,'BR Tenure v41'!$D$4:$D$206,"MEMBER",'BR Tenure v41'!$J$4:$J$206,"EXACT")</f>
        <v>3</v>
      </c>
      <c r="X4" s="70">
        <f>COUNTIFS('BR Tenure v41'!$B$4:$B$206,B4,'BR Tenure v41'!$D$4:$D$206,"MEMBER",'BR Tenure v41'!$J$4:$J$206,"INTERVAL")</f>
        <v>2</v>
      </c>
      <c r="Y4" s="70">
        <f>COUNTIFS('BR Tenure v41'!$B$4:$B$206,B4,'BR Tenure v41'!$D$4:$D$206,"MEMBER",'BR Tenure v41'!$J$4:$J$206,"MIN_CONTINUOUS")</f>
        <v>0</v>
      </c>
      <c r="Z4" s="70">
        <f>COUNTIFS('BR Tenure v41'!$B$4:$B$206,B4,'BR Tenure v41'!$D$4:$D$206,"MEMBER",'BR Tenure v41'!$J$4:$J$206,"CONFLICT_MIN")</f>
        <v>0</v>
      </c>
      <c r="AA4" s="70">
        <f>COUNTIFS('BR Tenure v41'!$B$4:$B$206,B4,'BR Tenure v41'!$D$4:$D$206,"MEMBER",'BR Tenure v41'!$J$4:$J$206,"UNKNOWN")</f>
        <v>0</v>
      </c>
      <c r="AB4" s="70">
        <f>IF(W4=0,"",AVERAGEIFS('BR Tenure v41'!$U$4:$U$206,'BR Tenure v41'!$B$4:$B$206,B4,'BR Tenure v41'!$D$4:$D$206,"MEMBER",'BR Tenure v41'!$J$4:$J$206,"EXACT"))</f>
        <v>0.8231804699977184</v>
      </c>
      <c r="AC4" s="70">
        <f>IF(W4&lt;2,"",SQRT((SUMIFS('BR Tenure v41'!$V$4:$V$206,'BR Tenure v41'!$B$4:$B$206,B4,'BR Tenure v41'!$D$4:$D$206,"MEMBER",'BR Tenure v41'!$J$4:$J$206,"EXACT")-W4*AB4^2)/(W4-1)))</f>
        <v>0.17037118445325303</v>
      </c>
      <c r="AD4" s="70" t="str">
        <f>IFERROR(INDEX('BR Tenure v41'!$J$4:$J$206,MATCH(1,INDEX(('BR Tenure v41'!$B$4:$B$206=B4)*('BR Tenure v41'!$D$4:$D$206="CHAIR"),0),0)),"")</f>
        <v>EXACT</v>
      </c>
      <c r="AE4" s="70">
        <f>IFERROR(INDEX('BR Tenure v41'!$U$4:$U$206,MATCH(1,INDEX(('BR Tenure v41'!$B$4:$B$206=B4)*('BR Tenure v41'!$D$4:$D$206="CHAIR"),0),0)),"")</f>
        <v>0.9089664613278576</v>
      </c>
      <c r="AF4" s="70" t="str">
        <f>IFERROR(INDEX('BR Tenure v41'!$J$4:$J$206,MATCH(1,INDEX(('BR Tenure v41'!$B$4:$B$206=B4)*('BR Tenure v41'!$D$4:$D$206="CEO"),0),0)),"")</f>
        <v>EXACT</v>
      </c>
      <c r="AG4" s="70">
        <f>IFERROR(INDEX('BR Tenure v41'!$U$4:$U$206,MATCH(1,INDEX(('BR Tenure v41'!$B$4:$B$206=B4)*('BR Tenure v41'!$D$4:$D$206="CEO"),0),0)),"")</f>
        <v>1.0431211498973305</v>
      </c>
      <c r="AH4" s="70" t="str">
        <f>IF(D4=0,"NO_ROSTER",IF(W4=D4,"FULL_EXACT",IF(W4&gt;0,"PARTIAL_EXACT","NO_EXACT")))</f>
        <v>PARTIAL_EXACT</v>
      </c>
      <c r="AI4" s="70">
        <f>IF(COUNTIFS('BR Tenure v41'!$B$4:$B$206,B4,'BR Tenure v41'!$D$4:$D$206,"MEMBER",'BR Tenure v41'!$U$4:$U$206,"&gt;=0")=0,"",AVERAGEIFS('BR Tenure v41'!$U$4:$U$206,'BR Tenure v41'!$B$4:$B$206,B4,'BR Tenure v41'!$D$4:$D$206,"MEMBER",'BR Tenure v41'!$U$4:$U$206,"&gt;=0"))</f>
        <v>1.1860369609856263</v>
      </c>
      <c r="AJ4" s="70">
        <f>COUNTIFS('BR Tenure v41'!$B$4:$B$206,B4,'BR Tenure v41'!$D$4:$D$206,"MEMBER",'BR Tenure v41'!$U$4:$U$206,"&gt;=0")</f>
        <v>5</v>
      </c>
    </row>
    <row r="5" ht="29" customHeight="1" s="76">
      <c r="A5" s="71" t="inlineStr">
        <is>
          <t>F02</t>
        </is>
      </c>
      <c r="B5" s="71" t="inlineStr">
        <is>
          <t>تاپیکو</t>
        </is>
      </c>
      <c r="C5" s="71" t="inlineStr">
        <is>
          <t>1404/02/31</t>
        </is>
      </c>
      <c r="D5" s="71" t="n">
        <v>5</v>
      </c>
      <c r="E5" s="71" t="inlineStr">
        <is>
          <t>رضا توکلی بنیزی (سرپرست)</t>
        </is>
      </c>
      <c r="F5" s="71" t="inlineStr">
        <is>
          <t>خیر</t>
        </is>
      </c>
      <c r="G5" s="71" t="inlineStr">
        <is>
          <t>جعفر ربیعی</t>
        </is>
      </c>
      <c r="H5" s="71" t="n">
        <v>0</v>
      </c>
      <c r="I5" s="71">
        <f>COUNTIFS('BR Independence v41'!$B$4:$B$148,B5,'BR Independence v41'!$P$4:$P$148,"NOT_INDEPENDENT_DOCUMENTED_EXECUTIVE")</f>
        <v>1</v>
      </c>
      <c r="J5" s="71">
        <f>COUNTIFS('BR Independence v41'!$B$4:$B$148,B5,'BR Independence v41'!$P$4:$P$148,"UNKNOWN")</f>
        <v>4</v>
      </c>
      <c r="K5" s="71">
        <f>COUNTIFS('BR Independence v41'!$B$4:$B$148,B5,'BR Independence v41'!$P$4:$P$148,"CONFLICT_DUTY_STATUS")</f>
        <v>0</v>
      </c>
      <c r="L5" s="71">
        <f>IF(AND(J5=0,K5=0),H5/D5,"")</f>
      </c>
      <c r="M5" s="71">
        <f>IF(H5+I5=0,"",H5/(H5+I5))</f>
        <v>0</v>
      </c>
      <c r="N5" s="71">
        <f>H5/D5</f>
        <v>0</v>
      </c>
      <c r="O5" s="71">
        <f>(D5-I5)/D5</f>
        <v>0.8</v>
      </c>
      <c r="P5" s="71" t="inlineStr">
        <is>
          <t>UNKNOWN</t>
        </is>
      </c>
      <c r="Q5" s="71" t="n">
        <v>3</v>
      </c>
      <c r="R5" s="71" t="n">
        <v>0</v>
      </c>
      <c r="S5" s="71" t="n">
        <v>2</v>
      </c>
      <c r="T5" s="71" t="n">
        <v>0</v>
      </c>
      <c r="U5" s="71" t="n">
        <v>3</v>
      </c>
      <c r="V5" s="71" t="n">
        <v>1</v>
      </c>
      <c r="W5" s="71">
        <f>COUNTIFS('BR Tenure v41'!$B$4:$B$206,B5,'BR Tenure v41'!$D$4:$D$206,"MEMBER",'BR Tenure v41'!$J$4:$J$206,"EXACT")</f>
        <v>4</v>
      </c>
      <c r="X5" s="71">
        <f>COUNTIFS('BR Tenure v41'!$B$4:$B$206,B5,'BR Tenure v41'!$D$4:$D$206,"MEMBER",'BR Tenure v41'!$J$4:$J$206,"INTERVAL")</f>
        <v>0</v>
      </c>
      <c r="Y5" s="71">
        <f>COUNTIFS('BR Tenure v41'!$B$4:$B$206,B5,'BR Tenure v41'!$D$4:$D$206,"MEMBER",'BR Tenure v41'!$J$4:$J$206,"MIN_CONTINUOUS")</f>
        <v>0</v>
      </c>
      <c r="Z5" s="71">
        <f>COUNTIFS('BR Tenure v41'!$B$4:$B$206,B5,'BR Tenure v41'!$D$4:$D$206,"MEMBER",'BR Tenure v41'!$J$4:$J$206,"CONFLICT_MIN")</f>
        <v>0</v>
      </c>
      <c r="AA5" s="71">
        <f>COUNTIFS('BR Tenure v41'!$B$4:$B$206,B5,'BR Tenure v41'!$D$4:$D$206,"MEMBER",'BR Tenure v41'!$J$4:$J$206,"UNKNOWN")</f>
        <v>1</v>
      </c>
      <c r="AB5" s="71">
        <f>IF(W5=0,"",AVERAGEIFS('BR Tenure v41'!$U$4:$U$206,'BR Tenure v41'!$B$4:$B$206,B5,'BR Tenure v41'!$D$4:$D$206,"MEMBER",'BR Tenure v41'!$J$4:$J$206,"EXACT"))</f>
        <v>0.4065708418891171</v>
      </c>
      <c r="AC5" s="71">
        <f>IF(W5&lt;2,"",SQRT((SUMIFS('BR Tenure v41'!$V$4:$V$206,'BR Tenure v41'!$B$4:$B$206,B5,'BR Tenure v41'!$D$4:$D$206,"MEMBER",'BR Tenure v41'!$J$4:$J$206,"EXACT")-W5*AB5^2)/(W5-1)))</f>
        <v>0.1891628377014212</v>
      </c>
      <c r="AD5" s="71" t="str">
        <f>IFERROR(INDEX('BR Tenure v41'!$J$4:$J$206,MATCH(1,INDEX(('BR Tenure v41'!$B$4:$B$206=B5)*('BR Tenure v41'!$D$4:$D$206="CHAIR"),0),0)),"")</f>
        <v>EXACT</v>
      </c>
      <c r="AE5" s="71">
        <f>IFERROR(INDEX('BR Tenure v41'!$U$4:$U$206,MATCH(1,INDEX(('BR Tenure v41'!$B$4:$B$206=B5)*('BR Tenure v41'!$D$4:$D$206="CHAIR"),0),0)),"")</f>
        <v>0.3531827515400411</v>
      </c>
      <c r="AF5" s="71" t="str">
        <f>IFERROR(INDEX('BR Tenure v41'!$J$4:$J$206,MATCH(1,INDEX(('BR Tenure v41'!$B$4:$B$206=B5)*('BR Tenure v41'!$D$4:$D$206="CEO"),0),0)),"")</f>
        <v>EXACT</v>
      </c>
      <c r="AG5" s="71">
        <f>IFERROR(INDEX('BR Tenure v41'!$U$4:$U$206,MATCH(1,INDEX(('BR Tenure v41'!$B$4:$B$206=B5)*('BR Tenure v41'!$D$4:$D$206="CEO"),0),0)),"")</f>
        <v>0.10677618069815195</v>
      </c>
      <c r="AH5" s="71" t="str">
        <f>IF(D5=0,"NO_ROSTER",IF(W5=D5,"FULL_EXACT",IF(W5&gt;0,"PARTIAL_EXACT","NO_EXACT")))</f>
        <v>PARTIAL_EXACT</v>
      </c>
      <c r="AI5" s="71">
        <f>IF(COUNTIFS('BR Tenure v41'!$B$4:$B$206,B5,'BR Tenure v41'!$D$4:$D$206,"MEMBER",'BR Tenure v41'!$U$4:$U$206,"&gt;=0")=0,"",AVERAGEIFS('BR Tenure v41'!$U$4:$U$206,'BR Tenure v41'!$B$4:$B$206,B5,'BR Tenure v41'!$D$4:$D$206,"MEMBER",'BR Tenure v41'!$U$4:$U$206,"&gt;=0"))</f>
        <v>0.4065708418891171</v>
      </c>
      <c r="AJ5" s="71">
        <f>COUNTIFS('BR Tenure v41'!$B$4:$B$206,B5,'BR Tenure v41'!$D$4:$D$206,"MEMBER",'BR Tenure v41'!$U$4:$U$206,"&gt;=0")</f>
        <v>4</v>
      </c>
    </row>
    <row r="6" ht="20" customHeight="1" s="76">
      <c r="A6" s="70" t="inlineStr">
        <is>
          <t>F03</t>
        </is>
      </c>
      <c r="B6" s="70" t="inlineStr">
        <is>
          <t>فارس</t>
        </is>
      </c>
      <c r="C6" s="70" t="inlineStr">
        <is>
          <t>1404/03/31</t>
        </is>
      </c>
      <c r="D6" s="70" t="n">
        <v>5</v>
      </c>
      <c r="E6" s="70" t="inlineStr">
        <is>
          <t>محمد شریعتمداری</t>
        </is>
      </c>
      <c r="F6" s="70" t="inlineStr">
        <is>
          <t>بله</t>
        </is>
      </c>
      <c r="G6" s="70" t="inlineStr">
        <is>
          <t>حسین حسین زاده</t>
        </is>
      </c>
      <c r="H6" s="70" t="n">
        <v>0</v>
      </c>
      <c r="I6" s="70">
        <f>COUNTIFS('BR Independence v41'!$B$4:$B$148,B6,'BR Independence v41'!$P$4:$P$148,"NOT_INDEPENDENT_DOCUMENTED_EXECUTIVE")</f>
        <v>2</v>
      </c>
      <c r="J6" s="70">
        <f>COUNTIFS('BR Independence v41'!$B$4:$B$148,B6,'BR Independence v41'!$P$4:$P$148,"UNKNOWN")</f>
        <v>2</v>
      </c>
      <c r="K6" s="70">
        <f>COUNTIFS('BR Independence v41'!$B$4:$B$148,B6,'BR Independence v41'!$P$4:$P$148,"CONFLICT_DUTY_STATUS")</f>
        <v>1</v>
      </c>
      <c r="L6" s="70">
        <f>IF(AND(J6=0,K6=0),H6/D6,"")</f>
      </c>
      <c r="M6" s="70">
        <f>IF(H6+I6=0,"",H6/(H6+I6))</f>
        <v>0</v>
      </c>
      <c r="N6" s="70">
        <f>H6/D6</f>
        <v>0</v>
      </c>
      <c r="O6" s="70">
        <f>(D6-I6)/D6</f>
        <v>0.6</v>
      </c>
      <c r="P6" s="70" t="inlineStr">
        <is>
          <t>UNKNOWN</t>
        </is>
      </c>
      <c r="Q6" s="70" t="n">
        <v>0</v>
      </c>
      <c r="R6" s="70" t="n">
        <v>0</v>
      </c>
      <c r="S6" s="70" t="n">
        <v>5</v>
      </c>
      <c r="T6" s="70" t="n">
        <v>0</v>
      </c>
      <c r="U6" s="70" t="n">
        <v>0</v>
      </c>
      <c r="V6" s="70" t="n"/>
      <c r="W6" s="70">
        <f>COUNTIFS('BR Tenure v41'!$B$4:$B$206,B6,'BR Tenure v41'!$D$4:$D$206,"MEMBER",'BR Tenure v41'!$J$4:$J$206,"EXACT")</f>
        <v>3</v>
      </c>
      <c r="X6" s="70">
        <f>COUNTIFS('BR Tenure v41'!$B$4:$B$206,B6,'BR Tenure v41'!$D$4:$D$206,"MEMBER",'BR Tenure v41'!$J$4:$J$206,"INTERVAL")</f>
        <v>1</v>
      </c>
      <c r="Y6" s="70">
        <f>COUNTIFS('BR Tenure v41'!$B$4:$B$206,B6,'BR Tenure v41'!$D$4:$D$206,"MEMBER",'BR Tenure v41'!$J$4:$J$206,"MIN_CONTINUOUS")</f>
        <v>0</v>
      </c>
      <c r="Z6" s="70">
        <f>COUNTIFS('BR Tenure v41'!$B$4:$B$206,B6,'BR Tenure v41'!$D$4:$D$206,"MEMBER",'BR Tenure v41'!$J$4:$J$206,"CONFLICT_MIN")</f>
        <v>1</v>
      </c>
      <c r="AA6" s="70">
        <f>COUNTIFS('BR Tenure v41'!$B$4:$B$206,B6,'BR Tenure v41'!$D$4:$D$206,"MEMBER",'BR Tenure v41'!$J$4:$J$206,"UNKNOWN")</f>
        <v>0</v>
      </c>
      <c r="AB6" s="70">
        <f>IF(W6=0,"",AVERAGEIFS('BR Tenure v41'!$U$4:$U$206,'BR Tenure v41'!$B$4:$B$206,B6,'BR Tenure v41'!$D$4:$D$206,"MEMBER",'BR Tenure v41'!$J$4:$J$206,"EXACT"))</f>
        <v>0.3394934976043806</v>
      </c>
      <c r="AC6" s="70">
        <f>IF(W6&lt;2,"",SQRT((SUMIFS('BR Tenure v41'!$V$4:$V$206,'BR Tenure v41'!$B$4:$B$206,B6,'BR Tenure v41'!$D$4:$D$206,"MEMBER",'BR Tenure v41'!$J$4:$J$206,"EXACT")-W6*AB6^2)/(W6-1)))</f>
        <v>0.2323627366759069</v>
      </c>
      <c r="AD6" s="70" t="str">
        <f>IFERROR(INDEX('BR Tenure v41'!$J$4:$J$206,MATCH(1,INDEX(('BR Tenure v41'!$B$4:$B$206=B6)*('BR Tenure v41'!$D$4:$D$206="CHAIR"),0),0)),"")</f>
        <v>EXACT</v>
      </c>
      <c r="AE6" s="70">
        <f>IFERROR(INDEX('BR Tenure v41'!$U$4:$U$206,MATCH(1,INDEX(('BR Tenure v41'!$B$4:$B$206=B6)*('BR Tenure v41'!$D$4:$D$206="CHAIR"),0),0)),"")</f>
        <v>0.09034907597535935</v>
      </c>
      <c r="AF6" s="70" t="str">
        <f>IFERROR(INDEX('BR Tenure v41'!$J$4:$J$206,MATCH(1,INDEX(('BR Tenure v41'!$B$4:$B$206=B6)*('BR Tenure v41'!$D$4:$D$206="CEO"),0),0)),"")</f>
        <v>EXACT</v>
      </c>
      <c r="AG6" s="70">
        <f>IFERROR(INDEX('BR Tenure v41'!$U$4:$U$206,MATCH(1,INDEX(('BR Tenure v41'!$B$4:$B$206=B6)*('BR Tenure v41'!$D$4:$D$206="CEO"),0),0)),"")</f>
        <v>0.5503080082135524</v>
      </c>
      <c r="AH6" s="70" t="str">
        <f>IF(D6=0,"NO_ROSTER",IF(W6=D6,"FULL_EXACT",IF(W6&gt;0,"PARTIAL_EXACT","NO_EXACT")))</f>
        <v>PARTIAL_EXACT</v>
      </c>
      <c r="AI6" s="70">
        <f>IF(COUNTIFS('BR Tenure v41'!$B$4:$B$206,B6,'BR Tenure v41'!$D$4:$D$206,"MEMBER",'BR Tenure v41'!$U$4:$U$206,"&gt;=0")=0,"",AVERAGEIFS('BR Tenure v41'!$U$4:$U$206,'BR Tenure v41'!$B$4:$B$206,B6,'BR Tenure v41'!$D$4:$D$206,"MEMBER",'BR Tenure v41'!$U$4:$U$206,"&gt;=0"))</f>
        <v>0.7408624229979466</v>
      </c>
      <c r="AJ6" s="70">
        <f>COUNTIFS('BR Tenure v41'!$B$4:$B$206,B6,'BR Tenure v41'!$D$4:$D$206,"MEMBER",'BR Tenure v41'!$U$4:$U$206,"&gt;=0")</f>
        <v>5</v>
      </c>
    </row>
    <row r="7" ht="20" customHeight="1" s="76">
      <c r="A7" s="71" t="inlineStr">
        <is>
          <t>F04</t>
        </is>
      </c>
      <c r="B7" s="71" t="inlineStr">
        <is>
          <t>خودرو</t>
        </is>
      </c>
      <c r="C7" s="71" t="inlineStr">
        <is>
          <t>1404/12/29</t>
        </is>
      </c>
      <c r="D7" s="71" t="n">
        <v>5</v>
      </c>
      <c r="E7" s="71" t="inlineStr">
        <is>
          <t>عادل پیرمحمدی</t>
        </is>
      </c>
      <c r="F7" s="71" t="inlineStr">
        <is>
          <t>بله</t>
        </is>
      </c>
      <c r="G7" s="71" t="inlineStr">
        <is>
          <t>یوسف الهی شکیب</t>
        </is>
      </c>
      <c r="H7" s="71" t="n">
        <v>0</v>
      </c>
      <c r="I7" s="71">
        <f>COUNTIFS('BR Independence v41'!$B$4:$B$148,B7,'BR Independence v41'!$P$4:$P$148,"NOT_INDEPENDENT_DOCUMENTED_EXECUTIVE")</f>
        <v>2</v>
      </c>
      <c r="J7" s="71">
        <f>COUNTIFS('BR Independence v41'!$B$4:$B$148,B7,'BR Independence v41'!$P$4:$P$148,"UNKNOWN")</f>
        <v>2</v>
      </c>
      <c r="K7" s="71">
        <f>COUNTIFS('BR Independence v41'!$B$4:$B$148,B7,'BR Independence v41'!$P$4:$P$148,"CONFLICT_DUTY_STATUS")</f>
        <v>1</v>
      </c>
      <c r="L7" s="71">
        <f>IF(AND(J7=0,K7=0),H7/D7,"")</f>
      </c>
      <c r="M7" s="71">
        <f>IF(H7+I7=0,"",H7/(H7+I7))</f>
        <v>0</v>
      </c>
      <c r="N7" s="71">
        <f>H7/D7</f>
        <v>0</v>
      </c>
      <c r="O7" s="71">
        <f>(D7-I7)/D7</f>
        <v>0.6</v>
      </c>
      <c r="P7" s="71" t="inlineStr">
        <is>
          <t>UNKNOWN</t>
        </is>
      </c>
      <c r="Q7" s="71" t="n">
        <v>0</v>
      </c>
      <c r="R7" s="71" t="n">
        <v>0</v>
      </c>
      <c r="S7" s="71" t="n">
        <v>5</v>
      </c>
      <c r="T7" s="71" t="n">
        <v>0</v>
      </c>
      <c r="U7" s="71" t="n">
        <v>0</v>
      </c>
      <c r="V7" s="71" t="n"/>
      <c r="W7" s="71">
        <f>COUNTIFS('BR Tenure v41'!$B$4:$B$206,B7,'BR Tenure v41'!$D$4:$D$206,"MEMBER",'BR Tenure v41'!$J$4:$J$206,"EXACT")</f>
        <v>5</v>
      </c>
      <c r="X7" s="71">
        <f>COUNTIFS('BR Tenure v41'!$B$4:$B$206,B7,'BR Tenure v41'!$D$4:$D$206,"MEMBER",'BR Tenure v41'!$J$4:$J$206,"INTERVAL")</f>
        <v>0</v>
      </c>
      <c r="Y7" s="71">
        <f>COUNTIFS('BR Tenure v41'!$B$4:$B$206,B7,'BR Tenure v41'!$D$4:$D$206,"MEMBER",'BR Tenure v41'!$J$4:$J$206,"MIN_CONTINUOUS")</f>
        <v>0</v>
      </c>
      <c r="Z7" s="71">
        <f>COUNTIFS('BR Tenure v41'!$B$4:$B$206,B7,'BR Tenure v41'!$D$4:$D$206,"MEMBER",'BR Tenure v41'!$J$4:$J$206,"CONFLICT_MIN")</f>
        <v>0</v>
      </c>
      <c r="AA7" s="71">
        <f>COUNTIFS('BR Tenure v41'!$B$4:$B$206,B7,'BR Tenure v41'!$D$4:$D$206,"MEMBER",'BR Tenure v41'!$J$4:$J$206,"UNKNOWN")</f>
        <v>0</v>
      </c>
      <c r="AB7" s="71">
        <f>IF(W7=0,"",AVERAGEIFS('BR Tenure v41'!$U$4:$U$206,'BR Tenure v41'!$B$4:$B$206,B7,'BR Tenure v41'!$D$4:$D$206,"MEMBER",'BR Tenure v41'!$J$4:$J$206,"EXACT"))</f>
        <v>1.3623545516769338</v>
      </c>
      <c r="AC7" s="71">
        <f>IF(W7&lt;2,"",SQRT((SUMIFS('BR Tenure v41'!$V$4:$V$206,'BR Tenure v41'!$B$4:$B$206,B7,'BR Tenure v41'!$D$4:$D$206,"MEMBER",'BR Tenure v41'!$J$4:$J$206,"EXACT")-W7*AB7^2)/(W7-1)))</f>
        <v>0.9896821258820959</v>
      </c>
      <c r="AD7" s="71" t="str">
        <f>IFERROR(INDEX('BR Tenure v41'!$J$4:$J$206,MATCH(1,INDEX(('BR Tenure v41'!$B$4:$B$206=B7)*('BR Tenure v41'!$D$4:$D$206="CHAIR"),0),0)),"")</f>
        <v>EXACT</v>
      </c>
      <c r="AE7" s="71">
        <f>IFERROR(INDEX('BR Tenure v41'!$U$4:$U$206,MATCH(1,INDEX(('BR Tenure v41'!$B$4:$B$206=B7)*('BR Tenure v41'!$D$4:$D$206="CHAIR"),0),0)),"")</f>
        <v>1.106091718001369</v>
      </c>
      <c r="AF7" s="71" t="str">
        <f>IFERROR(INDEX('BR Tenure v41'!$J$4:$J$206,MATCH(1,INDEX(('BR Tenure v41'!$B$4:$B$206=B7)*('BR Tenure v41'!$D$4:$D$206="CEO"),0),0)),"")</f>
        <v>EXACT</v>
      </c>
      <c r="AG7" s="71">
        <f>IFERROR(INDEX('BR Tenure v41'!$U$4:$U$206,MATCH(1,INDEX(('BR Tenure v41'!$B$4:$B$206=B7)*('BR Tenure v41'!$D$4:$D$206="CEO"),0),0)),"")</f>
        <v>1.106091718001369</v>
      </c>
      <c r="AH7" s="71" t="str">
        <f>IF(D7=0,"NO_ROSTER",IF(W7=D7,"FULL_EXACT",IF(W7&gt;0,"PARTIAL_EXACT","NO_EXACT")))</f>
        <v>FULL_EXACT</v>
      </c>
      <c r="AI7" s="71">
        <f>IF(COUNTIFS('BR Tenure v41'!$B$4:$B$206,B7,'BR Tenure v41'!$D$4:$D$206,"MEMBER",'BR Tenure v41'!$U$4:$U$206,"&gt;=0")=0,"",AVERAGEIFS('BR Tenure v41'!$U$4:$U$206,'BR Tenure v41'!$B$4:$B$206,B7,'BR Tenure v41'!$D$4:$D$206,"MEMBER",'BR Tenure v41'!$U$4:$U$206,"&gt;=0"))</f>
        <v>1.3623545516769338</v>
      </c>
      <c r="AJ7" s="71">
        <f>COUNTIFS('BR Tenure v41'!$B$4:$B$206,B7,'BR Tenure v41'!$D$4:$D$206,"MEMBER",'BR Tenure v41'!$U$4:$U$206,"&gt;=0")</f>
        <v>5</v>
      </c>
    </row>
    <row r="8" ht="20" customHeight="1" s="76">
      <c r="A8" s="70" t="inlineStr">
        <is>
          <t>F05</t>
        </is>
      </c>
      <c r="B8" s="70" t="inlineStr">
        <is>
          <t>زاگرس</t>
        </is>
      </c>
      <c r="C8" s="70" t="inlineStr">
        <is>
          <t>1404/12/29</t>
        </is>
      </c>
      <c r="D8" s="70" t="n">
        <v>5</v>
      </c>
      <c r="E8" s="70" t="inlineStr">
        <is>
          <t>متین دیداری</t>
        </is>
      </c>
      <c r="F8" s="70" t="inlineStr">
        <is>
          <t>بله</t>
        </is>
      </c>
      <c r="G8" s="70" t="inlineStr">
        <is>
          <t>عماد صدیقی</t>
        </is>
      </c>
      <c r="H8" s="70" t="n">
        <v>0</v>
      </c>
      <c r="I8" s="70">
        <f>COUNTIFS('BR Independence v41'!$B$4:$B$148,B8,'BR Independence v41'!$P$4:$P$148,"NOT_INDEPENDENT_DOCUMENTED_EXECUTIVE")</f>
        <v>1</v>
      </c>
      <c r="J8" s="70">
        <f>COUNTIFS('BR Independence v41'!$B$4:$B$148,B8,'BR Independence v41'!$P$4:$P$148,"UNKNOWN")</f>
        <v>4</v>
      </c>
      <c r="K8" s="70">
        <f>COUNTIFS('BR Independence v41'!$B$4:$B$148,B8,'BR Independence v41'!$P$4:$P$148,"CONFLICT_DUTY_STATUS")</f>
        <v>0</v>
      </c>
      <c r="L8" s="70">
        <f>IF(AND(J8=0,K8=0),H8/D8,"")</f>
      </c>
      <c r="M8" s="70">
        <f>IF(H8+I8=0,"",H8/(H8+I8))</f>
        <v>0</v>
      </c>
      <c r="N8" s="70">
        <f>H8/D8</f>
        <v>0</v>
      </c>
      <c r="O8" s="70">
        <f>(D8-I8)/D8</f>
        <v>0.8</v>
      </c>
      <c r="P8" s="70" t="inlineStr">
        <is>
          <t>UNKNOWN</t>
        </is>
      </c>
      <c r="Q8" s="70" t="n">
        <v>0</v>
      </c>
      <c r="R8" s="70" t="n">
        <v>2</v>
      </c>
      <c r="S8" s="70" t="n">
        <v>3</v>
      </c>
      <c r="T8" s="70" t="n">
        <v>0</v>
      </c>
      <c r="U8" s="70" t="n">
        <v>3</v>
      </c>
      <c r="V8" s="70" t="n"/>
      <c r="W8" s="70">
        <f>COUNTIFS('BR Tenure v41'!$B$4:$B$206,B8,'BR Tenure v41'!$D$4:$D$206,"MEMBER",'BR Tenure v41'!$J$4:$J$206,"EXACT")</f>
        <v>2</v>
      </c>
      <c r="X8" s="70">
        <f>COUNTIFS('BR Tenure v41'!$B$4:$B$206,B8,'BR Tenure v41'!$D$4:$D$206,"MEMBER",'BR Tenure v41'!$J$4:$J$206,"INTERVAL")</f>
        <v>0</v>
      </c>
      <c r="Y8" s="70">
        <f>COUNTIFS('BR Tenure v41'!$B$4:$B$206,B8,'BR Tenure v41'!$D$4:$D$206,"MEMBER",'BR Tenure v41'!$J$4:$J$206,"MIN_CONTINUOUS")</f>
        <v>3</v>
      </c>
      <c r="Z8" s="70">
        <f>COUNTIFS('BR Tenure v41'!$B$4:$B$206,B8,'BR Tenure v41'!$D$4:$D$206,"MEMBER",'BR Tenure v41'!$J$4:$J$206,"CONFLICT_MIN")</f>
        <v>0</v>
      </c>
      <c r="AA8" s="70">
        <f>COUNTIFS('BR Tenure v41'!$B$4:$B$206,B8,'BR Tenure v41'!$D$4:$D$206,"MEMBER",'BR Tenure v41'!$J$4:$J$206,"UNKNOWN")</f>
        <v>0</v>
      </c>
      <c r="AB8" s="70">
        <f>IF(W8=0,"",AVERAGEIFS('BR Tenure v41'!$U$4:$U$206,'BR Tenure v41'!$B$4:$B$206,B8,'BR Tenure v41'!$D$4:$D$206,"MEMBER",'BR Tenure v41'!$J$4:$J$206,"EXACT"))</f>
        <v>0.3696098562628337</v>
      </c>
      <c r="AC8" s="70">
        <f>IF(W8&lt;2,"",SQRT((SUMIFS('BR Tenure v41'!$V$4:$V$206,'BR Tenure v41'!$B$4:$B$206,B8,'BR Tenure v41'!$D$4:$D$206,"MEMBER",'BR Tenure v41'!$J$4:$J$206,"EXACT")-W8*AB8^2)/(W8-1)))</f>
        <v>0.05420668000882444</v>
      </c>
      <c r="AD8" s="70" t="str">
        <f>IFERROR(INDEX('BR Tenure v41'!$J$4:$J$206,MATCH(1,INDEX(('BR Tenure v41'!$B$4:$B$206=B8)*('BR Tenure v41'!$D$4:$D$206="CHAIR"),0),0)),"")</f>
        <v>EXACT</v>
      </c>
      <c r="AE8" s="70">
        <f>IFERROR(INDEX('BR Tenure v41'!$U$4:$U$206,MATCH(1,INDEX(('BR Tenure v41'!$B$4:$B$206=B8)*('BR Tenure v41'!$D$4:$D$206="CHAIR"),0),0)),"")</f>
        <v>0.4079397672826831</v>
      </c>
      <c r="AF8" s="70" t="str">
        <f>IFERROR(INDEX('BR Tenure v41'!$J$4:$J$206,MATCH(1,INDEX(('BR Tenure v41'!$B$4:$B$206=B8)*('BR Tenure v41'!$D$4:$D$206="CEO"),0),0)),"")</f>
        <v>MIN_CONTINUOUS</v>
      </c>
      <c r="AG8" s="70">
        <f>IFERROR(INDEX('BR Tenure v41'!$U$4:$U$206,MATCH(1,INDEX(('BR Tenure v41'!$B$4:$B$206=B8)*('BR Tenure v41'!$D$4:$D$206="CEO"),0),0)),"")</f>
        <v>2.639288158795346</v>
      </c>
      <c r="AH8" s="70" t="str">
        <f>IF(D8=0,"NO_ROSTER",IF(W8=D8,"FULL_EXACT",IF(W8&gt;0,"PARTIAL_EXACT","NO_EXACT")))</f>
        <v>PARTIAL_EXACT</v>
      </c>
      <c r="AI8" s="70">
        <f>IF(COUNTIFS('BR Tenure v41'!$B$4:$B$206,B8,'BR Tenure v41'!$D$4:$D$206,"MEMBER",'BR Tenure v41'!$U$4:$U$206,"&gt;=0")=0,"",AVERAGEIFS('BR Tenure v41'!$U$4:$U$206,'BR Tenure v41'!$B$4:$B$206,B8,'BR Tenure v41'!$D$4:$D$206,"MEMBER",'BR Tenure v41'!$U$4:$U$206,"&gt;=0"))</f>
        <v>2.500205338809035</v>
      </c>
      <c r="AJ8" s="70">
        <f>COUNTIFS('BR Tenure v41'!$B$4:$B$206,B8,'BR Tenure v41'!$D$4:$D$206,"MEMBER",'BR Tenure v41'!$U$4:$U$206,"&gt;=0")</f>
        <v>5</v>
      </c>
    </row>
    <row r="9" ht="20" customHeight="1" s="76">
      <c r="A9" s="71" t="inlineStr">
        <is>
          <t>F06</t>
        </is>
      </c>
      <c r="B9" s="71" t="inlineStr">
        <is>
          <t>شبندر</t>
        </is>
      </c>
      <c r="C9" s="71" t="inlineStr">
        <is>
          <t>1404/12/29</t>
        </is>
      </c>
      <c r="D9" s="71" t="n">
        <v>5</v>
      </c>
      <c r="E9" s="71" t="inlineStr">
        <is>
          <t>احمد هاشمی</t>
        </is>
      </c>
      <c r="F9" s="71" t="inlineStr">
        <is>
          <t>بله</t>
        </is>
      </c>
      <c r="G9" s="71" t="inlineStr">
        <is>
          <t>محمد صادقی</t>
        </is>
      </c>
      <c r="H9" s="71" t="n">
        <v>0</v>
      </c>
      <c r="I9" s="71">
        <f>COUNTIFS('BR Independence v41'!$B$4:$B$148,B9,'BR Independence v41'!$P$4:$P$148,"NOT_INDEPENDENT_DOCUMENTED_EXECUTIVE")</f>
        <v>2</v>
      </c>
      <c r="J9" s="71">
        <f>COUNTIFS('BR Independence v41'!$B$4:$B$148,B9,'BR Independence v41'!$P$4:$P$148,"UNKNOWN")</f>
        <v>3</v>
      </c>
      <c r="K9" s="71">
        <f>COUNTIFS('BR Independence v41'!$B$4:$B$148,B9,'BR Independence v41'!$P$4:$P$148,"CONFLICT_DUTY_STATUS")</f>
        <v>0</v>
      </c>
      <c r="L9" s="71">
        <f>IF(AND(J9=0,K9=0),H9/D9,"")</f>
      </c>
      <c r="M9" s="71">
        <f>IF(H9+I9=0,"",H9/(H9+I9))</f>
        <v>0</v>
      </c>
      <c r="N9" s="71">
        <f>H9/D9</f>
        <v>0</v>
      </c>
      <c r="O9" s="71">
        <f>(D9-I9)/D9</f>
        <v>0.6</v>
      </c>
      <c r="P9" s="71" t="inlineStr">
        <is>
          <t>UNKNOWN</t>
        </is>
      </c>
      <c r="Q9" s="71" t="n">
        <v>0</v>
      </c>
      <c r="R9" s="71" t="n">
        <v>0</v>
      </c>
      <c r="S9" s="71" t="n">
        <v>5</v>
      </c>
      <c r="T9" s="71" t="n">
        <v>0</v>
      </c>
      <c r="U9" s="71" t="n">
        <v>0</v>
      </c>
      <c r="V9" s="71" t="n"/>
      <c r="W9" s="71">
        <f>COUNTIFS('BR Tenure v41'!$B$4:$B$206,B9,'BR Tenure v41'!$D$4:$D$206,"MEMBER",'BR Tenure v41'!$J$4:$J$206,"EXACT")</f>
        <v>4</v>
      </c>
      <c r="X9" s="71">
        <f>COUNTIFS('BR Tenure v41'!$B$4:$B$206,B9,'BR Tenure v41'!$D$4:$D$206,"MEMBER",'BR Tenure v41'!$J$4:$J$206,"INTERVAL")</f>
        <v>0</v>
      </c>
      <c r="Y9" s="71">
        <f>COUNTIFS('BR Tenure v41'!$B$4:$B$206,B9,'BR Tenure v41'!$D$4:$D$206,"MEMBER",'BR Tenure v41'!$J$4:$J$206,"MIN_CONTINUOUS")</f>
        <v>1</v>
      </c>
      <c r="Z9" s="71">
        <f>COUNTIFS('BR Tenure v41'!$B$4:$B$206,B9,'BR Tenure v41'!$D$4:$D$206,"MEMBER",'BR Tenure v41'!$J$4:$J$206,"CONFLICT_MIN")</f>
        <v>0</v>
      </c>
      <c r="AA9" s="71">
        <f>COUNTIFS('BR Tenure v41'!$B$4:$B$206,B9,'BR Tenure v41'!$D$4:$D$206,"MEMBER",'BR Tenure v41'!$J$4:$J$206,"UNKNOWN")</f>
        <v>0</v>
      </c>
      <c r="AB9" s="71">
        <f>IF(W9=0,"",AVERAGEIFS('BR Tenure v41'!$U$4:$U$206,'BR Tenure v41'!$B$4:$B$206,B9,'BR Tenure v41'!$D$4:$D$206,"MEMBER",'BR Tenure v41'!$J$4:$J$206,"EXACT"))</f>
        <v>0.9863107460643393</v>
      </c>
      <c r="AC9" s="71">
        <f>IF(W9&lt;2,"",SQRT((SUMIFS('BR Tenure v41'!$V$4:$V$206,'BR Tenure v41'!$B$4:$B$206,B9,'BR Tenure v41'!$D$4:$D$206,"MEMBER",'BR Tenure v41'!$J$4:$J$206,"EXACT")-W9*AB9^2)/(W9-1)))</f>
        <v>0.8484168448589604</v>
      </c>
      <c r="AD9" s="71" t="str">
        <f>IFERROR(INDEX('BR Tenure v41'!$J$4:$J$206,MATCH(1,INDEX(('BR Tenure v41'!$B$4:$B$206=B9)*('BR Tenure v41'!$D$4:$D$206="CHAIR"),0),0)),"")</f>
        <v>EXACT</v>
      </c>
      <c r="AE9" s="71">
        <f>IFERROR(INDEX('BR Tenure v41'!$U$4:$U$206,MATCH(1,INDEX(('BR Tenure v41'!$B$4:$B$206=B9)*('BR Tenure v41'!$D$4:$D$206="CHAIR"),0),0)),"")</f>
        <v>0.5859000684462696</v>
      </c>
      <c r="AF9" s="71" t="str">
        <f>IFERROR(INDEX('BR Tenure v41'!$J$4:$J$206,MATCH(1,INDEX(('BR Tenure v41'!$B$4:$B$206=B9)*('BR Tenure v41'!$D$4:$D$206="CEO"),0),0)),"")</f>
        <v>MIN_CONTINUOUS</v>
      </c>
      <c r="AG9" s="71">
        <f>IFERROR(INDEX('BR Tenure v41'!$U$4:$U$206,MATCH(1,INDEX(('BR Tenure v41'!$B$4:$B$206=B9)*('BR Tenure v41'!$D$4:$D$206="CEO"),0),0)),"")</f>
        <v>2.1437371663244353</v>
      </c>
      <c r="AH9" s="71" t="str">
        <f>IF(D9=0,"NO_ROSTER",IF(W9=D9,"FULL_EXACT",IF(W9&gt;0,"PARTIAL_EXACT","NO_EXACT")))</f>
        <v>PARTIAL_EXACT</v>
      </c>
      <c r="AI9" s="71">
        <f>IF(COUNTIFS('BR Tenure v41'!$B$4:$B$206,B9,'BR Tenure v41'!$D$4:$D$206,"MEMBER",'BR Tenure v41'!$U$4:$U$206,"&gt;=0")=0,"",AVERAGEIFS('BR Tenure v41'!$U$4:$U$206,'BR Tenure v41'!$B$4:$B$206,B9,'BR Tenure v41'!$D$4:$D$206,"MEMBER",'BR Tenure v41'!$U$4:$U$206,"&gt;=0"))</f>
        <v>1.4078028747433264</v>
      </c>
      <c r="AJ9" s="71">
        <f>COUNTIFS('BR Tenure v41'!$B$4:$B$206,B9,'BR Tenure v41'!$D$4:$D$206,"MEMBER",'BR Tenure v41'!$U$4:$U$206,"&gt;=0")</f>
        <v>5</v>
      </c>
    </row>
    <row r="10" ht="20" customHeight="1" s="76">
      <c r="A10" s="70" t="inlineStr">
        <is>
          <t>F07</t>
        </is>
      </c>
      <c r="B10" s="70" t="inlineStr">
        <is>
          <t>پارس</t>
        </is>
      </c>
      <c r="C10" s="70" t="inlineStr">
        <is>
          <t>1404/12/29</t>
        </is>
      </c>
      <c r="D10" s="70" t="n">
        <v>5</v>
      </c>
      <c r="E10" s="70" t="inlineStr">
        <is>
          <t>عبدالکریم پهلوانی</t>
        </is>
      </c>
      <c r="F10" s="70" t="inlineStr">
        <is>
          <t>بله</t>
        </is>
      </c>
      <c r="G10" s="70" t="inlineStr">
        <is>
          <t>یداله مصدقی فرد</t>
        </is>
      </c>
      <c r="H10" s="70" t="n">
        <v>0</v>
      </c>
      <c r="I10" s="70">
        <f>COUNTIFS('BR Independence v41'!$B$4:$B$148,B10,'BR Independence v41'!$P$4:$P$148,"NOT_INDEPENDENT_DOCUMENTED_EXECUTIVE")</f>
        <v>1</v>
      </c>
      <c r="J10" s="70">
        <f>COUNTIFS('BR Independence v41'!$B$4:$B$148,B10,'BR Independence v41'!$P$4:$P$148,"UNKNOWN")</f>
        <v>4</v>
      </c>
      <c r="K10" s="70">
        <f>COUNTIFS('BR Independence v41'!$B$4:$B$148,B10,'BR Independence v41'!$P$4:$P$148,"CONFLICT_DUTY_STATUS")</f>
        <v>0</v>
      </c>
      <c r="L10" s="70">
        <f>IF(AND(J10=0,K10=0),H10/D10,"")</f>
      </c>
      <c r="M10" s="70">
        <f>IF(H10+I10=0,"",H10/(H10+I10))</f>
        <v>0</v>
      </c>
      <c r="N10" s="70">
        <f>H10/D10</f>
        <v>0</v>
      </c>
      <c r="O10" s="70">
        <f>(D10-I10)/D10</f>
        <v>0.8</v>
      </c>
      <c r="P10" s="70" t="inlineStr">
        <is>
          <t>UNKNOWN</t>
        </is>
      </c>
      <c r="Q10" s="70" t="n">
        <v>0</v>
      </c>
      <c r="R10" s="70" t="n">
        <v>0</v>
      </c>
      <c r="S10" s="70" t="n">
        <v>5</v>
      </c>
      <c r="T10" s="70" t="n">
        <v>0</v>
      </c>
      <c r="U10" s="70" t="n">
        <v>0</v>
      </c>
      <c r="V10" s="70" t="n"/>
      <c r="W10" s="70">
        <f>COUNTIFS('BR Tenure v41'!$B$4:$B$206,B10,'BR Tenure v41'!$D$4:$D$206,"MEMBER",'BR Tenure v41'!$J$4:$J$206,"EXACT")</f>
        <v>5</v>
      </c>
      <c r="X10" s="70">
        <f>COUNTIFS('BR Tenure v41'!$B$4:$B$206,B10,'BR Tenure v41'!$D$4:$D$206,"MEMBER",'BR Tenure v41'!$J$4:$J$206,"INTERVAL")</f>
        <v>0</v>
      </c>
      <c r="Y10" s="70">
        <f>COUNTIFS('BR Tenure v41'!$B$4:$B$206,B10,'BR Tenure v41'!$D$4:$D$206,"MEMBER",'BR Tenure v41'!$J$4:$J$206,"MIN_CONTINUOUS")</f>
        <v>0</v>
      </c>
      <c r="Z10" s="70">
        <f>COUNTIFS('BR Tenure v41'!$B$4:$B$206,B10,'BR Tenure v41'!$D$4:$D$206,"MEMBER",'BR Tenure v41'!$J$4:$J$206,"CONFLICT_MIN")</f>
        <v>0</v>
      </c>
      <c r="AA10" s="70">
        <f>COUNTIFS('BR Tenure v41'!$B$4:$B$206,B10,'BR Tenure v41'!$D$4:$D$206,"MEMBER",'BR Tenure v41'!$J$4:$J$206,"UNKNOWN")</f>
        <v>0</v>
      </c>
      <c r="AB10" s="70">
        <f>IF(W10=0,"",AVERAGEIFS('BR Tenure v41'!$U$4:$U$206,'BR Tenure v41'!$B$4:$B$206,B10,'BR Tenure v41'!$D$4:$D$206,"MEMBER",'BR Tenure v41'!$J$4:$J$206,"EXACT"))</f>
        <v>0.9385352498288843</v>
      </c>
      <c r="AC10" s="70">
        <f>IF(W10&lt;2,"",SQRT((SUMIFS('BR Tenure v41'!$V$4:$V$206,'BR Tenure v41'!$B$4:$B$206,B10,'BR Tenure v41'!$D$4:$D$206,"MEMBER",'BR Tenure v41'!$J$4:$J$206,"EXACT")-W10*AB10^2)/(W10-1)))</f>
        <v>0.4769065736119935</v>
      </c>
      <c r="AD10" s="70" t="str">
        <f>IFERROR(INDEX('BR Tenure v41'!$J$4:$J$206,MATCH(1,INDEX(('BR Tenure v41'!$B$4:$B$206=B10)*('BR Tenure v41'!$D$4:$D$206="CHAIR"),0),0)),"")</f>
        <v>EXACT</v>
      </c>
      <c r="AE10" s="70">
        <f>IFERROR(INDEX('BR Tenure v41'!$U$4:$U$206,MATCH(1,INDEX(('BR Tenure v41'!$B$4:$B$206=B10)*('BR Tenure v41'!$D$4:$D$206="CHAIR"),0),0)),"")</f>
        <v>0.4188911704312115</v>
      </c>
      <c r="AF10" s="70" t="str">
        <f>IFERROR(INDEX('BR Tenure v41'!$J$4:$J$206,MATCH(1,INDEX(('BR Tenure v41'!$B$4:$B$206=B10)*('BR Tenure v41'!$D$4:$D$206="CEO"),0),0)),"")</f>
        <v>INTERVAL</v>
      </c>
      <c r="AG10" s="70">
        <f>IFERROR(INDEX('BR Tenure v41'!$U$4:$U$206,MATCH(1,INDEX(('BR Tenure v41'!$B$4:$B$206=B10)*('BR Tenure v41'!$D$4:$D$206="CEO"),0),0)),"")</f>
        <v>0.5448323066392882</v>
      </c>
      <c r="AH10" s="70" t="str">
        <f>IF(D10=0,"NO_ROSTER",IF(W10=D10,"FULL_EXACT",IF(W10&gt;0,"PARTIAL_EXACT","NO_EXACT")))</f>
        <v>FULL_EXACT</v>
      </c>
      <c r="AI10" s="70">
        <f>IF(COUNTIFS('BR Tenure v41'!$B$4:$B$206,B10,'BR Tenure v41'!$D$4:$D$206,"MEMBER",'BR Tenure v41'!$U$4:$U$206,"&gt;=0")=0,"",AVERAGEIFS('BR Tenure v41'!$U$4:$U$206,'BR Tenure v41'!$B$4:$B$206,B10,'BR Tenure v41'!$D$4:$D$206,"MEMBER",'BR Tenure v41'!$U$4:$U$206,"&gt;=0"))</f>
        <v>0.9385352498288843</v>
      </c>
      <c r="AJ10" s="70">
        <f>COUNTIFS('BR Tenure v41'!$B$4:$B$206,B10,'BR Tenure v41'!$D$4:$D$206,"MEMBER",'BR Tenure v41'!$U$4:$U$206,"&gt;=0")</f>
        <v>5</v>
      </c>
    </row>
    <row r="11" ht="20" customHeight="1" s="76">
      <c r="A11" s="71" t="inlineStr">
        <is>
          <t>F08</t>
        </is>
      </c>
      <c r="B11" s="71" t="inlineStr">
        <is>
          <t>شتران</t>
        </is>
      </c>
      <c r="C11" s="71" t="inlineStr">
        <is>
          <t>1404/12/29</t>
        </is>
      </c>
      <c r="D11" s="71" t="n">
        <v>5</v>
      </c>
      <c r="E11" s="71" t="inlineStr">
        <is>
          <t>عباس محسنی نیکوگفتار</t>
        </is>
      </c>
      <c r="F11" s="71" t="inlineStr">
        <is>
          <t>بله</t>
        </is>
      </c>
      <c r="G11" s="71" t="inlineStr">
        <is>
          <t>محمدعلی دادور</t>
        </is>
      </c>
      <c r="H11" s="71" t="n">
        <v>0</v>
      </c>
      <c r="I11" s="71">
        <f>COUNTIFS('BR Independence v41'!$B$4:$B$148,B11,'BR Independence v41'!$P$4:$P$148,"NOT_INDEPENDENT_DOCUMENTED_EXECUTIVE")</f>
        <v>2</v>
      </c>
      <c r="J11" s="71">
        <f>COUNTIFS('BR Independence v41'!$B$4:$B$148,B11,'BR Independence v41'!$P$4:$P$148,"UNKNOWN")</f>
        <v>3</v>
      </c>
      <c r="K11" s="71">
        <f>COUNTIFS('BR Independence v41'!$B$4:$B$148,B11,'BR Independence v41'!$P$4:$P$148,"CONFLICT_DUTY_STATUS")</f>
        <v>0</v>
      </c>
      <c r="L11" s="71">
        <f>IF(AND(J11=0,K11=0),H11/D11,"")</f>
      </c>
      <c r="M11" s="71">
        <f>IF(H11+I11=0,"",H11/(H11+I11))</f>
        <v>0</v>
      </c>
      <c r="N11" s="71">
        <f>H11/D11</f>
        <v>0</v>
      </c>
      <c r="O11" s="71">
        <f>(D11-I11)/D11</f>
        <v>0.6</v>
      </c>
      <c r="P11" s="71" t="inlineStr">
        <is>
          <t>UNKNOWN</t>
        </is>
      </c>
      <c r="Q11" s="71" t="n">
        <v>5</v>
      </c>
      <c r="R11" s="71" t="n">
        <v>0</v>
      </c>
      <c r="S11" s="71" t="n">
        <v>0</v>
      </c>
      <c r="T11" s="71" t="n">
        <v>0</v>
      </c>
      <c r="U11" s="71" t="n">
        <v>5</v>
      </c>
      <c r="V11" s="71" t="n">
        <v>1</v>
      </c>
      <c r="W11" s="71">
        <f>COUNTIFS('BR Tenure v41'!$B$4:$B$206,B11,'BR Tenure v41'!$D$4:$D$206,"MEMBER",'BR Tenure v41'!$J$4:$J$206,"EXACT")</f>
        <v>5</v>
      </c>
      <c r="X11" s="71">
        <f>COUNTIFS('BR Tenure v41'!$B$4:$B$206,B11,'BR Tenure v41'!$D$4:$D$206,"MEMBER",'BR Tenure v41'!$J$4:$J$206,"INTERVAL")</f>
        <v>0</v>
      </c>
      <c r="Y11" s="71">
        <f>COUNTIFS('BR Tenure v41'!$B$4:$B$206,B11,'BR Tenure v41'!$D$4:$D$206,"MEMBER",'BR Tenure v41'!$J$4:$J$206,"MIN_CONTINUOUS")</f>
        <v>0</v>
      </c>
      <c r="Z11" s="71">
        <f>COUNTIFS('BR Tenure v41'!$B$4:$B$206,B11,'BR Tenure v41'!$D$4:$D$206,"MEMBER",'BR Tenure v41'!$J$4:$J$206,"CONFLICT_MIN")</f>
        <v>0</v>
      </c>
      <c r="AA11" s="71">
        <f>COUNTIFS('BR Tenure v41'!$B$4:$B$206,B11,'BR Tenure v41'!$D$4:$D$206,"MEMBER",'BR Tenure v41'!$J$4:$J$206,"UNKNOWN")</f>
        <v>0</v>
      </c>
      <c r="AB11" s="71">
        <f>IF(W11=0,"",AVERAGEIFS('BR Tenure v41'!$U$4:$U$206,'BR Tenure v41'!$B$4:$B$206,B11,'BR Tenure v41'!$D$4:$D$206,"MEMBER",'BR Tenure v41'!$J$4:$J$206,"EXACT"))</f>
        <v>1.5085557837097876</v>
      </c>
      <c r="AC11" s="71">
        <f>IF(W11&lt;2,"",SQRT((SUMIFS('BR Tenure v41'!$V$4:$V$206,'BR Tenure v41'!$B$4:$B$206,B11,'BR Tenure v41'!$D$4:$D$206,"MEMBER",'BR Tenure v41'!$J$4:$J$206,"EXACT")-W11*AB11^2)/(W11-1)))</f>
        <v>0.9586994144434425</v>
      </c>
      <c r="AD11" s="71" t="str">
        <f>IFERROR(INDEX('BR Tenure v41'!$J$4:$J$206,MATCH(1,INDEX(('BR Tenure v41'!$B$4:$B$206=B11)*('BR Tenure v41'!$D$4:$D$206="CHAIR"),0),0)),"")</f>
        <v>EXACT</v>
      </c>
      <c r="AE11" s="71">
        <f>IFERROR(INDEX('BR Tenure v41'!$U$4:$U$206,MATCH(1,INDEX(('BR Tenure v41'!$B$4:$B$206=B11)*('BR Tenure v41'!$D$4:$D$206="CHAIR"),0),0)),"")</f>
        <v>1.3661875427789185</v>
      </c>
      <c r="AF11" s="71" t="str">
        <f>IFERROR(INDEX('BR Tenure v41'!$J$4:$J$206,MATCH(1,INDEX(('BR Tenure v41'!$B$4:$B$206=B11)*('BR Tenure v41'!$D$4:$D$206="CEO"),0),0)),"")</f>
        <v>EXACT</v>
      </c>
      <c r="AG11" s="71">
        <f>IFERROR(INDEX('BR Tenure v41'!$U$4:$U$206,MATCH(1,INDEX(('BR Tenure v41'!$B$4:$B$206=B11)*('BR Tenure v41'!$D$4:$D$206="CEO"),0),0)),"")</f>
        <v>1.2950034223134839</v>
      </c>
      <c r="AH11" s="71" t="str">
        <f>IF(D11=0,"NO_ROSTER",IF(W11=D11,"FULL_EXACT",IF(W11&gt;0,"PARTIAL_EXACT","NO_EXACT")))</f>
        <v>FULL_EXACT</v>
      </c>
      <c r="AI11" s="71">
        <f>IF(COUNTIFS('BR Tenure v41'!$B$4:$B$206,B11,'BR Tenure v41'!$D$4:$D$206,"MEMBER",'BR Tenure v41'!$U$4:$U$206,"&gt;=0")=0,"",AVERAGEIFS('BR Tenure v41'!$U$4:$U$206,'BR Tenure v41'!$B$4:$B$206,B11,'BR Tenure v41'!$D$4:$D$206,"MEMBER",'BR Tenure v41'!$U$4:$U$206,"&gt;=0"))</f>
        <v>1.5085557837097876</v>
      </c>
      <c r="AJ11" s="71">
        <f>COUNTIFS('BR Tenure v41'!$B$4:$B$206,B11,'BR Tenure v41'!$D$4:$D$206,"MEMBER",'BR Tenure v41'!$U$4:$U$206,"&gt;=0")</f>
        <v>5</v>
      </c>
    </row>
    <row r="12" ht="43.5" customHeight="1" s="76">
      <c r="A12" s="70" t="inlineStr">
        <is>
          <t>F09</t>
        </is>
      </c>
      <c r="B12" s="70" t="inlineStr">
        <is>
          <t>وتجارت</t>
        </is>
      </c>
      <c r="C12" s="70" t="inlineStr">
        <is>
          <t>1404/12/29</t>
        </is>
      </c>
      <c r="D12" s="70" t="n">
        <v>4</v>
      </c>
      <c r="E12" s="70" t="inlineStr">
        <is>
          <t>هادی اخلاقی فیض آثار</t>
        </is>
      </c>
      <c r="F12" s="70" t="inlineStr">
        <is>
          <t>بله</t>
        </is>
      </c>
      <c r="G12" s="70" t="inlineStr">
        <is>
          <t>مرتضی ترک تبریزی</t>
        </is>
      </c>
      <c r="H12" s="70" t="n">
        <v>0</v>
      </c>
      <c r="I12" s="70">
        <f>COUNTIFS('BR Independence v41'!$B$4:$B$148,B12,'BR Independence v41'!$P$4:$P$148,"NOT_INDEPENDENT_DOCUMENTED_EXECUTIVE")</f>
        <v>4</v>
      </c>
      <c r="J12" s="70">
        <f>COUNTIFS('BR Independence v41'!$B$4:$B$148,B12,'BR Independence v41'!$P$4:$P$148,"UNKNOWN")</f>
        <v>0</v>
      </c>
      <c r="K12" s="70">
        <f>COUNTIFS('BR Independence v41'!$B$4:$B$148,B12,'BR Independence v41'!$P$4:$P$148,"CONFLICT_DUTY_STATUS")</f>
        <v>0</v>
      </c>
      <c r="L12" s="70">
        <f>IF(AND(J12=0,K12=0),H12/D12,"")</f>
        <v>0</v>
      </c>
      <c r="M12" s="70">
        <f>IF(H12+I12=0,"",H12/(H12+I12))</f>
        <v>0</v>
      </c>
      <c r="N12" s="70">
        <f>H12/D12</f>
        <v>0</v>
      </c>
      <c r="O12" s="70">
        <f>(D12-I12)/D12</f>
        <v>0</v>
      </c>
      <c r="P12" s="70" t="inlineStr">
        <is>
          <t>NOT_INDEPENDENT_DOCUMENTED</t>
        </is>
      </c>
      <c r="Q12" s="70" t="n">
        <v>0</v>
      </c>
      <c r="R12" s="70" t="n">
        <v>0</v>
      </c>
      <c r="S12" s="70" t="n">
        <v>4</v>
      </c>
      <c r="T12" s="70" t="n">
        <v>0</v>
      </c>
      <c r="U12" s="70" t="n">
        <v>0</v>
      </c>
      <c r="V12" s="70" t="n"/>
      <c r="W12" s="70">
        <f>COUNTIFS('BR Tenure v41'!$B$4:$B$206,B12,'BR Tenure v41'!$D$4:$D$206,"MEMBER",'BR Tenure v41'!$J$4:$J$206,"EXACT")</f>
        <v>3</v>
      </c>
      <c r="X12" s="70">
        <f>COUNTIFS('BR Tenure v41'!$B$4:$B$206,B12,'BR Tenure v41'!$D$4:$D$206,"MEMBER",'BR Tenure v41'!$J$4:$J$206,"INTERVAL")</f>
        <v>0</v>
      </c>
      <c r="Y12" s="70">
        <f>COUNTIFS('BR Tenure v41'!$B$4:$B$206,B12,'BR Tenure v41'!$D$4:$D$206,"MEMBER",'BR Tenure v41'!$J$4:$J$206,"MIN_CONTINUOUS")</f>
        <v>0</v>
      </c>
      <c r="Z12" s="70">
        <f>COUNTIFS('BR Tenure v41'!$B$4:$B$206,B12,'BR Tenure v41'!$D$4:$D$206,"MEMBER",'BR Tenure v41'!$J$4:$J$206,"CONFLICT_MIN")</f>
        <v>1</v>
      </c>
      <c r="AA12" s="70">
        <f>COUNTIFS('BR Tenure v41'!$B$4:$B$206,B12,'BR Tenure v41'!$D$4:$D$206,"MEMBER",'BR Tenure v41'!$J$4:$J$206,"UNKNOWN")</f>
        <v>0</v>
      </c>
      <c r="AB12" s="70">
        <f>IF(W12=0,"",AVERAGEIFS('BR Tenure v41'!$U$4:$U$206,'BR Tenure v41'!$B$4:$B$206,B12,'BR Tenure v41'!$D$4:$D$206,"MEMBER",'BR Tenure v41'!$J$4:$J$206,"EXACT"))</f>
        <v>3.4515172256445354</v>
      </c>
      <c r="AC12" s="70">
        <f>IF(W12&lt;2,"",SQRT((SUMIFS('BR Tenure v41'!$V$4:$V$206,'BR Tenure v41'!$B$4:$B$206,B12,'BR Tenure v41'!$D$4:$D$206,"MEMBER",'BR Tenure v41'!$J$4:$J$206,"EXACT")-W12*AB12^2)/(W12-1)))</f>
        <v>1.1871048656027638</v>
      </c>
      <c r="AD12" s="70" t="str">
        <f>IFERROR(INDEX('BR Tenure v41'!$J$4:$J$206,MATCH(1,INDEX(('BR Tenure v41'!$B$4:$B$206=B12)*('BR Tenure v41'!$D$4:$D$206="CHAIR"),0),0)),"")</f>
        <v>EXACT</v>
      </c>
      <c r="AE12" s="70">
        <f>IFERROR(INDEX('BR Tenure v41'!$U$4:$U$206,MATCH(1,INDEX(('BR Tenure v41'!$B$4:$B$206=B12)*('BR Tenure v41'!$D$4:$D$206="CHAIR"),0),0)),"")</f>
        <v>3.0061601642710474</v>
      </c>
      <c r="AF12" s="70" t="str">
        <f>IFERROR(INDEX('BR Tenure v41'!$J$4:$J$206,MATCH(1,INDEX(('BR Tenure v41'!$B$4:$B$206=B12)*('BR Tenure v41'!$D$4:$D$206="CEO"),0),0)),"")</f>
        <v>MIN_CONTINUOUS</v>
      </c>
      <c r="AG12" s="70">
        <f>IFERROR(INDEX('BR Tenure v41'!$U$4:$U$206,MATCH(1,INDEX(('BR Tenure v41'!$B$4:$B$206=B12)*('BR Tenure v41'!$D$4:$D$206="CEO"),0),0)),"")</f>
        <v>3.1950718685831623</v>
      </c>
      <c r="AH12" s="70" t="str">
        <f>IF(D12=0,"NO_ROSTER",IF(W12=D12,"FULL_EXACT",IF(W12&gt;0,"PARTIAL_EXACT","NO_EXACT")))</f>
        <v>PARTIAL_EXACT</v>
      </c>
      <c r="AI12" s="70">
        <f>IF(COUNTIFS('BR Tenure v41'!$B$4:$B$206,B12,'BR Tenure v41'!$D$4:$D$206,"MEMBER",'BR Tenure v41'!$U$4:$U$206,"&gt;=0")=0,"",AVERAGEIFS('BR Tenure v41'!$U$4:$U$206,'BR Tenure v41'!$B$4:$B$206,B12,'BR Tenure v41'!$D$4:$D$206,"MEMBER",'BR Tenure v41'!$U$4:$U$206,"&gt;=0"))</f>
        <v>3.3415468856947297</v>
      </c>
      <c r="AJ12" s="70">
        <f>COUNTIFS('BR Tenure v41'!$B$4:$B$206,B12,'BR Tenure v41'!$D$4:$D$206,"MEMBER",'BR Tenure v41'!$U$4:$U$206,"&gt;=0")</f>
        <v>4</v>
      </c>
    </row>
    <row r="13" ht="20" customHeight="1" s="76">
      <c r="A13" s="71" t="inlineStr">
        <is>
          <t>F10</t>
        </is>
      </c>
      <c r="B13" s="71" t="inlineStr">
        <is>
          <t>رمپنا</t>
        </is>
      </c>
      <c r="C13" s="71" t="inlineStr">
        <is>
          <t>1404/12/29</t>
        </is>
      </c>
      <c r="D13" s="71" t="n">
        <v>5</v>
      </c>
      <c r="E13" s="71" t="inlineStr">
        <is>
          <t>محمد اولیاء</t>
        </is>
      </c>
      <c r="F13" s="71" t="inlineStr">
        <is>
          <t>بله</t>
        </is>
      </c>
      <c r="G13" s="71" t="inlineStr">
        <is>
          <t>محمدرضا اولی</t>
        </is>
      </c>
      <c r="H13" s="71" t="n">
        <v>0</v>
      </c>
      <c r="I13" s="71">
        <f>COUNTIFS('BR Independence v41'!$B$4:$B$148,B13,'BR Independence v41'!$P$4:$P$148,"NOT_INDEPENDENT_DOCUMENTED_EXECUTIVE")</f>
        <v>1</v>
      </c>
      <c r="J13" s="71">
        <f>COUNTIFS('BR Independence v41'!$B$4:$B$148,B13,'BR Independence v41'!$P$4:$P$148,"UNKNOWN")</f>
        <v>4</v>
      </c>
      <c r="K13" s="71">
        <f>COUNTIFS('BR Independence v41'!$B$4:$B$148,B13,'BR Independence v41'!$P$4:$P$148,"CONFLICT_DUTY_STATUS")</f>
        <v>0</v>
      </c>
      <c r="L13" s="71">
        <f>IF(AND(J13=0,K13=0),H13/D13,"")</f>
      </c>
      <c r="M13" s="71">
        <f>IF(H13+I13=0,"",H13/(H13+I13))</f>
        <v>0</v>
      </c>
      <c r="N13" s="71">
        <f>H13/D13</f>
        <v>0</v>
      </c>
      <c r="O13" s="71">
        <f>(D13-I13)/D13</f>
        <v>0.8</v>
      </c>
      <c r="P13" s="71" t="inlineStr">
        <is>
          <t>UNKNOWN</t>
        </is>
      </c>
      <c r="Q13" s="71" t="n">
        <v>0</v>
      </c>
      <c r="R13" s="71" t="n">
        <v>0</v>
      </c>
      <c r="S13" s="71" t="n">
        <v>5</v>
      </c>
      <c r="T13" s="71" t="n">
        <v>0</v>
      </c>
      <c r="U13" s="71" t="n">
        <v>0</v>
      </c>
      <c r="V13" s="71" t="n"/>
      <c r="W13" s="71">
        <f>COUNTIFS('BR Tenure v41'!$B$4:$B$206,B13,'BR Tenure v41'!$D$4:$D$206,"MEMBER",'BR Tenure v41'!$J$4:$J$206,"EXACT")</f>
        <v>2</v>
      </c>
      <c r="X13" s="71">
        <f>COUNTIFS('BR Tenure v41'!$B$4:$B$206,B13,'BR Tenure v41'!$D$4:$D$206,"MEMBER",'BR Tenure v41'!$J$4:$J$206,"INTERVAL")</f>
        <v>3</v>
      </c>
      <c r="Y13" s="71">
        <f>COUNTIFS('BR Tenure v41'!$B$4:$B$206,B13,'BR Tenure v41'!$D$4:$D$206,"MEMBER",'BR Tenure v41'!$J$4:$J$206,"MIN_CONTINUOUS")</f>
        <v>0</v>
      </c>
      <c r="Z13" s="71">
        <f>COUNTIFS('BR Tenure v41'!$B$4:$B$206,B13,'BR Tenure v41'!$D$4:$D$206,"MEMBER",'BR Tenure v41'!$J$4:$J$206,"CONFLICT_MIN")</f>
        <v>0</v>
      </c>
      <c r="AA13" s="71">
        <f>COUNTIFS('BR Tenure v41'!$B$4:$B$206,B13,'BR Tenure v41'!$D$4:$D$206,"MEMBER",'BR Tenure v41'!$J$4:$J$206,"UNKNOWN")</f>
        <v>0</v>
      </c>
      <c r="AB13" s="71">
        <f>IF(W13=0,"",AVERAGEIFS('BR Tenure v41'!$U$4:$U$206,'BR Tenure v41'!$B$4:$B$206,B13,'BR Tenure v41'!$D$4:$D$206,"MEMBER",'BR Tenure v41'!$J$4:$J$206,"EXACT"))</f>
        <v>0.5119780971937029</v>
      </c>
      <c r="AC13" s="71">
        <f>IF(W13&lt;2,"",SQRT((SUMIFS('BR Tenure v41'!$V$4:$V$206,'BR Tenure v41'!$B$4:$B$206,B13,'BR Tenure v41'!$D$4:$D$206,"MEMBER",'BR Tenure v41'!$J$4:$J$206,"EXACT")-W13*AB13^2)/(W13-1)))</f>
        <v>0.487860120079425</v>
      </c>
      <c r="AD13" s="71" t="str">
        <f>IFERROR(INDEX('BR Tenure v41'!$J$4:$J$206,MATCH(1,INDEX(('BR Tenure v41'!$B$4:$B$206=B13)*('BR Tenure v41'!$D$4:$D$206="CHAIR"),0),0)),"")</f>
        <v>EXACT</v>
      </c>
      <c r="AE13" s="71">
        <f>IFERROR(INDEX('BR Tenure v41'!$U$4:$U$206,MATCH(1,INDEX(('BR Tenure v41'!$B$4:$B$206=B13)*('BR Tenure v41'!$D$4:$D$206="CHAIR"),0),0)),"")</f>
        <v>0.8569472963723477</v>
      </c>
      <c r="AF13" s="71" t="str">
        <f>IFERROR(INDEX('BR Tenure v41'!$J$4:$J$206,MATCH(1,INDEX(('BR Tenure v41'!$B$4:$B$206=B13)*('BR Tenure v41'!$D$4:$D$206="CEO"),0),0)),"")</f>
        <v>MIN_CONTINUOUS</v>
      </c>
      <c r="AG13" s="71">
        <f>IFERROR(INDEX('BR Tenure v41'!$U$4:$U$206,MATCH(1,INDEX(('BR Tenure v41'!$B$4:$B$206=B13)*('BR Tenure v41'!$D$4:$D$206="CEO"),0),0)),"")</f>
        <v>2.7186858316221767</v>
      </c>
      <c r="AH13" s="71" t="str">
        <f>IF(D13=0,"NO_ROSTER",IF(W13=D13,"FULL_EXACT",IF(W13&gt;0,"PARTIAL_EXACT","NO_EXACT")))</f>
        <v>PARTIAL_EXACT</v>
      </c>
      <c r="AI13" s="71">
        <f>IF(COUNTIFS('BR Tenure v41'!$B$4:$B$206,B13,'BR Tenure v41'!$D$4:$D$206,"MEMBER",'BR Tenure v41'!$U$4:$U$206,"&gt;=0")=0,"",AVERAGEIFS('BR Tenure v41'!$U$4:$U$206,'BR Tenure v41'!$B$4:$B$206,B13,'BR Tenure v41'!$D$4:$D$206,"MEMBER",'BR Tenure v41'!$U$4:$U$206,"&gt;=0"))</f>
        <v>1.822861054072553</v>
      </c>
      <c r="AJ13" s="71">
        <f>COUNTIFS('BR Tenure v41'!$B$4:$B$206,B13,'BR Tenure v41'!$D$4:$D$206,"MEMBER",'BR Tenure v41'!$U$4:$U$206,"&gt;=0")</f>
        <v>5</v>
      </c>
    </row>
    <row r="14" ht="20" customHeight="1" s="76">
      <c r="A14" s="70" t="inlineStr">
        <is>
          <t>F11</t>
        </is>
      </c>
      <c r="B14" s="70" t="inlineStr">
        <is>
          <t>فخوز</t>
        </is>
      </c>
      <c r="C14" s="70" t="inlineStr">
        <is>
          <t>1404/12/29</t>
        </is>
      </c>
      <c r="D14" s="70" t="n">
        <v>5</v>
      </c>
      <c r="E14" s="70" t="inlineStr">
        <is>
          <t>امین ابراهیمی</t>
        </is>
      </c>
      <c r="F14" s="70" t="inlineStr">
        <is>
          <t>بله</t>
        </is>
      </c>
      <c r="G14" s="70" t="inlineStr">
        <is>
          <t>محمد شهسواری</t>
        </is>
      </c>
      <c r="H14" s="70" t="n">
        <v>0</v>
      </c>
      <c r="I14" s="70">
        <f>COUNTIFS('BR Independence v41'!$B$4:$B$148,B14,'BR Independence v41'!$P$4:$P$148,"NOT_INDEPENDENT_DOCUMENTED_EXECUTIVE")</f>
        <v>1</v>
      </c>
      <c r="J14" s="70">
        <f>COUNTIFS('BR Independence v41'!$B$4:$B$148,B14,'BR Independence v41'!$P$4:$P$148,"UNKNOWN")</f>
        <v>4</v>
      </c>
      <c r="K14" s="70">
        <f>COUNTIFS('BR Independence v41'!$B$4:$B$148,B14,'BR Independence v41'!$P$4:$P$148,"CONFLICT_DUTY_STATUS")</f>
        <v>0</v>
      </c>
      <c r="L14" s="70">
        <f>IF(AND(J14=0,K14=0),H14/D14,"")</f>
      </c>
      <c r="M14" s="70">
        <f>IF(H14+I14=0,"",H14/(H14+I14))</f>
        <v>0</v>
      </c>
      <c r="N14" s="70">
        <f>H14/D14</f>
        <v>0</v>
      </c>
      <c r="O14" s="70">
        <f>(D14-I14)/D14</f>
        <v>0.8</v>
      </c>
      <c r="P14" s="70" t="inlineStr">
        <is>
          <t>UNKNOWN</t>
        </is>
      </c>
      <c r="Q14" s="70" t="n">
        <v>0</v>
      </c>
      <c r="R14" s="70" t="n">
        <v>0</v>
      </c>
      <c r="S14" s="70" t="n">
        <v>5</v>
      </c>
      <c r="T14" s="70" t="n">
        <v>0</v>
      </c>
      <c r="U14" s="70" t="n">
        <v>0</v>
      </c>
      <c r="V14" s="70" t="n"/>
      <c r="W14" s="70">
        <f>COUNTIFS('BR Tenure v41'!$B$4:$B$206,B14,'BR Tenure v41'!$D$4:$D$206,"MEMBER",'BR Tenure v41'!$J$4:$J$206,"EXACT")</f>
        <v>4</v>
      </c>
      <c r="X14" s="70">
        <f>COUNTIFS('BR Tenure v41'!$B$4:$B$206,B14,'BR Tenure v41'!$D$4:$D$206,"MEMBER",'BR Tenure v41'!$J$4:$J$206,"INTERVAL")</f>
        <v>1</v>
      </c>
      <c r="Y14" s="70">
        <f>COUNTIFS('BR Tenure v41'!$B$4:$B$206,B14,'BR Tenure v41'!$D$4:$D$206,"MEMBER",'BR Tenure v41'!$J$4:$J$206,"MIN_CONTINUOUS")</f>
        <v>0</v>
      </c>
      <c r="Z14" s="70">
        <f>COUNTIFS('BR Tenure v41'!$B$4:$B$206,B14,'BR Tenure v41'!$D$4:$D$206,"MEMBER",'BR Tenure v41'!$J$4:$J$206,"CONFLICT_MIN")</f>
        <v>0</v>
      </c>
      <c r="AA14" s="70">
        <f>COUNTIFS('BR Tenure v41'!$B$4:$B$206,B14,'BR Tenure v41'!$D$4:$D$206,"MEMBER",'BR Tenure v41'!$J$4:$J$206,"UNKNOWN")</f>
        <v>0</v>
      </c>
      <c r="AB14" s="70">
        <f>IF(W14=0,"",AVERAGEIFS('BR Tenure v41'!$U$4:$U$206,'BR Tenure v41'!$B$4:$B$206,B14,'BR Tenure v41'!$D$4:$D$206,"MEMBER",'BR Tenure v41'!$J$4:$J$206,"EXACT"))</f>
        <v>1.1225188227241616</v>
      </c>
      <c r="AC14" s="70">
        <f>IF(W14&lt;2,"",SQRT((SUMIFS('BR Tenure v41'!$V$4:$V$206,'BR Tenure v41'!$B$4:$B$206,B14,'BR Tenure v41'!$D$4:$D$206,"MEMBER",'BR Tenure v41'!$J$4:$J$206,"EXACT")-W14*AB14^2)/(W14-1)))</f>
        <v>1.007529089664613</v>
      </c>
      <c r="AD14" s="70" t="str">
        <f>IFERROR(INDEX('BR Tenure v41'!$J$4:$J$206,MATCH(1,INDEX(('BR Tenure v41'!$B$4:$B$206=B14)*('BR Tenure v41'!$D$4:$D$206="CHAIR"),0),0)),"")</f>
        <v>EXACT</v>
      </c>
      <c r="AE14" s="70">
        <f>IFERROR(INDEX('BR Tenure v41'!$U$4:$U$206,MATCH(1,INDEX(('BR Tenure v41'!$B$4:$B$206=B14)*('BR Tenure v41'!$D$4:$D$206="CHAIR"),0),0)),"")</f>
        <v>0.6187542778918549</v>
      </c>
      <c r="AF14" s="70" t="str">
        <f>IFERROR(INDEX('BR Tenure v41'!$J$4:$J$206,MATCH(1,INDEX(('BR Tenure v41'!$B$4:$B$206=B14)*('BR Tenure v41'!$D$4:$D$206="CEO"),0),0)),"")</f>
        <v>MIN_CONTINUOUS</v>
      </c>
      <c r="AG14" s="70">
        <f>IFERROR(INDEX('BR Tenure v41'!$U$4:$U$206,MATCH(1,INDEX(('BR Tenure v41'!$B$4:$B$206=B14)*('BR Tenure v41'!$D$4:$D$206="CEO"),0),0)),"")</f>
        <v>2.631074606433949</v>
      </c>
      <c r="AH14" s="70" t="str">
        <f>IF(D14=0,"NO_ROSTER",IF(W14=D14,"FULL_EXACT",IF(W14&gt;0,"PARTIAL_EXACT","NO_EXACT")))</f>
        <v>PARTIAL_EXACT</v>
      </c>
      <c r="AI14" s="70">
        <f>IF(COUNTIFS('BR Tenure v41'!$B$4:$B$206,B14,'BR Tenure v41'!$D$4:$D$206,"MEMBER",'BR Tenure v41'!$U$4:$U$206,"&gt;=0")=0,"",AVERAGEIFS('BR Tenure v41'!$U$4:$U$206,'BR Tenure v41'!$B$4:$B$206,B14,'BR Tenure v41'!$D$4:$D$206,"MEMBER",'BR Tenure v41'!$U$4:$U$206,"&gt;=0"))</f>
        <v>1.0151950718685832</v>
      </c>
      <c r="AJ14" s="70">
        <f>COUNTIFS('BR Tenure v41'!$B$4:$B$206,B14,'BR Tenure v41'!$D$4:$D$206,"MEMBER",'BR Tenure v41'!$U$4:$U$206,"&gt;=0")</f>
        <v>5</v>
      </c>
    </row>
    <row r="15" ht="20" customHeight="1" s="76">
      <c r="A15" s="71" t="inlineStr">
        <is>
          <t>F12</t>
        </is>
      </c>
      <c r="B15" s="71" t="inlineStr">
        <is>
          <t>شستا</t>
        </is>
      </c>
      <c r="C15" s="71" t="inlineStr">
        <is>
          <t>1404/03/31</t>
        </is>
      </c>
      <c r="D15" s="71" t="n">
        <v>5</v>
      </c>
      <c r="E15" s="71" t="inlineStr">
        <is>
          <t>محمدرضا سعیدی</t>
        </is>
      </c>
      <c r="F15" s="71" t="inlineStr">
        <is>
          <t>بله</t>
        </is>
      </c>
      <c r="G15" s="71" t="inlineStr">
        <is>
          <t>غلام رضا رحیمی</t>
        </is>
      </c>
      <c r="H15" s="71" t="n">
        <v>0</v>
      </c>
      <c r="I15" s="71">
        <f>COUNTIFS('BR Independence v41'!$B$4:$B$148,B15,'BR Independence v41'!$P$4:$P$148,"NOT_INDEPENDENT_DOCUMENTED_EXECUTIVE")</f>
        <v>2</v>
      </c>
      <c r="J15" s="71">
        <f>COUNTIFS('BR Independence v41'!$B$4:$B$148,B15,'BR Independence v41'!$P$4:$P$148,"UNKNOWN")</f>
        <v>3</v>
      </c>
      <c r="K15" s="71">
        <f>COUNTIFS('BR Independence v41'!$B$4:$B$148,B15,'BR Independence v41'!$P$4:$P$148,"CONFLICT_DUTY_STATUS")</f>
        <v>0</v>
      </c>
      <c r="L15" s="71">
        <f>IF(AND(J15=0,K15=0),H15/D15,"")</f>
      </c>
      <c r="M15" s="71">
        <f>IF(H15+I15=0,"",H15/(H15+I15))</f>
        <v>0</v>
      </c>
      <c r="N15" s="71">
        <f>H15/D15</f>
        <v>0</v>
      </c>
      <c r="O15" s="71">
        <f>(D15-I15)/D15</f>
        <v>0.6</v>
      </c>
      <c r="P15" s="71" t="inlineStr">
        <is>
          <t>UNKNOWN</t>
        </is>
      </c>
      <c r="Q15" s="71" t="n">
        <v>2</v>
      </c>
      <c r="R15" s="71" t="n">
        <v>0</v>
      </c>
      <c r="S15" s="71" t="n">
        <v>3</v>
      </c>
      <c r="T15" s="71" t="n">
        <v>0</v>
      </c>
      <c r="U15" s="71" t="n">
        <v>0</v>
      </c>
      <c r="V15" s="71" t="n">
        <v>0</v>
      </c>
      <c r="W15" s="71">
        <f>COUNTIFS('BR Tenure v41'!$B$4:$B$206,B15,'BR Tenure v41'!$D$4:$D$206,"MEMBER",'BR Tenure v41'!$J$4:$J$206,"EXACT")</f>
        <v>4</v>
      </c>
      <c r="X15" s="71">
        <f>COUNTIFS('BR Tenure v41'!$B$4:$B$206,B15,'BR Tenure v41'!$D$4:$D$206,"MEMBER",'BR Tenure v41'!$J$4:$J$206,"INTERVAL")</f>
        <v>1</v>
      </c>
      <c r="Y15" s="71">
        <f>COUNTIFS('BR Tenure v41'!$B$4:$B$206,B15,'BR Tenure v41'!$D$4:$D$206,"MEMBER",'BR Tenure v41'!$J$4:$J$206,"MIN_CONTINUOUS")</f>
        <v>0</v>
      </c>
      <c r="Z15" s="71">
        <f>COUNTIFS('BR Tenure v41'!$B$4:$B$206,B15,'BR Tenure v41'!$D$4:$D$206,"MEMBER",'BR Tenure v41'!$J$4:$J$206,"CONFLICT_MIN")</f>
        <v>0</v>
      </c>
      <c r="AA15" s="71">
        <f>COUNTIFS('BR Tenure v41'!$B$4:$B$206,B15,'BR Tenure v41'!$D$4:$D$206,"MEMBER",'BR Tenure v41'!$J$4:$J$206,"UNKNOWN")</f>
        <v>0</v>
      </c>
      <c r="AB15" s="71">
        <f>IF(W15=0,"",AVERAGEIFS('BR Tenure v41'!$U$4:$U$206,'BR Tenure v41'!$B$4:$B$206,B15,'BR Tenure v41'!$D$4:$D$206,"MEMBER",'BR Tenure v41'!$J$4:$J$206,"EXACT"))</f>
        <v>0.784394250513347</v>
      </c>
      <c r="AC15" s="71">
        <f>IF(W15&lt;2,"",SQRT((SUMIFS('BR Tenure v41'!$V$4:$V$206,'BR Tenure v41'!$B$4:$B$206,B15,'BR Tenure v41'!$D$4:$D$206,"MEMBER",'BR Tenure v41'!$J$4:$J$206,"EXACT")-W15*AB15^2)/(W15-1)))</f>
        <v>0.7307155689267413</v>
      </c>
      <c r="AD15" s="71" t="str">
        <f>IFERROR(INDEX('BR Tenure v41'!$J$4:$J$206,MATCH(1,INDEX(('BR Tenure v41'!$B$4:$B$206=B15)*('BR Tenure v41'!$D$4:$D$206="CHAIR"),0),0)),"")</f>
        <v>EXACT</v>
      </c>
      <c r="AE15" s="71">
        <f>IFERROR(INDEX('BR Tenure v41'!$U$4:$U$206,MATCH(1,INDEX(('BR Tenure v41'!$B$4:$B$206=B15)*('BR Tenure v41'!$D$4:$D$206="CHAIR"),0),0)),"")</f>
        <v>0.5147159479808351</v>
      </c>
      <c r="AF15" s="71" t="str">
        <f>IFERROR(INDEX('BR Tenure v41'!$J$4:$J$206,MATCH(1,INDEX(('BR Tenure v41'!$B$4:$B$206=B15)*('BR Tenure v41'!$D$4:$D$206="CEO"),0),0)),"")</f>
        <v>EXACT</v>
      </c>
      <c r="AG15" s="71">
        <f>IFERROR(INDEX('BR Tenure v41'!$U$4:$U$206,MATCH(1,INDEX(('BR Tenure v41'!$B$4:$B$206=B15)*('BR Tenure v41'!$D$4:$D$206="CEO"),0),0)),"")</f>
        <v>0.6105407255304586</v>
      </c>
      <c r="AH15" s="71" t="str">
        <f>IF(D15=0,"NO_ROSTER",IF(W15=D15,"FULL_EXACT",IF(W15&gt;0,"PARTIAL_EXACT","NO_EXACT")))</f>
        <v>PARTIAL_EXACT</v>
      </c>
      <c r="AI15" s="71">
        <f>IF(COUNTIFS('BR Tenure v41'!$B$4:$B$206,B15,'BR Tenure v41'!$D$4:$D$206,"MEMBER",'BR Tenure v41'!$U$4:$U$206,"&gt;=0")=0,"",AVERAGEIFS('BR Tenure v41'!$U$4:$U$206,'BR Tenure v41'!$B$4:$B$206,B15,'BR Tenure v41'!$D$4:$D$206,"MEMBER",'BR Tenure v41'!$U$4:$U$206,"&gt;=0"))</f>
        <v>0.9511293634496919</v>
      </c>
      <c r="AJ15" s="71">
        <f>COUNTIFS('BR Tenure v41'!$B$4:$B$206,B15,'BR Tenure v41'!$D$4:$D$206,"MEMBER",'BR Tenure v41'!$U$4:$U$206,"&gt;=0")</f>
        <v>5</v>
      </c>
    </row>
    <row r="16" ht="20" customHeight="1" s="76">
      <c r="A16" s="70" t="inlineStr">
        <is>
          <t>F13</t>
        </is>
      </c>
      <c r="B16" s="70" t="inlineStr">
        <is>
          <t>شپنا</t>
        </is>
      </c>
      <c r="C16" s="70" t="inlineStr">
        <is>
          <t>1404/12/29</t>
        </is>
      </c>
      <c r="D16" s="70" t="n">
        <v>5</v>
      </c>
      <c r="E16" s="70" t="inlineStr">
        <is>
          <t>غلامرضا باقری دیزج</t>
        </is>
      </c>
      <c r="F16" s="70" t="inlineStr">
        <is>
          <t>بله</t>
        </is>
      </c>
      <c r="G16" s="70" t="inlineStr">
        <is>
          <t>فرهاد امین دهقان</t>
        </is>
      </c>
      <c r="H16" s="70" t="n">
        <v>0</v>
      </c>
      <c r="I16" s="70">
        <f>COUNTIFS('BR Independence v41'!$B$4:$B$148,B16,'BR Independence v41'!$P$4:$P$148,"NOT_INDEPENDENT_DOCUMENTED_EXECUTIVE")</f>
        <v>2</v>
      </c>
      <c r="J16" s="70">
        <f>COUNTIFS('BR Independence v41'!$B$4:$B$148,B16,'BR Independence v41'!$P$4:$P$148,"UNKNOWN")</f>
        <v>3</v>
      </c>
      <c r="K16" s="70">
        <f>COUNTIFS('BR Independence v41'!$B$4:$B$148,B16,'BR Independence v41'!$P$4:$P$148,"CONFLICT_DUTY_STATUS")</f>
        <v>0</v>
      </c>
      <c r="L16" s="70">
        <f>IF(AND(J16=0,K16=0),H16/D16,"")</f>
      </c>
      <c r="M16" s="70">
        <f>IF(H16+I16=0,"",H16/(H16+I16))</f>
        <v>0</v>
      </c>
      <c r="N16" s="70">
        <f>H16/D16</f>
        <v>0</v>
      </c>
      <c r="O16" s="70">
        <f>(D16-I16)/D16</f>
        <v>0.6</v>
      </c>
      <c r="P16" s="70" t="inlineStr">
        <is>
          <t>UNKNOWN</t>
        </is>
      </c>
      <c r="Q16" s="70" t="n">
        <v>0</v>
      </c>
      <c r="R16" s="70" t="n">
        <v>0</v>
      </c>
      <c r="S16" s="70" t="n">
        <v>5</v>
      </c>
      <c r="T16" s="70" t="n">
        <v>0</v>
      </c>
      <c r="U16" s="70" t="n">
        <v>0</v>
      </c>
      <c r="V16" s="70" t="n"/>
      <c r="W16" s="70">
        <f>COUNTIFS('BR Tenure v41'!$B$4:$B$206,B16,'BR Tenure v41'!$D$4:$D$206,"MEMBER",'BR Tenure v41'!$J$4:$J$206,"EXACT")</f>
        <v>4</v>
      </c>
      <c r="X16" s="70">
        <f>COUNTIFS('BR Tenure v41'!$B$4:$B$206,B16,'BR Tenure v41'!$D$4:$D$206,"MEMBER",'BR Tenure v41'!$J$4:$J$206,"INTERVAL")</f>
        <v>0</v>
      </c>
      <c r="Y16" s="70">
        <f>COUNTIFS('BR Tenure v41'!$B$4:$B$206,B16,'BR Tenure v41'!$D$4:$D$206,"MEMBER",'BR Tenure v41'!$J$4:$J$206,"MIN_CONTINUOUS")</f>
        <v>1</v>
      </c>
      <c r="Z16" s="70">
        <f>COUNTIFS('BR Tenure v41'!$B$4:$B$206,B16,'BR Tenure v41'!$D$4:$D$206,"MEMBER",'BR Tenure v41'!$J$4:$J$206,"CONFLICT_MIN")</f>
        <v>0</v>
      </c>
      <c r="AA16" s="70">
        <f>COUNTIFS('BR Tenure v41'!$B$4:$B$206,B16,'BR Tenure v41'!$D$4:$D$206,"MEMBER",'BR Tenure v41'!$J$4:$J$206,"UNKNOWN")</f>
        <v>0</v>
      </c>
      <c r="AB16" s="70">
        <f>IF(W16=0,"",AVERAGEIFS('BR Tenure v41'!$U$4:$U$206,'BR Tenure v41'!$B$4:$B$206,B16,'BR Tenure v41'!$D$4:$D$206,"MEMBER",'BR Tenure v41'!$J$4:$J$206,"EXACT"))</f>
        <v>1.0930869267624916</v>
      </c>
      <c r="AC16" s="70">
        <f>IF(W16&lt;2,"",SQRT((SUMIFS('BR Tenure v41'!$V$4:$V$206,'BR Tenure v41'!$B$4:$B$206,B16,'BR Tenure v41'!$D$4:$D$206,"MEMBER",'BR Tenure v41'!$J$4:$J$206,"EXACT")-W16*AB16^2)/(W16-1)))</f>
        <v>0.12457221081450903</v>
      </c>
      <c r="AD16" s="70" t="str">
        <f>IFERROR(INDEX('BR Tenure v41'!$J$4:$J$206,MATCH(1,INDEX(('BR Tenure v41'!$B$4:$B$206=B16)*('BR Tenure v41'!$D$4:$D$206="CHAIR"),0),0)),"")</f>
        <v>EXACT</v>
      </c>
      <c r="AE16" s="70">
        <f>IFERROR(INDEX('BR Tenure v41'!$U$4:$U$206,MATCH(1,INDEX(('BR Tenure v41'!$B$4:$B$206=B16)*('BR Tenure v41'!$D$4:$D$206="CHAIR"),0),0)),"")</f>
        <v>1.1553730321697468</v>
      </c>
      <c r="AF16" s="70" t="str">
        <f>IFERROR(INDEX('BR Tenure v41'!$J$4:$J$206,MATCH(1,INDEX(('BR Tenure v41'!$B$4:$B$206=B16)*('BR Tenure v41'!$D$4:$D$206="CEO"),0),0)),"")</f>
        <v>EXACT</v>
      </c>
      <c r="AG16" s="70">
        <f>IFERROR(INDEX('BR Tenure v41'!$U$4:$U$206,MATCH(1,INDEX(('BR Tenure v41'!$B$4:$B$206=B16)*('BR Tenure v41'!$D$4:$D$206="CEO"),0),0)),"")</f>
        <v>1.2758384668035592</v>
      </c>
      <c r="AH16" s="70" t="str">
        <f>IF(D16=0,"NO_ROSTER",IF(W16=D16,"FULL_EXACT",IF(W16&gt;0,"PARTIAL_EXACT","NO_EXACT")))</f>
        <v>PARTIAL_EXACT</v>
      </c>
      <c r="AI16" s="70">
        <f>IF(COUNTIFS('BR Tenure v41'!$B$4:$B$206,B16,'BR Tenure v41'!$D$4:$D$206,"MEMBER",'BR Tenure v41'!$U$4:$U$206,"&gt;=0")=0,"",AVERAGEIFS('BR Tenure v41'!$U$4:$U$206,'BR Tenure v41'!$B$4:$B$206,B16,'BR Tenure v41'!$D$4:$D$206,"MEMBER",'BR Tenure v41'!$U$4:$U$206,"&gt;=0"))</f>
        <v>1.623545516769336</v>
      </c>
      <c r="AJ16" s="70">
        <f>COUNTIFS('BR Tenure v41'!$B$4:$B$206,B16,'BR Tenure v41'!$D$4:$D$206,"MEMBER",'BR Tenure v41'!$U$4:$U$206,"&gt;=0")</f>
        <v>5</v>
      </c>
    </row>
    <row r="17" ht="20" customHeight="1" s="76">
      <c r="A17" s="71" t="inlineStr">
        <is>
          <t>F14</t>
        </is>
      </c>
      <c r="B17" s="71" t="inlineStr">
        <is>
          <t>وغدیر</t>
        </is>
      </c>
      <c r="C17" s="71" t="inlineStr">
        <is>
          <t>1404/09/30</t>
        </is>
      </c>
      <c r="D17" s="71" t="n">
        <v>5</v>
      </c>
      <c r="E17" s="71" t="inlineStr">
        <is>
          <t>سیدمجید هدایت</t>
        </is>
      </c>
      <c r="F17" s="71" t="inlineStr">
        <is>
          <t>بله</t>
        </is>
      </c>
      <c r="G17" s="71" t="inlineStr">
        <is>
          <t>احد امیری</t>
        </is>
      </c>
      <c r="H17" s="71" t="n">
        <v>0</v>
      </c>
      <c r="I17" s="71">
        <f>COUNTIFS('BR Independence v41'!$B$4:$B$148,B17,'BR Independence v41'!$P$4:$P$148,"NOT_INDEPENDENT_DOCUMENTED_EXECUTIVE")</f>
        <v>1</v>
      </c>
      <c r="J17" s="71">
        <f>COUNTIFS('BR Independence v41'!$B$4:$B$148,B17,'BR Independence v41'!$P$4:$P$148,"UNKNOWN")</f>
        <v>4</v>
      </c>
      <c r="K17" s="71">
        <f>COUNTIFS('BR Independence v41'!$B$4:$B$148,B17,'BR Independence v41'!$P$4:$P$148,"CONFLICT_DUTY_STATUS")</f>
        <v>0</v>
      </c>
      <c r="L17" s="71">
        <f>IF(AND(J17=0,K17=0),H17/D17,"")</f>
      </c>
      <c r="M17" s="71">
        <f>IF(H17+I17=0,"",H17/(H17+I17))</f>
        <v>0</v>
      </c>
      <c r="N17" s="71">
        <f>H17/D17</f>
        <v>0</v>
      </c>
      <c r="O17" s="71">
        <f>(D17-I17)/D17</f>
        <v>0.8</v>
      </c>
      <c r="P17" s="71" t="inlineStr">
        <is>
          <t>UNKNOWN</t>
        </is>
      </c>
      <c r="Q17" s="71" t="n">
        <v>0</v>
      </c>
      <c r="R17" s="71" t="n">
        <v>2</v>
      </c>
      <c r="S17" s="71" t="n">
        <v>3</v>
      </c>
      <c r="T17" s="71" t="n">
        <v>0</v>
      </c>
      <c r="U17" s="71" t="n">
        <v>3</v>
      </c>
      <c r="V17" s="71" t="n"/>
      <c r="W17" s="71">
        <f>COUNTIFS('BR Tenure v41'!$B$4:$B$206,B17,'BR Tenure v41'!$D$4:$D$206,"MEMBER",'BR Tenure v41'!$J$4:$J$206,"EXACT")</f>
        <v>5</v>
      </c>
      <c r="X17" s="71">
        <f>COUNTIFS('BR Tenure v41'!$B$4:$B$206,B17,'BR Tenure v41'!$D$4:$D$206,"MEMBER",'BR Tenure v41'!$J$4:$J$206,"INTERVAL")</f>
        <v>0</v>
      </c>
      <c r="Y17" s="71">
        <f>COUNTIFS('BR Tenure v41'!$B$4:$B$206,B17,'BR Tenure v41'!$D$4:$D$206,"MEMBER",'BR Tenure v41'!$J$4:$J$206,"MIN_CONTINUOUS")</f>
        <v>0</v>
      </c>
      <c r="Z17" s="71">
        <f>COUNTIFS('BR Tenure v41'!$B$4:$B$206,B17,'BR Tenure v41'!$D$4:$D$206,"MEMBER",'BR Tenure v41'!$J$4:$J$206,"CONFLICT_MIN")</f>
        <v>0</v>
      </c>
      <c r="AA17" s="71">
        <f>COUNTIFS('BR Tenure v41'!$B$4:$B$206,B17,'BR Tenure v41'!$D$4:$D$206,"MEMBER",'BR Tenure v41'!$J$4:$J$206,"UNKNOWN")</f>
        <v>0</v>
      </c>
      <c r="AB17" s="71">
        <f>IF(W17=0,"",AVERAGEIFS('BR Tenure v41'!$U$4:$U$206,'BR Tenure v41'!$B$4:$B$206,B17,'BR Tenure v41'!$D$4:$D$206,"MEMBER",'BR Tenure v41'!$J$4:$J$206,"EXACT"))</f>
        <v>0.9127994524298426</v>
      </c>
      <c r="AC17" s="71">
        <f>IF(W17&lt;2,"",SQRT((SUMIFS('BR Tenure v41'!$V$4:$V$206,'BR Tenure v41'!$B$4:$B$206,B17,'BR Tenure v41'!$D$4:$D$206,"MEMBER",'BR Tenure v41'!$J$4:$J$206,"EXACT")-W17*AB17^2)/(W17-1)))</f>
        <v>0.42438718460582286</v>
      </c>
      <c r="AD17" s="71" t="str">
        <f>IFERROR(INDEX('BR Tenure v41'!$J$4:$J$206,MATCH(1,INDEX(('BR Tenure v41'!$B$4:$B$206=B17)*('BR Tenure v41'!$D$4:$D$206="CHAIR"),0),0)),"")</f>
        <v>EXACT</v>
      </c>
      <c r="AE17" s="71">
        <f>IFERROR(INDEX('BR Tenure v41'!$U$4:$U$206,MATCH(1,INDEX(('BR Tenure v41'!$B$4:$B$206=B17)*('BR Tenure v41'!$D$4:$D$206="CHAIR"),0),0)),"")</f>
        <v>1.1854893908281998</v>
      </c>
      <c r="AF17" s="71" t="str">
        <f>IFERROR(INDEX('BR Tenure v41'!$J$4:$J$206,MATCH(1,INDEX(('BR Tenure v41'!$B$4:$B$206=B17)*('BR Tenure v41'!$D$4:$D$206="CEO"),0),0)),"")</f>
        <v>EXACT</v>
      </c>
      <c r="AG17" s="71">
        <f>IFERROR(INDEX('BR Tenure v41'!$U$4:$U$206,MATCH(1,INDEX(('BR Tenure v41'!$B$4:$B$206=B17)*('BR Tenure v41'!$D$4:$D$206="CEO"),0),0)),"")</f>
        <v>1.2375085557837098</v>
      </c>
      <c r="AH17" s="71" t="str">
        <f>IF(D17=0,"NO_ROSTER",IF(W17=D17,"FULL_EXACT",IF(W17&gt;0,"PARTIAL_EXACT","NO_EXACT")))</f>
        <v>FULL_EXACT</v>
      </c>
      <c r="AI17" s="71">
        <f>IF(COUNTIFS('BR Tenure v41'!$B$4:$B$206,B17,'BR Tenure v41'!$D$4:$D$206,"MEMBER",'BR Tenure v41'!$U$4:$U$206,"&gt;=0")=0,"",AVERAGEIFS('BR Tenure v41'!$U$4:$U$206,'BR Tenure v41'!$B$4:$B$206,B17,'BR Tenure v41'!$D$4:$D$206,"MEMBER",'BR Tenure v41'!$U$4:$U$206,"&gt;=0"))</f>
        <v>0.9127994524298426</v>
      </c>
      <c r="AJ17" s="71">
        <f>COUNTIFS('BR Tenure v41'!$B$4:$B$206,B17,'BR Tenure v41'!$D$4:$D$206,"MEMBER",'BR Tenure v41'!$U$4:$U$206,"&gt;=0")</f>
        <v>5</v>
      </c>
    </row>
    <row r="18" ht="20" customHeight="1" s="76">
      <c r="A18" s="70" t="inlineStr">
        <is>
          <t>F15</t>
        </is>
      </c>
      <c r="B18" s="70" t="inlineStr">
        <is>
          <t>نوری</t>
        </is>
      </c>
      <c r="C18" s="70" t="inlineStr">
        <is>
          <t>1404/12/29</t>
        </is>
      </c>
      <c r="D18" s="70" t="n">
        <v>5</v>
      </c>
      <c r="E18" s="70" t="inlineStr">
        <is>
          <t>غلامرضا جمشیدی</t>
        </is>
      </c>
      <c r="F18" s="70" t="inlineStr">
        <is>
          <t>بله</t>
        </is>
      </c>
      <c r="G18" s="70" t="inlineStr">
        <is>
          <t>تقی صانعی</t>
        </is>
      </c>
      <c r="H18" s="70" t="n">
        <v>0</v>
      </c>
      <c r="I18" s="70">
        <f>COUNTIFS('BR Independence v41'!$B$4:$B$148,B18,'BR Independence v41'!$P$4:$P$148,"NOT_INDEPENDENT_DOCUMENTED_EXECUTIVE")</f>
        <v>1</v>
      </c>
      <c r="J18" s="70">
        <f>COUNTIFS('BR Independence v41'!$B$4:$B$148,B18,'BR Independence v41'!$P$4:$P$148,"UNKNOWN")</f>
        <v>4</v>
      </c>
      <c r="K18" s="70">
        <f>COUNTIFS('BR Independence v41'!$B$4:$B$148,B18,'BR Independence v41'!$P$4:$P$148,"CONFLICT_DUTY_STATUS")</f>
        <v>0</v>
      </c>
      <c r="L18" s="70">
        <f>IF(AND(J18=0,K18=0),H18/D18,"")</f>
      </c>
      <c r="M18" s="70">
        <f>IF(H18+I18=0,"",H18/(H18+I18))</f>
        <v>0</v>
      </c>
      <c r="N18" s="70">
        <f>H18/D18</f>
        <v>0</v>
      </c>
      <c r="O18" s="70">
        <f>(D18-I18)/D18</f>
        <v>0.8</v>
      </c>
      <c r="P18" s="70" t="inlineStr">
        <is>
          <t>UNKNOWN</t>
        </is>
      </c>
      <c r="Q18" s="70" t="n">
        <v>0</v>
      </c>
      <c r="R18" s="70" t="n">
        <v>0</v>
      </c>
      <c r="S18" s="70" t="n">
        <v>5</v>
      </c>
      <c r="T18" s="70" t="n">
        <v>0</v>
      </c>
      <c r="U18" s="70" t="n">
        <v>0</v>
      </c>
      <c r="V18" s="70" t="n"/>
      <c r="W18" s="70">
        <f>COUNTIFS('BR Tenure v41'!$B$4:$B$206,B18,'BR Tenure v41'!$D$4:$D$206,"MEMBER",'BR Tenure v41'!$J$4:$J$206,"EXACT")</f>
        <v>4</v>
      </c>
      <c r="X18" s="70">
        <f>COUNTIFS('BR Tenure v41'!$B$4:$B$206,B18,'BR Tenure v41'!$D$4:$D$206,"MEMBER",'BR Tenure v41'!$J$4:$J$206,"INTERVAL")</f>
        <v>1</v>
      </c>
      <c r="Y18" s="70">
        <f>COUNTIFS('BR Tenure v41'!$B$4:$B$206,B18,'BR Tenure v41'!$D$4:$D$206,"MEMBER",'BR Tenure v41'!$J$4:$J$206,"MIN_CONTINUOUS")</f>
        <v>0</v>
      </c>
      <c r="Z18" s="70">
        <f>COUNTIFS('BR Tenure v41'!$B$4:$B$206,B18,'BR Tenure v41'!$D$4:$D$206,"MEMBER",'BR Tenure v41'!$J$4:$J$206,"CONFLICT_MIN")</f>
        <v>0</v>
      </c>
      <c r="AA18" s="70">
        <f>COUNTIFS('BR Tenure v41'!$B$4:$B$206,B18,'BR Tenure v41'!$D$4:$D$206,"MEMBER",'BR Tenure v41'!$J$4:$J$206,"UNKNOWN")</f>
        <v>0</v>
      </c>
      <c r="AB18" s="70">
        <f>IF(W18=0,"",AVERAGEIFS('BR Tenure v41'!$U$4:$U$206,'BR Tenure v41'!$B$4:$B$206,B18,'BR Tenure v41'!$D$4:$D$206,"MEMBER",'BR Tenure v41'!$J$4:$J$206,"EXACT"))</f>
        <v>0.7494866529774127</v>
      </c>
      <c r="AC18" s="70">
        <f>IF(W18&lt;2,"",SQRT((SUMIFS('BR Tenure v41'!$V$4:$V$206,'BR Tenure v41'!$B$4:$B$206,B18,'BR Tenure v41'!$D$4:$D$206,"MEMBER",'BR Tenure v41'!$J$4:$J$206,"EXACT")-W18*AB18^2)/(W18-1)))</f>
        <v>0.42391252826606485</v>
      </c>
      <c r="AD18" s="70" t="str">
        <f>IFERROR(INDEX('BR Tenure v41'!$J$4:$J$206,MATCH(1,INDEX(('BR Tenure v41'!$B$4:$B$206=B18)*('BR Tenure v41'!$D$4:$D$206="CHAIR"),0),0)),"")</f>
        <v>EXACT</v>
      </c>
      <c r="AE18" s="70">
        <f>IFERROR(INDEX('BR Tenure v41'!$U$4:$U$206,MATCH(1,INDEX(('BR Tenure v41'!$B$4:$B$206=B18)*('BR Tenure v41'!$D$4:$D$206="CHAIR"),0),0)),"")</f>
        <v>0.4928131416837782</v>
      </c>
      <c r="AF18" s="70" t="str">
        <f>IFERROR(INDEX('BR Tenure v41'!$J$4:$J$206,MATCH(1,INDEX(('BR Tenure v41'!$B$4:$B$206=B18)*('BR Tenure v41'!$D$4:$D$206="CEO"),0),0)),"")</f>
        <v>MIN_CONTINUOUS</v>
      </c>
      <c r="AG18" s="70">
        <f>IFERROR(INDEX('BR Tenure v41'!$U$4:$U$206,MATCH(1,INDEX(('BR Tenure v41'!$B$4:$B$206=B18)*('BR Tenure v41'!$D$4:$D$206="CEO"),0),0)),"")</f>
        <v>1.3360711841204653</v>
      </c>
      <c r="AH18" s="70" t="str">
        <f>IF(D18=0,"NO_ROSTER",IF(W18=D18,"FULL_EXACT",IF(W18&gt;0,"PARTIAL_EXACT","NO_EXACT")))</f>
        <v>PARTIAL_EXACT</v>
      </c>
      <c r="AI18" s="70">
        <f>IF(COUNTIFS('BR Tenure v41'!$B$4:$B$206,B18,'BR Tenure v41'!$D$4:$D$206,"MEMBER",'BR Tenure v41'!$U$4:$U$206,"&gt;=0")=0,"",AVERAGEIFS('BR Tenure v41'!$U$4:$U$206,'BR Tenure v41'!$B$4:$B$206,B18,'BR Tenure v41'!$D$4:$D$206,"MEMBER",'BR Tenure v41'!$U$4:$U$206,"&gt;=0"))</f>
        <v>0.6138261464750171</v>
      </c>
      <c r="AJ18" s="70">
        <f>COUNTIFS('BR Tenure v41'!$B$4:$B$206,B18,'BR Tenure v41'!$D$4:$D$206,"MEMBER",'BR Tenure v41'!$U$4:$U$206,"&gt;=0")</f>
        <v>5</v>
      </c>
    </row>
    <row r="19" ht="20" customHeight="1" s="76">
      <c r="A19" s="71" t="inlineStr">
        <is>
          <t>F16</t>
        </is>
      </c>
      <c r="B19" s="71" t="inlineStr">
        <is>
          <t>فولاد</t>
        </is>
      </c>
      <c r="C19" s="71" t="inlineStr">
        <is>
          <t>1404/12/29</t>
        </is>
      </c>
      <c r="D19" s="71" t="n">
        <v>5</v>
      </c>
      <c r="E19" s="71" t="inlineStr">
        <is>
          <t>سعید زرندی</t>
        </is>
      </c>
      <c r="F19" s="71" t="inlineStr">
        <is>
          <t>بله</t>
        </is>
      </c>
      <c r="G19" s="71" t="inlineStr">
        <is>
          <t>محمدحسین مقیمی</t>
        </is>
      </c>
      <c r="H19" s="71" t="n">
        <v>0</v>
      </c>
      <c r="I19" s="71">
        <f>COUNTIFS('BR Independence v41'!$B$4:$B$148,B19,'BR Independence v41'!$P$4:$P$148,"NOT_INDEPENDENT_DOCUMENTED_EXECUTIVE")</f>
        <v>1</v>
      </c>
      <c r="J19" s="71">
        <f>COUNTIFS('BR Independence v41'!$B$4:$B$148,B19,'BR Independence v41'!$P$4:$P$148,"UNKNOWN")</f>
        <v>4</v>
      </c>
      <c r="K19" s="71">
        <f>COUNTIFS('BR Independence v41'!$B$4:$B$148,B19,'BR Independence v41'!$P$4:$P$148,"CONFLICT_DUTY_STATUS")</f>
        <v>0</v>
      </c>
      <c r="L19" s="71">
        <f>IF(AND(J19=0,K19=0),H19/D19,"")</f>
      </c>
      <c r="M19" s="71">
        <f>IF(H19+I19=0,"",H19/(H19+I19))</f>
        <v>0</v>
      </c>
      <c r="N19" s="71">
        <f>H19/D19</f>
        <v>0</v>
      </c>
      <c r="O19" s="71">
        <f>(D19-I19)/D19</f>
        <v>0.8</v>
      </c>
      <c r="P19" s="71" t="inlineStr">
        <is>
          <t>UNKNOWN</t>
        </is>
      </c>
      <c r="Q19" s="71" t="n">
        <v>5</v>
      </c>
      <c r="R19" s="71" t="n">
        <v>0</v>
      </c>
      <c r="S19" s="71" t="n">
        <v>0</v>
      </c>
      <c r="T19" s="71" t="n">
        <v>0</v>
      </c>
      <c r="U19" s="71" t="n">
        <v>5</v>
      </c>
      <c r="V19" s="71" t="n">
        <v>1</v>
      </c>
      <c r="W19" s="71">
        <f>COUNTIFS('BR Tenure v41'!$B$4:$B$206,B19,'BR Tenure v41'!$D$4:$D$206,"MEMBER",'BR Tenure v41'!$J$4:$J$206,"EXACT")</f>
        <v>1</v>
      </c>
      <c r="X19" s="71">
        <f>COUNTIFS('BR Tenure v41'!$B$4:$B$206,B19,'BR Tenure v41'!$D$4:$D$206,"MEMBER",'BR Tenure v41'!$J$4:$J$206,"INTERVAL")</f>
        <v>3</v>
      </c>
      <c r="Y19" s="71">
        <f>COUNTIFS('BR Tenure v41'!$B$4:$B$206,B19,'BR Tenure v41'!$D$4:$D$206,"MEMBER",'BR Tenure v41'!$J$4:$J$206,"MIN_CONTINUOUS")</f>
        <v>0</v>
      </c>
      <c r="Z19" s="71">
        <f>COUNTIFS('BR Tenure v41'!$B$4:$B$206,B19,'BR Tenure v41'!$D$4:$D$206,"MEMBER",'BR Tenure v41'!$J$4:$J$206,"CONFLICT_MIN")</f>
        <v>1</v>
      </c>
      <c r="AA19" s="71">
        <f>COUNTIFS('BR Tenure v41'!$B$4:$B$206,B19,'BR Tenure v41'!$D$4:$D$206,"MEMBER",'BR Tenure v41'!$J$4:$J$206,"UNKNOWN")</f>
        <v>0</v>
      </c>
      <c r="AB19" s="71">
        <f>IF(W19=0,"",AVERAGEIFS('BR Tenure v41'!$U$4:$U$206,'BR Tenure v41'!$B$4:$B$206,B19,'BR Tenure v41'!$D$4:$D$206,"MEMBER",'BR Tenure v41'!$J$4:$J$206,"EXACT"))</f>
        <v>2.428473648186174</v>
      </c>
      <c r="AC19" s="71">
        <f>IF(W19&lt;2,"",SQRT((SUMIFS('BR Tenure v41'!$V$4:$V$206,'BR Tenure v41'!$B$4:$B$206,B19,'BR Tenure v41'!$D$4:$D$206,"MEMBER",'BR Tenure v41'!$J$4:$J$206,"EXACT")-W19*AB19^2)/(W19-1)))</f>
      </c>
      <c r="AD19" s="71" t="str">
        <f>IFERROR(INDEX('BR Tenure v41'!$J$4:$J$206,MATCH(1,INDEX(('BR Tenure v41'!$B$4:$B$206=B19)*('BR Tenure v41'!$D$4:$D$206="CHAIR"),0),0)),"")</f>
        <v>EXACT</v>
      </c>
      <c r="AE19" s="71">
        <f>IFERROR(INDEX('BR Tenure v41'!$U$4:$U$206,MATCH(1,INDEX(('BR Tenure v41'!$B$4:$B$206=B19)*('BR Tenure v41'!$D$4:$D$206="CHAIR"),0),0)),"")</f>
        <v>0.23545516769336072</v>
      </c>
      <c r="AF19" s="71" t="str">
        <f>IFERROR(INDEX('BR Tenure v41'!$J$4:$J$206,MATCH(1,INDEX(('BR Tenure v41'!$B$4:$B$206=B19)*('BR Tenure v41'!$D$4:$D$206="CEO"),0),0)),"")</f>
        <v>EXACT</v>
      </c>
      <c r="AG19" s="71">
        <f>IFERROR(INDEX('BR Tenure v41'!$U$4:$U$206,MATCH(1,INDEX(('BR Tenure v41'!$B$4:$B$206=B19)*('BR Tenure v41'!$D$4:$D$206="CEO"),0),0)),"")</f>
        <v>1.08145106091718</v>
      </c>
      <c r="AH19" s="71" t="str">
        <f>IF(D19=0,"NO_ROSTER",IF(W19=D19,"FULL_EXACT",IF(W19&gt;0,"PARTIAL_EXACT","NO_EXACT")))</f>
        <v>PARTIAL_EXACT</v>
      </c>
      <c r="AI19" s="71">
        <f>IF(COUNTIFS('BR Tenure v41'!$B$4:$B$206,B19,'BR Tenure v41'!$D$4:$D$206,"MEMBER",'BR Tenure v41'!$U$4:$U$206,"&gt;=0")=0,"",AVERAGEIFS('BR Tenure v41'!$U$4:$U$206,'BR Tenure v41'!$B$4:$B$206,B19,'BR Tenure v41'!$D$4:$D$206,"MEMBER",'BR Tenure v41'!$U$4:$U$206,"&gt;=0"))</f>
        <v>1.278028747433265</v>
      </c>
      <c r="AJ19" s="71">
        <f>COUNTIFS('BR Tenure v41'!$B$4:$B$206,B19,'BR Tenure v41'!$D$4:$D$206,"MEMBER",'BR Tenure v41'!$U$4:$U$206,"&gt;=0")</f>
        <v>5</v>
      </c>
    </row>
    <row r="20" ht="20" customHeight="1" s="76">
      <c r="A20" s="70" t="inlineStr">
        <is>
          <t>F17</t>
        </is>
      </c>
      <c r="B20" s="70" t="inlineStr">
        <is>
          <t>کچاد</t>
        </is>
      </c>
      <c r="C20" s="70" t="inlineStr">
        <is>
          <t>1404/09/30</t>
        </is>
      </c>
      <c r="D20" s="70" t="n">
        <v>5</v>
      </c>
      <c r="E20" s="70" t="inlineStr">
        <is>
          <t>فرید دهقانی</t>
        </is>
      </c>
      <c r="F20" s="70" t="inlineStr">
        <is>
          <t>بله</t>
        </is>
      </c>
      <c r="G20" s="70" t="inlineStr">
        <is>
          <t>محمدرضا تابش</t>
        </is>
      </c>
      <c r="H20" s="70" t="n">
        <v>0</v>
      </c>
      <c r="I20" s="70">
        <f>COUNTIFS('BR Independence v41'!$B$4:$B$148,B20,'BR Independence v41'!$P$4:$P$148,"NOT_INDEPENDENT_DOCUMENTED_EXECUTIVE")</f>
        <v>2</v>
      </c>
      <c r="J20" s="70">
        <f>COUNTIFS('BR Independence v41'!$B$4:$B$148,B20,'BR Independence v41'!$P$4:$P$148,"UNKNOWN")</f>
        <v>3</v>
      </c>
      <c r="K20" s="70">
        <f>COUNTIFS('BR Independence v41'!$B$4:$B$148,B20,'BR Independence v41'!$P$4:$P$148,"CONFLICT_DUTY_STATUS")</f>
        <v>0</v>
      </c>
      <c r="L20" s="70">
        <f>IF(AND(J20=0,K20=0),H20/D20,"")</f>
      </c>
      <c r="M20" s="70">
        <f>IF(H20+I20=0,"",H20/(H20+I20))</f>
        <v>0</v>
      </c>
      <c r="N20" s="70">
        <f>H20/D20</f>
        <v>0</v>
      </c>
      <c r="O20" s="70">
        <f>(D20-I20)/D20</f>
        <v>0.6</v>
      </c>
      <c r="P20" s="70" t="inlineStr">
        <is>
          <t>UNKNOWN</t>
        </is>
      </c>
      <c r="Q20" s="70" t="n">
        <v>1</v>
      </c>
      <c r="R20" s="70" t="n">
        <v>1</v>
      </c>
      <c r="S20" s="70" t="n">
        <v>3</v>
      </c>
      <c r="T20" s="70" t="n">
        <v>0</v>
      </c>
      <c r="U20" s="70" t="n">
        <v>1</v>
      </c>
      <c r="V20" s="70" t="n">
        <v>0</v>
      </c>
      <c r="W20" s="70">
        <f>COUNTIFS('BR Tenure v41'!$B$4:$B$206,B20,'BR Tenure v41'!$D$4:$D$206,"MEMBER",'BR Tenure v41'!$J$4:$J$206,"EXACT")</f>
        <v>5</v>
      </c>
      <c r="X20" s="70">
        <f>COUNTIFS('BR Tenure v41'!$B$4:$B$206,B20,'BR Tenure v41'!$D$4:$D$206,"MEMBER",'BR Tenure v41'!$J$4:$J$206,"INTERVAL")</f>
        <v>0</v>
      </c>
      <c r="Y20" s="70">
        <f>COUNTIFS('BR Tenure v41'!$B$4:$B$206,B20,'BR Tenure v41'!$D$4:$D$206,"MEMBER",'BR Tenure v41'!$J$4:$J$206,"MIN_CONTINUOUS")</f>
        <v>0</v>
      </c>
      <c r="Z20" s="70">
        <f>COUNTIFS('BR Tenure v41'!$B$4:$B$206,B20,'BR Tenure v41'!$D$4:$D$206,"MEMBER",'BR Tenure v41'!$J$4:$J$206,"CONFLICT_MIN")</f>
        <v>0</v>
      </c>
      <c r="AA20" s="70">
        <f>COUNTIFS('BR Tenure v41'!$B$4:$B$206,B20,'BR Tenure v41'!$D$4:$D$206,"MEMBER",'BR Tenure v41'!$J$4:$J$206,"UNKNOWN")</f>
        <v>0</v>
      </c>
      <c r="AB20" s="70">
        <f>IF(W20=0,"",AVERAGEIFS('BR Tenure v41'!$U$4:$U$206,'BR Tenure v41'!$B$4:$B$206,B20,'BR Tenure v41'!$D$4:$D$206,"MEMBER",'BR Tenure v41'!$J$4:$J$206,"EXACT"))</f>
        <v>0.7315537303216975</v>
      </c>
      <c r="AC20" s="70">
        <f>IF(W20&lt;2,"",SQRT((SUMIFS('BR Tenure v41'!$V$4:$V$206,'BR Tenure v41'!$B$4:$B$206,B20,'BR Tenure v41'!$D$4:$D$206,"MEMBER",'BR Tenure v41'!$J$4:$J$206,"EXACT")-W20*AB20^2)/(W20-1)))</f>
        <v>0.3020669669170371</v>
      </c>
      <c r="AD20" s="70" t="str">
        <f>IFERROR(INDEX('BR Tenure v41'!$J$4:$J$206,MATCH(1,INDEX(('BR Tenure v41'!$B$4:$B$206=B20)*('BR Tenure v41'!$D$4:$D$206="CHAIR"),0),0)),"")</f>
        <v>EXACT</v>
      </c>
      <c r="AE20" s="70">
        <f>IFERROR(INDEX('BR Tenure v41'!$U$4:$U$206,MATCH(1,INDEX(('BR Tenure v41'!$B$4:$B$206=B20)*('BR Tenure v41'!$D$4:$D$206="CHAIR"),0),0)),"")</f>
        <v>0.6050650239561944</v>
      </c>
      <c r="AF20" s="70" t="str">
        <f>IFERROR(INDEX('BR Tenure v41'!$J$4:$J$206,MATCH(1,INDEX(('BR Tenure v41'!$B$4:$B$206=B20)*('BR Tenure v41'!$D$4:$D$206="CEO"),0),0)),"")</f>
        <v>EXACT</v>
      </c>
      <c r="AG20" s="70">
        <f>IFERROR(INDEX('BR Tenure v41'!$U$4:$U$206,MATCH(1,INDEX(('BR Tenure v41'!$B$4:$B$206=B20)*('BR Tenure v41'!$D$4:$D$206="CEO"),0),0)),"")</f>
        <v>1.0732375085557837</v>
      </c>
      <c r="AH20" s="70" t="str">
        <f>IF(D20=0,"NO_ROSTER",IF(W20=D20,"FULL_EXACT",IF(W20&gt;0,"PARTIAL_EXACT","NO_EXACT")))</f>
        <v>FULL_EXACT</v>
      </c>
      <c r="AI20" s="70">
        <f>IF(COUNTIFS('BR Tenure v41'!$B$4:$B$206,B20,'BR Tenure v41'!$D$4:$D$206,"MEMBER",'BR Tenure v41'!$U$4:$U$206,"&gt;=0")=0,"",AVERAGEIFS('BR Tenure v41'!$U$4:$U$206,'BR Tenure v41'!$B$4:$B$206,B20,'BR Tenure v41'!$D$4:$D$206,"MEMBER",'BR Tenure v41'!$U$4:$U$206,"&gt;=0"))</f>
        <v>0.7315537303216975</v>
      </c>
      <c r="AJ20" s="70">
        <f>COUNTIFS('BR Tenure v41'!$B$4:$B$206,B20,'BR Tenure v41'!$D$4:$D$206,"MEMBER",'BR Tenure v41'!$U$4:$U$206,"&gt;=0")</f>
        <v>5</v>
      </c>
    </row>
    <row r="21" ht="20" customHeight="1" s="76">
      <c r="A21" s="71" t="inlineStr">
        <is>
          <t>F18</t>
        </is>
      </c>
      <c r="B21" s="71" t="inlineStr">
        <is>
          <t>کگل</t>
        </is>
      </c>
      <c r="C21" s="71" t="inlineStr">
        <is>
          <t>1404/09/30</t>
        </is>
      </c>
      <c r="D21" s="71" t="n">
        <v>5</v>
      </c>
      <c r="E21" s="71" t="inlineStr">
        <is>
          <t>ایمان عتیقی</t>
        </is>
      </c>
      <c r="F21" s="71" t="inlineStr">
        <is>
          <t>بله</t>
        </is>
      </c>
      <c r="G21" s="71" t="inlineStr">
        <is>
          <t>مجتبی رضاخواه</t>
        </is>
      </c>
      <c r="H21" s="71" t="n">
        <v>0</v>
      </c>
      <c r="I21" s="71">
        <f>COUNTIFS('BR Independence v41'!$B$4:$B$148,B21,'BR Independence v41'!$P$4:$P$148,"NOT_INDEPENDENT_DOCUMENTED_EXECUTIVE")</f>
        <v>2</v>
      </c>
      <c r="J21" s="71">
        <f>COUNTIFS('BR Independence v41'!$B$4:$B$148,B21,'BR Independence v41'!$P$4:$P$148,"UNKNOWN")</f>
        <v>3</v>
      </c>
      <c r="K21" s="71">
        <f>COUNTIFS('BR Independence v41'!$B$4:$B$148,B21,'BR Independence v41'!$P$4:$P$148,"CONFLICT_DUTY_STATUS")</f>
        <v>0</v>
      </c>
      <c r="L21" s="71">
        <f>IF(AND(J21=0,K21=0),H21/D21,"")</f>
      </c>
      <c r="M21" s="71">
        <f>IF(H21+I21=0,"",H21/(H21+I21))</f>
        <v>0</v>
      </c>
      <c r="N21" s="71">
        <f>H21/D21</f>
        <v>0</v>
      </c>
      <c r="O21" s="71">
        <f>(D21-I21)/D21</f>
        <v>0.6</v>
      </c>
      <c r="P21" s="71" t="inlineStr">
        <is>
          <t>UNKNOWN</t>
        </is>
      </c>
      <c r="Q21" s="71" t="n">
        <v>0</v>
      </c>
      <c r="R21" s="71" t="n">
        <v>0</v>
      </c>
      <c r="S21" s="71" t="n">
        <v>5</v>
      </c>
      <c r="T21" s="71" t="n">
        <v>0</v>
      </c>
      <c r="U21" s="71" t="n">
        <v>0</v>
      </c>
      <c r="V21" s="71" t="n"/>
      <c r="W21" s="71">
        <f>COUNTIFS('BR Tenure v41'!$B$4:$B$206,B21,'BR Tenure v41'!$D$4:$D$206,"MEMBER",'BR Tenure v41'!$J$4:$J$206,"EXACT")</f>
        <v>3</v>
      </c>
      <c r="X21" s="71">
        <f>COUNTIFS('BR Tenure v41'!$B$4:$B$206,B21,'BR Tenure v41'!$D$4:$D$206,"MEMBER",'BR Tenure v41'!$J$4:$J$206,"INTERVAL")</f>
        <v>0</v>
      </c>
      <c r="Y21" s="71">
        <f>COUNTIFS('BR Tenure v41'!$B$4:$B$206,B21,'BR Tenure v41'!$D$4:$D$206,"MEMBER",'BR Tenure v41'!$J$4:$J$206,"MIN_CONTINUOUS")</f>
        <v>2</v>
      </c>
      <c r="Z21" s="71">
        <f>COUNTIFS('BR Tenure v41'!$B$4:$B$206,B21,'BR Tenure v41'!$D$4:$D$206,"MEMBER",'BR Tenure v41'!$J$4:$J$206,"CONFLICT_MIN")</f>
        <v>0</v>
      </c>
      <c r="AA21" s="71">
        <f>COUNTIFS('BR Tenure v41'!$B$4:$B$206,B21,'BR Tenure v41'!$D$4:$D$206,"MEMBER",'BR Tenure v41'!$J$4:$J$206,"UNKNOWN")</f>
        <v>0</v>
      </c>
      <c r="AB21" s="71">
        <f>IF(W21=0,"",AVERAGEIFS('BR Tenure v41'!$U$4:$U$206,'BR Tenure v41'!$B$4:$B$206,B21,'BR Tenure v41'!$D$4:$D$206,"MEMBER",'BR Tenure v41'!$J$4:$J$206,"EXACT"))</f>
        <v>0.9965776865160848</v>
      </c>
      <c r="AC21" s="71">
        <f>IF(W21&lt;2,"",SQRT((SUMIFS('BR Tenure v41'!$V$4:$V$206,'BR Tenure v41'!$B$4:$B$206,B21,'BR Tenure v41'!$D$4:$D$206,"MEMBER",'BR Tenure v41'!$J$4:$J$206,"EXACT")-W21*AB21^2)/(W21-1)))</f>
        <v>0.4531866747007286</v>
      </c>
      <c r="AD21" s="71" t="str">
        <f>IFERROR(INDEX('BR Tenure v41'!$J$4:$J$206,MATCH(1,INDEX(('BR Tenure v41'!$B$4:$B$206=B21)*('BR Tenure v41'!$D$4:$D$206="CHAIR"),0),0)),"")</f>
        <v>EXACT</v>
      </c>
      <c r="AE21" s="71">
        <f>IFERROR(INDEX('BR Tenure v41'!$U$4:$U$206,MATCH(1,INDEX(('BR Tenure v41'!$B$4:$B$206=B21)*('BR Tenure v41'!$D$4:$D$206="CHAIR"),0),0)),"")</f>
        <v>0.6872005475701575</v>
      </c>
      <c r="AF21" s="71" t="str">
        <f>IFERROR(INDEX('BR Tenure v41'!$J$4:$J$206,MATCH(1,INDEX(('BR Tenure v41'!$B$4:$B$206=B21)*('BR Tenure v41'!$D$4:$D$206="CEO"),0),0)),"")</f>
        <v>MIN_CONTINUOUS</v>
      </c>
      <c r="AG21" s="71">
        <f>IFERROR(INDEX('BR Tenure v41'!$U$4:$U$206,MATCH(1,INDEX(('BR Tenure v41'!$B$4:$B$206=B21)*('BR Tenure v41'!$D$4:$D$206="CEO"),0),0)),"")</f>
        <v>2.3764544832306638</v>
      </c>
      <c r="AH21" s="71" t="str">
        <f>IF(D21=0,"NO_ROSTER",IF(W21=D21,"FULL_EXACT",IF(W21&gt;0,"PARTIAL_EXACT","NO_EXACT")))</f>
        <v>PARTIAL_EXACT</v>
      </c>
      <c r="AI21" s="71">
        <f>IF(COUNTIFS('BR Tenure v41'!$B$4:$B$206,B21,'BR Tenure v41'!$D$4:$D$206,"MEMBER",'BR Tenure v41'!$U$4:$U$206,"&gt;=0")=0,"",AVERAGEIFS('BR Tenure v41'!$U$4:$U$206,'BR Tenure v41'!$B$4:$B$206,B21,'BR Tenure v41'!$D$4:$D$206,"MEMBER",'BR Tenure v41'!$U$4:$U$206,"&gt;=0"))</f>
        <v>2.0698151950718686</v>
      </c>
      <c r="AJ21" s="71">
        <f>COUNTIFS('BR Tenure v41'!$B$4:$B$206,B21,'BR Tenure v41'!$D$4:$D$206,"MEMBER",'BR Tenure v41'!$U$4:$U$206,"&gt;=0")</f>
        <v>5</v>
      </c>
    </row>
    <row r="22" ht="20" customHeight="1" s="76">
      <c r="A22" s="70" t="inlineStr">
        <is>
          <t>F19</t>
        </is>
      </c>
      <c r="B22" s="70" t="inlineStr">
        <is>
          <t>پارسان</t>
        </is>
      </c>
      <c r="C22" s="70" t="inlineStr">
        <is>
          <t>1404/06/31</t>
        </is>
      </c>
      <c r="D22" s="70" t="n">
        <v>5</v>
      </c>
      <c r="E22" s="70" t="inlineStr">
        <is>
          <t>سیدجعفر هاشمی</t>
        </is>
      </c>
      <c r="F22" s="70" t="inlineStr">
        <is>
          <t>بله</t>
        </is>
      </c>
      <c r="G22" s="70" t="inlineStr">
        <is>
          <t>احد امیری</t>
        </is>
      </c>
      <c r="H22" s="70" t="n">
        <v>0</v>
      </c>
      <c r="I22" s="70">
        <f>COUNTIFS('BR Independence v41'!$B$4:$B$148,B22,'BR Independence v41'!$P$4:$P$148,"NOT_INDEPENDENT_DOCUMENTED_EXECUTIVE")</f>
        <v>1</v>
      </c>
      <c r="J22" s="70">
        <f>COUNTIFS('BR Independence v41'!$B$4:$B$148,B22,'BR Independence v41'!$P$4:$P$148,"UNKNOWN")</f>
        <v>4</v>
      </c>
      <c r="K22" s="70">
        <f>COUNTIFS('BR Independence v41'!$B$4:$B$148,B22,'BR Independence v41'!$P$4:$P$148,"CONFLICT_DUTY_STATUS")</f>
        <v>0</v>
      </c>
      <c r="L22" s="70">
        <f>IF(AND(J22=0,K22=0),H22/D22,"")</f>
      </c>
      <c r="M22" s="70">
        <f>IF(H22+I22=0,"",H22/(H22+I22))</f>
        <v>0</v>
      </c>
      <c r="N22" s="70">
        <f>H22/D22</f>
        <v>0</v>
      </c>
      <c r="O22" s="70">
        <f>(D22-I22)/D22</f>
        <v>0.8</v>
      </c>
      <c r="P22" s="70" t="inlineStr">
        <is>
          <t>UNKNOWN</t>
        </is>
      </c>
      <c r="Q22" s="70" t="n">
        <v>3</v>
      </c>
      <c r="R22" s="70" t="n">
        <v>0</v>
      </c>
      <c r="S22" s="70" t="n">
        <v>2</v>
      </c>
      <c r="T22" s="70" t="n">
        <v>0</v>
      </c>
      <c r="U22" s="70" t="n">
        <v>5</v>
      </c>
      <c r="V22" s="70" t="n">
        <v>1.667</v>
      </c>
      <c r="W22" s="70">
        <f>COUNTIFS('BR Tenure v41'!$B$4:$B$206,B22,'BR Tenure v41'!$D$4:$D$206,"MEMBER",'BR Tenure v41'!$J$4:$J$206,"EXACT")</f>
        <v>4</v>
      </c>
      <c r="X22" s="70">
        <f>COUNTIFS('BR Tenure v41'!$B$4:$B$206,B22,'BR Tenure v41'!$D$4:$D$206,"MEMBER",'BR Tenure v41'!$J$4:$J$206,"INTERVAL")</f>
        <v>1</v>
      </c>
      <c r="Y22" s="70">
        <f>COUNTIFS('BR Tenure v41'!$B$4:$B$206,B22,'BR Tenure v41'!$D$4:$D$206,"MEMBER",'BR Tenure v41'!$J$4:$J$206,"MIN_CONTINUOUS")</f>
        <v>0</v>
      </c>
      <c r="Z22" s="70">
        <f>COUNTIFS('BR Tenure v41'!$B$4:$B$206,B22,'BR Tenure v41'!$D$4:$D$206,"MEMBER",'BR Tenure v41'!$J$4:$J$206,"CONFLICT_MIN")</f>
        <v>0</v>
      </c>
      <c r="AA22" s="70">
        <f>COUNTIFS('BR Tenure v41'!$B$4:$B$206,B22,'BR Tenure v41'!$D$4:$D$206,"MEMBER",'BR Tenure v41'!$J$4:$J$206,"UNKNOWN")</f>
        <v>0</v>
      </c>
      <c r="AB22" s="70">
        <f>IF(W22=0,"",AVERAGEIFS('BR Tenure v41'!$U$4:$U$206,'BR Tenure v41'!$B$4:$B$206,B22,'BR Tenure v41'!$D$4:$D$206,"MEMBER",'BR Tenure v41'!$J$4:$J$206,"EXACT"))</f>
        <v>4.156741957563312</v>
      </c>
      <c r="AC22" s="70">
        <f>IF(W22&lt;2,"",SQRT((SUMIFS('BR Tenure v41'!$V$4:$V$206,'BR Tenure v41'!$B$4:$B$206,B22,'BR Tenure v41'!$D$4:$D$206,"MEMBER",'BR Tenure v41'!$J$4:$J$206,"EXACT")-W22*AB22^2)/(W22-1)))</f>
        <v>6.583582361016762</v>
      </c>
      <c r="AD22" s="70" t="str">
        <f>IFERROR(INDEX('BR Tenure v41'!$J$4:$J$206,MATCH(1,INDEX(('BR Tenure v41'!$B$4:$B$206=B22)*('BR Tenure v41'!$D$4:$D$206="CHAIR"),0),0)),"")</f>
        <v>MIN_CONTINUOUS</v>
      </c>
      <c r="AE22" s="70">
        <f>IFERROR(INDEX('BR Tenure v41'!$U$4:$U$206,MATCH(1,INDEX(('BR Tenure v41'!$B$4:$B$206=B22)*('BR Tenure v41'!$D$4:$D$206="CHAIR"),0),0)),"")</f>
        <v>1.9356605065023955</v>
      </c>
      <c r="AF22" s="70" t="str">
        <f>IFERROR(INDEX('BR Tenure v41'!$J$4:$J$206,MATCH(1,INDEX(('BR Tenure v41'!$B$4:$B$206=B22)*('BR Tenure v41'!$D$4:$D$206="CEO"),0),0)),"")</f>
        <v>MIN_CONTINUOUS</v>
      </c>
      <c r="AG22" s="70">
        <f>IFERROR(INDEX('BR Tenure v41'!$U$4:$U$206,MATCH(1,INDEX(('BR Tenure v41'!$B$4:$B$206=B22)*('BR Tenure v41'!$D$4:$D$206="CEO"),0),0)),"")</f>
        <v>1.3579739904175223</v>
      </c>
      <c r="AH22" s="70" t="str">
        <f>IF(D22=0,"NO_ROSTER",IF(W22=D22,"FULL_EXACT",IF(W22&gt;0,"PARTIAL_EXACT","NO_EXACT")))</f>
        <v>PARTIAL_EXACT</v>
      </c>
      <c r="AI22" s="70">
        <f>IF(COUNTIFS('BR Tenure v41'!$B$4:$B$206,B22,'BR Tenure v41'!$D$4:$D$206,"MEMBER",'BR Tenure v41'!$U$4:$U$206,"&gt;=0")=0,"",AVERAGEIFS('BR Tenure v41'!$U$4:$U$206,'BR Tenure v41'!$B$4:$B$206,B22,'BR Tenure v41'!$D$4:$D$206,"MEMBER",'BR Tenure v41'!$U$4:$U$206,"&gt;=0"))</f>
        <v>3.5975359342915807</v>
      </c>
      <c r="AJ22" s="70">
        <f>COUNTIFS('BR Tenure v41'!$B$4:$B$206,B22,'BR Tenure v41'!$D$4:$D$206,"MEMBER",'BR Tenure v41'!$U$4:$U$206,"&gt;=0")</f>
        <v>5</v>
      </c>
    </row>
    <row r="23" ht="20" customHeight="1" s="76">
      <c r="A23" s="71" t="inlineStr">
        <is>
          <t>F20</t>
        </is>
      </c>
      <c r="B23" s="71" t="inlineStr">
        <is>
          <t>اخابر</t>
        </is>
      </c>
      <c r="C23" s="71" t="inlineStr">
        <is>
          <t>1404/12/29</t>
        </is>
      </c>
      <c r="D23" s="71" t="n">
        <v>5</v>
      </c>
      <c r="E23" s="71" t="inlineStr">
        <is>
          <t>محمد جعفرپورترشیزی</t>
        </is>
      </c>
      <c r="F23" s="71" t="inlineStr">
        <is>
          <t>بله</t>
        </is>
      </c>
      <c r="G23" s="71" t="inlineStr">
        <is>
          <t>ابراهیم محمودزاده</t>
        </is>
      </c>
      <c r="H23" s="71" t="n">
        <v>0</v>
      </c>
      <c r="I23" s="71">
        <f>COUNTIFS('BR Independence v41'!$B$4:$B$148,B23,'BR Independence v41'!$P$4:$P$148,"NOT_INDEPENDENT_DOCUMENTED_EXECUTIVE")</f>
        <v>1</v>
      </c>
      <c r="J23" s="71">
        <f>COUNTIFS('BR Independence v41'!$B$4:$B$148,B23,'BR Independence v41'!$P$4:$P$148,"UNKNOWN")</f>
        <v>4</v>
      </c>
      <c r="K23" s="71">
        <f>COUNTIFS('BR Independence v41'!$B$4:$B$148,B23,'BR Independence v41'!$P$4:$P$148,"CONFLICT_DUTY_STATUS")</f>
        <v>0</v>
      </c>
      <c r="L23" s="71">
        <f>IF(AND(J23=0,K23=0),H23/D23,"")</f>
      </c>
      <c r="M23" s="71">
        <f>IF(H23+I23=0,"",H23/(H23+I23))</f>
        <v>0</v>
      </c>
      <c r="N23" s="71">
        <f>H23/D23</f>
        <v>0</v>
      </c>
      <c r="O23" s="71">
        <f>(D23-I23)/D23</f>
        <v>0.8</v>
      </c>
      <c r="P23" s="71" t="inlineStr">
        <is>
          <t>UNKNOWN</t>
        </is>
      </c>
      <c r="Q23" s="71" t="n">
        <v>0</v>
      </c>
      <c r="R23" s="71" t="n">
        <v>0</v>
      </c>
      <c r="S23" s="71" t="n">
        <v>5</v>
      </c>
      <c r="T23" s="71" t="n">
        <v>0</v>
      </c>
      <c r="U23" s="71" t="n">
        <v>0</v>
      </c>
      <c r="V23" s="71" t="n"/>
      <c r="W23" s="71">
        <f>COUNTIFS('BR Tenure v41'!$B$4:$B$206,B23,'BR Tenure v41'!$D$4:$D$206,"MEMBER",'BR Tenure v41'!$J$4:$J$206,"EXACT")</f>
        <v>2</v>
      </c>
      <c r="X23" s="71">
        <f>COUNTIFS('BR Tenure v41'!$B$4:$B$206,B23,'BR Tenure v41'!$D$4:$D$206,"MEMBER",'BR Tenure v41'!$J$4:$J$206,"INTERVAL")</f>
        <v>0</v>
      </c>
      <c r="Y23" s="71">
        <f>COUNTIFS('BR Tenure v41'!$B$4:$B$206,B23,'BR Tenure v41'!$D$4:$D$206,"MEMBER",'BR Tenure v41'!$J$4:$J$206,"MIN_CONTINUOUS")</f>
        <v>3</v>
      </c>
      <c r="Z23" s="71">
        <f>COUNTIFS('BR Tenure v41'!$B$4:$B$206,B23,'BR Tenure v41'!$D$4:$D$206,"MEMBER",'BR Tenure v41'!$J$4:$J$206,"CONFLICT_MIN")</f>
        <v>0</v>
      </c>
      <c r="AA23" s="71">
        <f>COUNTIFS('BR Tenure v41'!$B$4:$B$206,B23,'BR Tenure v41'!$D$4:$D$206,"MEMBER",'BR Tenure v41'!$J$4:$J$206,"UNKNOWN")</f>
        <v>0</v>
      </c>
      <c r="AB23" s="71">
        <f>IF(W23=0,"",AVERAGEIFS('BR Tenure v41'!$U$4:$U$206,'BR Tenure v41'!$B$4:$B$206,B23,'BR Tenure v41'!$D$4:$D$206,"MEMBER",'BR Tenure v41'!$J$4:$J$206,"EXACT"))</f>
        <v>0.945927446954141</v>
      </c>
      <c r="AC23" s="71">
        <f>IF(W23&lt;2,"",SQRT((SUMIFS('BR Tenure v41'!$V$4:$V$206,'BR Tenure v41'!$B$4:$B$206,B23,'BR Tenure v41'!$D$4:$D$206,"MEMBER",'BR Tenure v41'!$J$4:$J$206,"EXACT")-W23*AB23^2)/(W23-1)))</f>
        <v>0.8111642472749172</v>
      </c>
      <c r="AD23" s="71" t="str">
        <f>IFERROR(INDEX('BR Tenure v41'!$J$4:$J$206,MATCH(1,INDEX(('BR Tenure v41'!$B$4:$B$206=B23)*('BR Tenure v41'!$D$4:$D$206="CHAIR"),0),0)),"")</f>
        <v>MIN_CONTINUOUS</v>
      </c>
      <c r="AE23" s="71">
        <f>IFERROR(INDEX('BR Tenure v41'!$U$4:$U$206,MATCH(1,INDEX(('BR Tenure v41'!$B$4:$B$206=B23)*('BR Tenure v41'!$D$4:$D$206="CHAIR"),0),0)),"")</f>
        <v>3.9534565366187544</v>
      </c>
      <c r="AF23" s="71" t="str">
        <f>IFERROR(INDEX('BR Tenure v41'!$J$4:$J$206,MATCH(1,INDEX(('BR Tenure v41'!$B$4:$B$206=B23)*('BR Tenure v41'!$D$4:$D$206="CEO"),0),0)),"")</f>
        <v>EXACT</v>
      </c>
      <c r="AG23" s="71">
        <f>IFERROR(INDEX('BR Tenure v41'!$U$4:$U$206,MATCH(1,INDEX(('BR Tenure v41'!$B$4:$B$206=B23)*('BR Tenure v41'!$D$4:$D$206="CEO"),0),0)),"")</f>
        <v>1.374401095140315</v>
      </c>
      <c r="AH23" s="71" t="str">
        <f>IF(D23=0,"NO_ROSTER",IF(W23=D23,"FULL_EXACT",IF(W23&gt;0,"PARTIAL_EXACT","NO_EXACT")))</f>
        <v>PARTIAL_EXACT</v>
      </c>
      <c r="AI23" s="71">
        <f>IF(COUNTIFS('BR Tenure v41'!$B$4:$B$206,B23,'BR Tenure v41'!$D$4:$D$206,"MEMBER",'BR Tenure v41'!$U$4:$U$206,"&gt;=0")=0,"",AVERAGEIFS('BR Tenure v41'!$U$4:$U$206,'BR Tenure v41'!$B$4:$B$206,B23,'BR Tenure v41'!$D$4:$D$206,"MEMBER",'BR Tenure v41'!$U$4:$U$206,"&gt;=0"))</f>
        <v>2.750444900752909</v>
      </c>
      <c r="AJ23" s="71">
        <f>COUNTIFS('BR Tenure v41'!$B$4:$B$206,B23,'BR Tenure v41'!$D$4:$D$206,"MEMBER",'BR Tenure v41'!$U$4:$U$206,"&gt;=0")</f>
        <v>5</v>
      </c>
    </row>
    <row r="24" ht="20" customHeight="1" s="76">
      <c r="A24" s="70" t="inlineStr">
        <is>
          <t>F21</t>
        </is>
      </c>
      <c r="B24" s="70" t="inlineStr">
        <is>
          <t>جم</t>
        </is>
      </c>
      <c r="C24" s="70" t="inlineStr">
        <is>
          <t>1404/12/29</t>
        </is>
      </c>
      <c r="D24" s="70" t="n">
        <v>5</v>
      </c>
      <c r="E24" s="70" t="inlineStr">
        <is>
          <t>امیر اکبری</t>
        </is>
      </c>
      <c r="F24" s="70" t="inlineStr">
        <is>
          <t>بله</t>
        </is>
      </c>
      <c r="G24" s="70" t="inlineStr">
        <is>
          <t>محمدسجاد سیاهکارزاده</t>
        </is>
      </c>
      <c r="H24" s="70" t="n">
        <v>0</v>
      </c>
      <c r="I24" s="70">
        <f>COUNTIFS('BR Independence v41'!$B$4:$B$148,B24,'BR Independence v41'!$P$4:$P$148,"NOT_INDEPENDENT_DOCUMENTED_EXECUTIVE")</f>
        <v>2</v>
      </c>
      <c r="J24" s="70">
        <f>COUNTIFS('BR Independence v41'!$B$4:$B$148,B24,'BR Independence v41'!$P$4:$P$148,"UNKNOWN")</f>
        <v>3</v>
      </c>
      <c r="K24" s="70">
        <f>COUNTIFS('BR Independence v41'!$B$4:$B$148,B24,'BR Independence v41'!$P$4:$P$148,"CONFLICT_DUTY_STATUS")</f>
        <v>0</v>
      </c>
      <c r="L24" s="70">
        <f>IF(AND(J24=0,K24=0),H24/D24,"")</f>
      </c>
      <c r="M24" s="70">
        <f>IF(H24+I24=0,"",H24/(H24+I24))</f>
        <v>0</v>
      </c>
      <c r="N24" s="70">
        <f>H24/D24</f>
        <v>0</v>
      </c>
      <c r="O24" s="70">
        <f>(D24-I24)/D24</f>
        <v>0.6</v>
      </c>
      <c r="P24" s="70" t="inlineStr">
        <is>
          <t>UNKNOWN</t>
        </is>
      </c>
      <c r="Q24" s="70" t="n">
        <v>0</v>
      </c>
      <c r="R24" s="70" t="n">
        <v>1</v>
      </c>
      <c r="S24" s="70" t="n">
        <v>4</v>
      </c>
      <c r="T24" s="70" t="n">
        <v>0</v>
      </c>
      <c r="U24" s="70" t="n">
        <v>2</v>
      </c>
      <c r="V24" s="70" t="n"/>
      <c r="W24" s="70">
        <f>COUNTIFS('BR Tenure v41'!$B$4:$B$206,B24,'BR Tenure v41'!$D$4:$D$206,"MEMBER",'BR Tenure v41'!$J$4:$J$206,"EXACT")</f>
        <v>4</v>
      </c>
      <c r="X24" s="70">
        <f>COUNTIFS('BR Tenure v41'!$B$4:$B$206,B24,'BR Tenure v41'!$D$4:$D$206,"MEMBER",'BR Tenure v41'!$J$4:$J$206,"INTERVAL")</f>
        <v>0</v>
      </c>
      <c r="Y24" s="70">
        <f>COUNTIFS('BR Tenure v41'!$B$4:$B$206,B24,'BR Tenure v41'!$D$4:$D$206,"MEMBER",'BR Tenure v41'!$J$4:$J$206,"MIN_CONTINUOUS")</f>
        <v>1</v>
      </c>
      <c r="Z24" s="70">
        <f>COUNTIFS('BR Tenure v41'!$B$4:$B$206,B24,'BR Tenure v41'!$D$4:$D$206,"MEMBER",'BR Tenure v41'!$J$4:$J$206,"CONFLICT_MIN")</f>
        <v>0</v>
      </c>
      <c r="AA24" s="70">
        <f>COUNTIFS('BR Tenure v41'!$B$4:$B$206,B24,'BR Tenure v41'!$D$4:$D$206,"MEMBER",'BR Tenure v41'!$J$4:$J$206,"UNKNOWN")</f>
        <v>0</v>
      </c>
      <c r="AB24" s="70">
        <f>IF(W24=0,"",AVERAGEIFS('BR Tenure v41'!$U$4:$U$206,'BR Tenure v41'!$B$4:$B$206,B24,'BR Tenure v41'!$D$4:$D$206,"MEMBER",'BR Tenure v41'!$J$4:$J$206,"EXACT"))</f>
        <v>1.6324435318275154</v>
      </c>
      <c r="AC24" s="70">
        <f>IF(W24&lt;2,"",SQRT((SUMIFS('BR Tenure v41'!$V$4:$V$206,'BR Tenure v41'!$B$4:$B$206,B24,'BR Tenure v41'!$D$4:$D$206,"MEMBER",'BR Tenure v41'!$J$4:$J$206,"EXACT")-W24*AB24^2)/(W24-1)))</f>
        <v>1.0929578412764454</v>
      </c>
      <c r="AD24" s="70" t="str">
        <f>IFERROR(INDEX('BR Tenure v41'!$J$4:$J$206,MATCH(1,INDEX(('BR Tenure v41'!$B$4:$B$206=B24)*('BR Tenure v41'!$D$4:$D$206="CHAIR"),0),0)),"")</f>
        <v>EXACT</v>
      </c>
      <c r="AE24" s="70">
        <f>IFERROR(INDEX('BR Tenure v41'!$U$4:$U$206,MATCH(1,INDEX(('BR Tenure v41'!$B$4:$B$206=B24)*('BR Tenure v41'!$D$4:$D$206="CHAIR"),0),0)),"")</f>
        <v>0.010951403148528405</v>
      </c>
      <c r="AF24" s="70" t="str">
        <f>IFERROR(INDEX('BR Tenure v41'!$J$4:$J$206,MATCH(1,INDEX(('BR Tenure v41'!$B$4:$B$206=B24)*('BR Tenure v41'!$D$4:$D$206="CEO"),0),0)),"")</f>
        <v>EXACT</v>
      </c>
      <c r="AG24" s="70">
        <f>IFERROR(INDEX('BR Tenure v41'!$U$4:$U$206,MATCH(1,INDEX(('BR Tenure v41'!$B$4:$B$206=B24)*('BR Tenure v41'!$D$4:$D$206="CEO"),0),0)),"")</f>
        <v>0.5639972621492129</v>
      </c>
      <c r="AH24" s="70" t="str">
        <f>IF(D24=0,"NO_ROSTER",IF(W24=D24,"FULL_EXACT",IF(W24&gt;0,"PARTIAL_EXACT","NO_EXACT")))</f>
        <v>PARTIAL_EXACT</v>
      </c>
      <c r="AI24" s="70">
        <f>IF(COUNTIFS('BR Tenure v41'!$B$4:$B$206,B24,'BR Tenure v41'!$D$4:$D$206,"MEMBER",'BR Tenure v41'!$U$4:$U$206,"&gt;=0")=0,"",AVERAGEIFS('BR Tenure v41'!$U$4:$U$206,'BR Tenure v41'!$B$4:$B$206,B24,'BR Tenure v41'!$D$4:$D$206,"MEMBER",'BR Tenure v41'!$U$4:$U$206,"&gt;=0"))</f>
        <v>2.100479123887748</v>
      </c>
      <c r="AJ24" s="70">
        <f>COUNTIFS('BR Tenure v41'!$B$4:$B$206,B24,'BR Tenure v41'!$D$4:$D$206,"MEMBER",'BR Tenure v41'!$U$4:$U$206,"&gt;=0")</f>
        <v>5</v>
      </c>
    </row>
    <row r="25" ht="20" customHeight="1" s="76">
      <c r="A25" s="71" t="inlineStr">
        <is>
          <t>F22</t>
        </is>
      </c>
      <c r="B25" s="71" t="inlineStr">
        <is>
          <t>ومعادن</t>
        </is>
      </c>
      <c r="C25" s="71" t="inlineStr">
        <is>
          <t>1404/12/29</t>
        </is>
      </c>
      <c r="D25" s="71" t="n">
        <v>5</v>
      </c>
      <c r="E25" s="71" t="inlineStr">
        <is>
          <t>اردشیر سعدمحمدی</t>
        </is>
      </c>
      <c r="F25" s="71" t="inlineStr">
        <is>
          <t>بله</t>
        </is>
      </c>
      <c r="G25" s="71" t="inlineStr">
        <is>
          <t>محمد آقاجانلو</t>
        </is>
      </c>
      <c r="H25" s="71" t="n">
        <v>0</v>
      </c>
      <c r="I25" s="71">
        <f>COUNTIFS('BR Independence v41'!$B$4:$B$148,B25,'BR Independence v41'!$P$4:$P$148,"NOT_INDEPENDENT_DOCUMENTED_EXECUTIVE")</f>
        <v>2</v>
      </c>
      <c r="J25" s="71">
        <f>COUNTIFS('BR Independence v41'!$B$4:$B$148,B25,'BR Independence v41'!$P$4:$P$148,"UNKNOWN")</f>
        <v>3</v>
      </c>
      <c r="K25" s="71">
        <f>COUNTIFS('BR Independence v41'!$B$4:$B$148,B25,'BR Independence v41'!$P$4:$P$148,"CONFLICT_DUTY_STATUS")</f>
        <v>0</v>
      </c>
      <c r="L25" s="71">
        <f>IF(AND(J25=0,K25=0),H25/D25,"")</f>
      </c>
      <c r="M25" s="71">
        <f>IF(H25+I25=0,"",H25/(H25+I25))</f>
        <v>0</v>
      </c>
      <c r="N25" s="71">
        <f>H25/D25</f>
        <v>0</v>
      </c>
      <c r="O25" s="71">
        <f>(D25-I25)/D25</f>
        <v>0.6</v>
      </c>
      <c r="P25" s="71" t="inlineStr">
        <is>
          <t>UNKNOWN</t>
        </is>
      </c>
      <c r="Q25" s="71" t="n">
        <v>5</v>
      </c>
      <c r="R25" s="71" t="n">
        <v>0</v>
      </c>
      <c r="S25" s="71" t="n">
        <v>0</v>
      </c>
      <c r="T25" s="71" t="n">
        <v>0</v>
      </c>
      <c r="U25" s="71" t="n">
        <v>1</v>
      </c>
      <c r="V25" s="71" t="n">
        <v>0.2</v>
      </c>
      <c r="W25" s="71">
        <f>COUNTIFS('BR Tenure v41'!$B$4:$B$206,B25,'BR Tenure v41'!$D$4:$D$206,"MEMBER",'BR Tenure v41'!$J$4:$J$206,"EXACT")</f>
        <v>5</v>
      </c>
      <c r="X25" s="71">
        <f>COUNTIFS('BR Tenure v41'!$B$4:$B$206,B25,'BR Tenure v41'!$D$4:$D$206,"MEMBER",'BR Tenure v41'!$J$4:$J$206,"INTERVAL")</f>
        <v>0</v>
      </c>
      <c r="Y25" s="71">
        <f>COUNTIFS('BR Tenure v41'!$B$4:$B$206,B25,'BR Tenure v41'!$D$4:$D$206,"MEMBER",'BR Tenure v41'!$J$4:$J$206,"MIN_CONTINUOUS")</f>
        <v>0</v>
      </c>
      <c r="Z25" s="71">
        <f>COUNTIFS('BR Tenure v41'!$B$4:$B$206,B25,'BR Tenure v41'!$D$4:$D$206,"MEMBER",'BR Tenure v41'!$J$4:$J$206,"CONFLICT_MIN")</f>
        <v>0</v>
      </c>
      <c r="AA25" s="71">
        <f>COUNTIFS('BR Tenure v41'!$B$4:$B$206,B25,'BR Tenure v41'!$D$4:$D$206,"MEMBER",'BR Tenure v41'!$J$4:$J$206,"UNKNOWN")</f>
        <v>0</v>
      </c>
      <c r="AB25" s="71">
        <f>IF(W25=0,"",AVERAGEIFS('BR Tenure v41'!$U$4:$U$206,'BR Tenure v41'!$B$4:$B$206,B25,'BR Tenure v41'!$D$4:$D$206,"MEMBER",'BR Tenure v41'!$J$4:$J$206,"EXACT"))</f>
        <v>1.6607802874743325</v>
      </c>
      <c r="AC25" s="71">
        <f>IF(W25&lt;2,"",SQRT((SUMIFS('BR Tenure v41'!$V$4:$V$206,'BR Tenure v41'!$B$4:$B$206,B25,'BR Tenure v41'!$D$4:$D$206,"MEMBER",'BR Tenure v41'!$J$4:$J$206,"EXACT")-W25*AB25^2)/(W25-1)))</f>
        <v>1.4763003259081646</v>
      </c>
      <c r="AD25" s="71" t="str">
        <f>IFERROR(INDEX('BR Tenure v41'!$J$4:$J$206,MATCH(1,INDEX(('BR Tenure v41'!$B$4:$B$206=B25)*('BR Tenure v41'!$D$4:$D$206="CHAIR"),0),0)),"")</f>
        <v>EXACT</v>
      </c>
      <c r="AE25" s="71">
        <f>IFERROR(INDEX('BR Tenure v41'!$U$4:$U$206,MATCH(1,INDEX(('BR Tenure v41'!$B$4:$B$206=B25)*('BR Tenure v41'!$D$4:$D$206="CHAIR"),0),0)),"")</f>
        <v>0.4079397672826831</v>
      </c>
      <c r="AF25" s="71" t="str">
        <f>IFERROR(INDEX('BR Tenure v41'!$J$4:$J$206,MATCH(1,INDEX(('BR Tenure v41'!$B$4:$B$206=B25)*('BR Tenure v41'!$D$4:$D$206="CEO"),0),0)),"")</f>
        <v>MIN_CONTINUOUS</v>
      </c>
      <c r="AG25" s="71">
        <f>IFERROR(INDEX('BR Tenure v41'!$U$4:$U$206,MATCH(1,INDEX(('BR Tenure v41'!$B$4:$B$206=B25)*('BR Tenure v41'!$D$4:$D$206="CEO"),0),0)),"")</f>
        <v>3.4168377823408624</v>
      </c>
      <c r="AH25" s="71" t="str">
        <f>IF(D25=0,"NO_ROSTER",IF(W25=D25,"FULL_EXACT",IF(W25&gt;0,"PARTIAL_EXACT","NO_EXACT")))</f>
        <v>FULL_EXACT</v>
      </c>
      <c r="AI25" s="71">
        <f>IF(COUNTIFS('BR Tenure v41'!$B$4:$B$206,B25,'BR Tenure v41'!$D$4:$D$206,"MEMBER",'BR Tenure v41'!$U$4:$U$206,"&gt;=0")=0,"",AVERAGEIFS('BR Tenure v41'!$U$4:$U$206,'BR Tenure v41'!$B$4:$B$206,B25,'BR Tenure v41'!$D$4:$D$206,"MEMBER",'BR Tenure v41'!$U$4:$U$206,"&gt;=0"))</f>
        <v>1.6607802874743325</v>
      </c>
      <c r="AJ25" s="71">
        <f>COUNTIFS('BR Tenure v41'!$B$4:$B$206,B25,'BR Tenure v41'!$D$4:$D$206,"MEMBER",'BR Tenure v41'!$U$4:$U$206,"&gt;=0")</f>
        <v>5</v>
      </c>
    </row>
    <row r="26" ht="20" customHeight="1" s="76">
      <c r="A26" s="70" t="inlineStr">
        <is>
          <t>F23</t>
        </is>
      </c>
      <c r="B26" s="70" t="inlineStr">
        <is>
          <t>وامید</t>
        </is>
      </c>
      <c r="C26" s="70" t="inlineStr">
        <is>
          <t>1404/10/30</t>
        </is>
      </c>
      <c r="D26" s="70" t="n">
        <v>5</v>
      </c>
      <c r="E26" s="70" t="inlineStr">
        <is>
          <t>سیدبابک ابراهیمی</t>
        </is>
      </c>
      <c r="F26" s="70" t="inlineStr">
        <is>
          <t>بله</t>
        </is>
      </c>
      <c r="G26" s="70" t="inlineStr">
        <is>
          <t>سیدمصطفی سیدهاشمی</t>
        </is>
      </c>
      <c r="H26" s="70" t="n">
        <v>0</v>
      </c>
      <c r="I26" s="70">
        <f>COUNTIFS('BR Independence v41'!$B$4:$B$148,B26,'BR Independence v41'!$P$4:$P$148,"NOT_INDEPENDENT_DOCUMENTED_EXECUTIVE")</f>
        <v>2</v>
      </c>
      <c r="J26" s="70">
        <f>COUNTIFS('BR Independence v41'!$B$4:$B$148,B26,'BR Independence v41'!$P$4:$P$148,"UNKNOWN")</f>
        <v>3</v>
      </c>
      <c r="K26" s="70">
        <f>COUNTIFS('BR Independence v41'!$B$4:$B$148,B26,'BR Independence v41'!$P$4:$P$148,"CONFLICT_DUTY_STATUS")</f>
        <v>0</v>
      </c>
      <c r="L26" s="70">
        <f>IF(AND(J26=0,K26=0),H26/D26,"")</f>
      </c>
      <c r="M26" s="70">
        <f>IF(H26+I26=0,"",H26/(H26+I26))</f>
        <v>0</v>
      </c>
      <c r="N26" s="70">
        <f>H26/D26</f>
        <v>0</v>
      </c>
      <c r="O26" s="70">
        <f>(D26-I26)/D26</f>
        <v>0.6</v>
      </c>
      <c r="P26" s="70" t="inlineStr">
        <is>
          <t>UNKNOWN</t>
        </is>
      </c>
      <c r="Q26" s="70" t="n">
        <v>0</v>
      </c>
      <c r="R26" s="70" t="n">
        <v>1</v>
      </c>
      <c r="S26" s="70" t="n">
        <v>4</v>
      </c>
      <c r="T26" s="70" t="n">
        <v>0</v>
      </c>
      <c r="U26" s="70" t="n">
        <v>1</v>
      </c>
      <c r="V26" s="70" t="n"/>
      <c r="W26" s="70">
        <f>COUNTIFS('BR Tenure v41'!$B$4:$B$206,B26,'BR Tenure v41'!$D$4:$D$206,"MEMBER",'BR Tenure v41'!$J$4:$J$206,"EXACT")</f>
        <v>3</v>
      </c>
      <c r="X26" s="70">
        <f>COUNTIFS('BR Tenure v41'!$B$4:$B$206,B26,'BR Tenure v41'!$D$4:$D$206,"MEMBER",'BR Tenure v41'!$J$4:$J$206,"INTERVAL")</f>
        <v>0</v>
      </c>
      <c r="Y26" s="70">
        <f>COUNTIFS('BR Tenure v41'!$B$4:$B$206,B26,'BR Tenure v41'!$D$4:$D$206,"MEMBER",'BR Tenure v41'!$J$4:$J$206,"MIN_CONTINUOUS")</f>
        <v>2</v>
      </c>
      <c r="Z26" s="70">
        <f>COUNTIFS('BR Tenure v41'!$B$4:$B$206,B26,'BR Tenure v41'!$D$4:$D$206,"MEMBER",'BR Tenure v41'!$J$4:$J$206,"CONFLICT_MIN")</f>
        <v>0</v>
      </c>
      <c r="AA26" s="70">
        <f>COUNTIFS('BR Tenure v41'!$B$4:$B$206,B26,'BR Tenure v41'!$D$4:$D$206,"MEMBER",'BR Tenure v41'!$J$4:$J$206,"UNKNOWN")</f>
        <v>0</v>
      </c>
      <c r="AB26" s="70">
        <f>IF(W26=0,"",AVERAGEIFS('BR Tenure v41'!$U$4:$U$206,'BR Tenure v41'!$B$4:$B$206,B26,'BR Tenure v41'!$D$4:$D$206,"MEMBER",'BR Tenure v41'!$J$4:$J$206,"EXACT"))</f>
        <v>2.0752908966461328</v>
      </c>
      <c r="AC26" s="70">
        <f>IF(W26&lt;2,"",SQRT((SUMIFS('BR Tenure v41'!$V$4:$V$206,'BR Tenure v41'!$B$4:$B$206,B26,'BR Tenure v41'!$D$4:$D$206,"MEMBER",'BR Tenure v41'!$J$4:$J$206,"EXACT")-W26*AB26^2)/(W26-1)))</f>
        <v>0.9017634329224947</v>
      </c>
      <c r="AD26" s="70" t="str">
        <f>IFERROR(INDEX('BR Tenure v41'!$J$4:$J$206,MATCH(1,INDEX(('BR Tenure v41'!$B$4:$B$206=B26)*('BR Tenure v41'!$D$4:$D$206="CHAIR"),0),0)),"")</f>
        <v>EXACT</v>
      </c>
      <c r="AE26" s="70">
        <f>IFERROR(INDEX('BR Tenure v41'!$U$4:$U$206,MATCH(1,INDEX(('BR Tenure v41'!$B$4:$B$206=B26)*('BR Tenure v41'!$D$4:$D$206="CHAIR"),0),0)),"")</f>
        <v>2.1245722108145104</v>
      </c>
      <c r="AF26" s="70" t="str">
        <f>IFERROR(INDEX('BR Tenure v41'!$J$4:$J$206,MATCH(1,INDEX(('BR Tenure v41'!$B$4:$B$206=B26)*('BR Tenure v41'!$D$4:$D$206="CEO"),0),0)),"")</f>
        <v>EXACT</v>
      </c>
      <c r="AG26" s="70">
        <f>IFERROR(INDEX('BR Tenure v41'!$U$4:$U$206,MATCH(1,INDEX(('BR Tenure v41'!$B$4:$B$206=B26)*('BR Tenure v41'!$D$4:$D$206="CEO"),0),0)),"")</f>
        <v>1.1498973305954825</v>
      </c>
      <c r="AH26" s="70" t="str">
        <f>IF(D26=0,"NO_ROSTER",IF(W26=D26,"FULL_EXACT",IF(W26&gt;0,"PARTIAL_EXACT","NO_EXACT")))</f>
        <v>PARTIAL_EXACT</v>
      </c>
      <c r="AI26" s="70">
        <f>IF(COUNTIFS('BR Tenure v41'!$B$4:$B$206,B26,'BR Tenure v41'!$D$4:$D$206,"MEMBER",'BR Tenure v41'!$U$4:$U$206,"&gt;=0")=0,"",AVERAGEIFS('BR Tenure v41'!$U$4:$U$206,'BR Tenure v41'!$B$4:$B$206,B26,'BR Tenure v41'!$D$4:$D$206,"MEMBER",'BR Tenure v41'!$U$4:$U$206,"&gt;=0"))</f>
        <v>2.674332648870636</v>
      </c>
      <c r="AJ26" s="70">
        <f>COUNTIFS('BR Tenure v41'!$B$4:$B$206,B26,'BR Tenure v41'!$D$4:$D$206,"MEMBER",'BR Tenure v41'!$U$4:$U$206,"&gt;=0")</f>
        <v>5</v>
      </c>
    </row>
    <row r="27" ht="20" customHeight="1" s="76">
      <c r="A27" s="71" t="inlineStr">
        <is>
          <t>F24</t>
        </is>
      </c>
      <c r="B27" s="71" t="inlineStr">
        <is>
          <t>خساپا</t>
        </is>
      </c>
      <c r="C27" s="71" t="inlineStr">
        <is>
          <t>1404/12/29</t>
        </is>
      </c>
      <c r="D27" s="71" t="n">
        <v>5</v>
      </c>
      <c r="E27" s="71" t="inlineStr">
        <is>
          <t>علی شیخ زاده</t>
        </is>
      </c>
      <c r="F27" s="71" t="inlineStr">
        <is>
          <t>بله</t>
        </is>
      </c>
      <c r="G27" s="71" t="inlineStr">
        <is>
          <t>کورش پرویزیان</t>
        </is>
      </c>
      <c r="H27" s="71" t="n">
        <v>0</v>
      </c>
      <c r="I27" s="71">
        <f>COUNTIFS('BR Independence v41'!$B$4:$B$148,B27,'BR Independence v41'!$P$4:$P$148,"NOT_INDEPENDENT_DOCUMENTED_EXECUTIVE")</f>
        <v>2</v>
      </c>
      <c r="J27" s="71">
        <f>COUNTIFS('BR Independence v41'!$B$4:$B$148,B27,'BR Independence v41'!$P$4:$P$148,"UNKNOWN")</f>
        <v>3</v>
      </c>
      <c r="K27" s="71">
        <f>COUNTIFS('BR Independence v41'!$B$4:$B$148,B27,'BR Independence v41'!$P$4:$P$148,"CONFLICT_DUTY_STATUS")</f>
        <v>0</v>
      </c>
      <c r="L27" s="71">
        <f>IF(AND(J27=0,K27=0),H27/D27,"")</f>
      </c>
      <c r="M27" s="71">
        <f>IF(H27+I27=0,"",H27/(H27+I27))</f>
        <v>0</v>
      </c>
      <c r="N27" s="71">
        <f>H27/D27</f>
        <v>0</v>
      </c>
      <c r="O27" s="71">
        <f>(D27-I27)/D27</f>
        <v>0.6</v>
      </c>
      <c r="P27" s="71" t="inlineStr">
        <is>
          <t>UNKNOWN</t>
        </is>
      </c>
      <c r="Q27" s="71" t="n">
        <v>0</v>
      </c>
      <c r="R27" s="71" t="n">
        <v>0</v>
      </c>
      <c r="S27" s="71" t="n">
        <v>5</v>
      </c>
      <c r="T27" s="71" t="n">
        <v>0</v>
      </c>
      <c r="U27" s="71" t="n">
        <v>0</v>
      </c>
      <c r="V27" s="71" t="n"/>
      <c r="W27" s="71">
        <f>COUNTIFS('BR Tenure v41'!$B$4:$B$206,B27,'BR Tenure v41'!$D$4:$D$206,"MEMBER",'BR Tenure v41'!$J$4:$J$206,"EXACT")</f>
        <v>3</v>
      </c>
      <c r="X27" s="71">
        <f>COUNTIFS('BR Tenure v41'!$B$4:$B$206,B27,'BR Tenure v41'!$D$4:$D$206,"MEMBER",'BR Tenure v41'!$J$4:$J$206,"INTERVAL")</f>
        <v>2</v>
      </c>
      <c r="Y27" s="71">
        <f>COUNTIFS('BR Tenure v41'!$B$4:$B$206,B27,'BR Tenure v41'!$D$4:$D$206,"MEMBER",'BR Tenure v41'!$J$4:$J$206,"MIN_CONTINUOUS")</f>
        <v>0</v>
      </c>
      <c r="Z27" s="71">
        <f>COUNTIFS('BR Tenure v41'!$B$4:$B$206,B27,'BR Tenure v41'!$D$4:$D$206,"MEMBER",'BR Tenure v41'!$J$4:$J$206,"CONFLICT_MIN")</f>
        <v>0</v>
      </c>
      <c r="AA27" s="71">
        <f>COUNTIFS('BR Tenure v41'!$B$4:$B$206,B27,'BR Tenure v41'!$D$4:$D$206,"MEMBER",'BR Tenure v41'!$J$4:$J$206,"UNKNOWN")</f>
        <v>0</v>
      </c>
      <c r="AB27" s="71">
        <f>IF(W27=0,"",AVERAGEIFS('BR Tenure v41'!$U$4:$U$206,'BR Tenure v41'!$B$4:$B$206,B27,'BR Tenure v41'!$D$4:$D$206,"MEMBER",'BR Tenure v41'!$J$4:$J$206,"EXACT"))</f>
        <v>0.9801505817932922</v>
      </c>
      <c r="AC27" s="71">
        <f>IF(W27&lt;2,"",SQRT((SUMIFS('BR Tenure v41'!$V$4:$V$206,'BR Tenure v41'!$B$4:$B$206,B27,'BR Tenure v41'!$D$4:$D$206,"MEMBER",'BR Tenure v41'!$J$4:$J$206,"EXACT")-W27*AB27^2)/(W27-1)))</f>
        <v>0.1517470933393694</v>
      </c>
      <c r="AD27" s="71" t="str">
        <f>IFERROR(INDEX('BR Tenure v41'!$J$4:$J$206,MATCH(1,INDEX(('BR Tenure v41'!$B$4:$B$206=B27)*('BR Tenure v41'!$D$4:$D$206="CHAIR"),0),0)),"")</f>
        <v>INTERVAL</v>
      </c>
      <c r="AE27" s="71">
        <f>IFERROR(INDEX('BR Tenure v41'!$U$4:$U$206,MATCH(1,INDEX(('BR Tenure v41'!$B$4:$B$206=B27)*('BR Tenure v41'!$D$4:$D$206="CHAIR"),0),0)),"")</f>
        <v>1.270362765229295</v>
      </c>
      <c r="AF27" s="71" t="str">
        <f>IFERROR(INDEX('BR Tenure v41'!$J$4:$J$206,MATCH(1,INDEX(('BR Tenure v41'!$B$4:$B$206=B27)*('BR Tenure v41'!$D$4:$D$206="CEO"),0),0)),"")</f>
        <v>EXACT</v>
      </c>
      <c r="AG27" s="71">
        <f>IFERROR(INDEX('BR Tenure v41'!$U$4:$U$206,MATCH(1,INDEX(('BR Tenure v41'!$B$4:$B$206=B27)*('BR Tenure v41'!$D$4:$D$206="CEO"),0),0)),"")</f>
        <v>1.2895277207392197</v>
      </c>
      <c r="AH27" s="71" t="str">
        <f>IF(D27=0,"NO_ROSTER",IF(W27=D27,"FULL_EXACT",IF(W27&gt;0,"PARTIAL_EXACT","NO_EXACT")))</f>
        <v>PARTIAL_EXACT</v>
      </c>
      <c r="AI27" s="71">
        <f>IF(COUNTIFS('BR Tenure v41'!$B$4:$B$206,B27,'BR Tenure v41'!$D$4:$D$206,"MEMBER",'BR Tenure v41'!$U$4:$U$206,"&gt;=0")=0,"",AVERAGEIFS('BR Tenure v41'!$U$4:$U$206,'BR Tenure v41'!$B$4:$B$206,B27,'BR Tenure v41'!$D$4:$D$206,"MEMBER",'BR Tenure v41'!$U$4:$U$206,"&gt;=0"))</f>
        <v>1.0962354551676934</v>
      </c>
      <c r="AJ27" s="71">
        <f>COUNTIFS('BR Tenure v41'!$B$4:$B$206,B27,'BR Tenure v41'!$D$4:$D$206,"MEMBER",'BR Tenure v41'!$U$4:$U$206,"&gt;=0")</f>
        <v>5</v>
      </c>
    </row>
    <row r="28" ht="20" customHeight="1" s="76">
      <c r="A28" s="70" t="inlineStr">
        <is>
          <t>F25</t>
        </is>
      </c>
      <c r="B28" s="70" t="inlineStr">
        <is>
          <t>همراه</t>
        </is>
      </c>
      <c r="C28" s="70" t="inlineStr">
        <is>
          <t>1404/12/29</t>
        </is>
      </c>
      <c r="D28" s="70" t="n">
        <v>5</v>
      </c>
      <c r="E28" s="70" t="inlineStr">
        <is>
          <t>مهدی اخوان بهابادی</t>
        </is>
      </c>
      <c r="F28" s="70" t="inlineStr">
        <is>
          <t>بله</t>
        </is>
      </c>
      <c r="G28" s="70" t="inlineStr">
        <is>
          <t>علی بقائی</t>
        </is>
      </c>
      <c r="H28" s="70" t="n">
        <v>0</v>
      </c>
      <c r="I28" s="70">
        <f>COUNTIFS('BR Independence v41'!$B$4:$B$148,B28,'BR Independence v41'!$P$4:$P$148,"NOT_INDEPENDENT_DOCUMENTED_EXECUTIVE")</f>
        <v>2</v>
      </c>
      <c r="J28" s="70">
        <f>COUNTIFS('BR Independence v41'!$B$4:$B$148,B28,'BR Independence v41'!$P$4:$P$148,"UNKNOWN")</f>
        <v>3</v>
      </c>
      <c r="K28" s="70">
        <f>COUNTIFS('BR Independence v41'!$B$4:$B$148,B28,'BR Independence v41'!$P$4:$P$148,"CONFLICT_DUTY_STATUS")</f>
        <v>0</v>
      </c>
      <c r="L28" s="70">
        <f>IF(AND(J28=0,K28=0),H28/D28,"")</f>
      </c>
      <c r="M28" s="70">
        <f>IF(H28+I28=0,"",H28/(H28+I28))</f>
        <v>0</v>
      </c>
      <c r="N28" s="70">
        <f>H28/D28</f>
        <v>0</v>
      </c>
      <c r="O28" s="70">
        <f>(D28-I28)/D28</f>
        <v>0.6</v>
      </c>
      <c r="P28" s="70" t="inlineStr">
        <is>
          <t>UNKNOWN</t>
        </is>
      </c>
      <c r="Q28" s="70" t="n">
        <v>5</v>
      </c>
      <c r="R28" s="70" t="n">
        <v>0</v>
      </c>
      <c r="S28" s="70" t="n">
        <v>0</v>
      </c>
      <c r="T28" s="70" t="n">
        <v>0</v>
      </c>
      <c r="U28" s="70" t="n">
        <v>3</v>
      </c>
      <c r="V28" s="70" t="n">
        <v>0.6</v>
      </c>
      <c r="W28" s="70">
        <f>COUNTIFS('BR Tenure v41'!$B$4:$B$206,B28,'BR Tenure v41'!$D$4:$D$206,"MEMBER",'BR Tenure v41'!$J$4:$J$206,"EXACT")</f>
        <v>5</v>
      </c>
      <c r="X28" s="70">
        <f>COUNTIFS('BR Tenure v41'!$B$4:$B$206,B28,'BR Tenure v41'!$D$4:$D$206,"MEMBER",'BR Tenure v41'!$J$4:$J$206,"INTERVAL")</f>
        <v>0</v>
      </c>
      <c r="Y28" s="70">
        <f>COUNTIFS('BR Tenure v41'!$B$4:$B$206,B28,'BR Tenure v41'!$D$4:$D$206,"MEMBER",'BR Tenure v41'!$J$4:$J$206,"MIN_CONTINUOUS")</f>
        <v>0</v>
      </c>
      <c r="Z28" s="70">
        <f>COUNTIFS('BR Tenure v41'!$B$4:$B$206,B28,'BR Tenure v41'!$D$4:$D$206,"MEMBER",'BR Tenure v41'!$J$4:$J$206,"CONFLICT_MIN")</f>
        <v>0</v>
      </c>
      <c r="AA28" s="70">
        <f>COUNTIFS('BR Tenure v41'!$B$4:$B$206,B28,'BR Tenure v41'!$D$4:$D$206,"MEMBER",'BR Tenure v41'!$J$4:$J$206,"UNKNOWN")</f>
        <v>0</v>
      </c>
      <c r="AB28" s="70">
        <f>IF(W28=0,"",AVERAGEIFS('BR Tenure v41'!$U$4:$U$206,'BR Tenure v41'!$B$4:$B$206,B28,'BR Tenure v41'!$D$4:$D$206,"MEMBER",'BR Tenure v41'!$J$4:$J$206,"EXACT"))</f>
        <v>4.335660506502395</v>
      </c>
      <c r="AC28" s="70">
        <f>IF(W28&lt;2,"",SQRT((SUMIFS('BR Tenure v41'!$V$4:$V$206,'BR Tenure v41'!$B$4:$B$206,B28,'BR Tenure v41'!$D$4:$D$206,"MEMBER",'BR Tenure v41'!$J$4:$J$206,"EXACT")-W28*AB28^2)/(W28-1)))</f>
        <v>3.2578903558797334</v>
      </c>
      <c r="AD28" s="70" t="str">
        <f>IFERROR(INDEX('BR Tenure v41'!$J$4:$J$206,MATCH(1,INDEX(('BR Tenure v41'!$B$4:$B$206=B28)*('BR Tenure v41'!$D$4:$D$206="CHAIR"),0),0)),"")</f>
        <v>MIN_CONTINUOUS</v>
      </c>
      <c r="AE28" s="70">
        <f>IFERROR(INDEX('BR Tenure v41'!$U$4:$U$206,MATCH(1,INDEX(('BR Tenure v41'!$B$4:$B$206=B28)*('BR Tenure v41'!$D$4:$D$206="CHAIR"),0),0)),"")</f>
        <v>3.975359342915811</v>
      </c>
      <c r="AF28" s="70" t="str">
        <f>IFERROR(INDEX('BR Tenure v41'!$J$4:$J$206,MATCH(1,INDEX(('BR Tenure v41'!$B$4:$B$206=B28)*('BR Tenure v41'!$D$4:$D$206="CEO"),0),0)),"")</f>
        <v>MIN_CONTINUOUS</v>
      </c>
      <c r="AG28" s="70">
        <f>IFERROR(INDEX('BR Tenure v41'!$U$4:$U$206,MATCH(1,INDEX(('BR Tenure v41'!$B$4:$B$206=B28)*('BR Tenure v41'!$D$4:$D$206="CEO"),0),0)),"")</f>
        <v>2.8035592060232717</v>
      </c>
      <c r="AH28" s="70" t="str">
        <f>IF(D28=0,"NO_ROSTER",IF(W28=D28,"FULL_EXACT",IF(W28&gt;0,"PARTIAL_EXACT","NO_EXACT")))</f>
        <v>FULL_EXACT</v>
      </c>
      <c r="AI28" s="70">
        <f>IF(COUNTIFS('BR Tenure v41'!$B$4:$B$206,B28,'BR Tenure v41'!$D$4:$D$206,"MEMBER",'BR Tenure v41'!$U$4:$U$206,"&gt;=0")=0,"",AVERAGEIFS('BR Tenure v41'!$U$4:$U$206,'BR Tenure v41'!$B$4:$B$206,B28,'BR Tenure v41'!$D$4:$D$206,"MEMBER",'BR Tenure v41'!$U$4:$U$206,"&gt;=0"))</f>
        <v>4.335660506502395</v>
      </c>
      <c r="AJ28" s="70">
        <f>COUNTIFS('BR Tenure v41'!$B$4:$B$206,B28,'BR Tenure v41'!$D$4:$D$206,"MEMBER",'BR Tenure v41'!$U$4:$U$206,"&gt;=0")</f>
        <v>5</v>
      </c>
    </row>
    <row r="29" ht="43.5" customHeight="1" s="76">
      <c r="A29" s="71" t="inlineStr">
        <is>
          <t>F26</t>
        </is>
      </c>
      <c r="B29" s="71" t="inlineStr">
        <is>
          <t>وبملت</t>
        </is>
      </c>
      <c r="C29" s="71" t="inlineStr">
        <is>
          <t>1404/12/29</t>
        </is>
      </c>
      <c r="D29" s="71" t="n">
        <v>5</v>
      </c>
      <c r="E29" s="71" t="inlineStr">
        <is>
          <t>فرشید فرخ نژاد</t>
        </is>
      </c>
      <c r="F29" s="71" t="inlineStr">
        <is>
          <t>بله</t>
        </is>
      </c>
      <c r="G29" s="71" t="inlineStr">
        <is>
          <t>مسعود نصراصفهانی</t>
        </is>
      </c>
      <c r="H29" s="71" t="n">
        <v>0</v>
      </c>
      <c r="I29" s="71">
        <f>COUNTIFS('BR Independence v41'!$B$4:$B$148,B29,'BR Independence v41'!$P$4:$P$148,"NOT_INDEPENDENT_DOCUMENTED_EXECUTIVE")</f>
        <v>5</v>
      </c>
      <c r="J29" s="71">
        <f>COUNTIFS('BR Independence v41'!$B$4:$B$148,B29,'BR Independence v41'!$P$4:$P$148,"UNKNOWN")</f>
        <v>0</v>
      </c>
      <c r="K29" s="71">
        <f>COUNTIFS('BR Independence v41'!$B$4:$B$148,B29,'BR Independence v41'!$P$4:$P$148,"CONFLICT_DUTY_STATUS")</f>
        <v>0</v>
      </c>
      <c r="L29" s="71">
        <f>IF(AND(J29=0,K29=0),H29/D29,"")</f>
        <v>0</v>
      </c>
      <c r="M29" s="71">
        <f>IF(H29+I29=0,"",H29/(H29+I29))</f>
        <v>0</v>
      </c>
      <c r="N29" s="71">
        <f>H29/D29</f>
        <v>0</v>
      </c>
      <c r="O29" s="71">
        <f>(D29-I29)/D29</f>
        <v>0</v>
      </c>
      <c r="P29" s="71" t="inlineStr">
        <is>
          <t>NOT_INDEPENDENT_DOCUMENTED</t>
        </is>
      </c>
      <c r="Q29" s="71" t="n">
        <v>0</v>
      </c>
      <c r="R29" s="71" t="n">
        <v>0</v>
      </c>
      <c r="S29" s="71" t="n">
        <v>5</v>
      </c>
      <c r="T29" s="71" t="n">
        <v>0</v>
      </c>
      <c r="U29" s="71" t="n">
        <v>0</v>
      </c>
      <c r="V29" s="71" t="n"/>
      <c r="W29" s="71">
        <f>COUNTIFS('BR Tenure v41'!$B$4:$B$206,B29,'BR Tenure v41'!$D$4:$D$206,"MEMBER",'BR Tenure v41'!$J$4:$J$206,"EXACT")</f>
        <v>2</v>
      </c>
      <c r="X29" s="71">
        <f>COUNTIFS('BR Tenure v41'!$B$4:$B$206,B29,'BR Tenure v41'!$D$4:$D$206,"MEMBER",'BR Tenure v41'!$J$4:$J$206,"INTERVAL")</f>
        <v>0</v>
      </c>
      <c r="Y29" s="71">
        <f>COUNTIFS('BR Tenure v41'!$B$4:$B$206,B29,'BR Tenure v41'!$D$4:$D$206,"MEMBER",'BR Tenure v41'!$J$4:$J$206,"MIN_CONTINUOUS")</f>
        <v>3</v>
      </c>
      <c r="Z29" s="71">
        <f>COUNTIFS('BR Tenure v41'!$B$4:$B$206,B29,'BR Tenure v41'!$D$4:$D$206,"MEMBER",'BR Tenure v41'!$J$4:$J$206,"CONFLICT_MIN")</f>
        <v>0</v>
      </c>
      <c r="AA29" s="71">
        <f>COUNTIFS('BR Tenure v41'!$B$4:$B$206,B29,'BR Tenure v41'!$D$4:$D$206,"MEMBER",'BR Tenure v41'!$J$4:$J$206,"UNKNOWN")</f>
        <v>0</v>
      </c>
      <c r="AB29" s="71">
        <f>IF(W29=0,"",AVERAGEIFS('BR Tenure v41'!$U$4:$U$206,'BR Tenure v41'!$B$4:$B$206,B29,'BR Tenure v41'!$D$4:$D$206,"MEMBER",'BR Tenure v41'!$J$4:$J$206,"EXACT"))</f>
        <v>2.0150581793292264</v>
      </c>
      <c r="AC29" s="71">
        <f>IF(W29&lt;2,"",SQRT((SUMIFS('BR Tenure v41'!$V$4:$V$206,'BR Tenure v41'!$B$4:$B$206,B29,'BR Tenure v41'!$D$4:$D$206,"MEMBER",'BR Tenure v41'!$J$4:$J$206,"EXACT")-W29*AB29^2)/(W29-1)))</f>
        <v>0</v>
      </c>
      <c r="AD29" s="71" t="str">
        <f>IFERROR(INDEX('BR Tenure v41'!$J$4:$J$206,MATCH(1,INDEX(('BR Tenure v41'!$B$4:$B$206=B29)*('BR Tenure v41'!$D$4:$D$206="CHAIR"),0),0)),"")</f>
        <v>MIN_CONTINUOUS</v>
      </c>
      <c r="AE29" s="71">
        <f>IFERROR(INDEX('BR Tenure v41'!$U$4:$U$206,MATCH(1,INDEX(('BR Tenure v41'!$B$4:$B$206=B29)*('BR Tenure v41'!$D$4:$D$206="CHAIR"),0),0)),"")</f>
        <v>3.8275154004106775</v>
      </c>
      <c r="AF29" s="71" t="str">
        <f>IFERROR(INDEX('BR Tenure v41'!$J$4:$J$206,MATCH(1,INDEX(('BR Tenure v41'!$B$4:$B$206=B29)*('BR Tenure v41'!$D$4:$D$206="CEO"),0),0)),"")</f>
        <v>EXACT</v>
      </c>
      <c r="AG29" s="71">
        <f>IFERROR(INDEX('BR Tenure v41'!$U$4:$U$206,MATCH(1,INDEX(('BR Tenure v41'!$B$4:$B$206=B29)*('BR Tenure v41'!$D$4:$D$206="CEO"),0),0)),"")</f>
        <v>2.0150581793292264</v>
      </c>
      <c r="AH29" s="71" t="str">
        <f>IF(D29=0,"NO_ROSTER",IF(W29=D29,"FULL_EXACT",IF(W29&gt;0,"PARTIAL_EXACT","NO_EXACT")))</f>
        <v>PARTIAL_EXACT</v>
      </c>
      <c r="AI29" s="71">
        <f>IF(COUNTIFS('BR Tenure v41'!$B$4:$B$206,B29,'BR Tenure v41'!$D$4:$D$206,"MEMBER",'BR Tenure v41'!$U$4:$U$206,"&gt;=0")=0,"",AVERAGEIFS('BR Tenure v41'!$U$4:$U$206,'BR Tenure v41'!$B$4:$B$206,B29,'BR Tenure v41'!$D$4:$D$206,"MEMBER",'BR Tenure v41'!$U$4:$U$206,"&gt;=0"))</f>
        <v>3.1025325119780973</v>
      </c>
      <c r="AJ29" s="71">
        <f>COUNTIFS('BR Tenure v41'!$B$4:$B$206,B29,'BR Tenure v41'!$D$4:$D$206,"MEMBER",'BR Tenure v41'!$U$4:$U$206,"&gt;=0")</f>
        <v>5</v>
      </c>
    </row>
    <row r="30" ht="43.5" customHeight="1" s="76">
      <c r="A30" s="70" t="inlineStr">
        <is>
          <t>F27</t>
        </is>
      </c>
      <c r="B30" s="70" t="inlineStr">
        <is>
          <t>وبصادر</t>
        </is>
      </c>
      <c r="C30" s="70" t="inlineStr">
        <is>
          <t>1404/12/29</t>
        </is>
      </c>
      <c r="D30" s="70" t="n">
        <v>5</v>
      </c>
      <c r="E30" s="70" t="inlineStr">
        <is>
          <t>محسن سیفی کفشگری</t>
        </is>
      </c>
      <c r="F30" s="70" t="inlineStr">
        <is>
          <t>بله</t>
        </is>
      </c>
      <c r="G30" s="70" t="inlineStr">
        <is>
          <t>قربان اسکندری کبودان</t>
        </is>
      </c>
      <c r="H30" s="70" t="n">
        <v>0</v>
      </c>
      <c r="I30" s="70">
        <f>COUNTIFS('BR Independence v41'!$B$4:$B$148,B30,'BR Independence v41'!$P$4:$P$148,"NOT_INDEPENDENT_DOCUMENTED_EXECUTIVE")</f>
        <v>5</v>
      </c>
      <c r="J30" s="70">
        <f>COUNTIFS('BR Independence v41'!$B$4:$B$148,B30,'BR Independence v41'!$P$4:$P$148,"UNKNOWN")</f>
        <v>0</v>
      </c>
      <c r="K30" s="70">
        <f>COUNTIFS('BR Independence v41'!$B$4:$B$148,B30,'BR Independence v41'!$P$4:$P$148,"CONFLICT_DUTY_STATUS")</f>
        <v>0</v>
      </c>
      <c r="L30" s="70">
        <f>IF(AND(J30=0,K30=0),H30/D30,"")</f>
        <v>0</v>
      </c>
      <c r="M30" s="70">
        <f>IF(H30+I30=0,"",H30/(H30+I30))</f>
        <v>0</v>
      </c>
      <c r="N30" s="70">
        <f>H30/D30</f>
        <v>0</v>
      </c>
      <c r="O30" s="70">
        <f>(D30-I30)/D30</f>
        <v>0</v>
      </c>
      <c r="P30" s="70" t="inlineStr">
        <is>
          <t>NOT_INDEPENDENT_DOCUMENTED</t>
        </is>
      </c>
      <c r="Q30" s="70" t="n">
        <v>0</v>
      </c>
      <c r="R30" s="70" t="n">
        <v>0</v>
      </c>
      <c r="S30" s="70" t="n">
        <v>5</v>
      </c>
      <c r="T30" s="70" t="n">
        <v>0</v>
      </c>
      <c r="U30" s="70" t="n">
        <v>0</v>
      </c>
      <c r="V30" s="70" t="n"/>
      <c r="W30" s="70">
        <f>COUNTIFS('BR Tenure v41'!$B$4:$B$206,B30,'BR Tenure v41'!$D$4:$D$206,"MEMBER",'BR Tenure v41'!$J$4:$J$206,"EXACT")</f>
        <v>3</v>
      </c>
      <c r="X30" s="70">
        <f>COUNTIFS('BR Tenure v41'!$B$4:$B$206,B30,'BR Tenure v41'!$D$4:$D$206,"MEMBER",'BR Tenure v41'!$J$4:$J$206,"INTERVAL")</f>
        <v>1</v>
      </c>
      <c r="Y30" s="70">
        <f>COUNTIFS('BR Tenure v41'!$B$4:$B$206,B30,'BR Tenure v41'!$D$4:$D$206,"MEMBER",'BR Tenure v41'!$J$4:$J$206,"MIN_CONTINUOUS")</f>
        <v>1</v>
      </c>
      <c r="Z30" s="70">
        <f>COUNTIFS('BR Tenure v41'!$B$4:$B$206,B30,'BR Tenure v41'!$D$4:$D$206,"MEMBER",'BR Tenure v41'!$J$4:$J$206,"CONFLICT_MIN")</f>
        <v>0</v>
      </c>
      <c r="AA30" s="70">
        <f>COUNTIFS('BR Tenure v41'!$B$4:$B$206,B30,'BR Tenure v41'!$D$4:$D$206,"MEMBER",'BR Tenure v41'!$J$4:$J$206,"UNKNOWN")</f>
        <v>0</v>
      </c>
      <c r="AB30" s="70">
        <f>IF(W30=0,"",AVERAGEIFS('BR Tenure v41'!$U$4:$U$206,'BR Tenure v41'!$B$4:$B$206,B30,'BR Tenure v41'!$D$4:$D$206,"MEMBER",'BR Tenure v41'!$J$4:$J$206,"EXACT"))</f>
        <v>1.979466119096509</v>
      </c>
      <c r="AC30" s="70">
        <f>IF(W30&lt;2,"",SQRT((SUMIFS('BR Tenure v41'!$V$4:$V$206,'BR Tenure v41'!$B$4:$B$206,B30,'BR Tenure v41'!$D$4:$D$206,"MEMBER",'BR Tenure v41'!$J$4:$J$206,"EXACT")-W30*AB30^2)/(W30-1)))</f>
        <v>0.6881488694076289</v>
      </c>
      <c r="AD30" s="70" t="str">
        <f>IFERROR(INDEX('BR Tenure v41'!$J$4:$J$206,MATCH(1,INDEX(('BR Tenure v41'!$B$4:$B$206=B30)*('BR Tenure v41'!$D$4:$D$206="CHAIR"),0),0)),"")</f>
        <v>EXACT</v>
      </c>
      <c r="AE30" s="70">
        <f>IFERROR(INDEX('BR Tenure v41'!$U$4:$U$206,MATCH(1,INDEX(('BR Tenure v41'!$B$4:$B$206=B30)*('BR Tenure v41'!$D$4:$D$206="CHAIR"),0),0)),"")</f>
        <v>2.403832991101985</v>
      </c>
      <c r="AF30" s="70" t="str">
        <f>IFERROR(INDEX('BR Tenure v41'!$J$4:$J$206,MATCH(1,INDEX(('BR Tenure v41'!$B$4:$B$206=B30)*('BR Tenure v41'!$D$4:$D$206="CEO"),0),0)),"")</f>
        <v>EXACT</v>
      </c>
      <c r="AG30" s="70">
        <f>IFERROR(INDEX('BR Tenure v41'!$U$4:$U$206,MATCH(1,INDEX(('BR Tenure v41'!$B$4:$B$206=B30)*('BR Tenure v41'!$D$4:$D$206="CEO"),0),0)),"")</f>
        <v>2.543463381245722</v>
      </c>
      <c r="AH30" s="70" t="str">
        <f>IF(D30=0,"NO_ROSTER",IF(W30=D30,"FULL_EXACT",IF(W30&gt;0,"PARTIAL_EXACT","NO_EXACT")))</f>
        <v>PARTIAL_EXACT</v>
      </c>
      <c r="AI30" s="70">
        <f>IF(COUNTIFS('BR Tenure v41'!$B$4:$B$206,B30,'BR Tenure v41'!$D$4:$D$206,"MEMBER",'BR Tenure v41'!$U$4:$U$206,"&gt;=0")=0,"",AVERAGEIFS('BR Tenure v41'!$U$4:$U$206,'BR Tenure v41'!$B$4:$B$206,B30,'BR Tenure v41'!$D$4:$D$206,"MEMBER",'BR Tenure v41'!$U$4:$U$206,"&gt;=0"))</f>
        <v>2.416974674880219</v>
      </c>
      <c r="AJ30" s="70">
        <f>COUNTIFS('BR Tenure v41'!$B$4:$B$206,B30,'BR Tenure v41'!$D$4:$D$206,"MEMBER",'BR Tenure v41'!$U$4:$U$206,"&gt;=0")</f>
        <v>5</v>
      </c>
    </row>
    <row r="31" ht="29" customHeight="1" s="76">
      <c r="A31" s="71" t="inlineStr">
        <is>
          <t>F28</t>
        </is>
      </c>
      <c r="B31" s="71" t="inlineStr">
        <is>
          <t>وپاسار</t>
        </is>
      </c>
      <c r="C31" s="71" t="inlineStr">
        <is>
          <t>1404/12/29</t>
        </is>
      </c>
      <c r="D31" s="71" t="n">
        <v>0</v>
      </c>
      <c r="E31" s="71" t="inlineStr">
        <is>
          <t>مستند نشد</t>
        </is>
      </c>
      <c r="F31" s="71" t="inlineStr">
        <is>
          <t>نامشخص</t>
        </is>
      </c>
      <c r="G31" s="71" t="n"/>
      <c r="H31" s="71" t="n"/>
      <c r="I31" s="71" t="n"/>
      <c r="J31" s="71" t="n"/>
      <c r="K31" s="71" t="n"/>
      <c r="L31" s="71" t="n"/>
      <c r="M31" s="71" t="n"/>
      <c r="N31" s="71" t="n"/>
      <c r="O31" s="71" t="n"/>
      <c r="P31" s="71" t="inlineStr">
        <is>
          <t>NOT_EVALUATED</t>
        </is>
      </c>
      <c r="Q31" s="71" t="n"/>
      <c r="R31" s="71" t="n"/>
      <c r="S31" s="71" t="n"/>
      <c r="T31" s="71" t="n"/>
      <c r="U31" s="71" t="n"/>
      <c r="V31" s="71" t="n"/>
      <c r="W31" s="71">
        <f>COUNTIFS('BR Tenure v41'!$B$4:$B$206,B31,'BR Tenure v41'!$D$4:$D$206,"MEMBER",'BR Tenure v41'!$J$4:$J$206,"EXACT")</f>
        <v>0</v>
      </c>
      <c r="X31" s="71">
        <f>COUNTIFS('BR Tenure v41'!$B$4:$B$206,B31,'BR Tenure v41'!$D$4:$D$206,"MEMBER",'BR Tenure v41'!$J$4:$J$206,"INTERVAL")</f>
        <v>0</v>
      </c>
      <c r="Y31" s="71">
        <f>COUNTIFS('BR Tenure v41'!$B$4:$B$206,B31,'BR Tenure v41'!$D$4:$D$206,"MEMBER",'BR Tenure v41'!$J$4:$J$206,"MIN_CONTINUOUS")</f>
        <v>0</v>
      </c>
      <c r="Z31" s="71">
        <f>COUNTIFS('BR Tenure v41'!$B$4:$B$206,B31,'BR Tenure v41'!$D$4:$D$206,"MEMBER",'BR Tenure v41'!$J$4:$J$206,"CONFLICT_MIN")</f>
        <v>0</v>
      </c>
      <c r="AA31" s="71">
        <f>COUNTIFS('BR Tenure v41'!$B$4:$B$206,B31,'BR Tenure v41'!$D$4:$D$206,"MEMBER",'BR Tenure v41'!$J$4:$J$206,"UNKNOWN")</f>
        <v>1</v>
      </c>
      <c r="AB31" s="71">
        <f>IF(W31=0,"",AVERAGEIFS('BR Tenure v41'!$U$4:$U$206,'BR Tenure v41'!$B$4:$B$206,B31,'BR Tenure v41'!$D$4:$D$206,"MEMBER",'BR Tenure v41'!$J$4:$J$206,"EXACT"))</f>
      </c>
      <c r="AC31" s="71">
        <f>IF(W31&lt;2,"",SQRT((SUMIFS('BR Tenure v41'!$V$4:$V$206,'BR Tenure v41'!$B$4:$B$206,B31,'BR Tenure v41'!$D$4:$D$206,"MEMBER",'BR Tenure v41'!$J$4:$J$206,"EXACT")-W31*AB31^2)/(W31-1)))</f>
      </c>
      <c r="AD31" s="71">
        <f>IFERROR(INDEX('BR Tenure v41'!$J$4:$J$206,MATCH(1,INDEX(('BR Tenure v41'!$B$4:$B$206=B31)*('BR Tenure v41'!$D$4:$D$206="CHAIR"),0),0)),"")</f>
      </c>
      <c r="AE31" s="71">
        <f>IFERROR(INDEX('BR Tenure v41'!$U$4:$U$206,MATCH(1,INDEX(('BR Tenure v41'!$B$4:$B$206=B31)*('BR Tenure v41'!$D$4:$D$206="CHAIR"),0),0)),"")</f>
      </c>
      <c r="AF31" s="71">
        <f>IFERROR(INDEX('BR Tenure v41'!$J$4:$J$206,MATCH(1,INDEX(('BR Tenure v41'!$B$4:$B$206=B31)*('BR Tenure v41'!$D$4:$D$206="CEO"),0),0)),"")</f>
      </c>
      <c r="AG31" s="71">
        <f>IFERROR(INDEX('BR Tenure v41'!$U$4:$U$206,MATCH(1,INDEX(('BR Tenure v41'!$B$4:$B$206=B31)*('BR Tenure v41'!$D$4:$D$206="CEO"),0),0)),"")</f>
      </c>
      <c r="AH31" s="71" t="str">
        <f>IF(D31=0,"NO_ROSTER",IF(W31=D31,"FULL_EXACT",IF(W31&gt;0,"PARTIAL_EXACT","NO_EXACT")))</f>
        <v>NO_ROSTER</v>
      </c>
      <c r="AI31" s="71">
        <f>IF(COUNTIFS('BR Tenure v41'!$B$4:$B$206,B31,'BR Tenure v41'!$D$4:$D$206,"MEMBER",'BR Tenure v41'!$U$4:$U$206,"&gt;=0")=0,"",AVERAGEIFS('BR Tenure v41'!$U$4:$U$206,'BR Tenure v41'!$B$4:$B$206,B31,'BR Tenure v41'!$D$4:$D$206,"MEMBER",'BR Tenure v41'!$U$4:$U$206,"&gt;=0"))</f>
      </c>
      <c r="AJ31" s="71">
        <f>COUNTIFS('BR Tenure v41'!$B$4:$B$206,B31,'BR Tenure v41'!$D$4:$D$206,"MEMBER",'BR Tenure v41'!$U$4:$U$206,"&gt;=0")</f>
        <v>0</v>
      </c>
    </row>
    <row r="32" ht="29" customHeight="1" s="76">
      <c r="A32" s="70" t="inlineStr">
        <is>
          <t>F29</t>
        </is>
      </c>
      <c r="B32" s="70" t="inlineStr">
        <is>
          <t>حکشتی</t>
        </is>
      </c>
      <c r="C32" s="70" t="inlineStr">
        <is>
          <t>1404/03/31</t>
        </is>
      </c>
      <c r="D32" s="70" t="n">
        <v>5</v>
      </c>
      <c r="E32" s="70" t="inlineStr">
        <is>
          <t>مستند نشد</t>
        </is>
      </c>
      <c r="F32" s="70" t="inlineStr">
        <is>
          <t>نامشخص</t>
        </is>
      </c>
      <c r="G32" s="70" t="inlineStr">
        <is>
          <t>مادر تخصصی بازرگانی دولتی ایران</t>
        </is>
      </c>
      <c r="H32" s="70" t="n">
        <v>0</v>
      </c>
      <c r="I32" s="70">
        <f>COUNTIFS('BR Independence v41'!$B$4:$B$148,B32,'BR Independence v41'!$P$4:$P$148,"NOT_INDEPENDENT_DOCUMENTED_EXECUTIVE")</f>
        <v>2</v>
      </c>
      <c r="J32" s="70">
        <f>COUNTIFS('BR Independence v41'!$B$4:$B$148,B32,'BR Independence v41'!$P$4:$P$148,"UNKNOWN")</f>
        <v>3</v>
      </c>
      <c r="K32" s="70">
        <f>COUNTIFS('BR Independence v41'!$B$4:$B$148,B32,'BR Independence v41'!$P$4:$P$148,"CONFLICT_DUTY_STATUS")</f>
        <v>0</v>
      </c>
      <c r="L32" s="70">
        <f>IF(AND(J32=0,K32=0),H32/D32,"")</f>
      </c>
      <c r="M32" s="70">
        <f>IF(H32+I32=0,"",H32/(H32+I32))</f>
        <v>0</v>
      </c>
      <c r="N32" s="70">
        <f>H32/D32</f>
        <v>0</v>
      </c>
      <c r="O32" s="70">
        <f>(D32-I32)/D32</f>
        <v>0.6</v>
      </c>
      <c r="P32" s="70" t="inlineStr">
        <is>
          <t>UNKNOWN</t>
        </is>
      </c>
      <c r="Q32" s="70" t="n">
        <v>0</v>
      </c>
      <c r="R32" s="70" t="n">
        <v>0</v>
      </c>
      <c r="S32" s="70" t="n">
        <v>5</v>
      </c>
      <c r="T32" s="70" t="n">
        <v>0</v>
      </c>
      <c r="U32" s="70" t="n">
        <v>0</v>
      </c>
      <c r="V32" s="70" t="n"/>
      <c r="W32" s="70">
        <f>COUNTIFS('BR Tenure v41'!$B$4:$B$206,B32,'BR Tenure v41'!$D$4:$D$206,"MEMBER",'BR Tenure v41'!$J$4:$J$206,"EXACT")</f>
        <v>0</v>
      </c>
      <c r="X32" s="70">
        <f>COUNTIFS('BR Tenure v41'!$B$4:$B$206,B32,'BR Tenure v41'!$D$4:$D$206,"MEMBER",'BR Tenure v41'!$J$4:$J$206,"INTERVAL")</f>
        <v>0</v>
      </c>
      <c r="Y32" s="70">
        <f>COUNTIFS('BR Tenure v41'!$B$4:$B$206,B32,'BR Tenure v41'!$D$4:$D$206,"MEMBER",'BR Tenure v41'!$J$4:$J$206,"MIN_CONTINUOUS")</f>
        <v>0</v>
      </c>
      <c r="Z32" s="70">
        <f>COUNTIFS('BR Tenure v41'!$B$4:$B$206,B32,'BR Tenure v41'!$D$4:$D$206,"MEMBER",'BR Tenure v41'!$J$4:$J$206,"CONFLICT_MIN")</f>
        <v>0</v>
      </c>
      <c r="AA32" s="70">
        <f>COUNTIFS('BR Tenure v41'!$B$4:$B$206,B32,'BR Tenure v41'!$D$4:$D$206,"MEMBER",'BR Tenure v41'!$J$4:$J$206,"UNKNOWN")</f>
        <v>5</v>
      </c>
      <c r="AB32" s="70">
        <f>IF(W32=0,"",AVERAGEIFS('BR Tenure v41'!$U$4:$U$206,'BR Tenure v41'!$B$4:$B$206,B32,'BR Tenure v41'!$D$4:$D$206,"MEMBER",'BR Tenure v41'!$J$4:$J$206,"EXACT"))</f>
      </c>
      <c r="AC32" s="70">
        <f>IF(W32&lt;2,"",SQRT((SUMIFS('BR Tenure v41'!$V$4:$V$206,'BR Tenure v41'!$B$4:$B$206,B32,'BR Tenure v41'!$D$4:$D$206,"MEMBER",'BR Tenure v41'!$J$4:$J$206,"EXACT")-W32*AB32^2)/(W32-1)))</f>
      </c>
      <c r="AD32" s="70" t="str">
        <f>IFERROR(INDEX('BR Tenure v41'!$J$4:$J$206,MATCH(1,INDEX(('BR Tenure v41'!$B$4:$B$206=B32)*('BR Tenure v41'!$D$4:$D$206="CHAIR"),0),0)),"")</f>
        <v>MIN_CONTINUOUS</v>
      </c>
      <c r="AE32" s="70">
        <f>IFERROR(INDEX('BR Tenure v41'!$U$4:$U$206,MATCH(1,INDEX(('BR Tenure v41'!$B$4:$B$206=B32)*('BR Tenure v41'!$D$4:$D$206="CHAIR"),0),0)),"")</f>
        <v>2.729637234770705</v>
      </c>
      <c r="AF32" s="70" t="str">
        <f>IFERROR(INDEX('BR Tenure v41'!$J$4:$J$206,MATCH(1,INDEX(('BR Tenure v41'!$B$4:$B$206=B32)*('BR Tenure v41'!$D$4:$D$206="CEO"),0),0)),"")</f>
        <v>UNKNOWN</v>
      </c>
      <c r="AG32" s="70">
        <f>IFERROR(INDEX('BR Tenure v41'!$U$4:$U$206,MATCH(1,INDEX(('BR Tenure v41'!$B$4:$B$206=B32)*('BR Tenure v41'!$D$4:$D$206="CEO"),0),0)),"")</f>
      </c>
      <c r="AH32" s="70" t="str">
        <f>IF(D32=0,"NO_ROSTER",IF(W32=D32,"FULL_EXACT",IF(W32&gt;0,"PARTIAL_EXACT","NO_EXACT")))</f>
        <v>NO_EXACT</v>
      </c>
      <c r="AI32" s="70">
        <f>IF(COUNTIFS('BR Tenure v41'!$B$4:$B$206,B32,'BR Tenure v41'!$D$4:$D$206,"MEMBER",'BR Tenure v41'!$U$4:$U$206,"&gt;=0")=0,"",AVERAGEIFS('BR Tenure v41'!$U$4:$U$206,'BR Tenure v41'!$B$4:$B$206,B32,'BR Tenure v41'!$D$4:$D$206,"MEMBER",'BR Tenure v41'!$U$4:$U$206,"&gt;=0"))</f>
      </c>
      <c r="AJ32" s="70">
        <f>COUNTIFS('BR Tenure v41'!$B$4:$B$206,B32,'BR Tenure v41'!$D$4:$D$206,"MEMBER",'BR Tenure v41'!$U$4:$U$206,"&gt;=0")</f>
        <v>0</v>
      </c>
    </row>
    <row r="33" ht="20" customHeight="1" s="76">
      <c r="A33" s="71" t="inlineStr">
        <is>
          <t>F30</t>
        </is>
      </c>
      <c r="B33" s="71" t="inlineStr">
        <is>
          <t>شپدیس</t>
        </is>
      </c>
      <c r="C33" s="71" t="inlineStr">
        <is>
          <t>1404/06/31</t>
        </is>
      </c>
      <c r="D33" s="71" t="n">
        <v>5</v>
      </c>
      <c r="E33" s="71" t="inlineStr">
        <is>
          <t>عبدالرحیم قنبریان</t>
        </is>
      </c>
      <c r="F33" s="71" t="inlineStr">
        <is>
          <t>بله</t>
        </is>
      </c>
      <c r="G33" s="71" t="inlineStr">
        <is>
          <t>هوشنگ گودرزی</t>
        </is>
      </c>
      <c r="H33" s="71" t="n">
        <v>0</v>
      </c>
      <c r="I33" s="71">
        <f>COUNTIFS('BR Independence v41'!$B$4:$B$148,B33,'BR Independence v41'!$P$4:$P$148,"NOT_INDEPENDENT_DOCUMENTED_EXECUTIVE")</f>
        <v>1</v>
      </c>
      <c r="J33" s="71">
        <f>COUNTIFS('BR Independence v41'!$B$4:$B$148,B33,'BR Independence v41'!$P$4:$P$148,"UNKNOWN")</f>
        <v>4</v>
      </c>
      <c r="K33" s="71">
        <f>COUNTIFS('BR Independence v41'!$B$4:$B$148,B33,'BR Independence v41'!$P$4:$P$148,"CONFLICT_DUTY_STATUS")</f>
        <v>0</v>
      </c>
      <c r="L33" s="71">
        <f>IF(AND(J33=0,K33=0),H33/D33,"")</f>
      </c>
      <c r="M33" s="71">
        <f>IF(H33+I33=0,"",H33/(H33+I33))</f>
        <v>0</v>
      </c>
      <c r="N33" s="71">
        <f>H33/D33</f>
        <v>0</v>
      </c>
      <c r="O33" s="71">
        <f>(D33-I33)/D33</f>
        <v>0.8</v>
      </c>
      <c r="P33" s="71" t="inlineStr">
        <is>
          <t>UNKNOWN</t>
        </is>
      </c>
      <c r="Q33" s="71" t="n">
        <v>0</v>
      </c>
      <c r="R33" s="71" t="n">
        <v>0</v>
      </c>
      <c r="S33" s="71" t="n">
        <v>5</v>
      </c>
      <c r="T33" s="71" t="n">
        <v>0</v>
      </c>
      <c r="U33" s="71" t="n">
        <v>0</v>
      </c>
      <c r="V33" s="71" t="n"/>
      <c r="W33" s="71">
        <f>COUNTIFS('BR Tenure v41'!$B$4:$B$206,B33,'BR Tenure v41'!$D$4:$D$206,"MEMBER",'BR Tenure v41'!$J$4:$J$206,"EXACT")</f>
        <v>4</v>
      </c>
      <c r="X33" s="71">
        <f>COUNTIFS('BR Tenure v41'!$B$4:$B$206,B33,'BR Tenure v41'!$D$4:$D$206,"MEMBER",'BR Tenure v41'!$J$4:$J$206,"INTERVAL")</f>
        <v>0</v>
      </c>
      <c r="Y33" s="71">
        <f>COUNTIFS('BR Tenure v41'!$B$4:$B$206,B33,'BR Tenure v41'!$D$4:$D$206,"MEMBER",'BR Tenure v41'!$J$4:$J$206,"MIN_CONTINUOUS")</f>
        <v>0</v>
      </c>
      <c r="Z33" s="71">
        <f>COUNTIFS('BR Tenure v41'!$B$4:$B$206,B33,'BR Tenure v41'!$D$4:$D$206,"MEMBER",'BR Tenure v41'!$J$4:$J$206,"CONFLICT_MIN")</f>
        <v>0</v>
      </c>
      <c r="AA33" s="71">
        <f>COUNTIFS('BR Tenure v41'!$B$4:$B$206,B33,'BR Tenure v41'!$D$4:$D$206,"MEMBER",'BR Tenure v41'!$J$4:$J$206,"UNKNOWN")</f>
        <v>1</v>
      </c>
      <c r="AB33" s="71">
        <f>IF(W33=0,"",AVERAGEIFS('BR Tenure v41'!$U$4:$U$206,'BR Tenure v41'!$B$4:$B$206,B33,'BR Tenure v41'!$D$4:$D$206,"MEMBER",'BR Tenure v41'!$J$4:$J$206,"EXACT"))</f>
        <v>0.5229295003422313</v>
      </c>
      <c r="AC33" s="71">
        <f>IF(W33&lt;2,"",SQRT((SUMIFS('BR Tenure v41'!$V$4:$V$206,'BR Tenure v41'!$B$4:$B$206,B33,'BR Tenure v41'!$D$4:$D$206,"MEMBER",'BR Tenure v41'!$J$4:$J$206,"EXACT")-W33*AB33^2)/(W33-1)))</f>
        <v>0.1423682409308693</v>
      </c>
      <c r="AD33" s="71" t="str">
        <f>IFERROR(INDEX('BR Tenure v41'!$J$4:$J$206,MATCH(1,INDEX(('BR Tenure v41'!$B$4:$B$206=B33)*('BR Tenure v41'!$D$4:$D$206="CHAIR"),0),0)),"")</f>
        <v>EXACT</v>
      </c>
      <c r="AE33" s="71">
        <f>IFERROR(INDEX('BR Tenure v41'!$U$4:$U$206,MATCH(1,INDEX(('BR Tenure v41'!$B$4:$B$206=B33)*('BR Tenure v41'!$D$4:$D$206="CHAIR"),0),0)),"")</f>
        <v>0.5941136208076659</v>
      </c>
      <c r="AF33" s="71" t="str">
        <f>IFERROR(INDEX('BR Tenure v41'!$J$4:$J$206,MATCH(1,INDEX(('BR Tenure v41'!$B$4:$B$206=B33)*('BR Tenure v41'!$D$4:$D$206="CEO"),0),0)),"")</f>
        <v>EXACT</v>
      </c>
      <c r="AG33" s="71">
        <f>IFERROR(INDEX('BR Tenure v41'!$U$4:$U$206,MATCH(1,INDEX(('BR Tenure v41'!$B$4:$B$206=B33)*('BR Tenure v41'!$D$4:$D$206="CEO"),0),0)),"")</f>
        <v>0.5941136208076659</v>
      </c>
      <c r="AH33" s="71" t="str">
        <f>IF(D33=0,"NO_ROSTER",IF(W33=D33,"FULL_EXACT",IF(W33&gt;0,"PARTIAL_EXACT","NO_EXACT")))</f>
        <v>PARTIAL_EXACT</v>
      </c>
      <c r="AI33" s="71">
        <f>IF(COUNTIFS('BR Tenure v41'!$B$4:$B$206,B33,'BR Tenure v41'!$D$4:$D$206,"MEMBER",'BR Tenure v41'!$U$4:$U$206,"&gt;=0")=0,"",AVERAGEIFS('BR Tenure v41'!$U$4:$U$206,'BR Tenure v41'!$B$4:$B$206,B33,'BR Tenure v41'!$D$4:$D$206,"MEMBER",'BR Tenure v41'!$U$4:$U$206,"&gt;=0"))</f>
        <v>0.5229295003422313</v>
      </c>
      <c r="AJ33" s="71">
        <f>COUNTIFS('BR Tenure v41'!$B$4:$B$206,B33,'BR Tenure v41'!$D$4:$D$206,"MEMBER",'BR Tenure v41'!$U$4:$U$206,"&gt;=0")</f>
        <v>4</v>
      </c>
    </row>
  </sheetData>
  <mergeCells count="2">
    <mergeCell ref="A2:AJ2"/>
    <mergeCell ref="A1:AJ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441"/>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6" customWidth="1" style="76" min="1" max="1"/>
    <col width="9" customWidth="1" style="76" min="2" max="2"/>
    <col width="22" customWidth="1" style="76" min="3" max="4"/>
    <col width="40" customWidth="1" style="76" min="5" max="5"/>
    <col width="12" customWidth="1" style="76" min="6" max="6"/>
    <col width="16" customWidth="1" style="76" min="7" max="7"/>
    <col width="40" customWidth="1" style="76" min="8" max="8"/>
    <col width="30" customWidth="1" style="76" min="9" max="9"/>
    <col width="20" customWidth="1" style="76" min="10" max="10"/>
    <col width="30" customWidth="1" style="76" min="11" max="11"/>
  </cols>
  <sheetData>
    <row r="1" ht="30" customHeight="1" s="76">
      <c r="A1" s="88" t="inlineStr">
        <is>
          <t>منابع v41</t>
        </is>
      </c>
    </row>
    <row r="2" ht="22" customHeight="1" s="76">
      <c r="A2" s="85" t="inlineStr">
        <is>
          <t>اطلاعیه‌های ن۴۵ با شماره ردیابی، تاریخ انتشار، آدرس و هش فایل ذخیره‌شده؛ گزارش‌های فعالیت FY1404 با Source_ID آرشیو. خطای دسترسی به معنی منتشر نشدن نیست.</t>
        </is>
      </c>
    </row>
    <row r="3" ht="30" customHeight="1" s="76">
      <c r="A3" s="69" t="inlineStr">
        <is>
          <t>Source_ID</t>
        </is>
      </c>
      <c r="B3" s="69" t="inlineStr">
        <is>
          <t>نماد</t>
        </is>
      </c>
      <c r="C3" s="69" t="inlineStr">
        <is>
          <t>نوع</t>
        </is>
      </c>
      <c r="D3" s="69" t="inlineStr">
        <is>
          <t>Source_ID آرشیو</t>
        </is>
      </c>
      <c r="E3" s="69" t="inlineStr">
        <is>
          <t>عنوان</t>
        </is>
      </c>
      <c r="F3" s="69" t="inlineStr">
        <is>
          <t>شماره ردیابی</t>
        </is>
      </c>
      <c r="G3" s="69" t="inlineStr">
        <is>
          <t>تاریخ انتشار</t>
        </is>
      </c>
      <c r="H3" s="69" t="inlineStr">
        <is>
          <t>URL</t>
        </is>
      </c>
      <c r="I3" s="69" t="inlineStr">
        <is>
          <t>نقش</t>
        </is>
      </c>
      <c r="J3" s="69" t="inlineStr">
        <is>
          <t>sha256</t>
        </is>
      </c>
      <c r="K3" s="69" t="inlineStr">
        <is>
          <t>فایل محلی</t>
        </is>
      </c>
    </row>
    <row r="4" ht="43.5" customHeight="1" s="76">
      <c r="A4" s="70" t="inlineStr">
        <is>
          <t>SRC_F01_FY1404</t>
        </is>
      </c>
      <c r="B4" s="70" t="inlineStr">
        <is>
          <t>فملی</t>
        </is>
      </c>
      <c r="C4" s="70" t="inlineStr">
        <is>
          <t>گزارش فعالیت هیئت مدیره FY1404</t>
        </is>
      </c>
      <c r="D4" s="70" t="inlineStr">
        <is>
          <t>SRC_FMLI_1404_001</t>
        </is>
      </c>
      <c r="E4" s="70" t="inlineStr">
        <is>
          <t>گزارش فعالیت هیئت مدیره دوره ۱۲ ماهه منتهی به  ۱۴۰۴/۱۲/۲۹</t>
        </is>
      </c>
      <c r="F4" s="70" t="inlineStr">
        <is>
          <t>1566308</t>
        </is>
      </c>
      <c r="G4" s="70" t="inlineStr">
        <is>
          <t>1405/04/21 16:30</t>
        </is>
      </c>
      <c r="H4" s="70" t="inlineStr">
        <is>
          <t>https://www.codal.ir/Reports/Attachment.aspx?LetterSerial=qFAlYPrWWU4mR2wbOXOOObOOOsiA%3d%3d</t>
        </is>
      </c>
      <c r="I4" s="70" t="inlineStr">
        <is>
          <t>استفاده برای ستون تاریخ عضویت و عضویت همزمان</t>
        </is>
      </c>
      <c r="J4" s="70" t="n"/>
      <c r="K4" s="70" t="n"/>
    </row>
    <row r="5" ht="43.5" customHeight="1" s="76">
      <c r="A5" s="71" t="inlineStr">
        <is>
          <t>SRC_F02_FY1404</t>
        </is>
      </c>
      <c r="B5" s="71" t="inlineStr">
        <is>
          <t>تاپیکو</t>
        </is>
      </c>
      <c r="C5" s="71" t="inlineStr">
        <is>
          <t>گزارش فعالیت هیئت مدیره FY1404</t>
        </is>
      </c>
      <c r="D5" s="71" t="inlineStr">
        <is>
          <t>SRC_TPIK_1404_002</t>
        </is>
      </c>
      <c r="E5" s="71" t="inlineStr">
        <is>
          <t>گزارش فعالیت هیئت مدیره دوره ۱۲ ماهه منتهی به  ۱۴۰۴/۰۲/۳۱</t>
        </is>
      </c>
      <c r="F5" s="71" t="inlineStr">
        <is>
          <t>1394922</t>
        </is>
      </c>
      <c r="G5" s="71" t="inlineStr">
        <is>
          <t>1404/06/25 20:05</t>
        </is>
      </c>
      <c r="H5" s="71" t="inlineStr">
        <is>
          <t>https://www.codal.ir/Reports/Attachment.aspx?LetterSerial=BuFOOObOOOo6jufQQQaQQQ5kvXlvOOObOOOry5cw%3d%3d</t>
        </is>
      </c>
      <c r="I5" s="71" t="inlineStr">
        <is>
          <t>استفاده برای ستون تاریخ عضویت و عضویت همزمان</t>
        </is>
      </c>
      <c r="J5" s="71" t="n"/>
      <c r="K5" s="71" t="n"/>
    </row>
    <row r="6" ht="43.5" customHeight="1" s="76">
      <c r="A6" s="70" t="inlineStr">
        <is>
          <t>SRC_F03_FY1404</t>
        </is>
      </c>
      <c r="B6" s="70" t="inlineStr">
        <is>
          <t>فارس</t>
        </is>
      </c>
      <c r="C6" s="70" t="inlineStr">
        <is>
          <t>گزارش فعالیت هیئت مدیره FY1404</t>
        </is>
      </c>
      <c r="D6" s="70" t="inlineStr">
        <is>
          <t>SRC_FARS_1404_001</t>
        </is>
      </c>
      <c r="E6" s="70" t="inlineStr">
        <is>
          <t>گزارش فعالیت هیئت مدیره دوره ۱۲ ماهه منتهی به  ۱۴۰۴/۰۳/۳۱</t>
        </is>
      </c>
      <c r="F6" s="70" t="inlineStr">
        <is>
          <t>1416214</t>
        </is>
      </c>
      <c r="G6" s="70" t="inlineStr">
        <is>
          <t>۱۴۰۴/۰۷/۲۳ ۱۹:۴۵:۴۴</t>
        </is>
      </c>
      <c r="H6" s="70" t="inlineStr">
        <is>
          <t>https://www.codal.ir/Reports/Attachment.aspx?LetterSerial=R1q7jKYS7pe0ND5SbFC8MQ%3d%3d</t>
        </is>
      </c>
      <c r="I6" s="70" t="inlineStr">
        <is>
          <t>استفاده برای ستون تاریخ عضویت و عضویت همزمان</t>
        </is>
      </c>
      <c r="J6" s="70" t="n"/>
      <c r="K6" s="70" t="n"/>
    </row>
    <row r="7" ht="29" customHeight="1" s="76">
      <c r="A7" s="71" t="inlineStr">
        <is>
          <t>SRC_F04_FY1404</t>
        </is>
      </c>
      <c r="B7" s="71" t="inlineStr">
        <is>
          <t>خودرو</t>
        </is>
      </c>
      <c r="C7" s="71" t="inlineStr">
        <is>
          <t>گزارش فعالیت هیئت مدیره FY1404</t>
        </is>
      </c>
      <c r="D7" s="71" t="inlineStr">
        <is>
          <t>SRC_IKCO_1404_001</t>
        </is>
      </c>
      <c r="E7" s="71" t="inlineStr">
        <is>
          <t>گزارش فعالیت هیئت مدیره دوره ۱۲ ماهه منتهی به ۱۴۰۴/۱۲/۲۹</t>
        </is>
      </c>
      <c r="F7" s="71" t="inlineStr">
        <is>
          <t>1573022</t>
        </is>
      </c>
      <c r="G7" s="71" t="inlineStr">
        <is>
          <t>1405/04/31 05:59</t>
        </is>
      </c>
      <c r="H7" s="71" t="inlineStr">
        <is>
          <t>https://www.codal.ir/Reports/Attachment.aspx?LetterSerial=HuJldWYU6bC4YAxgWhJwLA%3d%3d</t>
        </is>
      </c>
      <c r="I7" s="71" t="inlineStr">
        <is>
          <t>استفاده برای ستون تاریخ عضویت و عضویت همزمان</t>
        </is>
      </c>
      <c r="J7" s="71" t="n"/>
      <c r="K7" s="71" t="n"/>
    </row>
    <row r="8" ht="43.5" customHeight="1" s="76">
      <c r="A8" s="70" t="inlineStr">
        <is>
          <t>SRC_F05_FY1404</t>
        </is>
      </c>
      <c r="B8" s="70" t="inlineStr">
        <is>
          <t>زاگرس</t>
        </is>
      </c>
      <c r="C8" s="70" t="inlineStr">
        <is>
          <t>گزارش فعالیت هیئت مدیره FY1404</t>
        </is>
      </c>
      <c r="D8" s="70" t="inlineStr">
        <is>
          <t>SRC_ZGRS_1404_001</t>
        </is>
      </c>
      <c r="E8" s="70" t="inlineStr">
        <is>
          <t>گزارش فعالیت هیئت مدیره دوره ۱۲ ماهه منتهی به  ۱۴۰۴/۱۲/۲۹</t>
        </is>
      </c>
      <c r="F8" s="70" t="inlineStr">
        <is>
          <t>1565632</t>
        </is>
      </c>
      <c r="G8" s="70" t="inlineStr">
        <is>
          <t>1405/04/21 14:07</t>
        </is>
      </c>
      <c r="H8" s="70" t="inlineStr">
        <is>
          <t>https://www.codal.ir/Reports/Attachment.aspx?LetterSerial=zY6COOObOOOcgr0C4s0ZIhRMGryg%3d%3d</t>
        </is>
      </c>
      <c r="I8" s="70" t="inlineStr">
        <is>
          <t>استفاده برای ستون تاریخ عضویت و عضویت همزمان</t>
        </is>
      </c>
      <c r="J8" s="70" t="n"/>
      <c r="K8" s="70" t="n"/>
    </row>
    <row r="9" ht="43.5" customHeight="1" s="76">
      <c r="A9" s="71" t="inlineStr">
        <is>
          <t>SRC_F06_FY1404</t>
        </is>
      </c>
      <c r="B9" s="71" t="inlineStr">
        <is>
          <t>شبندر</t>
        </is>
      </c>
      <c r="C9" s="71" t="inlineStr">
        <is>
          <t>گزارش فعالیت هیئت مدیره FY1404</t>
        </is>
      </c>
      <c r="D9" s="71" t="inlineStr">
        <is>
          <t>SRC_SHBN_1404_001</t>
        </is>
      </c>
      <c r="E9" s="71" t="inlineStr">
        <is>
          <t>گزارش فعالیت هیئت مدیره دوره ۱۲ ماهه منتهی به  ۱۴۰۴/۱۲/۲۹</t>
        </is>
      </c>
      <c r="F9" s="71" t="inlineStr">
        <is>
          <t>1564208</t>
        </is>
      </c>
      <c r="G9" s="71" t="inlineStr">
        <is>
          <t>1405/04/24 18:34</t>
        </is>
      </c>
      <c r="H9" s="71" t="inlineStr">
        <is>
          <t>https://www.codal.ir/Reports/Attachment.aspx?LetterSerial=N3GCfd3RcquN31sqdSRQQQaQQQug%3d%3d</t>
        </is>
      </c>
      <c r="I9" s="71" t="inlineStr">
        <is>
          <t>جدول هیئت مدیره یافت نشد یا قدیمی/فاقد فیلد؛ فقط یادداشت</t>
        </is>
      </c>
      <c r="J9" s="71" t="n"/>
      <c r="K9" s="71" t="n"/>
    </row>
    <row r="10" ht="43.5" customHeight="1" s="76">
      <c r="A10" s="70" t="inlineStr">
        <is>
          <t>SRC_F07_FY1404</t>
        </is>
      </c>
      <c r="B10" s="70" t="inlineStr">
        <is>
          <t>پارس</t>
        </is>
      </c>
      <c r="C10" s="70" t="inlineStr">
        <is>
          <t>گزارش فعالیت هیئت مدیره FY1404</t>
        </is>
      </c>
      <c r="D10" s="70" t="inlineStr">
        <is>
          <t>SRC_PARS_1404_001</t>
        </is>
      </c>
      <c r="E10" s="70" t="inlineStr">
        <is>
          <t>گزارش فعالیت هیئت مدیره دوره ۱۲ ماهه منتهی به  ۱۴۰۴/۱۲/۲۹</t>
        </is>
      </c>
      <c r="F10" s="70" t="inlineStr">
        <is>
          <t>1559697</t>
        </is>
      </c>
      <c r="G10" s="70" t="inlineStr">
        <is>
          <t>1405/04/09 16:05</t>
        </is>
      </c>
      <c r="H10" s="70" t="inlineStr">
        <is>
          <t>https://www.codal.ir/Reports/Attachment.aspx?LetterSerial=cdWaWGqftXF7vQrdXi5MJw%3d%3d</t>
        </is>
      </c>
      <c r="I10" s="70" t="inlineStr">
        <is>
          <t>جدول هیئت مدیره یافت نشد یا قدیمی/فاقد فیلد؛ فقط یادداشت</t>
        </is>
      </c>
      <c r="J10" s="70" t="n"/>
      <c r="K10" s="70" t="n"/>
    </row>
    <row r="11" ht="43.5" customHeight="1" s="76">
      <c r="A11" s="71" t="inlineStr">
        <is>
          <t>SRC_F08_FY1404</t>
        </is>
      </c>
      <c r="B11" s="71" t="inlineStr">
        <is>
          <t>شتران</t>
        </is>
      </c>
      <c r="C11" s="71" t="inlineStr">
        <is>
          <t>گزارش فعالیت هیئت مدیره FY1404</t>
        </is>
      </c>
      <c r="D11" s="71" t="inlineStr">
        <is>
          <t>SRC_SHTR_1404_002</t>
        </is>
      </c>
      <c r="E11" s="71" t="inlineStr">
        <is>
          <t>گزارش فعالیت هیئت مدیره دوره ۱۲ ماهه منتهی به  ۱۴۰۴/۱۲/۲۹</t>
        </is>
      </c>
      <c r="F11" s="71" t="inlineStr">
        <is>
          <t>1575311</t>
        </is>
      </c>
      <c r="G11" s="71" t="inlineStr">
        <is>
          <t>۱۴۰۵/۰۵/۰۳ ۱۷:۴۹:۰۵</t>
        </is>
      </c>
      <c r="H11" s="71" t="inlineStr">
        <is>
          <t>https://www.codal.ir/Reports/Attachment.aspx?LetterSerial=F0veQQQaQQQX4tai7nAftHYyrDhg%3d%3d</t>
        </is>
      </c>
      <c r="I11" s="71" t="inlineStr">
        <is>
          <t>استفاده برای ستون تاریخ عضویت و عضویت همزمان</t>
        </is>
      </c>
      <c r="J11" s="71" t="n"/>
      <c r="K11" s="71" t="n"/>
    </row>
    <row r="12" ht="29" customHeight="1" s="76">
      <c r="A12" s="70" t="inlineStr">
        <is>
          <t>SRC_F09_FY1404</t>
        </is>
      </c>
      <c r="B12" s="70" t="inlineStr">
        <is>
          <t>وتجارت</t>
        </is>
      </c>
      <c r="C12" s="70" t="inlineStr">
        <is>
          <t>گزارش فعالیت هیئت مدیره FY1404</t>
        </is>
      </c>
      <c r="D12" s="70" t="inlineStr">
        <is>
          <t>SRC_VTEJ_1404_001</t>
        </is>
      </c>
      <c r="E12" s="70" t="n"/>
      <c r="F12" s="70" t="n"/>
      <c r="G12" s="70" t="n"/>
      <c r="H12" s="70" t="n"/>
      <c r="I12" s="70" t="inlineStr">
        <is>
          <t>استفاده برای ستون تاریخ عضویت و عضویت همزمان</t>
        </is>
      </c>
      <c r="J12" s="70" t="n"/>
      <c r="K12" s="70" t="n"/>
    </row>
    <row r="13" ht="43.5" customHeight="1" s="76">
      <c r="A13" s="71" t="inlineStr">
        <is>
          <t>SRC_F10_FY1404</t>
        </is>
      </c>
      <c r="B13" s="71" t="inlineStr">
        <is>
          <t>رمپنا</t>
        </is>
      </c>
      <c r="C13" s="71" t="inlineStr">
        <is>
          <t>گزارش فعالیت هیئت مدیره FY1404</t>
        </is>
      </c>
      <c r="D13" s="71" t="inlineStr">
        <is>
          <t>SRC_RMPN_1404_002</t>
        </is>
      </c>
      <c r="E13" s="71" t="inlineStr">
        <is>
          <t>گزارش فعالیت هیئت مدیره دوره ۱۲ ماهه منتهی به  ۱۴۰۴/۱۲/۲۹</t>
        </is>
      </c>
      <c r="F13" s="71" t="inlineStr">
        <is>
          <t>1563170</t>
        </is>
      </c>
      <c r="G13" s="71" t="inlineStr">
        <is>
          <t>1405/04/21 12:33</t>
        </is>
      </c>
      <c r="H13" s="71" t="inlineStr">
        <is>
          <t>https://www.codal.ir/Reports/Attachment.aspx?LetterSerial=8qAfr9YYyvle7McPhxI7uw%3d%3d</t>
        </is>
      </c>
      <c r="I13" s="71" t="inlineStr">
        <is>
          <t>جدول هیئت مدیره یافت نشد یا قدیمی/فاقد فیلد؛ فقط یادداشت</t>
        </is>
      </c>
      <c r="J13" s="71" t="n"/>
      <c r="K13" s="71" t="n"/>
    </row>
    <row r="14" ht="43.5" customHeight="1" s="76">
      <c r="A14" s="70" t="inlineStr">
        <is>
          <t>SRC_F11_FY1404</t>
        </is>
      </c>
      <c r="B14" s="70" t="inlineStr">
        <is>
          <t>فخوز</t>
        </is>
      </c>
      <c r="C14" s="70" t="inlineStr">
        <is>
          <t>گزارش فعالیت هیئت مدیره FY1404</t>
        </is>
      </c>
      <c r="D14" s="70" t="inlineStr">
        <is>
          <t>SRC_FKHZ_1404_001</t>
        </is>
      </c>
      <c r="E14" s="70" t="inlineStr">
        <is>
          <t>گزارش فعالیت هیئت مدیره دوره ۱۲ ماهه منتهی به  ۱۴۰۴/۱۲/۲۹</t>
        </is>
      </c>
      <c r="F14" s="70" t="inlineStr">
        <is>
          <t>1585806</t>
        </is>
      </c>
      <c r="G14" s="70" t="inlineStr">
        <is>
          <t>1405/05/26 19:59</t>
        </is>
      </c>
      <c r="H14" s="70" t="inlineStr">
        <is>
          <t>https://www.codal.ir/Reports/Attachment.aspx?LetterSerial=5ZWyvKDK0MJDzka9EiaU0g%3d%3d</t>
        </is>
      </c>
      <c r="I14" s="70" t="inlineStr">
        <is>
          <t>استفاده برای ستون تاریخ عضویت و عضویت همزمان</t>
        </is>
      </c>
      <c r="J14" s="70" t="n"/>
      <c r="K14" s="70" t="n"/>
    </row>
    <row r="15" ht="43.5" customHeight="1" s="76">
      <c r="A15" s="71" t="inlineStr">
        <is>
          <t>SRC_F12_FY1404</t>
        </is>
      </c>
      <c r="B15" s="71" t="inlineStr">
        <is>
          <t>شستا</t>
        </is>
      </c>
      <c r="C15" s="71" t="inlineStr">
        <is>
          <t>گزارش فعالیت هیئت مدیره FY1404</t>
        </is>
      </c>
      <c r="D15" s="71" t="inlineStr">
        <is>
          <t>SRC_SHST_1404_001</t>
        </is>
      </c>
      <c r="E15" s="71" t="inlineStr">
        <is>
          <t>گزارش فعالیت هیئت مدیره دوره ۱۲ ماهه منتهی به  ۱۴۰۴/۰۳/۳۱</t>
        </is>
      </c>
      <c r="F15" s="71" t="inlineStr">
        <is>
          <t>1417590</t>
        </is>
      </c>
      <c r="G15" s="71" t="inlineStr">
        <is>
          <t>۱۴۰۴/۰۷/۲۰ ۱۹:۵۵:۲۵</t>
        </is>
      </c>
      <c r="H15" s="71" t="inlineStr">
        <is>
          <t>https://www.codal.ir/Reports/Attachment.aspx?LetterSerial=TEl3hTcY7RdDCFEpY1ehSg%3d%3d</t>
        </is>
      </c>
      <c r="I15" s="71" t="inlineStr">
        <is>
          <t>استفاده برای ستون تاریخ عضویت و عضویت همزمان</t>
        </is>
      </c>
      <c r="J15" s="71" t="n"/>
      <c r="K15" s="71" t="n"/>
    </row>
    <row r="16" ht="43.5" customHeight="1" s="76">
      <c r="A16" s="70" t="inlineStr">
        <is>
          <t>SRC_F13_FY1404</t>
        </is>
      </c>
      <c r="B16" s="70" t="inlineStr">
        <is>
          <t>شپنا</t>
        </is>
      </c>
      <c r="C16" s="70" t="inlineStr">
        <is>
          <t>گزارش فعالیت هیئت مدیره FY1404</t>
        </is>
      </c>
      <c r="D16" s="70" t="inlineStr">
        <is>
          <t>SRC_SHPN_1404_001</t>
        </is>
      </c>
      <c r="E16" s="70" t="inlineStr">
        <is>
          <t>گزارش فعالیت هیئت مدیره دوره ۱۲ ماهه منتهی به  ۱۴۰۴/۱۲/۲۹</t>
        </is>
      </c>
      <c r="F16" s="70" t="inlineStr">
        <is>
          <t>1565408</t>
        </is>
      </c>
      <c r="G16" s="70" t="inlineStr">
        <is>
          <t>۱۴۰۵/۰۴/۲۱ ۰۹:۱۵:۲۰</t>
        </is>
      </c>
      <c r="H16" s="70" t="inlineStr">
        <is>
          <t>https://www.codal.ir/Reports/Attachment.aspx?LetterSerial=WBnwPdhi1lTe8pRlgN6wYw%3d%3d</t>
        </is>
      </c>
      <c r="I16" s="70" t="inlineStr">
        <is>
          <t>جدول هیئت مدیره یافت نشد یا قدیمی/فاقد فیلد؛ فقط یادداشت</t>
        </is>
      </c>
      <c r="J16" s="70" t="n"/>
      <c r="K16" s="70" t="n"/>
    </row>
    <row r="17" ht="43.5" customHeight="1" s="76">
      <c r="A17" s="71" t="inlineStr">
        <is>
          <t>SRC_F14_FY1404</t>
        </is>
      </c>
      <c r="B17" s="71" t="inlineStr">
        <is>
          <t>وغدیر</t>
        </is>
      </c>
      <c r="C17" s="71" t="inlineStr">
        <is>
          <t>گزارش فعالیت هیئت مدیره FY1404</t>
        </is>
      </c>
      <c r="D17" s="71" t="inlineStr">
        <is>
          <t>SRC_VGHD_1404_001</t>
        </is>
      </c>
      <c r="E17" s="71" t="inlineStr">
        <is>
          <t>گزارش فعالیت هیئت مدیره دوره ۱۲ ماهه منتهی به  ۱۴۰۴/۰۹/۳۰</t>
        </is>
      </c>
      <c r="F17" s="71" t="inlineStr">
        <is>
          <t>1489172</t>
        </is>
      </c>
      <c r="G17" s="71" t="inlineStr">
        <is>
          <t>۱۴۰۴/۱۱/۲۷ ۱۸:۵۶:۲۷</t>
        </is>
      </c>
      <c r="H17" s="71" t="inlineStr">
        <is>
          <t>https://www.codal.ir/Reports/Attachment.aspx?LetterSerial=t59jEJeZqIV2QQQaQQQEqa1HjS8A%3d%3d</t>
        </is>
      </c>
      <c r="I17" s="71" t="inlineStr">
        <is>
          <t>استفاده برای ستون تاریخ عضویت و عضویت همزمان</t>
        </is>
      </c>
      <c r="J17" s="71" t="n"/>
      <c r="K17" s="71" t="n"/>
    </row>
    <row r="18" ht="43.5" customHeight="1" s="76">
      <c r="A18" s="70" t="inlineStr">
        <is>
          <t>SRC_F15_FY1404</t>
        </is>
      </c>
      <c r="B18" s="70" t="inlineStr">
        <is>
          <t>نوری</t>
        </is>
      </c>
      <c r="C18" s="70" t="inlineStr">
        <is>
          <t>گزارش فعالیت هیئت مدیره FY1404</t>
        </is>
      </c>
      <c r="D18" s="70" t="inlineStr">
        <is>
          <t>SRC_NOOR_1404_007</t>
        </is>
      </c>
      <c r="E18" s="70" t="inlineStr">
        <is>
          <t>گزارش فعالیت هیئت مدیره دوره ۱۲ ماهه منتهی به  ۱۴۰۴/۱۲/۲۹</t>
        </is>
      </c>
      <c r="F18" s="70" t="inlineStr">
        <is>
          <t>1561297</t>
        </is>
      </c>
      <c r="G18" s="70" t="inlineStr">
        <is>
          <t>۱۴۰۵/۰۴/۲۰ ۱۱:۲۰:۰۱</t>
        </is>
      </c>
      <c r="H18" s="70" t="inlineStr">
        <is>
          <t>https://www.codal.ir/Reports/Attachment.aspx?LetterSerial=lWuukNFzDitnWL7VD4weCA%3d%3d</t>
        </is>
      </c>
      <c r="I18" s="70" t="inlineStr">
        <is>
          <t>جدول هیئت مدیره یافت نشد یا قدیمی/فاقد فیلد؛ فقط یادداشت</t>
        </is>
      </c>
      <c r="J18" s="70" t="n"/>
      <c r="K18" s="70" t="n"/>
    </row>
    <row r="19" ht="43.5" customHeight="1" s="76">
      <c r="A19" s="71" t="inlineStr">
        <is>
          <t>SRC_F16_FY1404</t>
        </is>
      </c>
      <c r="B19" s="71" t="inlineStr">
        <is>
          <t>فولاد</t>
        </is>
      </c>
      <c r="C19" s="71" t="inlineStr">
        <is>
          <t>گزارش فعالیت هیئت مدیره FY1404</t>
        </is>
      </c>
      <c r="D19" s="71" t="inlineStr">
        <is>
          <t>SRC_FOLD_1404_002</t>
        </is>
      </c>
      <c r="E19" s="71" t="inlineStr">
        <is>
          <t>گزارش فعالیت هیئت مدیره دوره ۱۲ ماهه منتهی به  ۱۴۰۴/۱۲/۲۹</t>
        </is>
      </c>
      <c r="F19" s="71" t="inlineStr">
        <is>
          <t>1579311</t>
        </is>
      </c>
      <c r="G19" s="71" t="inlineStr">
        <is>
          <t>۱۴۰۵/۰۵/۰۹ ۰۹:۴۶:۰۶</t>
        </is>
      </c>
      <c r="H19" s="71" t="inlineStr">
        <is>
          <t>https://www.codal.ir/Reports/Attachment.aspx?LetterSerial=DjTPnm9Pa79X4Gv1Zp8FQQQaQQQQ%3d%3d</t>
        </is>
      </c>
      <c r="I19" s="71" t="inlineStr">
        <is>
          <t>استفاده برای ستون تاریخ عضویت و عضویت همزمان</t>
        </is>
      </c>
      <c r="J19" s="71" t="n"/>
      <c r="K19" s="71" t="n"/>
    </row>
    <row r="20" ht="43.5" customHeight="1" s="76">
      <c r="A20" s="70" t="inlineStr">
        <is>
          <t>SRC_F17_FY1404</t>
        </is>
      </c>
      <c r="B20" s="70" t="inlineStr">
        <is>
          <t>کچاد</t>
        </is>
      </c>
      <c r="C20" s="70" t="inlineStr">
        <is>
          <t>گزارش فعالیت هیئت مدیره FY1404</t>
        </is>
      </c>
      <c r="D20" s="70" t="inlineStr">
        <is>
          <t>SRC_KCHD_1404_001</t>
        </is>
      </c>
      <c r="E20" s="70" t="inlineStr">
        <is>
          <t>گزارش فعالیت هیئت مدیره دوره ۹ ماهه منتهی به  ۱۴۰۴/۰۹/۳۰</t>
        </is>
      </c>
      <c r="F20" s="70" t="inlineStr">
        <is>
          <t>1525630</t>
        </is>
      </c>
      <c r="G20" s="70" t="inlineStr">
        <is>
          <t>۱۴۰۵/۰۲/۲۶ ۱۵:۳۶:۴۹</t>
        </is>
      </c>
      <c r="H20" s="70" t="inlineStr">
        <is>
          <t>https://www.codal.ir/Reports/Attachment.aspx?LetterSerial=DHJOOObOOOqc3jnsfP3yy4jiGz1w%3d%3d</t>
        </is>
      </c>
      <c r="I20" s="70" t="inlineStr">
        <is>
          <t>استفاده برای ستون تاریخ عضویت و عضویت همزمان</t>
        </is>
      </c>
      <c r="J20" s="70" t="n"/>
      <c r="K20" s="70" t="n"/>
    </row>
    <row r="21" ht="43.5" customHeight="1" s="76">
      <c r="A21" s="71" t="inlineStr">
        <is>
          <t>SRC_F18_FY1404</t>
        </is>
      </c>
      <c r="B21" s="71" t="inlineStr">
        <is>
          <t>کگل</t>
        </is>
      </c>
      <c r="C21" s="71" t="inlineStr">
        <is>
          <t>گزارش فعالیت هیئت مدیره FY1404</t>
        </is>
      </c>
      <c r="D21" s="71" t="inlineStr">
        <is>
          <t>SRC_KGOL_1404_001</t>
        </is>
      </c>
      <c r="E21" s="71" t="inlineStr">
        <is>
          <t>گزارش فعالیت هیئت مدیره دوره ۹ ماهه منتهی به  ۱۴۰۴/۰۹/۳۰</t>
        </is>
      </c>
      <c r="F21" s="71" t="inlineStr">
        <is>
          <t>1525656</t>
        </is>
      </c>
      <c r="G21" s="71" t="inlineStr">
        <is>
          <t>۱۴۰۵/۰۲/۲۸ ۱۷:۲۶:۵۰</t>
        </is>
      </c>
      <c r="H21" s="71" t="inlineStr">
        <is>
          <t>https://www.codal.ir/Reports/Attachment.aspx?LetterSerial=GJchxNzFayYlVOX4LPTQQQaQQQJA%3d%3d</t>
        </is>
      </c>
      <c r="I21" s="71" t="inlineStr">
        <is>
          <t>استفاده برای ستون تاریخ عضویت و عضویت همزمان</t>
        </is>
      </c>
      <c r="J21" s="71" t="n"/>
      <c r="K21" s="71" t="n"/>
    </row>
    <row r="22" ht="43.5" customHeight="1" s="76">
      <c r="A22" s="70" t="inlineStr">
        <is>
          <t>SRC_F19_FY1404</t>
        </is>
      </c>
      <c r="B22" s="70" t="inlineStr">
        <is>
          <t>پارسان</t>
        </is>
      </c>
      <c r="C22" s="70" t="inlineStr">
        <is>
          <t>گزارش فعالیت هیئت مدیره FY1404</t>
        </is>
      </c>
      <c r="D22" s="70" t="inlineStr">
        <is>
          <t>SRC_PRSN_1404_007</t>
        </is>
      </c>
      <c r="E22" s="70" t="inlineStr">
        <is>
          <t>گزارش فعالیت هیئت مدیره دوره ۱۲ ماهه منتهی به  ۱۴۰۴/۰۶/۳۱</t>
        </is>
      </c>
      <c r="F22" s="70" t="inlineStr">
        <is>
          <t>1467768</t>
        </is>
      </c>
      <c r="G22" s="70" t="inlineStr">
        <is>
          <t>۱۴۰۴/۱۰/۱۱ ۱۶:۲۸:۰۵</t>
        </is>
      </c>
      <c r="H22" s="70" t="inlineStr">
        <is>
          <t>https://www.codal.ir/Reports/Attachment.aspx?LetterSerial=L6jPydiKkSCQR9kVCKMgkg%3d%3d</t>
        </is>
      </c>
      <c r="I22" s="70" t="inlineStr">
        <is>
          <t>استفاده برای ستون تاریخ عضویت و عضویت همزمان</t>
        </is>
      </c>
      <c r="J22" s="70" t="n"/>
      <c r="K22" s="70" t="n"/>
    </row>
    <row r="23" ht="43.5" customHeight="1" s="76">
      <c r="A23" s="71" t="inlineStr">
        <is>
          <t>SRC_F20_FY1404</t>
        </is>
      </c>
      <c r="B23" s="71" t="inlineStr">
        <is>
          <t>اخابر</t>
        </is>
      </c>
      <c r="C23" s="71" t="inlineStr">
        <is>
          <t>گزارش فعالیت هیئت مدیره FY1404</t>
        </is>
      </c>
      <c r="D23" s="71" t="inlineStr">
        <is>
          <t>SRC_AKHB_1404_001</t>
        </is>
      </c>
      <c r="E23" s="71" t="inlineStr">
        <is>
          <t>گزارش فعالیت هیئت مدیره دوره ۱۲ ماهه منتهی به  ۱۴۰۴/۱۲/۲۹</t>
        </is>
      </c>
      <c r="F23" s="71" t="inlineStr">
        <is>
          <t>1556542</t>
        </is>
      </c>
      <c r="G23" s="71" t="inlineStr">
        <is>
          <t>1405/04/12 17:54</t>
        </is>
      </c>
      <c r="H23" s="71" t="inlineStr">
        <is>
          <t>https://www.codal.ir/Reports/Attachment.aspx?LetterSerial=q3EF5HWBdE3Wa0MdSn8GbQ%3d%3d</t>
        </is>
      </c>
      <c r="I23" s="71" t="inlineStr">
        <is>
          <t>جدول هیئت مدیره یافت نشد یا قدیمی/فاقد فیلد؛ فقط یادداشت</t>
        </is>
      </c>
      <c r="J23" s="71" t="n"/>
      <c r="K23" s="71" t="n"/>
    </row>
    <row r="24" ht="43.5" customHeight="1" s="76">
      <c r="A24" s="70" t="inlineStr">
        <is>
          <t>SRC_F21_FY1404</t>
        </is>
      </c>
      <c r="B24" s="70" t="inlineStr">
        <is>
          <t>جم</t>
        </is>
      </c>
      <c r="C24" s="70" t="inlineStr">
        <is>
          <t>گزارش فعالیت هیئت مدیره FY1404</t>
        </is>
      </c>
      <c r="D24" s="70" t="inlineStr">
        <is>
          <t>SRC_JAM_1404_001</t>
        </is>
      </c>
      <c r="E24" s="70" t="inlineStr">
        <is>
          <t>گزارش فعالیت هیئت مدیره دوره ۱۲ ماهه منتهی به  ۱۴۰۴/۱۲/۲۹</t>
        </is>
      </c>
      <c r="F24" s="70" t="inlineStr">
        <is>
          <t>1564049</t>
        </is>
      </c>
      <c r="G24" s="70" t="inlineStr">
        <is>
          <t>1405/04/18 21:55</t>
        </is>
      </c>
      <c r="H24" s="70" t="inlineStr">
        <is>
          <t>https://www.codal.ir/Reports/Attachment.aspx?LetterSerial=CgOXSpDZ3Vj2G0QQQaQQQHLu6OZQ%3d%3d</t>
        </is>
      </c>
      <c r="I24" s="70" t="inlineStr">
        <is>
          <t>جدول هیئت مدیره یافت نشد یا قدیمی/فاقد فیلد؛ فقط یادداشت</t>
        </is>
      </c>
      <c r="J24" s="70" t="n"/>
      <c r="K24" s="70" t="n"/>
    </row>
    <row r="25" ht="43.5" customHeight="1" s="76">
      <c r="A25" s="71" t="inlineStr">
        <is>
          <t>SRC_F22_FY1404</t>
        </is>
      </c>
      <c r="B25" s="71" t="inlineStr">
        <is>
          <t>ومعادن</t>
        </is>
      </c>
      <c r="C25" s="71" t="inlineStr">
        <is>
          <t>گزارش فعالیت هیئت مدیره FY1404</t>
        </is>
      </c>
      <c r="D25" s="71" t="inlineStr">
        <is>
          <t>SRC_VMDN_1404_001</t>
        </is>
      </c>
      <c r="E25" s="71" t="inlineStr">
        <is>
          <t>گزارش فعالیت هیئت مدیره دوره ۱۲ ماهه منتهی به  ۱۴۰۴/۱۲/۲۹</t>
        </is>
      </c>
      <c r="F25" s="71" t="inlineStr">
        <is>
          <t>1563796</t>
        </is>
      </c>
      <c r="G25" s="71" t="inlineStr">
        <is>
          <t>1405/04/17 21:16</t>
        </is>
      </c>
      <c r="H25" s="71" t="inlineStr">
        <is>
          <t>https://www.codal.ir/Reports/Attachment.aspx?LetterSerial=bRnwYafN0uOG5s7eZOOObOOObCPw%3d%3d</t>
        </is>
      </c>
      <c r="I25" s="71" t="inlineStr">
        <is>
          <t>استفاده برای ستون تاریخ عضویت و عضویت همزمان</t>
        </is>
      </c>
      <c r="J25" s="71" t="n"/>
      <c r="K25" s="71" t="n"/>
    </row>
    <row r="26" ht="43.5" customHeight="1" s="76">
      <c r="A26" s="70" t="inlineStr">
        <is>
          <t>SRC_F23_FY1404</t>
        </is>
      </c>
      <c r="B26" s="70" t="inlineStr">
        <is>
          <t>وامید</t>
        </is>
      </c>
      <c r="C26" s="70" t="inlineStr">
        <is>
          <t>گزارش فعالیت هیئت مدیره FY1404</t>
        </is>
      </c>
      <c r="D26" s="70" t="inlineStr">
        <is>
          <t>SRC_VAMD_1404_001</t>
        </is>
      </c>
      <c r="E26" s="70" t="inlineStr">
        <is>
          <t>گزارش فعالیت هیئت مدیره دوره ۱۲ ماهه منتهی به  ۱۴۰۴/۱۰/۳۰</t>
        </is>
      </c>
      <c r="F26" s="70" t="inlineStr">
        <is>
          <t>1542189</t>
        </is>
      </c>
      <c r="G26" s="70" t="inlineStr">
        <is>
          <t>1405/04/01 14:28</t>
        </is>
      </c>
      <c r="H26" s="70" t="inlineStr">
        <is>
          <t>https://www.codal.ir/Reports/Attachment.aspx?LetterSerial=L3pmVuuRgm42MhLxuM1ElQ%3d%3d</t>
        </is>
      </c>
      <c r="I26" s="70" t="inlineStr">
        <is>
          <t>جدول هیئت مدیره یافت نشد یا قدیمی/فاقد فیلد؛ فقط یادداشت</t>
        </is>
      </c>
      <c r="J26" s="70" t="n"/>
      <c r="K26" s="70" t="n"/>
    </row>
    <row r="27" ht="43.5" customHeight="1" s="76">
      <c r="A27" s="71" t="inlineStr">
        <is>
          <t>SRC_F24_FY1404</t>
        </is>
      </c>
      <c r="B27" s="71" t="inlineStr">
        <is>
          <t>خساپا</t>
        </is>
      </c>
      <c r="C27" s="71" t="inlineStr">
        <is>
          <t>گزارش فعالیت هیئت مدیره FY1404</t>
        </is>
      </c>
      <c r="D27" s="71" t="inlineStr">
        <is>
          <t>SRC_KHSP_1404_001</t>
        </is>
      </c>
      <c r="E27" s="71" t="inlineStr">
        <is>
          <t>گزارش فعالیت هیئت مدیره دوره ۱۲ ماهه منتهی به  ۱۴۰۴/۱۲/۲۹</t>
        </is>
      </c>
      <c r="F27" s="71" t="inlineStr">
        <is>
          <t>1573029</t>
        </is>
      </c>
      <c r="G27" s="71" t="inlineStr">
        <is>
          <t>۱۴۰۵/۰۴/۳۱ ۰۶:۱۸:۳۴</t>
        </is>
      </c>
      <c r="H27" s="71" t="inlineStr">
        <is>
          <t>https://www.codal.ir/Reports/Attachment.aspx?LetterSerial=60kT03yuLOHH5WA9uPOCeA%3d%3d</t>
        </is>
      </c>
      <c r="I27" s="71" t="inlineStr">
        <is>
          <t>جدول هیئت مدیره یافت نشد یا قدیمی/فاقد فیلد؛ فقط یادداشت</t>
        </is>
      </c>
      <c r="J27" s="71" t="n"/>
      <c r="K27" s="71" t="n"/>
    </row>
    <row r="28" ht="43.5" customHeight="1" s="76">
      <c r="A28" s="70" t="inlineStr">
        <is>
          <t>SRC_F25_FY1404</t>
        </is>
      </c>
      <c r="B28" s="70" t="inlineStr">
        <is>
          <t>همراه</t>
        </is>
      </c>
      <c r="C28" s="70" t="inlineStr">
        <is>
          <t>گزارش فعالیت هیئت مدیره FY1404</t>
        </is>
      </c>
      <c r="D28" s="70" t="inlineStr">
        <is>
          <t>SRC_HMRH_1404_001</t>
        </is>
      </c>
      <c r="E28" s="70" t="inlineStr">
        <is>
          <t>گزارش فعالیت هیئت مدیره دوره ۱۲ ماهه منتهی به  ۱۴۰۴/۱۲/۲۹</t>
        </is>
      </c>
      <c r="F28" s="70" t="inlineStr">
        <is>
          <t>1546925</t>
        </is>
      </c>
      <c r="G28" s="70" t="inlineStr">
        <is>
          <t>1405/03/17 22:38</t>
        </is>
      </c>
      <c r="H28" s="70" t="inlineStr">
        <is>
          <t>https://www.codal.ir/Reports/Attachment.aspx?LetterSerial=Ln6R9zsWXNJqeuz97OOObOOOaACw%3d%3d</t>
        </is>
      </c>
      <c r="I28" s="70" t="inlineStr">
        <is>
          <t>استفاده برای ستون تاریخ عضویت و عضویت همزمان</t>
        </is>
      </c>
      <c r="J28" s="70" t="n"/>
      <c r="K28" s="70" t="n"/>
    </row>
    <row r="29" ht="43.5" customHeight="1" s="76">
      <c r="A29" s="71" t="inlineStr">
        <is>
          <t>SRC_F26_FY1404</t>
        </is>
      </c>
      <c r="B29" s="71" t="inlineStr">
        <is>
          <t>وبملت</t>
        </is>
      </c>
      <c r="C29" s="71" t="inlineStr">
        <is>
          <t>گزارش فعالیت هیئت مدیره FY1404</t>
        </is>
      </c>
      <c r="D29" s="71" t="inlineStr">
        <is>
          <t>SRC_MELT_1404_002</t>
        </is>
      </c>
      <c r="E29" s="71" t="inlineStr">
        <is>
          <t>گزارش فعالیت هیئت مدیره دوره ۱۲ ماهه منتهی به  ۱۴۰۴/۱۲/۲۹</t>
        </is>
      </c>
      <c r="F29" s="71" t="inlineStr">
        <is>
          <t>1572964</t>
        </is>
      </c>
      <c r="G29" s="71" t="inlineStr">
        <is>
          <t>1405/04/31 04:04</t>
        </is>
      </c>
      <c r="H29" s="71" t="inlineStr">
        <is>
          <t>https://www.codal.ir/Reports/Attachment.aspx?LetterSerial=THFdwqreiTgzbTNvC0gJkg%3d%3d</t>
        </is>
      </c>
      <c r="I29" s="71" t="inlineStr">
        <is>
          <t>جدول هیئت مدیره یافت نشد یا قدیمی/فاقد فیلد؛ فقط یادداشت</t>
        </is>
      </c>
      <c r="J29" s="71" t="n"/>
      <c r="K29" s="71" t="n"/>
    </row>
    <row r="30" ht="43.5" customHeight="1" s="76">
      <c r="A30" s="70" t="inlineStr">
        <is>
          <t>SRC_F27_FY1404</t>
        </is>
      </c>
      <c r="B30" s="70" t="inlineStr">
        <is>
          <t>وبصادر</t>
        </is>
      </c>
      <c r="C30" s="70" t="inlineStr">
        <is>
          <t>گزارش فعالیت هیئت مدیره FY1404</t>
        </is>
      </c>
      <c r="D30" s="70" t="inlineStr">
        <is>
          <t>SRC_VBSD_1404_001</t>
        </is>
      </c>
      <c r="E30" s="70" t="inlineStr">
        <is>
          <t>گزارش فعالیت هیئت مدیره دوره ۱۲ ماهه منتهی به  ۱۴۰۴/۱۲/۲۹</t>
        </is>
      </c>
      <c r="F30" s="70" t="inlineStr">
        <is>
          <t>1573026</t>
        </is>
      </c>
      <c r="G30" s="70" t="inlineStr">
        <is>
          <t>1405/04/31 10:58</t>
        </is>
      </c>
      <c r="H30" s="70" t="inlineStr">
        <is>
          <t>https://www.codal.ir/Reports/Attachment.aspx?LetterSerial=p0cfFj1rDsXiFZsu35tCWw%3d%3d</t>
        </is>
      </c>
      <c r="I30" s="70" t="inlineStr">
        <is>
          <t>استفاده برای ستون تاریخ عضویت و عضویت همزمان</t>
        </is>
      </c>
      <c r="J30" s="70" t="n"/>
      <c r="K30" s="70" t="n"/>
    </row>
    <row r="31" ht="29" customHeight="1" s="76">
      <c r="A31" s="71" t="inlineStr">
        <is>
          <t>SRC_F28_FY1404</t>
        </is>
      </c>
      <c r="B31" s="71" t="inlineStr">
        <is>
          <t>وپاسار</t>
        </is>
      </c>
      <c r="C31" s="71" t="inlineStr">
        <is>
          <t>گزارش فعالیت هیئت مدیره FY1404</t>
        </is>
      </c>
      <c r="D31" s="71" t="inlineStr">
        <is>
          <t>ندارد</t>
        </is>
      </c>
      <c r="E31" s="71" t="n"/>
      <c r="F31" s="71" t="n"/>
      <c r="G31" s="71" t="n"/>
      <c r="H31" s="71" t="n"/>
      <c r="I31" s="71" t="inlineStr">
        <is>
          <t>جدول هیئت مدیره یافت نشد یا قدیمی/فاقد فیلد؛ فقط یادداشت</t>
        </is>
      </c>
      <c r="J31" s="71" t="n"/>
      <c r="K31" s="71" t="n"/>
    </row>
    <row r="32" ht="43.5" customHeight="1" s="76">
      <c r="A32" s="70" t="inlineStr">
        <is>
          <t>SRC_F29_FY1404</t>
        </is>
      </c>
      <c r="B32" s="70" t="inlineStr">
        <is>
          <t>حکشتی</t>
        </is>
      </c>
      <c r="C32" s="70" t="inlineStr">
        <is>
          <t>گزارش فعالیت هیئت مدیره FY1404</t>
        </is>
      </c>
      <c r="D32" s="70" t="inlineStr">
        <is>
          <t>SRC_HKSH_1404_002</t>
        </is>
      </c>
      <c r="E32" s="70" t="inlineStr">
        <is>
          <t>گزارش فعالیت هیئت مدیره دوره ۱۲ ماهه منتهی به  ۱۴۰۴/۰۳/۳۱</t>
        </is>
      </c>
      <c r="F32" s="70" t="inlineStr">
        <is>
          <t>1413901</t>
        </is>
      </c>
      <c r="G32" s="70" t="inlineStr">
        <is>
          <t>1404/07/09 18:40</t>
        </is>
      </c>
      <c r="H32" s="70" t="inlineStr">
        <is>
          <t>https://www.codal.ir/Reports/Attachment.aspx?LetterSerial=3QQQaQQQITPSQQQaQQQ3dbYPQY9zB0bgKA%3d%3d</t>
        </is>
      </c>
      <c r="I32" s="70" t="inlineStr">
        <is>
          <t>جدول هیئت مدیره یافت نشد یا قدیمی/فاقد فیلد؛ فقط یادداشت</t>
        </is>
      </c>
      <c r="J32" s="70" t="n"/>
      <c r="K32" s="70" t="n"/>
    </row>
    <row r="33" ht="43.5" customHeight="1" s="76">
      <c r="A33" s="71" t="inlineStr">
        <is>
          <t>SRC_F30_FY1404</t>
        </is>
      </c>
      <c r="B33" s="71" t="inlineStr">
        <is>
          <t>شپدیس</t>
        </is>
      </c>
      <c r="C33" s="71" t="inlineStr">
        <is>
          <t>گزارش فعالیت هیئت مدیره FY1404</t>
        </is>
      </c>
      <c r="D33" s="71" t="inlineStr">
        <is>
          <t>SRC_SHPD_1404_001</t>
        </is>
      </c>
      <c r="E33" s="71" t="inlineStr">
        <is>
          <t>گزارش فعالیت هیئت مدیره دوره ۱۲ ماهه منتهی به  ۱۴۰۴/۰۶/۳۱</t>
        </is>
      </c>
      <c r="F33" s="71" t="inlineStr">
        <is>
          <t>1454478</t>
        </is>
      </c>
      <c r="G33" s="71" t="inlineStr">
        <is>
          <t>1404/09/19 14:48</t>
        </is>
      </c>
      <c r="H33" s="71" t="inlineStr">
        <is>
          <t>https://www.codal.ir/Reports/Attachment.aspx?LetterSerial=t1tQQQaQQQcNvwpPS9GfIrOV6OOObOOOiQ%3d%3d</t>
        </is>
      </c>
      <c r="I33" s="71" t="inlineStr">
        <is>
          <t>استفاده برای ستون تاریخ عضویت و عضویت همزمان</t>
        </is>
      </c>
      <c r="J33" s="71" t="n"/>
      <c r="K33" s="71" t="n"/>
    </row>
    <row r="34" ht="58" customHeight="1" s="76">
      <c r="A34" s="70" t="inlineStr">
        <is>
          <t>T19_967358</t>
        </is>
      </c>
      <c r="B34" s="70" t="inlineStr">
        <is>
          <t>فملی</t>
        </is>
      </c>
      <c r="C34" s="70" t="inlineStr">
        <is>
          <t>اطلاعیه ن۴۵ (Type19)</t>
        </is>
      </c>
      <c r="D34" s="70" t="n"/>
      <c r="E34" s="70" t="inlineStr">
        <is>
          <t>معرفی /تغییر در ترکیب اعضای هیئت مدیره/مدیر عامل</t>
        </is>
      </c>
      <c r="F34" s="70" t="n">
        <v>967358</v>
      </c>
      <c r="G34" s="70" t="inlineStr">
        <is>
          <t>1401/09/14 14:48</t>
        </is>
      </c>
      <c r="H34" s="70" t="inlineStr">
        <is>
          <t>https://www.codal.ir/Reports/Decision.aspx?LetterSerial=%2bs9TQpAfxjEQ9CdrPc%2bBPw%3d%3d&amp;rt=0&amp;let=19&amp;ct=0&amp;ft=-1</t>
        </is>
      </c>
      <c r="I34" s="70" t="inlineStr">
        <is>
          <t>زنجیره زمانی</t>
        </is>
      </c>
      <c r="J34" s="70" t="inlineStr">
        <is>
          <t>11bc96ad4acd68ae90ce26b66f2ea02be01390265d1e790a62ad588abbca817f</t>
        </is>
      </c>
      <c r="K34" s="70" t="inlineStr">
        <is>
          <t>sources/codal/فملی/v38_type19/T967358.html</t>
        </is>
      </c>
    </row>
    <row r="35" ht="58" customHeight="1" s="76">
      <c r="A35" s="71" t="inlineStr">
        <is>
          <t>T19_971762</t>
        </is>
      </c>
      <c r="B35" s="71" t="inlineStr">
        <is>
          <t>فملی</t>
        </is>
      </c>
      <c r="C35" s="71" t="inlineStr">
        <is>
          <t>اطلاعیه ن۴۵ (Type19)</t>
        </is>
      </c>
      <c r="D35" s="71" t="n"/>
      <c r="E35" s="71" t="inlineStr">
        <is>
          <t>معرفی /تغییر در ترکیب اعضای هیئت مدیره/مدیر عامل</t>
        </is>
      </c>
      <c r="F35" s="71" t="n">
        <v>971762</v>
      </c>
      <c r="G35" s="71" t="inlineStr">
        <is>
          <t>1401/09/26 11:23</t>
        </is>
      </c>
      <c r="H35" s="71" t="inlineStr">
        <is>
          <t>https://www.codal.ir/Reports/Decision.aspx?LetterSerial=0qhejM74jo1TLtqNX4rp1Q%3d%3d&amp;rt=0&amp;let=19&amp;ct=0&amp;ft=-1</t>
        </is>
      </c>
      <c r="I35" s="71" t="inlineStr">
        <is>
          <t>زنجیره زمانی</t>
        </is>
      </c>
      <c r="J35" s="71" t="inlineStr">
        <is>
          <t>8a3ba9604378b82f37314cacce4d9a0dc3bc9057f89472a5eb7746da71322f45</t>
        </is>
      </c>
      <c r="K35" s="71" t="inlineStr">
        <is>
          <t>sources/codal/فملی/v38_type19/T971762.html</t>
        </is>
      </c>
    </row>
    <row r="36" ht="58" customHeight="1" s="76">
      <c r="A36" s="70" t="inlineStr">
        <is>
          <t>T19_991640</t>
        </is>
      </c>
      <c r="B36" s="70" t="inlineStr">
        <is>
          <t>فملی</t>
        </is>
      </c>
      <c r="C36" s="70" t="inlineStr">
        <is>
          <t>اطلاعیه ن۴۵ (Type19)</t>
        </is>
      </c>
      <c r="D36" s="70" t="n"/>
      <c r="E36" s="70" t="inlineStr">
        <is>
          <t>معرفی /تغییر در ترکیب اعضای هیئت مدیره/مدیر عامل</t>
        </is>
      </c>
      <c r="F36" s="70" t="n">
        <v>991640</v>
      </c>
      <c r="G36" s="70" t="inlineStr">
        <is>
          <t>1401/11/18 10:19</t>
        </is>
      </c>
      <c r="H36" s="70" t="inlineStr">
        <is>
          <t>https://www.codal.ir/Reports/Decision.aspx?LetterSerial=%2bIasXAfhrw5fd08jRr5O3A%3d%3d&amp;rt=0&amp;let=19&amp;ct=0&amp;ft=-1</t>
        </is>
      </c>
      <c r="I36" s="70" t="inlineStr">
        <is>
          <t>زنجیره زمانی</t>
        </is>
      </c>
      <c r="J36" s="70" t="inlineStr">
        <is>
          <t>4fcc99e8755d0eda686cfb80433b900b29342b2ebe1d91f0b18e8080037413e9</t>
        </is>
      </c>
      <c r="K36" s="70" t="inlineStr">
        <is>
          <t>sources/codal/فملی/v38_type19/T991640.html</t>
        </is>
      </c>
    </row>
    <row r="37" ht="58" customHeight="1" s="76">
      <c r="A37" s="71" t="inlineStr">
        <is>
          <t>T19_1065401</t>
        </is>
      </c>
      <c r="B37" s="71" t="inlineStr">
        <is>
          <t>فملی</t>
        </is>
      </c>
      <c r="C37" s="71" t="inlineStr">
        <is>
          <t>اطلاعیه ن۴۵ (Type19)</t>
        </is>
      </c>
      <c r="D37" s="71" t="n"/>
      <c r="E37" s="71" t="inlineStr">
        <is>
          <t>معرفی /تغییر در ترکیب اعضای هیئت مدیره/مدیر عامل</t>
        </is>
      </c>
      <c r="F37" s="71" t="n">
        <v>1065401</v>
      </c>
      <c r="G37" s="71" t="inlineStr">
        <is>
          <t>1402/05/08 08:11</t>
        </is>
      </c>
      <c r="H37" s="71" t="inlineStr">
        <is>
          <t>https://www.codal.ir/Reports/Decision.aspx?LetterSerial=zCQeEG4p2toK3eZnC8hvaw%3d%3d&amp;rt=0&amp;let=19&amp;ct=0&amp;ft=-1</t>
        </is>
      </c>
      <c r="I37" s="71" t="inlineStr">
        <is>
          <t>زنجیره زمانی</t>
        </is>
      </c>
      <c r="J37" s="71" t="inlineStr">
        <is>
          <t>143b0c1c573bcfe9ea1e5c18e166995d9da9c14ff5fd86fe7e1ff9fb515d6f3b</t>
        </is>
      </c>
      <c r="K37" s="71" t="inlineStr">
        <is>
          <t>sources/codal/فملی/v38_type19/T1065401.html</t>
        </is>
      </c>
    </row>
    <row r="38" ht="58" customHeight="1" s="76">
      <c r="A38" s="70" t="inlineStr">
        <is>
          <t>T19_1108993</t>
        </is>
      </c>
      <c r="B38" s="70" t="inlineStr">
        <is>
          <t>فملی</t>
        </is>
      </c>
      <c r="C38" s="70" t="inlineStr">
        <is>
          <t>اطلاعیه ن۴۵ (Type19)</t>
        </is>
      </c>
      <c r="D38" s="70" t="n"/>
      <c r="E38" s="70" t="inlineStr">
        <is>
          <t>معرفی /تغییر در ترکیب اعضای هیئت مدیره/مدیر عامل</t>
        </is>
      </c>
      <c r="F38" s="70" t="n">
        <v>1108993</v>
      </c>
      <c r="G38" s="70" t="inlineStr">
        <is>
          <t>1402/09/15 16:15</t>
        </is>
      </c>
      <c r="H38" s="70" t="inlineStr">
        <is>
          <t>https://www.codal.ir/Reports/Decision.aspx?LetterSerial=R67NVtBTQQQaQQQz1W3uiH6kYk%2bA%3d%3d&amp;rt=0&amp;let=19&amp;ct=0&amp;ft=-1</t>
        </is>
      </c>
      <c r="I38" s="70" t="inlineStr">
        <is>
          <t>زنجیره زمانی</t>
        </is>
      </c>
      <c r="J38" s="70" t="inlineStr">
        <is>
          <t>ac6186545946f08113565937bc6c9c92c2a40101d0bc7cc26e5c9a4269e49fee</t>
        </is>
      </c>
      <c r="K38" s="70" t="inlineStr">
        <is>
          <t>sources/codal/فملی/v38_type19/T1108993.html</t>
        </is>
      </c>
    </row>
    <row r="39" ht="58" customHeight="1" s="76">
      <c r="A39" s="71" t="inlineStr">
        <is>
          <t>T19_1156403</t>
        </is>
      </c>
      <c r="B39" s="71" t="inlineStr">
        <is>
          <t>فملی</t>
        </is>
      </c>
      <c r="C39" s="71" t="inlineStr">
        <is>
          <t>اطلاعیه ن۴۵ (Type19)</t>
        </is>
      </c>
      <c r="D39" s="71" t="n"/>
      <c r="E39" s="71" t="inlineStr">
        <is>
          <t>معرفی /تغییر در ترکیب اعضای هیئت مدیره/مدیر عامل</t>
        </is>
      </c>
      <c r="F39" s="71" t="n">
        <v>1156403</v>
      </c>
      <c r="G39" s="71" t="inlineStr">
        <is>
          <t>1402/12/01 09:01</t>
        </is>
      </c>
      <c r="H39" s="71" t="inlineStr">
        <is>
          <t>https://www.codal.ir/Reports/Decision.aspx?LetterSerial=3YjGqUhAcI6CWmguqPmprA%3d%3d&amp;rt=0&amp;let=19&amp;ct=0&amp;ft=-1</t>
        </is>
      </c>
      <c r="I39" s="71" t="inlineStr">
        <is>
          <t>زنجیره زمانی</t>
        </is>
      </c>
      <c r="J39" s="71" t="inlineStr">
        <is>
          <t>fcc28eed72e3bd1a77f5254ca0f0a9dce49419292eb6404b30f5872a0c13b5aa</t>
        </is>
      </c>
      <c r="K39" s="71" t="inlineStr">
        <is>
          <t>sources/codal/فملی/v38_type19/T1156403.html</t>
        </is>
      </c>
    </row>
    <row r="40" ht="58" customHeight="1" s="76">
      <c r="A40" s="70" t="inlineStr">
        <is>
          <t>T19_1156455</t>
        </is>
      </c>
      <c r="B40" s="70" t="inlineStr">
        <is>
          <t>فملی</t>
        </is>
      </c>
      <c r="C40" s="70" t="inlineStr">
        <is>
          <t>اطلاعیه ن۴۵ (Type19)</t>
        </is>
      </c>
      <c r="D40" s="70" t="n"/>
      <c r="E40" s="70" t="inlineStr">
        <is>
          <t>معرفی /تغییر در ترکیب اعضای هیئت مدیره/مدیر عامل(اصلاحیه)</t>
        </is>
      </c>
      <c r="F40" s="70" t="n">
        <v>1156455</v>
      </c>
      <c r="G40" s="70" t="inlineStr">
        <is>
          <t>1402/12/01 09:47</t>
        </is>
      </c>
      <c r="H40" s="70" t="inlineStr">
        <is>
          <t>https://www.codal.ir/Reports/Decision.aspx?LetterSerial=LIMAab3CQo3GqZAWQVXffQ%3d%3d&amp;rt=0&amp;let=19&amp;ct=0&amp;ft=-1</t>
        </is>
      </c>
      <c r="I40" s="70" t="inlineStr">
        <is>
          <t>زنجیره زمانی</t>
        </is>
      </c>
      <c r="J40" s="70" t="inlineStr">
        <is>
          <t>05b80cf6359b8746d0e4dd2276681dd613e55e1f4ecb59fb3d76cb553c6251af</t>
        </is>
      </c>
      <c r="K40" s="70" t="inlineStr">
        <is>
          <t>sources/codal/فملی/v38_type19/T1156455.html</t>
        </is>
      </c>
    </row>
    <row r="41" ht="58" customHeight="1" s="76">
      <c r="A41" s="71" t="inlineStr">
        <is>
          <t>T19_1175556</t>
        </is>
      </c>
      <c r="B41" s="71" t="inlineStr">
        <is>
          <t>فملی</t>
        </is>
      </c>
      <c r="C41" s="71" t="inlineStr">
        <is>
          <t>اطلاعیه ن۴۵ (Type19)</t>
        </is>
      </c>
      <c r="D41" s="71" t="n"/>
      <c r="E41" s="71" t="inlineStr">
        <is>
          <t>معرفی /تغییر در ترکیب اعضای هیئت مدیره/مدیر عامل</t>
        </is>
      </c>
      <c r="F41" s="71" t="n">
        <v>1175556</v>
      </c>
      <c r="G41" s="71" t="inlineStr">
        <is>
          <t>1403/01/20 20:34</t>
        </is>
      </c>
      <c r="H41" s="71" t="inlineStr">
        <is>
          <t>https://www.codal.ir/Reports/Decision.aspx?LetterSerial=YTIPQQQaQQQZyZ4LLI7wMOErKkyQ%3d%3d&amp;rt=0&amp;let=19&amp;ct=0&amp;ft=-1</t>
        </is>
      </c>
      <c r="I41" s="71" t="inlineStr">
        <is>
          <t>زنجیره زمانی</t>
        </is>
      </c>
      <c r="J41" s="71" t="inlineStr">
        <is>
          <t>99f44806ac2bfdeafc0e4921dfb861e92b903dc763f7c01d4580b29a291a9612</t>
        </is>
      </c>
      <c r="K41" s="71" t="inlineStr">
        <is>
          <t>sources/codal/فملی/v38_type19/T1175556.html</t>
        </is>
      </c>
    </row>
    <row r="42" ht="58" customHeight="1" s="76">
      <c r="A42" s="70" t="inlineStr">
        <is>
          <t>T19_1175638</t>
        </is>
      </c>
      <c r="B42" s="70" t="inlineStr">
        <is>
          <t>فملی</t>
        </is>
      </c>
      <c r="C42" s="70" t="inlineStr">
        <is>
          <t>اطلاعیه ن۴۵ (Type19)</t>
        </is>
      </c>
      <c r="D42" s="70" t="n"/>
      <c r="E42" s="70" t="inlineStr">
        <is>
          <t>معرفی /تغییر در ترکیب اعضای هیئت مدیره/مدیر عامل(اصلاحیه)</t>
        </is>
      </c>
      <c r="F42" s="70" t="n">
        <v>1175638</v>
      </c>
      <c r="G42" s="70" t="inlineStr">
        <is>
          <t>1403/01/20 20:54</t>
        </is>
      </c>
      <c r="H42" s="70" t="inlineStr">
        <is>
          <t>https://www.codal.ir/Reports/Decision.aspx?LetterSerial=QjPZcvrOinY97mMOvnDLWg%3d%3d&amp;rt=0&amp;let=19&amp;ct=0&amp;ft=-1</t>
        </is>
      </c>
      <c r="I42" s="70" t="inlineStr">
        <is>
          <t>زنجیره زمانی</t>
        </is>
      </c>
      <c r="J42" s="70" t="inlineStr">
        <is>
          <t>2313cf74d0b0fbb67667dfb79b9c02cf1bbe58cbe6b2ae90a9bb8b93e4459d9b</t>
        </is>
      </c>
      <c r="K42" s="70" t="inlineStr">
        <is>
          <t>sources/codal/فملی/v38_type19/T1175638.html</t>
        </is>
      </c>
    </row>
    <row r="43" ht="58" customHeight="1" s="76">
      <c r="A43" s="71" t="inlineStr">
        <is>
          <t>T19_1304676</t>
        </is>
      </c>
      <c r="B43" s="71" t="inlineStr">
        <is>
          <t>فملی</t>
        </is>
      </c>
      <c r="C43" s="71" t="inlineStr">
        <is>
          <t>اطلاعیه ن۴۵ (Type19)</t>
        </is>
      </c>
      <c r="D43" s="71" t="n"/>
      <c r="E43" s="71" t="inlineStr">
        <is>
          <t>معرفی /تغییر در ترکیب اعضای هیئت مدیره/مدیر عامل</t>
        </is>
      </c>
      <c r="F43" s="71" t="n">
        <v>1304676</v>
      </c>
      <c r="G43" s="71" t="inlineStr">
        <is>
          <t>1403/11/15 11:19</t>
        </is>
      </c>
      <c r="H43" s="71" t="inlineStr">
        <is>
          <t>https://www.codal.ir/Reports/Decision.aspx?LetterSerial=vkJN7hxopquVfLQkwyo3mQ%3d%3d&amp;rt=0&amp;let=19&amp;ct=0&amp;ft=-1</t>
        </is>
      </c>
      <c r="I43" s="71" t="inlineStr">
        <is>
          <t>زنجیره زمانی</t>
        </is>
      </c>
      <c r="J43" s="71" t="inlineStr">
        <is>
          <t>ddcc927b212f6cd64f6f24eeaae39150ee47e37971d510457fe74b900c3e5073</t>
        </is>
      </c>
      <c r="K43" s="71" t="inlineStr">
        <is>
          <t>sources/codal/فملی/v38_type19/T1304676.html</t>
        </is>
      </c>
    </row>
    <row r="44" ht="58" customHeight="1" s="76">
      <c r="A44" s="70" t="inlineStr">
        <is>
          <t>T19_1317727</t>
        </is>
      </c>
      <c r="B44" s="70" t="inlineStr">
        <is>
          <t>فملی</t>
        </is>
      </c>
      <c r="C44" s="70" t="inlineStr">
        <is>
          <t>اطلاعیه ن۴۵ (Type19)</t>
        </is>
      </c>
      <c r="D44" s="70" t="n"/>
      <c r="E44" s="70" t="inlineStr">
        <is>
          <t>معرفی /تغییر در ترکیب اعضای هیئت مدیره/مدیر عامل</t>
        </is>
      </c>
      <c r="F44" s="70" t="n">
        <v>1317727</v>
      </c>
      <c r="G44" s="70" t="inlineStr">
        <is>
          <t>1403/12/15 17:09</t>
        </is>
      </c>
      <c r="H44" s="70" t="inlineStr">
        <is>
          <t>https://www.codal.ir/Reports/Decision.aspx?LetterSerial=MZUkxnTJsVvNBw4OeaM59A%3d%3d&amp;rt=0&amp;let=19&amp;ct=0&amp;ft=-1</t>
        </is>
      </c>
      <c r="I44" s="70" t="inlineStr">
        <is>
          <t>زنجیره زمانی</t>
        </is>
      </c>
      <c r="J44" s="70" t="inlineStr">
        <is>
          <t>cca8129102d845bcf7e1a2f0ad979c0f671c5d0ccd6287c530721aee06b97872</t>
        </is>
      </c>
      <c r="K44" s="70" t="inlineStr">
        <is>
          <t>sources/codal/فملی/v38_type19/T1317727.html</t>
        </is>
      </c>
    </row>
    <row r="45" ht="58" customHeight="1" s="76">
      <c r="A45" s="71" t="inlineStr">
        <is>
          <t>T19_1317785</t>
        </is>
      </c>
      <c r="B45" s="71" t="inlineStr">
        <is>
          <t>فملی</t>
        </is>
      </c>
      <c r="C45" s="71" t="inlineStr">
        <is>
          <t>اطلاعیه ن۴۵ (Type19)</t>
        </is>
      </c>
      <c r="D45" s="71" t="n"/>
      <c r="E45" s="71" t="inlineStr">
        <is>
          <t>معرفی /تغییر در ترکیب اعضای هیئت مدیره/مدیر عامل(اصلاحیه)</t>
        </is>
      </c>
      <c r="F45" s="71" t="n">
        <v>1317785</v>
      </c>
      <c r="G45" s="71" t="inlineStr">
        <is>
          <t>1403/12/15 17:41</t>
        </is>
      </c>
      <c r="H45" s="71" t="inlineStr">
        <is>
          <t>https://www.codal.ir/Reports/Decision.aspx?LetterSerial=tYzRinmNGuATH232iBPlZw%3d%3d&amp;rt=0&amp;let=19&amp;ct=0&amp;ft=-1</t>
        </is>
      </c>
      <c r="I45" s="71" t="inlineStr">
        <is>
          <t>زنجیره زمانی</t>
        </is>
      </c>
      <c r="J45" s="71" t="inlineStr">
        <is>
          <t>3fd407fecebbcce8dd04f3bdaadd7dfb9075c504832523b0272b4f5046f191c0</t>
        </is>
      </c>
      <c r="K45" s="71" t="inlineStr">
        <is>
          <t>sources/codal/فملی/v38_type19/T1317785.html</t>
        </is>
      </c>
    </row>
    <row r="46" ht="58" customHeight="1" s="76">
      <c r="A46" s="70" t="inlineStr">
        <is>
          <t>T19_1330149</t>
        </is>
      </c>
      <c r="B46" s="70" t="inlineStr">
        <is>
          <t>فملی</t>
        </is>
      </c>
      <c r="C46" s="70" t="inlineStr">
        <is>
          <t>اطلاعیه ن۴۵ (Type19)</t>
        </is>
      </c>
      <c r="D46" s="70" t="n"/>
      <c r="E46" s="70" t="inlineStr">
        <is>
          <t>معرفی /تغییر در ترکیب اعضای هیئت مدیره/مدیر عامل</t>
        </is>
      </c>
      <c r="F46" s="70" t="n">
        <v>1330149</v>
      </c>
      <c r="G46" s="70" t="inlineStr">
        <is>
          <t>1404/01/25 09:42</t>
        </is>
      </c>
      <c r="H46" s="70" t="inlineStr">
        <is>
          <t>https://www.codal.ir/Reports/Decision.aspx?LetterSerial=QQQaQQQ0Sc2kq4f7YODHfSo4QNQQQaQQQg%3d%3d&amp;rt=0&amp;let=19&amp;ct=0&amp;ft=-1</t>
        </is>
      </c>
      <c r="I46" s="70" t="inlineStr">
        <is>
          <t>زنجیره زمانی</t>
        </is>
      </c>
      <c r="J46" s="70" t="inlineStr">
        <is>
          <t>5af1a7147bd76de2b1455a7ea36b070deb6c2bb058f423c53c5e8d47f570337e</t>
        </is>
      </c>
      <c r="K46" s="70" t="inlineStr">
        <is>
          <t>sources/codal/فملی/v38_type19/T1330149.html</t>
        </is>
      </c>
    </row>
    <row r="47" ht="58" customHeight="1" s="76">
      <c r="A47" s="71" t="inlineStr">
        <is>
          <t>T19_1338264</t>
        </is>
      </c>
      <c r="B47" s="71" t="inlineStr">
        <is>
          <t>فملی</t>
        </is>
      </c>
      <c r="C47" s="71" t="inlineStr">
        <is>
          <t>اطلاعیه ن۴۵ (Type19)</t>
        </is>
      </c>
      <c r="D47" s="71" t="n"/>
      <c r="E47" s="71" t="inlineStr">
        <is>
          <t>معرفی /تغییر در ترکیب اعضای هیئت مدیره/مدیر عامل</t>
        </is>
      </c>
      <c r="F47" s="71" t="n">
        <v>1338264</v>
      </c>
      <c r="G47" s="71" t="inlineStr">
        <is>
          <t>1404/02/09 18:58</t>
        </is>
      </c>
      <c r="H47" s="71" t="inlineStr">
        <is>
          <t>https://www.codal.ir/Reports/Decision.aspx?LetterSerial=CRSRFSlzcCHMWgFAj5pIoQ%3d%3d&amp;rt=0&amp;let=19&amp;ct=0&amp;ft=-1</t>
        </is>
      </c>
      <c r="I47" s="71" t="inlineStr">
        <is>
          <t>زنجیره زمانی</t>
        </is>
      </c>
      <c r="J47" s="71" t="inlineStr">
        <is>
          <t>2a853e58051bdd88e75acd233595340f1421d7916000b15f6e00f9a579c172be</t>
        </is>
      </c>
      <c r="K47" s="71" t="inlineStr">
        <is>
          <t>sources/codal/فملی/v38_type19/T1338264.html</t>
        </is>
      </c>
    </row>
    <row r="48" ht="58" customHeight="1" s="76">
      <c r="A48" s="70" t="inlineStr">
        <is>
          <t>T19_1362953</t>
        </is>
      </c>
      <c r="B48" s="70" t="inlineStr">
        <is>
          <t>فملی</t>
        </is>
      </c>
      <c r="C48" s="70" t="inlineStr">
        <is>
          <t>اطلاعیه ن۴۵ (Type19)</t>
        </is>
      </c>
      <c r="D48" s="70" t="n"/>
      <c r="E48" s="70" t="inlineStr">
        <is>
          <t>معرفی /تغییر در ترکیب اعضای هیئت مدیره/مدیر عامل</t>
        </is>
      </c>
      <c r="F48" s="70" t="n">
        <v>1362953</v>
      </c>
      <c r="G48" s="70" t="inlineStr">
        <is>
          <t>1404/04/08 16:38</t>
        </is>
      </c>
      <c r="H48" s="70" t="inlineStr">
        <is>
          <t>https://www.codal.ir/Reports/Decision.aspx?LetterSerial=ySOOObOOOue24oBMfgNyj17Y9OMw%3d%3d&amp;rt=0&amp;let=19&amp;ct=0&amp;ft=-1</t>
        </is>
      </c>
      <c r="I48" s="70" t="inlineStr">
        <is>
          <t>زنجیره زمانی</t>
        </is>
      </c>
      <c r="J48" s="70" t="inlineStr">
        <is>
          <t>05944a46a30e96f6658f96bd3438caa9b6192ec27d30e7b27b92c562f179539c</t>
        </is>
      </c>
      <c r="K48" s="70" t="inlineStr">
        <is>
          <t>sources/codal/فملی/v38_type19/T1362953.html</t>
        </is>
      </c>
    </row>
    <row r="49" ht="58" customHeight="1" s="76">
      <c r="A49" s="71" t="inlineStr">
        <is>
          <t>T19_1388917</t>
        </is>
      </c>
      <c r="B49" s="71" t="inlineStr">
        <is>
          <t>فملی</t>
        </is>
      </c>
      <c r="C49" s="71" t="inlineStr">
        <is>
          <t>اطلاعیه ن۴۵ (Type19)</t>
        </is>
      </c>
      <c r="D49" s="71" t="n"/>
      <c r="E49" s="71" t="inlineStr">
        <is>
          <t>معرفی /تغییر در ترکیب اعضای هیئت مدیره/مدیر عامل</t>
        </is>
      </c>
      <c r="F49" s="71" t="n">
        <v>1388917</v>
      </c>
      <c r="G49" s="71" t="inlineStr">
        <is>
          <t>1404/05/13 07:48</t>
        </is>
      </c>
      <c r="H49" s="71" t="inlineStr">
        <is>
          <t>https://www.codal.ir/Reports/Decision.aspx?LetterSerial=zQPOyBBSh0kG79x7OiIQQQaQQQeA%3d%3d&amp;rt=0&amp;let=19&amp;ct=0&amp;ft=-1</t>
        </is>
      </c>
      <c r="I49" s="71" t="inlineStr">
        <is>
          <t>مبنای فهرست اعضا در as-of</t>
        </is>
      </c>
      <c r="J49" s="71" t="inlineStr">
        <is>
          <t>11a3834b74235a8fa07869b2e0eb41485dd0aba704efb197ecce877606f62d11</t>
        </is>
      </c>
      <c r="K49" s="71" t="inlineStr">
        <is>
          <t>sources/codal/فملی/v38_type19/T1388917.html</t>
        </is>
      </c>
    </row>
    <row r="50" ht="58" customHeight="1" s="76">
      <c r="A50" s="70" t="inlineStr">
        <is>
          <t>T19_1570953</t>
        </is>
      </c>
      <c r="B50" s="70" t="inlineStr">
        <is>
          <t>فملی</t>
        </is>
      </c>
      <c r="C50" s="70" t="inlineStr">
        <is>
          <t>اطلاعیه ن۴۵ (Type19)</t>
        </is>
      </c>
      <c r="D50" s="70" t="n"/>
      <c r="E50" s="70" t="inlineStr">
        <is>
          <t>معرفی /تغییر در ترکیب اعضای هیئت مدیره/مدیر عامل</t>
        </is>
      </c>
      <c r="F50" s="70" t="n">
        <v>1570953</v>
      </c>
      <c r="G50" s="70" t="inlineStr">
        <is>
          <t>1405/04/28 17:58</t>
        </is>
      </c>
      <c r="H50" s="70" t="inlineStr">
        <is>
          <t>https://www.codal.ir/Reports/Decision.aspx?LetterSerial=9VimVIfhgOOObOOOeFClmAbfH7YQ%3d%3d&amp;rt=0&amp;let=19&amp;ct=0&amp;ft=-1</t>
        </is>
      </c>
      <c r="I50" s="70" t="inlineStr">
        <is>
          <t>زنجیره زمانی</t>
        </is>
      </c>
      <c r="J50" s="70" t="inlineStr">
        <is>
          <t>e53608c1a84d2e083488f9d2a339140be0b3dd16434b9788791fe2b523708f2a</t>
        </is>
      </c>
      <c r="K50" s="70" t="inlineStr">
        <is>
          <t>sources/codal/فملی/v38_type19/T1570953.html</t>
        </is>
      </c>
    </row>
    <row r="51" ht="58" customHeight="1" s="76">
      <c r="A51" s="71" t="inlineStr">
        <is>
          <t>T19_866173</t>
        </is>
      </c>
      <c r="B51" s="71" t="inlineStr">
        <is>
          <t>تاپیکو</t>
        </is>
      </c>
      <c r="C51" s="71" t="inlineStr">
        <is>
          <t>اطلاعیه ن۴۵ (Type19)</t>
        </is>
      </c>
      <c r="D51" s="71" t="n"/>
      <c r="E51" s="71" t="inlineStr">
        <is>
          <t>معرفی یا تغییر در ترکیب اعضای هیئت مدیره</t>
        </is>
      </c>
      <c r="F51" s="71" t="n">
        <v>866173</v>
      </c>
      <c r="G51" s="71" t="inlineStr">
        <is>
          <t>1401/01/14 15:29</t>
        </is>
      </c>
      <c r="H51" s="71" t="inlineStr">
        <is>
          <t>https://www.codal.ir/Reports/Decision.aspx?LetterSerial=AXxhoQQQaQQQdglU%2Bmr8fUqjAgcg%3D%3D&amp;rt=2&amp;let=19&amp;ct=0&amp;ft=-1</t>
        </is>
      </c>
      <c r="I51" s="71" t="inlineStr">
        <is>
          <t>زنجیره زمانی</t>
        </is>
      </c>
      <c r="J51" s="71" t="inlineStr">
        <is>
          <t>18e6f07002be897051c5e70c5c30cb88468e1de6774c84ec266d4f4ea251da61</t>
        </is>
      </c>
      <c r="K51" s="71" t="inlineStr">
        <is>
          <t>sources/codal/تاپیکو/v38_type19/T866173.html</t>
        </is>
      </c>
    </row>
    <row r="52" ht="58" customHeight="1" s="76">
      <c r="A52" s="70" t="inlineStr">
        <is>
          <t>T19_1018740</t>
        </is>
      </c>
      <c r="B52" s="70" t="inlineStr">
        <is>
          <t>تاپیکو</t>
        </is>
      </c>
      <c r="C52" s="70" t="inlineStr">
        <is>
          <t>اطلاعیه ن۴۵ (Type19)</t>
        </is>
      </c>
      <c r="D52" s="70" t="n"/>
      <c r="E52" s="70" t="inlineStr">
        <is>
          <t>معرفی /تغییر در ترکیب اعضای هیئت مدیره/مدیر عامل</t>
        </is>
      </c>
      <c r="F52" s="70" t="n">
        <v>1018740</v>
      </c>
      <c r="G52" s="70" t="inlineStr">
        <is>
          <t>1402/02/09 19:04</t>
        </is>
      </c>
      <c r="H52" s="70" t="inlineStr">
        <is>
          <t>https://www.codal.ir/Reports/Decision.aspx?LetterSerial=Z3vRQQQaQQQ9xiktXV3QV46rAEZw%3d%3d&amp;rt=2&amp;let=19&amp;ct=0&amp;ft=-1</t>
        </is>
      </c>
      <c r="I52" s="70" t="inlineStr">
        <is>
          <t>زنجیره زمانی</t>
        </is>
      </c>
      <c r="J52" s="70" t="inlineStr">
        <is>
          <t>60e9aa7ad9b2481e0bf4f63257298568d4395f26e86c4fb2b2b90302829173d7</t>
        </is>
      </c>
      <c r="K52" s="70" t="inlineStr">
        <is>
          <t>sources/codal/تاپیکو/v38_type19/T1018740.html</t>
        </is>
      </c>
    </row>
    <row r="53" ht="58" customHeight="1" s="76">
      <c r="A53" s="71" t="inlineStr">
        <is>
          <t>T19_1086976</t>
        </is>
      </c>
      <c r="B53" s="71" t="inlineStr">
        <is>
          <t>تاپیکو</t>
        </is>
      </c>
      <c r="C53" s="71" t="inlineStr">
        <is>
          <t>اطلاعیه ن۴۵ (Type19)</t>
        </is>
      </c>
      <c r="D53" s="71" t="n"/>
      <c r="E53" s="71" t="inlineStr">
        <is>
          <t>معرفی /تغییر در ترکیب اعضای هیئت مدیره/مدیر عامل</t>
        </is>
      </c>
      <c r="F53" s="71" t="n">
        <v>1086976</v>
      </c>
      <c r="G53" s="71" t="inlineStr">
        <is>
          <t>1402/07/08 12:37</t>
        </is>
      </c>
      <c r="H53" s="71" t="inlineStr">
        <is>
          <t>https://www.codal.ir/Reports/Decision.aspx?LetterSerial=p5spnJOh2adudYZLYroenQ%3d%3d&amp;rt=2&amp;let=19&amp;ct=0&amp;ft=-1</t>
        </is>
      </c>
      <c r="I53" s="71" t="inlineStr">
        <is>
          <t>زنجیره زمانی</t>
        </is>
      </c>
      <c r="J53" s="71" t="inlineStr">
        <is>
          <t>e73289811fd98577d4b9dc97a80045444de734cfdb426bfbb4c6871db81af961</t>
        </is>
      </c>
      <c r="K53" s="71" t="inlineStr">
        <is>
          <t>sources/codal/تاپیکو/v38_type19/T1086976.html</t>
        </is>
      </c>
    </row>
    <row r="54" ht="58" customHeight="1" s="76">
      <c r="A54" s="70" t="inlineStr">
        <is>
          <t>T19_1104229</t>
        </is>
      </c>
      <c r="B54" s="70" t="inlineStr">
        <is>
          <t>تاپیکو</t>
        </is>
      </c>
      <c r="C54" s="70" t="inlineStr">
        <is>
          <t>اطلاعیه ن۴۵ (Type19)</t>
        </is>
      </c>
      <c r="D54" s="70" t="n"/>
      <c r="E54" s="70" t="inlineStr">
        <is>
          <t>معرفی /تغییر در ترکیب اعضای هیئت مدیره/مدیر عامل</t>
        </is>
      </c>
      <c r="F54" s="70" t="n">
        <v>1104229</v>
      </c>
      <c r="G54" s="70" t="inlineStr">
        <is>
          <t>1402/08/20 16:43</t>
        </is>
      </c>
      <c r="H54" s="70" t="inlineStr">
        <is>
          <t>https://www.codal.ir/Reports/Decision.aspx?LetterSerial=GIBj2gxZJC2Ssb3l1a5gtg%3d%3d&amp;rt=2&amp;let=19&amp;ct=0&amp;ft=-1</t>
        </is>
      </c>
      <c r="I54" s="70" t="inlineStr">
        <is>
          <t>زنجیره زمانی</t>
        </is>
      </c>
      <c r="J54" s="70" t="inlineStr">
        <is>
          <t>3e2def141800ed557c28e5b643c708669afdb365eea42aaef9376a45a478b6a7</t>
        </is>
      </c>
      <c r="K54" s="70" t="inlineStr">
        <is>
          <t>sources/codal/تاپیکو/v38_type19/T1104229.html</t>
        </is>
      </c>
    </row>
    <row r="55" ht="58" customHeight="1" s="76">
      <c r="A55" s="71" t="inlineStr">
        <is>
          <t>T19_1116708</t>
        </is>
      </c>
      <c r="B55" s="71" t="inlineStr">
        <is>
          <t>تاپیکو</t>
        </is>
      </c>
      <c r="C55" s="71" t="inlineStr">
        <is>
          <t>اطلاعیه ن۴۵ (Type19)</t>
        </is>
      </c>
      <c r="D55" s="71" t="n"/>
      <c r="E55" s="71" t="inlineStr">
        <is>
          <t>معرفی /تغییر در ترکیب اعضای هیئت مدیره/مدیر عامل</t>
        </is>
      </c>
      <c r="F55" s="71" t="n">
        <v>1116708</v>
      </c>
      <c r="G55" s="71" t="inlineStr">
        <is>
          <t>1402/09/12 20:18</t>
        </is>
      </c>
      <c r="H55" s="71" t="inlineStr">
        <is>
          <t>https://www.codal.ir/Reports/Decision.aspx?LetterSerial=PNq63e6G0bNtggKNtEY6eQ%3d%3d&amp;rt=2&amp;let=19&amp;ct=0&amp;ft=-1</t>
        </is>
      </c>
      <c r="I55" s="71" t="inlineStr">
        <is>
          <t>زنجیره زمانی</t>
        </is>
      </c>
      <c r="J55" s="71" t="inlineStr">
        <is>
          <t>78c0c462717dadc4a5a95efe2204dd835b58018b4f3a89336210b0ae3157c1ea</t>
        </is>
      </c>
      <c r="K55" s="71" t="inlineStr">
        <is>
          <t>sources/codal/تاپیکو/v38_type19/T1116708.html</t>
        </is>
      </c>
    </row>
    <row r="56" ht="58" customHeight="1" s="76">
      <c r="A56" s="70" t="inlineStr">
        <is>
          <t>T19_1137441</t>
        </is>
      </c>
      <c r="B56" s="70" t="inlineStr">
        <is>
          <t>تاپیکو</t>
        </is>
      </c>
      <c r="C56" s="70" t="inlineStr">
        <is>
          <t>اطلاعیه ن۴۵ (Type19)</t>
        </is>
      </c>
      <c r="D56" s="70" t="n"/>
      <c r="E56" s="70" t="inlineStr">
        <is>
          <t>معرفی /تغییر در ترکیب اعضای هیئت مدیره/مدیر عامل</t>
        </is>
      </c>
      <c r="F56" s="70" t="n">
        <v>1137441</v>
      </c>
      <c r="G56" s="70" t="inlineStr">
        <is>
          <t>1402/10/16 16:58</t>
        </is>
      </c>
      <c r="H56" s="70" t="inlineStr">
        <is>
          <t>https://www.codal.ir/Reports/Decision.aspx?LetterSerial=oVQ8Y%2bDeKUhPli3o9mcOCA%3d%3d&amp;rt=2&amp;let=19&amp;ct=0&amp;ft=-1</t>
        </is>
      </c>
      <c r="I56" s="70" t="inlineStr">
        <is>
          <t>زنجیره زمانی</t>
        </is>
      </c>
      <c r="J56" s="70" t="inlineStr">
        <is>
          <t>60a50d19ef990d081ff4453cb7619fd6f9148497ceeeec34da304991526a3cc5</t>
        </is>
      </c>
      <c r="K56" s="70" t="inlineStr">
        <is>
          <t>sources/codal/تاپیکو/v38_type19/T1137441.html</t>
        </is>
      </c>
    </row>
    <row r="57" ht="58" customHeight="1" s="76">
      <c r="A57" s="71" t="inlineStr">
        <is>
          <t>T19_1138904</t>
        </is>
      </c>
      <c r="B57" s="71" t="inlineStr">
        <is>
          <t>تاپیکو</t>
        </is>
      </c>
      <c r="C57" s="71" t="inlineStr">
        <is>
          <t>اطلاعیه ن۴۵ (Type19)</t>
        </is>
      </c>
      <c r="D57" s="71" t="n"/>
      <c r="E57" s="71" t="inlineStr">
        <is>
          <t>معرفی /تغییر در ترکیب اعضای هیئت مدیره/مدیر عامل</t>
        </is>
      </c>
      <c r="F57" s="71" t="n">
        <v>1138904</v>
      </c>
      <c r="G57" s="71" t="inlineStr">
        <is>
          <t>1402/10/19 19:05</t>
        </is>
      </c>
      <c r="H57" s="71" t="inlineStr">
        <is>
          <t>https://www.codal.ir/Reports/Decision.aspx?LetterSerial=LERRBmF6I1zeWRuFOojBKw%3d%3d&amp;rt=2&amp;let=19&amp;ct=0&amp;ft=-1</t>
        </is>
      </c>
      <c r="I57" s="71" t="inlineStr">
        <is>
          <t>زنجیره زمانی</t>
        </is>
      </c>
      <c r="J57" s="71" t="inlineStr">
        <is>
          <t>60a50d19ef990d081ff4453cb7619fd6f9148497ceeeec34da304991526a3cc5</t>
        </is>
      </c>
      <c r="K57" s="71" t="inlineStr">
        <is>
          <t>sources/codal/تاپیکو/v38_type19/T1138904.html</t>
        </is>
      </c>
    </row>
    <row r="58" ht="58" customHeight="1" s="76">
      <c r="A58" s="70" t="inlineStr">
        <is>
          <t>T19_1146572</t>
        </is>
      </c>
      <c r="B58" s="70" t="inlineStr">
        <is>
          <t>تاپیکو</t>
        </is>
      </c>
      <c r="C58" s="70" t="inlineStr">
        <is>
          <t>اطلاعیه ن۴۵ (Type19)</t>
        </is>
      </c>
      <c r="D58" s="70" t="n"/>
      <c r="E58" s="70" t="inlineStr">
        <is>
          <t>معرفی /تغییر در ترکیب اعضای هیئت مدیره/مدیر عامل</t>
        </is>
      </c>
      <c r="F58" s="70" t="n">
        <v>1146572</v>
      </c>
      <c r="G58" s="70" t="inlineStr">
        <is>
          <t>1402/11/04 14:28</t>
        </is>
      </c>
      <c r="H58" s="70" t="inlineStr">
        <is>
          <t>https://www.codal.ir/Reports/Decision.aspx?LetterSerial=aaFM52bcXpF8VR%2b8lSa5yg%3d%3d&amp;rt=2&amp;let=19&amp;ct=0&amp;ft=-1</t>
        </is>
      </c>
      <c r="I58" s="70" t="inlineStr">
        <is>
          <t>زنجیره زمانی</t>
        </is>
      </c>
      <c r="J58" s="70" t="inlineStr">
        <is>
          <t>1572d6cc672c9d61b0b62304b7c0fa8354e5a1a604dc834f5a725d61a14fe9c2</t>
        </is>
      </c>
      <c r="K58" s="70" t="inlineStr">
        <is>
          <t>sources/codal/تاپیکو/v38_type19/T1146572.html</t>
        </is>
      </c>
    </row>
    <row r="59" ht="58" customHeight="1" s="76">
      <c r="A59" s="71" t="inlineStr">
        <is>
          <t>T19_1147323</t>
        </is>
      </c>
      <c r="B59" s="71" t="inlineStr">
        <is>
          <t>تاپیکو</t>
        </is>
      </c>
      <c r="C59" s="71" t="inlineStr">
        <is>
          <t>اطلاعیه ن۴۵ (Type19)</t>
        </is>
      </c>
      <c r="D59" s="71" t="n"/>
      <c r="E59" s="71" t="inlineStr">
        <is>
          <t>معرفی /تغییر در ترکیب اعضای هیئت مدیره/مدیر عامل(اصلاحیه)</t>
        </is>
      </c>
      <c r="F59" s="71" t="n">
        <v>1147323</v>
      </c>
      <c r="G59" s="71" t="inlineStr">
        <is>
          <t>1402/11/07 12:40</t>
        </is>
      </c>
      <c r="H59" s="71" t="inlineStr">
        <is>
          <t>https://www.codal.ir/Reports/Decision.aspx?LetterSerial=QXmA1ynHiclcbM1c2GB1SA%3d%3d&amp;rt=2&amp;let=19&amp;ct=0&amp;ft=-1</t>
        </is>
      </c>
      <c r="I59" s="71" t="inlineStr">
        <is>
          <t>زنجیره زمانی</t>
        </is>
      </c>
      <c r="J59" s="71" t="inlineStr">
        <is>
          <t>aab0ca66e849a626a3a044262c592634721193109e360fe489db04b637503733</t>
        </is>
      </c>
      <c r="K59" s="71" t="inlineStr">
        <is>
          <t>sources/codal/تاپیکو/v38_type19/T1147323.html</t>
        </is>
      </c>
    </row>
    <row r="60" ht="58" customHeight="1" s="76">
      <c r="A60" s="70" t="inlineStr">
        <is>
          <t>T19_1176404</t>
        </is>
      </c>
      <c r="B60" s="70" t="inlineStr">
        <is>
          <t>تاپیکو</t>
        </is>
      </c>
      <c r="C60" s="70" t="inlineStr">
        <is>
          <t>اطلاعیه ن۴۵ (Type19)</t>
        </is>
      </c>
      <c r="D60" s="70" t="n"/>
      <c r="E60" s="70" t="inlineStr">
        <is>
          <t>معرفی /تغییر در ترکیب اعضای هیئت مدیره/مدیر عامل</t>
        </is>
      </c>
      <c r="F60" s="70" t="n">
        <v>1176404</v>
      </c>
      <c r="G60" s="70" t="inlineStr">
        <is>
          <t>1403/01/26 08:52</t>
        </is>
      </c>
      <c r="H60" s="70" t="inlineStr">
        <is>
          <t>https://www.codal.ir/Reports/Decision.aspx?LetterSerial=jn2DC1LfT3SjQE6M3537mA%3d%3d&amp;rt=2&amp;let=19&amp;ct=0&amp;ft=-1</t>
        </is>
      </c>
      <c r="I60" s="70" t="inlineStr">
        <is>
          <t>زنجیره زمانی</t>
        </is>
      </c>
      <c r="J60" s="70" t="inlineStr">
        <is>
          <t>a126a16fd9a85e18f288e314c0b99f862bef2dd327b8ddbd22104f6c3a00d447</t>
        </is>
      </c>
      <c r="K60" s="70" t="inlineStr">
        <is>
          <t>sources/codal/تاپیکو/v38_type19/T1176404.html</t>
        </is>
      </c>
    </row>
    <row r="61" ht="58" customHeight="1" s="76">
      <c r="A61" s="71" t="inlineStr">
        <is>
          <t>T19_1177949</t>
        </is>
      </c>
      <c r="B61" s="71" t="inlineStr">
        <is>
          <t>تاپیکو</t>
        </is>
      </c>
      <c r="C61" s="71" t="inlineStr">
        <is>
          <t>اطلاعیه ن۴۵ (Type19)</t>
        </is>
      </c>
      <c r="D61" s="71" t="n"/>
      <c r="E61" s="71" t="inlineStr">
        <is>
          <t>معرفی /تغییر در ترکیب اعضای هیئت مدیره/مدیر عامل</t>
        </is>
      </c>
      <c r="F61" s="71" t="n">
        <v>1177949</v>
      </c>
      <c r="G61" s="71" t="inlineStr">
        <is>
          <t>1403/01/28 17:27</t>
        </is>
      </c>
      <c r="H61" s="71" t="inlineStr">
        <is>
          <t>https://www.codal.ir/Reports/Decision.aspx?LetterSerial=FCpWErfpQcOqfibBIQZnxg%3d%3d&amp;rt=2&amp;let=19&amp;ct=0&amp;ft=-1</t>
        </is>
      </c>
      <c r="I61" s="71" t="inlineStr">
        <is>
          <t>زنجیره زمانی</t>
        </is>
      </c>
      <c r="J61" s="71" t="inlineStr">
        <is>
          <t>e5745a82814f0a83df101b24f3da887f12594b8b3e8fe9a6bbdf9fafb6ed135c</t>
        </is>
      </c>
      <c r="K61" s="71" t="inlineStr">
        <is>
          <t>sources/codal/تاپیکو/v38_type19/T1177949.html</t>
        </is>
      </c>
    </row>
    <row r="62" ht="58" customHeight="1" s="76">
      <c r="A62" s="70" t="inlineStr">
        <is>
          <t>T19_1199615</t>
        </is>
      </c>
      <c r="B62" s="70" t="inlineStr">
        <is>
          <t>تاپیکو</t>
        </is>
      </c>
      <c r="C62" s="70" t="inlineStr">
        <is>
          <t>اطلاعیه ن۴۵ (Type19)</t>
        </is>
      </c>
      <c r="D62" s="70" t="n"/>
      <c r="E62" s="70" t="inlineStr">
        <is>
          <t>معرفی /تغییر در ترکیب اعضای هیئت مدیره/مدیر عامل</t>
        </is>
      </c>
      <c r="F62" s="70" t="n">
        <v>1199615</v>
      </c>
      <c r="G62" s="70" t="inlineStr">
        <is>
          <t>1403/03/13 16:29</t>
        </is>
      </c>
      <c r="H62" s="70" t="inlineStr">
        <is>
          <t>https://www.codal.ir/Reports/Decision.aspx?LetterSerial=ARrqhDLbAAjGRJtlkZiClQ%3d%3d&amp;rt=2&amp;let=19&amp;ct=0&amp;ft=-1</t>
        </is>
      </c>
      <c r="I62" s="70" t="inlineStr">
        <is>
          <t>زنجیره زمانی</t>
        </is>
      </c>
      <c r="J62" s="70" t="inlineStr">
        <is>
          <t>db6d1c304de7e5628d389ba2a84be074e4e5be95a28f8449924490fafbf28b0b</t>
        </is>
      </c>
      <c r="K62" s="70" t="inlineStr">
        <is>
          <t>sources/codal/تاپیکو/v38_type19/T1199615.html</t>
        </is>
      </c>
    </row>
    <row r="63" ht="58" customHeight="1" s="76">
      <c r="A63" s="71" t="inlineStr">
        <is>
          <t>T19_1204917</t>
        </is>
      </c>
      <c r="B63" s="71" t="inlineStr">
        <is>
          <t>تاپیکو</t>
        </is>
      </c>
      <c r="C63" s="71" t="inlineStr">
        <is>
          <t>اطلاعیه ن۴۵ (Type19)</t>
        </is>
      </c>
      <c r="D63" s="71" t="n"/>
      <c r="E63" s="71" t="inlineStr">
        <is>
          <t>معرفی /تغییر در ترکیب اعضای هیئت مدیره/مدیر عامل</t>
        </is>
      </c>
      <c r="F63" s="71" t="n">
        <v>1204917</v>
      </c>
      <c r="G63" s="71" t="inlineStr">
        <is>
          <t>1403/03/29 15:13</t>
        </is>
      </c>
      <c r="H63" s="71" t="inlineStr">
        <is>
          <t>https://www.codal.ir/Reports/Decision.aspx?LetterSerial=yyCeRiNU4aGvNQkSCjeRtg%3d%3d&amp;rt=2&amp;let=19&amp;ct=0&amp;ft=-1</t>
        </is>
      </c>
      <c r="I63" s="71" t="inlineStr">
        <is>
          <t>زنجیره زمانی</t>
        </is>
      </c>
      <c r="J63" s="71" t="inlineStr">
        <is>
          <t>0b717c6aea4c4ff32ed72e9736da75fe993800a7688a9b7aaab9f1ebda28cf89</t>
        </is>
      </c>
      <c r="K63" s="71" t="inlineStr">
        <is>
          <t>sources/codal/تاپیکو/v38_type19/T1204917.html</t>
        </is>
      </c>
    </row>
    <row r="64" ht="58" customHeight="1" s="76">
      <c r="A64" s="70" t="inlineStr">
        <is>
          <t>T19_1204956</t>
        </is>
      </c>
      <c r="B64" s="70" t="inlineStr">
        <is>
          <t>تاپیکو</t>
        </is>
      </c>
      <c r="C64" s="70" t="inlineStr">
        <is>
          <t>اطلاعیه ن۴۵ (Type19)</t>
        </is>
      </c>
      <c r="D64" s="70" t="n"/>
      <c r="E64" s="70" t="inlineStr">
        <is>
          <t>معرفی /تغییر در ترکیب اعضای هیئت مدیره/مدیر عامل(اصلاحیه)</t>
        </is>
      </c>
      <c r="F64" s="70" t="n">
        <v>1204956</v>
      </c>
      <c r="G64" s="70" t="inlineStr">
        <is>
          <t>1403/03/29 15:36</t>
        </is>
      </c>
      <c r="H64" s="70" t="inlineStr">
        <is>
          <t>https://www.codal.ir/Reports/Decision.aspx?LetterSerial=UfAPNZ9YbrG24OM6UxyYOA%3d%3d&amp;rt=2&amp;let=19&amp;ct=0&amp;ft=-1</t>
        </is>
      </c>
      <c r="I64" s="70" t="inlineStr">
        <is>
          <t>زنجیره زمانی</t>
        </is>
      </c>
      <c r="J64" s="70" t="inlineStr">
        <is>
          <t>6a01bec4537622190d93b84211be8e24138fe0007f5957f6507ac915fe99384f</t>
        </is>
      </c>
      <c r="K64" s="70" t="inlineStr">
        <is>
          <t>sources/codal/تاپیکو/v38_type19/T1204956.html</t>
        </is>
      </c>
    </row>
    <row r="65" ht="58" customHeight="1" s="76">
      <c r="A65" s="71" t="inlineStr">
        <is>
          <t>T19_1205084</t>
        </is>
      </c>
      <c r="B65" s="71" t="inlineStr">
        <is>
          <t>تاپیکو</t>
        </is>
      </c>
      <c r="C65" s="71" t="inlineStr">
        <is>
          <t>اطلاعیه ن۴۵ (Type19)</t>
        </is>
      </c>
      <c r="D65" s="71" t="n"/>
      <c r="E65" s="71" t="inlineStr">
        <is>
          <t>معرفی /تغییر در ترکیب اعضای هیئت مدیره/مدیر عامل</t>
        </is>
      </c>
      <c r="F65" s="71" t="n">
        <v>1205084</v>
      </c>
      <c r="G65" s="71" t="inlineStr">
        <is>
          <t>1403/03/29 18:49</t>
        </is>
      </c>
      <c r="H65" s="71" t="inlineStr">
        <is>
          <t>https://www.codal.ir/Reports/Decision.aspx?LetterSerial=h6s68IQQQaQQQN%2b8I67FUpEGGEAg%3d%3d&amp;rt=2&amp;let=19&amp;ct=0&amp;ft=-1</t>
        </is>
      </c>
      <c r="I65" s="71" t="inlineStr">
        <is>
          <t>زنجیره زمانی</t>
        </is>
      </c>
      <c r="J65" s="71" t="inlineStr">
        <is>
          <t>bb838b1e054495576f088b72ef3c2c97ae1396f1d46b4fa5416ec82184750172</t>
        </is>
      </c>
      <c r="K65" s="71" t="inlineStr">
        <is>
          <t>sources/codal/تاپیکو/v38_type19/T1205084.html</t>
        </is>
      </c>
    </row>
    <row r="66" ht="58" customHeight="1" s="76">
      <c r="A66" s="70" t="inlineStr">
        <is>
          <t>T19_1229287</t>
        </is>
      </c>
      <c r="B66" s="70" t="inlineStr">
        <is>
          <t>تاپیکو</t>
        </is>
      </c>
      <c r="C66" s="70" t="inlineStr">
        <is>
          <t>اطلاعیه ن۴۵ (Type19)</t>
        </is>
      </c>
      <c r="D66" s="70" t="n"/>
      <c r="E66" s="70" t="inlineStr">
        <is>
          <t>معرفی /تغییر در ترکیب اعضای هیئت مدیره/مدیر عامل(اصلاحیه)</t>
        </is>
      </c>
      <c r="F66" s="70" t="n">
        <v>1229287</v>
      </c>
      <c r="G66" s="70" t="inlineStr">
        <is>
          <t>1403/05/13 16:45</t>
        </is>
      </c>
      <c r="H66" s="70" t="inlineStr">
        <is>
          <t>https://www.codal.ir/Reports/Decision.aspx?LetterSerial=bbEnGEUDqwBMFu5IzsgChw%3d%3d&amp;rt=2&amp;let=19&amp;ct=0&amp;ft=-1</t>
        </is>
      </c>
      <c r="I66" s="70" t="inlineStr">
        <is>
          <t>زنجیره زمانی</t>
        </is>
      </c>
      <c r="J66" s="70" t="inlineStr">
        <is>
          <t>619cfed0d14a93b1ce92212d82fb553a4d85ad82f584567e11d3fe064a70da59</t>
        </is>
      </c>
      <c r="K66" s="70" t="inlineStr">
        <is>
          <t>sources/codal/تاپیکو/v38_type19/T1229287.html</t>
        </is>
      </c>
    </row>
    <row r="67" ht="58" customHeight="1" s="76">
      <c r="A67" s="71" t="inlineStr">
        <is>
          <t>T19_1246565</t>
        </is>
      </c>
      <c r="B67" s="71" t="inlineStr">
        <is>
          <t>تاپیکو</t>
        </is>
      </c>
      <c r="C67" s="71" t="inlineStr">
        <is>
          <t>اطلاعیه ن۴۵ (Type19)</t>
        </is>
      </c>
      <c r="D67" s="71" t="n"/>
      <c r="E67" s="71" t="inlineStr">
        <is>
          <t>معرفی /تغییر در ترکیب اعضای هیئت مدیره/مدیر عامل</t>
        </is>
      </c>
      <c r="F67" s="71" t="n">
        <v>1246565</v>
      </c>
      <c r="G67" s="71" t="inlineStr">
        <is>
          <t>1403/06/26 12:36</t>
        </is>
      </c>
      <c r="H67" s="71" t="inlineStr">
        <is>
          <t>https://www.codal.ir/Reports/Decision.aspx?LetterSerial=GA6L9Td7j0zZOOObOOOYmTX1qEVw%3d%3d&amp;rt=2&amp;let=19&amp;ct=0&amp;ft=-1</t>
        </is>
      </c>
      <c r="I67" s="71" t="inlineStr">
        <is>
          <t>زنجیره زمانی</t>
        </is>
      </c>
      <c r="J67" s="71" t="inlineStr">
        <is>
          <t>f4b414ef4e30031c210a2278397921062565084ec24c502473d6e229f5571da3</t>
        </is>
      </c>
      <c r="K67" s="71" t="inlineStr">
        <is>
          <t>sources/codal/تاپیکو/v38_type19/T1246565.html</t>
        </is>
      </c>
    </row>
    <row r="68" ht="58" customHeight="1" s="76">
      <c r="A68" s="70" t="inlineStr">
        <is>
          <t>T19_1248678</t>
        </is>
      </c>
      <c r="B68" s="70" t="inlineStr">
        <is>
          <t>تاپیکو</t>
        </is>
      </c>
      <c r="C68" s="70" t="inlineStr">
        <is>
          <t>اطلاعیه ن۴۵ (Type19)</t>
        </is>
      </c>
      <c r="D68" s="70" t="n"/>
      <c r="E68" s="70" t="inlineStr">
        <is>
          <t>معرفی /تغییر در ترکیب اعضای هیئت مدیره/مدیر عامل</t>
        </is>
      </c>
      <c r="F68" s="70" t="n">
        <v>1248678</v>
      </c>
      <c r="G68" s="70" t="inlineStr">
        <is>
          <t>1403/07/01 15:00</t>
        </is>
      </c>
      <c r="H68" s="70" t="inlineStr">
        <is>
          <t>https://www.codal.ir/Reports/Decision.aspx?LetterSerial=yH6N4O0ja8wIvAf9cCGwYw%3d%3d&amp;rt=2&amp;let=19&amp;ct=0&amp;ft=-1</t>
        </is>
      </c>
      <c r="I68" s="70" t="inlineStr">
        <is>
          <t>زنجیره زمانی</t>
        </is>
      </c>
      <c r="J68" s="70" t="inlineStr">
        <is>
          <t>29593c0295bcb8c0d7e1b4e7da798e3d2cbaeec3cd4da6252fb8533d390cdec7</t>
        </is>
      </c>
      <c r="K68" s="70" t="inlineStr">
        <is>
          <t>sources/codal/تاپیکو/v38_type19/T1248678.html</t>
        </is>
      </c>
    </row>
    <row r="69" ht="58" customHeight="1" s="76">
      <c r="A69" s="71" t="inlineStr">
        <is>
          <t>T19_1294995</t>
        </is>
      </c>
      <c r="B69" s="71" t="inlineStr">
        <is>
          <t>تاپیکو</t>
        </is>
      </c>
      <c r="C69" s="71" t="inlineStr">
        <is>
          <t>اطلاعیه ن۴۵ (Type19)</t>
        </is>
      </c>
      <c r="D69" s="71" t="n"/>
      <c r="E69" s="71" t="inlineStr">
        <is>
          <t>معرفی /تغییر در ترکیب اعضای هیئت مدیره/مدیر عامل</t>
        </is>
      </c>
      <c r="F69" s="71" t="n">
        <v>1294995</v>
      </c>
      <c r="G69" s="71" t="inlineStr">
        <is>
          <t>1403/10/23 15:21</t>
        </is>
      </c>
      <c r="H69" s="71" t="inlineStr">
        <is>
          <t>https://www.codal.ir/Reports/Decision.aspx?LetterSerial=J1Vj4RRyGxkiYzrgxBXCDQ%3d%3d&amp;rt=2&amp;let=19&amp;ct=0&amp;ft=-1</t>
        </is>
      </c>
      <c r="I69" s="71" t="inlineStr">
        <is>
          <t>زنجیره زمانی</t>
        </is>
      </c>
      <c r="J69" s="71" t="inlineStr">
        <is>
          <t>b195be38d92ce589a79b67af8d523398dc4b99cd48523e7cb638a62d7d823013</t>
        </is>
      </c>
      <c r="K69" s="71" t="inlineStr">
        <is>
          <t>sources/codal/تاپیکو/v38_type19/T1294995.html</t>
        </is>
      </c>
    </row>
    <row r="70" ht="58" customHeight="1" s="76">
      <c r="A70" s="70" t="inlineStr">
        <is>
          <t>T19_1295971</t>
        </is>
      </c>
      <c r="B70" s="70" t="inlineStr">
        <is>
          <t>تاپیکو</t>
        </is>
      </c>
      <c r="C70" s="70" t="inlineStr">
        <is>
          <t>اطلاعیه ن۴۵ (Type19)</t>
        </is>
      </c>
      <c r="D70" s="70" t="n"/>
      <c r="E70" s="70" t="inlineStr">
        <is>
          <t>معرفی /تغییر در ترکیب اعضای هیئت مدیره/مدیر عامل(اصلاحیه)</t>
        </is>
      </c>
      <c r="F70" s="70" t="n">
        <v>1295971</v>
      </c>
      <c r="G70" s="70" t="inlineStr">
        <is>
          <t>1403/10/24 18:44</t>
        </is>
      </c>
      <c r="H70" s="70" t="inlineStr">
        <is>
          <t>https://www.codal.ir/Reports/Decision.aspx?LetterSerial=GbIBUuPOOObOOOMsrkOOObOOOyL3L8uBXg%3d%3d&amp;rt=2&amp;let=19&amp;ct=0&amp;ft=-1</t>
        </is>
      </c>
      <c r="I70" s="70" t="inlineStr">
        <is>
          <t>زنجیره زمانی</t>
        </is>
      </c>
      <c r="J70" s="70" t="inlineStr">
        <is>
          <t>26ab6f39825cf26704b2518fd51c33d3d7e9bd18ba068db01876187452d3ffa4</t>
        </is>
      </c>
      <c r="K70" s="70" t="inlineStr">
        <is>
          <t>sources/codal/تاپیکو/v38_type19/T1295971.html</t>
        </is>
      </c>
    </row>
    <row r="71" ht="58" customHeight="1" s="76">
      <c r="A71" s="71" t="inlineStr">
        <is>
          <t>T19_1311653</t>
        </is>
      </c>
      <c r="B71" s="71" t="inlineStr">
        <is>
          <t>تاپیکو</t>
        </is>
      </c>
      <c r="C71" s="71" t="inlineStr">
        <is>
          <t>اطلاعیه ن۴۵ (Type19)</t>
        </is>
      </c>
      <c r="D71" s="71" t="n"/>
      <c r="E71" s="71" t="inlineStr">
        <is>
          <t>معرفی /تغییر در ترکیب اعضای هیئت مدیره/مدیر عامل</t>
        </is>
      </c>
      <c r="F71" s="71" t="n">
        <v>1311653</v>
      </c>
      <c r="G71" s="71" t="inlineStr">
        <is>
          <t>1403/12/04 19:26</t>
        </is>
      </c>
      <c r="H71" s="71" t="inlineStr">
        <is>
          <t>https://www.codal.ir/Reports/Decision.aspx?LetterSerial=QijK3OnJnjtoOOObOOOYV1GqeqyQ%3d%3d&amp;rt=2&amp;let=19&amp;ct=0&amp;ft=-1</t>
        </is>
      </c>
      <c r="I71" s="71" t="inlineStr">
        <is>
          <t>زنجیره زمانی</t>
        </is>
      </c>
      <c r="J71" s="71" t="inlineStr">
        <is>
          <t>69d23a766f83d35419942a90e7125f10fe773cf2e7d0aa31762ca95f5300c6c9</t>
        </is>
      </c>
      <c r="K71" s="71" t="inlineStr">
        <is>
          <t>sources/codal/تاپیکو/v38_type19/T1311653.html</t>
        </is>
      </c>
    </row>
    <row r="72" ht="58" customHeight="1" s="76">
      <c r="A72" s="70" t="inlineStr">
        <is>
          <t>T19_1333972</t>
        </is>
      </c>
      <c r="B72" s="70" t="inlineStr">
        <is>
          <t>تاپیکو</t>
        </is>
      </c>
      <c r="C72" s="70" t="inlineStr">
        <is>
          <t>اطلاعیه ن۴۵ (Type19)</t>
        </is>
      </c>
      <c r="D72" s="70" t="n"/>
      <c r="E72" s="70" t="inlineStr">
        <is>
          <t>معرفی /تغییر در ترکیب اعضای هیئت مدیره/مدیر عامل</t>
        </is>
      </c>
      <c r="F72" s="70" t="n">
        <v>1333972</v>
      </c>
      <c r="G72" s="70" t="inlineStr">
        <is>
          <t>1404/02/02 13:49</t>
        </is>
      </c>
      <c r="H72" s="70" t="inlineStr">
        <is>
          <t>https://www.codal.ir/Reports/Decision.aspx?LetterSerial=14wq1hhv9CaZOHj4KQQQaQQQWEXQ%3d%3d&amp;rt=2&amp;let=19&amp;ct=0&amp;ft=-1</t>
        </is>
      </c>
      <c r="I72" s="70" t="inlineStr">
        <is>
          <t>زنجیره زمانی</t>
        </is>
      </c>
      <c r="J72" s="70" t="inlineStr">
        <is>
          <t>e403335e17c71d3d055d071d860ff5b74e404ed63b17228b2423979d2a4e25f8</t>
        </is>
      </c>
      <c r="K72" s="70" t="inlineStr">
        <is>
          <t>sources/codal/تاپیکو/v38_type19/T1333972.html</t>
        </is>
      </c>
    </row>
    <row r="73" ht="58" customHeight="1" s="76">
      <c r="A73" s="71" t="inlineStr">
        <is>
          <t>T19_1371339</t>
        </is>
      </c>
      <c r="B73" s="71" t="inlineStr">
        <is>
          <t>تاپیکو</t>
        </is>
      </c>
      <c r="C73" s="71" t="inlineStr">
        <is>
          <t>اطلاعیه ن۴۵ (Type19)</t>
        </is>
      </c>
      <c r="D73" s="71" t="n"/>
      <c r="E73" s="71" t="inlineStr">
        <is>
          <t>معرفی /تغییر در ترکیب اعضای هیئت مدیره/مدیر عامل(اصلاحیه)</t>
        </is>
      </c>
      <c r="F73" s="71" t="n">
        <v>1371339</v>
      </c>
      <c r="G73" s="71" t="inlineStr">
        <is>
          <t>1404/04/22 20:06</t>
        </is>
      </c>
      <c r="H73" s="71" t="inlineStr">
        <is>
          <t>https://www.codal.ir/Reports/Decision.aspx?LetterSerial=n9uFeY0qtS0NRN2UGGj73w%3d%3d&amp;rt=2&amp;let=19&amp;ct=0&amp;ft=-1</t>
        </is>
      </c>
      <c r="I73" s="71" t="inlineStr">
        <is>
          <t>مبنای فهرست اعضا در as-of</t>
        </is>
      </c>
      <c r="J73" s="71" t="inlineStr">
        <is>
          <t>9d50171424f8684a027b68eaf5da2f5b385d6ced00644bfea0b295b39f5599b8</t>
        </is>
      </c>
      <c r="K73" s="71" t="inlineStr">
        <is>
          <t>sources/codal/تاپیکو/v38_type19/T1371339.html</t>
        </is>
      </c>
    </row>
    <row r="74" ht="58" customHeight="1" s="76">
      <c r="A74" s="70" t="inlineStr">
        <is>
          <t>T19_1379918</t>
        </is>
      </c>
      <c r="B74" s="70" t="inlineStr">
        <is>
          <t>تاپیکو</t>
        </is>
      </c>
      <c r="C74" s="70" t="inlineStr">
        <is>
          <t>اطلاعیه ن۴۵ (Type19)</t>
        </is>
      </c>
      <c r="D74" s="70" t="n"/>
      <c r="E74" s="70" t="inlineStr">
        <is>
          <t>معرفی /تغییر در ترکیب اعضای هیئت مدیره/مدیر عامل</t>
        </is>
      </c>
      <c r="F74" s="70" t="n">
        <v>1379918</v>
      </c>
      <c r="G74" s="70" t="inlineStr">
        <is>
          <t>1404/05/04 14:25</t>
        </is>
      </c>
      <c r="H74" s="70" t="inlineStr">
        <is>
          <t>https://www.codal.ir/Reports/Decision.aspx?LetterSerial=gXBd7BQ0zRHOwYIn4yd4zg%3d%3d&amp;rt=2&amp;let=19&amp;ct=0&amp;ft=-1</t>
        </is>
      </c>
      <c r="I74" s="70" t="inlineStr">
        <is>
          <t>زنجیره زمانی</t>
        </is>
      </c>
      <c r="J74" s="70" t="inlineStr">
        <is>
          <t>52c8742dcf6e230dfb5cea56550e79f0dd032088a26d4ac06952aa317c155bfd</t>
        </is>
      </c>
      <c r="K74" s="70" t="inlineStr">
        <is>
          <t>sources/codal/تاپیکو/v38_type19/T1379918.html</t>
        </is>
      </c>
    </row>
    <row r="75" ht="58" customHeight="1" s="76">
      <c r="A75" s="71" t="inlineStr">
        <is>
          <t>T19_1380291</t>
        </is>
      </c>
      <c r="B75" s="71" t="inlineStr">
        <is>
          <t>تاپیکو</t>
        </is>
      </c>
      <c r="C75" s="71" t="inlineStr">
        <is>
          <t>اطلاعیه ن۴۵ (Type19)</t>
        </is>
      </c>
      <c r="D75" s="71" t="n"/>
      <c r="E75" s="71" t="inlineStr">
        <is>
          <t>معرفی /تغییر در ترکیب اعضای هیئت مدیره/مدیر عامل(اصلاحیه)</t>
        </is>
      </c>
      <c r="F75" s="71" t="n">
        <v>1380291</v>
      </c>
      <c r="G75" s="71" t="inlineStr">
        <is>
          <t>1404/05/04 16:28</t>
        </is>
      </c>
      <c r="H75" s="71" t="inlineStr">
        <is>
          <t>https://www.codal.ir/Reports/Decision.aspx?LetterSerial=EJQQQQaQQQTzMgTaGFN3F6PrLHIA%3d%3d&amp;rt=2&amp;let=19&amp;ct=0&amp;ft=-1</t>
        </is>
      </c>
      <c r="I75" s="71" t="inlineStr">
        <is>
          <t>زنجیره زمانی</t>
        </is>
      </c>
      <c r="J75" s="71" t="inlineStr">
        <is>
          <t>0878e109a03d078fad7a35f97e135bf958af7f5e6c3af4d7d33fbdc90250e9c0</t>
        </is>
      </c>
      <c r="K75" s="71" t="inlineStr">
        <is>
          <t>sources/codal/تاپیکو/v38_type19/T1380291.html</t>
        </is>
      </c>
    </row>
    <row r="76" ht="58" customHeight="1" s="76">
      <c r="A76" s="70" t="inlineStr">
        <is>
          <t>T19_1408462</t>
        </is>
      </c>
      <c r="B76" s="70" t="inlineStr">
        <is>
          <t>تاپیکو</t>
        </is>
      </c>
      <c r="C76" s="70" t="inlineStr">
        <is>
          <t>اطلاعیه ن۴۵ (Type19)</t>
        </is>
      </c>
      <c r="D76" s="70" t="n"/>
      <c r="E76" s="70" t="inlineStr">
        <is>
          <t>معرفی /تغییر در ترکیب اعضای هیئت مدیره/مدیر عامل</t>
        </is>
      </c>
      <c r="F76" s="70" t="n">
        <v>1408462</v>
      </c>
      <c r="G76" s="70" t="inlineStr">
        <is>
          <t>1404/07/01 08:19</t>
        </is>
      </c>
      <c r="H76" s="70" t="inlineStr">
        <is>
          <t>https://www.codal.ir/Reports/Decision.aspx?LetterSerial=9W5KqOFDkv3BoGKhfVCF0w%3d%3d&amp;rt=2&amp;let=19&amp;ct=0&amp;ft=-1</t>
        </is>
      </c>
      <c r="I76" s="70" t="inlineStr">
        <is>
          <t>زنجیره زمانی</t>
        </is>
      </c>
      <c r="J76" s="70" t="inlineStr">
        <is>
          <t>b55bda57c7fa2ee1ddfce15fa06997ec5ed0e3d592535c568f6a7a25f33fa011</t>
        </is>
      </c>
      <c r="K76" s="70" t="inlineStr">
        <is>
          <t>sources/codal/تاپیکو/v38_type19/T1408462.html</t>
        </is>
      </c>
    </row>
    <row r="77" ht="58" customHeight="1" s="76">
      <c r="A77" s="71" t="inlineStr">
        <is>
          <t>T19_1454336</t>
        </is>
      </c>
      <c r="B77" s="71" t="inlineStr">
        <is>
          <t>تاپیکو</t>
        </is>
      </c>
      <c r="C77" s="71" t="inlineStr">
        <is>
          <t>اطلاعیه ن۴۵ (Type19)</t>
        </is>
      </c>
      <c r="D77" s="71" t="n"/>
      <c r="E77" s="71" t="inlineStr">
        <is>
          <t>معرفی /تغییر در ترکیب اعضای هیئت مدیره/مدیر عامل(اصلاحیه)</t>
        </is>
      </c>
      <c r="F77" s="71" t="n">
        <v>1454336</v>
      </c>
      <c r="G77" s="71" t="inlineStr">
        <is>
          <t>1404/09/19 10:59</t>
        </is>
      </c>
      <c r="H77" s="71" t="inlineStr">
        <is>
          <t>https://www.codal.ir/Reports/Decision.aspx?LetterSerial=Nd4QQQaQQQxOOObOOOuPghOB5vJxbzV5Zw%3d%3d&amp;rt=2&amp;let=19&amp;ct=0&amp;ft=-1</t>
        </is>
      </c>
      <c r="I77" s="71" t="inlineStr">
        <is>
          <t>زنجیره زمانی</t>
        </is>
      </c>
      <c r="J77" s="71" t="inlineStr">
        <is>
          <t>ce9bee4d44ddaba336aa92e6dda2f4da9a301abb2034a2d2b3f9a18fcdc713c0</t>
        </is>
      </c>
      <c r="K77" s="71" t="inlineStr">
        <is>
          <t>sources/codal/تاپیکو/v38_type19/T1454336.html</t>
        </is>
      </c>
    </row>
    <row r="78" ht="58" customHeight="1" s="76">
      <c r="A78" s="70" t="inlineStr">
        <is>
          <t>T19_1477918</t>
        </is>
      </c>
      <c r="B78" s="70" t="inlineStr">
        <is>
          <t>تاپیکو</t>
        </is>
      </c>
      <c r="C78" s="70" t="inlineStr">
        <is>
          <t>اطلاعیه ن۴۵ (Type19)</t>
        </is>
      </c>
      <c r="D78" s="70" t="n"/>
      <c r="E78" s="70" t="inlineStr">
        <is>
          <t>معرفی /تغییر در ترکیب اعضای هیئت مدیره/مدیر عامل(اصلاحیه)</t>
        </is>
      </c>
      <c r="F78" s="70" t="n">
        <v>1477918</v>
      </c>
      <c r="G78" s="70" t="inlineStr">
        <is>
          <t>1404/11/06 15:34</t>
        </is>
      </c>
      <c r="H78" s="70" t="inlineStr">
        <is>
          <t>https://www.codal.ir/Reports/Decision.aspx?LetterSerial=Exef5qCkFaU4GYSKSR3wjg%3d%3d&amp;rt=2&amp;let=19&amp;ct=0&amp;ft=-1</t>
        </is>
      </c>
      <c r="I78" s="70" t="inlineStr">
        <is>
          <t>زنجیره زمانی</t>
        </is>
      </c>
      <c r="J78" s="70" t="inlineStr">
        <is>
          <t>297a7ad471dbbcb9e69041dc334f93ceb7389c2f4706fda47e7f4b76483aba9c</t>
        </is>
      </c>
      <c r="K78" s="70" t="inlineStr">
        <is>
          <t>sources/codal/تاپیکو/v38_type19/T1477918.html</t>
        </is>
      </c>
    </row>
    <row r="79" ht="58" customHeight="1" s="76">
      <c r="A79" s="71" t="inlineStr">
        <is>
          <t>T19_1482329</t>
        </is>
      </c>
      <c r="B79" s="71" t="inlineStr">
        <is>
          <t>تاپیکو</t>
        </is>
      </c>
      <c r="C79" s="71" t="inlineStr">
        <is>
          <t>اطلاعیه ن۴۵ (Type19)</t>
        </is>
      </c>
      <c r="D79" s="71" t="n"/>
      <c r="E79" s="71" t="inlineStr">
        <is>
          <t>معرفی /تغییر در ترکیب اعضای هیئت مدیره/مدیر عامل</t>
        </is>
      </c>
      <c r="F79" s="71" t="n">
        <v>1482329</v>
      </c>
      <c r="G79" s="71" t="inlineStr">
        <is>
          <t>1405/03/04 08:55</t>
        </is>
      </c>
      <c r="H79" s="71" t="inlineStr">
        <is>
          <t>https://www.codal.ir/Reports/Decision.aspx?LetterSerial=XCP7T4qS3UfQQQaQQQIwMpr44bvg%3d%3d&amp;rt=2&amp;let=19&amp;ct=0&amp;ft=-1</t>
        </is>
      </c>
      <c r="I79" s="71" t="inlineStr">
        <is>
          <t>زنجیره زمانی</t>
        </is>
      </c>
      <c r="J79" s="71" t="inlineStr">
        <is>
          <t>a2fd59829d21ebed4cd4ff2d9d0a16625a3521f5a79ff5e554443afaeb90fbb4</t>
        </is>
      </c>
      <c r="K79" s="71" t="inlineStr">
        <is>
          <t>sources/codal/تاپیکو/v38_type19/T1482329.html</t>
        </is>
      </c>
    </row>
    <row r="80" ht="58" customHeight="1" s="76">
      <c r="A80" s="70" t="inlineStr">
        <is>
          <t>T19_1576448</t>
        </is>
      </c>
      <c r="B80" s="70" t="inlineStr">
        <is>
          <t>تاپیکو</t>
        </is>
      </c>
      <c r="C80" s="70" t="inlineStr">
        <is>
          <t>اطلاعیه ن۴۵ (Type19)</t>
        </is>
      </c>
      <c r="D80" s="70" t="n"/>
      <c r="E80" s="70" t="inlineStr">
        <is>
          <t>معرفی /تغییر در ترکیب اعضای هیئت مدیره/مدیر عامل(اصلاحیه)</t>
        </is>
      </c>
      <c r="F80" s="70" t="n">
        <v>1576448</v>
      </c>
      <c r="G80" s="70" t="inlineStr">
        <is>
          <t>1405/05/04 19:24</t>
        </is>
      </c>
      <c r="H80" s="70" t="inlineStr">
        <is>
          <t>https://www.codal.ir/Reports/Decision.aspx?LetterSerial=Ndm1vBJEUfgR4wddq6eHAA%3d%3d&amp;rt=2&amp;let=19&amp;ct=0&amp;ft=-1</t>
        </is>
      </c>
      <c r="I80" s="70" t="inlineStr">
        <is>
          <t>زنجیره زمانی</t>
        </is>
      </c>
      <c r="J80" s="70" t="inlineStr">
        <is>
          <t>d235f787567e667259bfaaa68d2ae78d6bcd3f7c7e4c13c24eaae5905b669fbf</t>
        </is>
      </c>
      <c r="K80" s="70" t="inlineStr">
        <is>
          <t>sources/codal/تاپیکو/v38_type19/T1576448.html</t>
        </is>
      </c>
    </row>
    <row r="81" ht="58" customHeight="1" s="76">
      <c r="A81" s="71" t="inlineStr">
        <is>
          <t>T19_1601953</t>
        </is>
      </c>
      <c r="B81" s="71" t="inlineStr">
        <is>
          <t>تاپیکو</t>
        </is>
      </c>
      <c r="C81" s="71" t="inlineStr">
        <is>
          <t>اطلاعیه ن۴۵ (Type19)</t>
        </is>
      </c>
      <c r="D81" s="71" t="n"/>
      <c r="E81" s="71" t="inlineStr">
        <is>
          <t>معرفی /تغییر در ترکیب اعضای هیئت مدیره/مدیر عامل</t>
        </is>
      </c>
      <c r="F81" s="71" t="n">
        <v>1601953</v>
      </c>
      <c r="G81" s="71" t="inlineStr">
        <is>
          <t>1405/06/30 18:20</t>
        </is>
      </c>
      <c r="H81" s="71" t="inlineStr">
        <is>
          <t>https://www.codal.ir/Reports/Decision.aspx?LetterSerial=PyesQNouLA7J41rFImVH8A%3d%3d&amp;rt=2&amp;let=19&amp;ct=0&amp;ft=-1</t>
        </is>
      </c>
      <c r="I81" s="71" t="inlineStr">
        <is>
          <t>زنجیره زمانی</t>
        </is>
      </c>
      <c r="J81" s="71" t="inlineStr">
        <is>
          <t>8c46f7d5112820a34d484d6fc703b4f5a3cb9a642c0f5747421b379decf52929</t>
        </is>
      </c>
      <c r="K81" s="71" t="inlineStr">
        <is>
          <t>sources/codal/تاپیکو/v38_type19/T1601953.html</t>
        </is>
      </c>
    </row>
    <row r="82" ht="58" customHeight="1" s="76">
      <c r="A82" s="70" t="inlineStr">
        <is>
          <t>T19_1002535</t>
        </is>
      </c>
      <c r="B82" s="70" t="inlineStr">
        <is>
          <t>فارس</t>
        </is>
      </c>
      <c r="C82" s="70" t="inlineStr">
        <is>
          <t>اطلاعیه ن۴۵ (Type19)</t>
        </is>
      </c>
      <c r="D82" s="70" t="n"/>
      <c r="E82" s="70" t="inlineStr">
        <is>
          <t>معرفی /تغییر در ترکیب اعضای هیئت مدیره/مدیر عامل</t>
        </is>
      </c>
      <c r="F82" s="70" t="n">
        <v>1002535</v>
      </c>
      <c r="G82" s="70" t="inlineStr">
        <is>
          <t>1401/12/21 10:37</t>
        </is>
      </c>
      <c r="H82" s="70" t="inlineStr">
        <is>
          <t>https://www.codal.ir/Reports/Decision.aspx?LetterSerial=9rGWpiR5eZvgfXbe8wb8zQ%3d%3d&amp;rt=2&amp;let=19&amp;ct=0&amp;ft=-1</t>
        </is>
      </c>
      <c r="I82" s="70" t="inlineStr">
        <is>
          <t>زنجیره زمانی</t>
        </is>
      </c>
      <c r="J82" s="70" t="inlineStr">
        <is>
          <t>b6f25725c2447fcce75f51945b76db1c3e9bc1cd07e31d89fe36c365a4162efe</t>
        </is>
      </c>
      <c r="K82" s="70" t="inlineStr">
        <is>
          <t>sources/codal/فارس/v38_type19/T1002535.html</t>
        </is>
      </c>
    </row>
    <row r="83" ht="58" customHeight="1" s="76">
      <c r="A83" s="71" t="inlineStr">
        <is>
          <t>T19_1014477</t>
        </is>
      </c>
      <c r="B83" s="71" t="inlineStr">
        <is>
          <t>فارس</t>
        </is>
      </c>
      <c r="C83" s="71" t="inlineStr">
        <is>
          <t>اطلاعیه ن۴۵ (Type19)</t>
        </is>
      </c>
      <c r="D83" s="71" t="n"/>
      <c r="E83" s="71" t="inlineStr">
        <is>
          <t>معرفی /تغییر در ترکیب اعضای هیئت مدیره/مدیر عامل(اصلاحیه)</t>
        </is>
      </c>
      <c r="F83" s="71" t="n">
        <v>1014477</v>
      </c>
      <c r="G83" s="71" t="inlineStr">
        <is>
          <t>1402/01/29 12:49</t>
        </is>
      </c>
      <c r="H83" s="71" t="inlineStr">
        <is>
          <t>https://www.codal.ir/Reports/Decision.aspx?LetterSerial=WIjqw1ZwkJGzHzW8nKdaYA%3d%3d&amp;rt=2&amp;let=19&amp;ct=0&amp;ft=-1</t>
        </is>
      </c>
      <c r="I83" s="71" t="inlineStr">
        <is>
          <t>زنجیره زمانی</t>
        </is>
      </c>
      <c r="J83" s="71" t="inlineStr">
        <is>
          <t>461aae0fe8959c317c65abee0a00d36933c4875d7fb8232a921ed36302f545ca</t>
        </is>
      </c>
      <c r="K83" s="71" t="inlineStr">
        <is>
          <t>sources/codal/فارس/v38_type19/T1014477.html</t>
        </is>
      </c>
    </row>
    <row r="84" ht="58" customHeight="1" s="76">
      <c r="A84" s="70" t="inlineStr">
        <is>
          <t>T19_1018807</t>
        </is>
      </c>
      <c r="B84" s="70" t="inlineStr">
        <is>
          <t>فارس</t>
        </is>
      </c>
      <c r="C84" s="70" t="inlineStr">
        <is>
          <t>اطلاعیه ن۴۵ (Type19)</t>
        </is>
      </c>
      <c r="D84" s="70" t="n"/>
      <c r="E84" s="70" t="inlineStr">
        <is>
          <t>معرفی /تغییر در ترکیب اعضای هیئت مدیره/مدیر عامل(اصلاحیه)</t>
        </is>
      </c>
      <c r="F84" s="70" t="n">
        <v>1018807</v>
      </c>
      <c r="G84" s="70" t="inlineStr">
        <is>
          <t>1402/02/09 16:21</t>
        </is>
      </c>
      <c r="H84" s="70" t="inlineStr">
        <is>
          <t>https://www.codal.ir/Reports/Decision.aspx?LetterSerial=vFlIwod1Goo%2b2QQQaQQQ8B7Gq4tw%3d%3d&amp;rt=2&amp;let=19&amp;ct=0&amp;ft=-1</t>
        </is>
      </c>
      <c r="I84" s="70" t="inlineStr">
        <is>
          <t>زنجیره زمانی</t>
        </is>
      </c>
      <c r="J84" s="70" t="inlineStr">
        <is>
          <t>d512d0bba2cabded1fc83acda1aa18f3b07fe983e5158eb42cedc17679308055</t>
        </is>
      </c>
      <c r="K84" s="70" t="inlineStr">
        <is>
          <t>sources/codal/فارس/v38_type19/T1018807.html</t>
        </is>
      </c>
    </row>
    <row r="85" ht="58" customHeight="1" s="76">
      <c r="A85" s="71" t="inlineStr">
        <is>
          <t>T19_1148753</t>
        </is>
      </c>
      <c r="B85" s="71" t="inlineStr">
        <is>
          <t>فارس</t>
        </is>
      </c>
      <c r="C85" s="71" t="inlineStr">
        <is>
          <t>اطلاعیه ن۴۵ (Type19)</t>
        </is>
      </c>
      <c r="D85" s="71" t="n"/>
      <c r="E85" s="71" t="inlineStr">
        <is>
          <t>معرفی /تغییر در ترکیب اعضای هیئت مدیره/مدیر عامل</t>
        </is>
      </c>
      <c r="F85" s="71" t="n">
        <v>1148753</v>
      </c>
      <c r="G85" s="71" t="inlineStr">
        <is>
          <t>1402/11/09 15:39</t>
        </is>
      </c>
      <c r="H85" s="71" t="inlineStr">
        <is>
          <t>https://www.codal.ir/Reports/Decision.aspx?LetterSerial=8xrLKNgLazctSqI4kOE8QQQaQQQQ%3d%3d&amp;rt=2&amp;let=19&amp;ct=0&amp;ft=-1</t>
        </is>
      </c>
      <c r="I85" s="71" t="inlineStr">
        <is>
          <t>زنجیره زمانی</t>
        </is>
      </c>
      <c r="J85" s="71" t="inlineStr">
        <is>
          <t>922ec90a34f6df5c95ed8bd32abc25f91a9fcbca3e5dacd8fed555a677ff5a0a</t>
        </is>
      </c>
      <c r="K85" s="71" t="inlineStr">
        <is>
          <t>sources/codal/فارس/v38_type19/T1148753.html</t>
        </is>
      </c>
    </row>
    <row r="86" ht="58" customHeight="1" s="76">
      <c r="A86" s="70" t="inlineStr">
        <is>
          <t>T19_1148926</t>
        </is>
      </c>
      <c r="B86" s="70" t="inlineStr">
        <is>
          <t>فارس</t>
        </is>
      </c>
      <c r="C86" s="70" t="inlineStr">
        <is>
          <t>اطلاعیه ن۴۵ (Type19)</t>
        </is>
      </c>
      <c r="D86" s="70" t="n"/>
      <c r="E86" s="70" t="inlineStr">
        <is>
          <t>معرفی /تغییر در ترکیب اعضای هیئت مدیره/مدیر عامل(اصلاحیه)</t>
        </is>
      </c>
      <c r="F86" s="70" t="n">
        <v>1148926</v>
      </c>
      <c r="G86" s="70" t="inlineStr">
        <is>
          <t>1402/11/09 17:46</t>
        </is>
      </c>
      <c r="H86" s="70" t="inlineStr">
        <is>
          <t>https://www.codal.ir/Reports/Decision.aspx?LetterSerial=BKm8tcZiw4SLJpEQQQaQQQMfKzxA%3d%3d&amp;rt=2&amp;let=19&amp;ct=0&amp;ft=-1</t>
        </is>
      </c>
      <c r="I86" s="70" t="inlineStr">
        <is>
          <t>زنجیره زمانی</t>
        </is>
      </c>
      <c r="J86" s="70" t="inlineStr">
        <is>
          <t>d5da06b5dbc4aa302ffabe1c8f4831c58e220f7fdc3fcae839accb8430f02820</t>
        </is>
      </c>
      <c r="K86" s="70" t="inlineStr">
        <is>
          <t>sources/codal/فارس/v38_type19/T1148926.html</t>
        </is>
      </c>
    </row>
    <row r="87" ht="58" customHeight="1" s="76">
      <c r="A87" s="71" t="inlineStr">
        <is>
          <t>T19_1254335</t>
        </is>
      </c>
      <c r="B87" s="71" t="inlineStr">
        <is>
          <t>فارس</t>
        </is>
      </c>
      <c r="C87" s="71" t="inlineStr">
        <is>
          <t>اطلاعیه ن۴۵ (Type19)</t>
        </is>
      </c>
      <c r="D87" s="71" t="n"/>
      <c r="E87" s="71" t="inlineStr">
        <is>
          <t>معرفی /تغییر در ترکیب اعضای هیئت مدیره/مدیر عامل</t>
        </is>
      </c>
      <c r="F87" s="71" t="n">
        <v>1254335</v>
      </c>
      <c r="G87" s="71" t="inlineStr">
        <is>
          <t>1403/07/16 16:59</t>
        </is>
      </c>
      <c r="H87" s="71" t="inlineStr">
        <is>
          <t>https://www.codal.ir/Reports/Decision.aspx?LetterSerial=lpbWKzvrGxmpjSnyRyDTNA%3d%3d&amp;rt=2&amp;let=19&amp;ct=0&amp;ft=-1</t>
        </is>
      </c>
      <c r="I87" s="71" t="inlineStr">
        <is>
          <t>زنجیره زمانی</t>
        </is>
      </c>
      <c r="J87" s="71" t="inlineStr">
        <is>
          <t>ee7e86c24e4379d06cfcc1c13aafa4fa4ae7a0a41f43b52e0d87b012c13c7349</t>
        </is>
      </c>
      <c r="K87" s="71" t="inlineStr">
        <is>
          <t>sources/codal/فارس/v38_type19/T1254335.html</t>
        </is>
      </c>
    </row>
    <row r="88" ht="58" customHeight="1" s="76">
      <c r="A88" s="70" t="inlineStr">
        <is>
          <t>T19_1279471</t>
        </is>
      </c>
      <c r="B88" s="70" t="inlineStr">
        <is>
          <t>فارس</t>
        </is>
      </c>
      <c r="C88" s="70" t="inlineStr">
        <is>
          <t>اطلاعیه ن۴۵ (Type19)</t>
        </is>
      </c>
      <c r="D88" s="70" t="n"/>
      <c r="E88" s="70" t="inlineStr">
        <is>
          <t>معرفی /تغییر در ترکیب اعضای هیئت مدیره/مدیر عامل</t>
        </is>
      </c>
      <c r="F88" s="70" t="n">
        <v>1279471</v>
      </c>
      <c r="G88" s="70" t="inlineStr">
        <is>
          <t>1403/09/13 13:42</t>
        </is>
      </c>
      <c r="H88" s="70" t="inlineStr">
        <is>
          <t>https://www.codal.ir/Reports/Decision.aspx?LetterSerial=rL4w42QQQaQQQlWyQEdCbCJwDt3A%3d%3d&amp;rt=2&amp;let=19&amp;ct=0&amp;ft=-1</t>
        </is>
      </c>
      <c r="I88" s="70" t="inlineStr">
        <is>
          <t>زنجیره زمانی</t>
        </is>
      </c>
      <c r="J88" s="70" t="inlineStr">
        <is>
          <t>206e534c72ef1ae7067b9c54bd0bc49973c810476f0abb14dbbf36b9367cbba5</t>
        </is>
      </c>
      <c r="K88" s="70" t="inlineStr">
        <is>
          <t>sources/codal/فارس/v38_type19/T1279471.html</t>
        </is>
      </c>
    </row>
    <row r="89" ht="58" customHeight="1" s="76">
      <c r="A89" s="71" t="inlineStr">
        <is>
          <t>T19_1335429</t>
        </is>
      </c>
      <c r="B89" s="71" t="inlineStr">
        <is>
          <t>فارس</t>
        </is>
      </c>
      <c r="C89" s="71" t="inlineStr">
        <is>
          <t>اطلاعیه ن۴۵ (Type19)</t>
        </is>
      </c>
      <c r="D89" s="71" t="n"/>
      <c r="E89" s="71" t="inlineStr">
        <is>
          <t>معرفی /تغییر در ترکیب اعضای هیئت مدیره/مدیر عامل(اصلاحیه)</t>
        </is>
      </c>
      <c r="F89" s="71" t="n">
        <v>1335429</v>
      </c>
      <c r="G89" s="71" t="inlineStr">
        <is>
          <t>1404/02/07 20:34</t>
        </is>
      </c>
      <c r="H89" s="71" t="inlineStr">
        <is>
          <t>https://www.codal.ir/Reports/Decision.aspx?LetterSerial=OX6MEs96T1dHFdv2q8yohw%3d%3d&amp;rt=2&amp;let=19&amp;ct=0&amp;ft=-1</t>
        </is>
      </c>
      <c r="I89" s="71" t="inlineStr">
        <is>
          <t>زنجیره زمانی</t>
        </is>
      </c>
      <c r="J89" s="71" t="inlineStr">
        <is>
          <t>2155b680a37dd1d8f3c267cb0a74147eb54ddbe50a66cca179738d5889cebab6</t>
        </is>
      </c>
      <c r="K89" s="71" t="inlineStr">
        <is>
          <t>sources/codal/فارس/v38_type19/T1335429.html</t>
        </is>
      </c>
    </row>
    <row r="90" ht="58" customHeight="1" s="76">
      <c r="A90" s="70" t="inlineStr">
        <is>
          <t>T19_1337293</t>
        </is>
      </c>
      <c r="B90" s="70" t="inlineStr">
        <is>
          <t>فارس</t>
        </is>
      </c>
      <c r="C90" s="70" t="inlineStr">
        <is>
          <t>اطلاعیه ن۴۵ (Type19)</t>
        </is>
      </c>
      <c r="D90" s="70" t="n"/>
      <c r="E90" s="70" t="inlineStr">
        <is>
          <t>معرفی /تغییر در ترکیب اعضای هیئت مدیره/مدیر عامل</t>
        </is>
      </c>
      <c r="F90" s="70" t="n">
        <v>1337293</v>
      </c>
      <c r="G90" s="70" t="inlineStr">
        <is>
          <t>1404/02/10 08:52</t>
        </is>
      </c>
      <c r="H90" s="70" t="inlineStr">
        <is>
          <t>https://www.codal.ir/Reports/Decision.aspx?LetterSerial=YZQQQaQQQzLMVAXLSuVmws8kjppw%3d%3d&amp;rt=2&amp;let=19&amp;ct=0&amp;ft=-1</t>
        </is>
      </c>
      <c r="I90" s="70" t="inlineStr">
        <is>
          <t>زنجیره زمانی</t>
        </is>
      </c>
      <c r="J90" s="70" t="inlineStr">
        <is>
          <t>0c896ef45bf8b397ed4da011a17451d88aa9558380b438d73313c209f372576f</t>
        </is>
      </c>
      <c r="K90" s="70" t="inlineStr">
        <is>
          <t>sources/codal/فارس/v38_type19/T1337293.html</t>
        </is>
      </c>
    </row>
    <row r="91" ht="58" customHeight="1" s="76">
      <c r="A91" s="71" t="inlineStr">
        <is>
          <t>T19_1338492</t>
        </is>
      </c>
      <c r="B91" s="71" t="inlineStr">
        <is>
          <t>فارس</t>
        </is>
      </c>
      <c r="C91" s="71" t="inlineStr">
        <is>
          <t>اطلاعیه ن۴۵ (Type19)</t>
        </is>
      </c>
      <c r="D91" s="71" t="n"/>
      <c r="E91" s="71" t="inlineStr">
        <is>
          <t>معرفی /تغییر در ترکیب اعضای هیئت مدیره/مدیر عامل(اصلاحیه)</t>
        </is>
      </c>
      <c r="F91" s="71" t="n">
        <v>1338492</v>
      </c>
      <c r="G91" s="71" t="inlineStr">
        <is>
          <t>1404/02/10 11:39</t>
        </is>
      </c>
      <c r="H91" s="71" t="inlineStr">
        <is>
          <t>https://www.codal.ir/Reports/Decision.aspx?LetterSerial=5xMDyFG542CQQQaQQQMS2FiXV8LA%3d%3d&amp;rt=2&amp;let=19&amp;ct=0&amp;ft=-1</t>
        </is>
      </c>
      <c r="I91" s="71" t="inlineStr">
        <is>
          <t>زنجیره زمانی</t>
        </is>
      </c>
      <c r="J91" s="71" t="inlineStr">
        <is>
          <t>bd6584aee03ad000859e42927c0eb90d7d7427c5a4cb9d3af66223868dc08845</t>
        </is>
      </c>
      <c r="K91" s="71" t="inlineStr">
        <is>
          <t>sources/codal/فارس/v38_type19/T1338492.html</t>
        </is>
      </c>
    </row>
    <row r="92" ht="58" customHeight="1" s="76">
      <c r="A92" s="70" t="inlineStr">
        <is>
          <t>T19_1344079</t>
        </is>
      </c>
      <c r="B92" s="70" t="inlineStr">
        <is>
          <t>فارس</t>
        </is>
      </c>
      <c r="C92" s="70" t="inlineStr">
        <is>
          <t>اطلاعیه ن۴۵ (Type19)</t>
        </is>
      </c>
      <c r="D92" s="70" t="n"/>
      <c r="E92" s="70" t="inlineStr">
        <is>
          <t>معرفی /تغییر در ترکیب اعضای هیئت مدیره/مدیر عامل</t>
        </is>
      </c>
      <c r="F92" s="70" t="n">
        <v>1344079</v>
      </c>
      <c r="G92" s="70" t="inlineStr">
        <is>
          <t>1404/02/24 14:32</t>
        </is>
      </c>
      <c r="H92" s="70" t="inlineStr">
        <is>
          <t>https://www.codal.ir/Reports/Decision.aspx?LetterSerial=9VQQQaQQQARnfyXfcA62HQQQaQQQ1rGHHg%3d%3d&amp;rt=2&amp;let=19&amp;ct=0&amp;ft=-1</t>
        </is>
      </c>
      <c r="I92" s="70" t="inlineStr">
        <is>
          <t>زنجیره زمانی</t>
        </is>
      </c>
      <c r="J92" s="70" t="inlineStr">
        <is>
          <t>3e962306c889ec86516c72db29a16cc17eb7ba471b2f3648e6cd48b408fa5b01</t>
        </is>
      </c>
      <c r="K92" s="70" t="inlineStr">
        <is>
          <t>sources/codal/فارس/v38_type19/T1344079.html</t>
        </is>
      </c>
    </row>
    <row r="93" ht="58" customHeight="1" s="76">
      <c r="A93" s="71" t="inlineStr">
        <is>
          <t>T19_1346558</t>
        </is>
      </c>
      <c r="B93" s="71" t="inlineStr">
        <is>
          <t>فارس</t>
        </is>
      </c>
      <c r="C93" s="71" t="inlineStr">
        <is>
          <t>اطلاعیه ن۴۵ (Type19)</t>
        </is>
      </c>
      <c r="D93" s="71" t="n"/>
      <c r="E93" s="71" t="inlineStr">
        <is>
          <t>معرفی /تغییر در ترکیب اعضای هیئت مدیره/مدیر عامل</t>
        </is>
      </c>
      <c r="F93" s="71" t="n">
        <v>1346558</v>
      </c>
      <c r="G93" s="71" t="inlineStr">
        <is>
          <t>1404/02/29 18:37</t>
        </is>
      </c>
      <c r="H93" s="71" t="inlineStr">
        <is>
          <t>https://www.codal.ir/Reports/Decision.aspx?LetterSerial=wNzhJrghrOOObOOOIykucXgQQQaQQQFXOw%3d%3d&amp;rt=2&amp;let=19&amp;ct=0&amp;ft=-1</t>
        </is>
      </c>
      <c r="I93" s="71" t="inlineStr">
        <is>
          <t>زنجیره زمانی</t>
        </is>
      </c>
      <c r="J93" s="71" t="inlineStr">
        <is>
          <t>49d011d1a59efc7cdbd6063f7ff93614a969e548b762af685c42de68c141fd15</t>
        </is>
      </c>
      <c r="K93" s="71" t="inlineStr">
        <is>
          <t>sources/codal/فارس/v38_type19/T1346558.html</t>
        </is>
      </c>
    </row>
    <row r="94" ht="58" customHeight="1" s="76">
      <c r="A94" s="70" t="inlineStr">
        <is>
          <t>T19_1417899</t>
        </is>
      </c>
      <c r="B94" s="70" t="inlineStr">
        <is>
          <t>فارس</t>
        </is>
      </c>
      <c r="C94" s="70" t="inlineStr">
        <is>
          <t>اطلاعیه ن۴۵ (Type19)</t>
        </is>
      </c>
      <c r="D94" s="70" t="n"/>
      <c r="E94" s="70" t="inlineStr">
        <is>
          <t>معرفی /تغییر در ترکیب اعضای هیئت مدیره/مدیر عامل(اصلاحیه)</t>
        </is>
      </c>
      <c r="F94" s="70" t="n">
        <v>1417899</v>
      </c>
      <c r="G94" s="70" t="inlineStr">
        <is>
          <t>1404/07/21 16:53</t>
        </is>
      </c>
      <c r="H94" s="70" t="inlineStr">
        <is>
          <t>https://www.codal.ir/Reports/Decision.aspx?LetterSerial=NtqAfxNalwYqxHntQQQaQQQxvYiw%3d%3d&amp;rt=2&amp;let=19&amp;ct=0&amp;ft=-1</t>
        </is>
      </c>
      <c r="I94" s="70" t="inlineStr">
        <is>
          <t>مبنای فهرست اعضا در as-of</t>
        </is>
      </c>
      <c r="J94" s="70" t="inlineStr">
        <is>
          <t>58675db7e32347f95825ffb9971afae030cdde3798d22f3af5cb8fafe3c68455</t>
        </is>
      </c>
      <c r="K94" s="70" t="inlineStr">
        <is>
          <t>sources/codal/فارس/v38_type19/T1417899.html</t>
        </is>
      </c>
    </row>
    <row r="95" ht="58" customHeight="1" s="76">
      <c r="A95" s="71" t="inlineStr">
        <is>
          <t>T19_912195</t>
        </is>
      </c>
      <c r="B95" s="71" t="inlineStr">
        <is>
          <t>خودرو</t>
        </is>
      </c>
      <c r="C95" s="71" t="inlineStr">
        <is>
          <t>اطلاعیه ن۴۵ (Type19)</t>
        </is>
      </c>
      <c r="D95" s="71" t="n"/>
      <c r="E95" s="71" t="inlineStr">
        <is>
          <t>معرفی یا تغییر در ترکیب اعضای هیئت مدیره</t>
        </is>
      </c>
      <c r="F95" s="71" t="n">
        <v>912195</v>
      </c>
      <c r="G95" s="71" t="inlineStr">
        <is>
          <t>1401/04/22 16:03</t>
        </is>
      </c>
      <c r="H95" s="71" t="inlineStr">
        <is>
          <t>https://www.codal.ir/Reports/Decision.aspx?LetterSerial=9dE42BCFk9HkcZaLqq%2bBPA%3d%3d&amp;rt=0&amp;let=19&amp;ct=0&amp;ft=-1</t>
        </is>
      </c>
      <c r="I95" s="71" t="inlineStr">
        <is>
          <t>زنجیره زمانی</t>
        </is>
      </c>
      <c r="J95" s="71" t="inlineStr">
        <is>
          <t>604030c6153d62cf7a6e311da322c36bc52330830e6b0a876cbab31e644b7bcc</t>
        </is>
      </c>
      <c r="K95" s="71" t="inlineStr">
        <is>
          <t>sources/codal/خودرو/v38_type19/T912195.html</t>
        </is>
      </c>
    </row>
    <row r="96" ht="58" customHeight="1" s="76">
      <c r="A96" s="70" t="inlineStr">
        <is>
          <t>T19_998215</t>
        </is>
      </c>
      <c r="B96" s="70" t="inlineStr">
        <is>
          <t>خودرو</t>
        </is>
      </c>
      <c r="C96" s="70" t="inlineStr">
        <is>
          <t>اطلاعیه ن۴۵ (Type19)</t>
        </is>
      </c>
      <c r="D96" s="70" t="n"/>
      <c r="E96" s="70" t="inlineStr">
        <is>
          <t>معرفی /تغییر در ترکیب اعضای هیئت مدیره/مدیر عامل</t>
        </is>
      </c>
      <c r="F96" s="70" t="n">
        <v>998215</v>
      </c>
      <c r="G96" s="70" t="inlineStr">
        <is>
          <t>1401/12/22 19:27</t>
        </is>
      </c>
      <c r="H96" s="70" t="inlineStr">
        <is>
          <t>https://www.codal.ir/Reports/Decision.aspx?LetterSerial=cejVKGM5Lt%2b7EHSQN%2bdAoA%3d%3d&amp;rt=0&amp;let=19&amp;ct=0&amp;ft=-1</t>
        </is>
      </c>
      <c r="I96" s="70" t="inlineStr">
        <is>
          <t>زنجیره زمانی</t>
        </is>
      </c>
      <c r="J96" s="70" t="inlineStr">
        <is>
          <t>aab50123ed7e486f68fdf458233f0ac7fc349c101e374ddb7becc77015f4bcfa</t>
        </is>
      </c>
      <c r="K96" s="70" t="inlineStr">
        <is>
          <t>sources/codal/خودرو/v38_type19/T998215.html</t>
        </is>
      </c>
    </row>
    <row r="97" ht="58" customHeight="1" s="76">
      <c r="A97" s="71" t="inlineStr">
        <is>
          <t>T19_1079450</t>
        </is>
      </c>
      <c r="B97" s="71" t="inlineStr">
        <is>
          <t>خودرو</t>
        </is>
      </c>
      <c r="C97" s="71" t="inlineStr">
        <is>
          <t>اطلاعیه ن۴۵ (Type19)</t>
        </is>
      </c>
      <c r="D97" s="71" t="n"/>
      <c r="E97" s="71" t="inlineStr">
        <is>
          <t>معرفی /تغییر در ترکیب اعضای هیئت مدیره/مدیر عامل</t>
        </is>
      </c>
      <c r="F97" s="71" t="n">
        <v>1079450</v>
      </c>
      <c r="G97" s="71" t="inlineStr">
        <is>
          <t>1402/06/12 13:53</t>
        </is>
      </c>
      <c r="H97" s="71" t="inlineStr">
        <is>
          <t>https://www.codal.ir/Reports/Decision.aspx?LetterSerial=h7QQQaQQQhQKCa4mgQQQaQQQoUyPSKSisw%3d%3d&amp;rt=0&amp;let=19&amp;ct=0&amp;ft=-1</t>
        </is>
      </c>
      <c r="I97" s="71" t="inlineStr">
        <is>
          <t>زنجیره زمانی</t>
        </is>
      </c>
      <c r="J97" s="71" t="inlineStr">
        <is>
          <t>38184575703415bde1b6f13d4c6d11c1d2d44e63fb4a3daf598db8c43f5620ff</t>
        </is>
      </c>
      <c r="K97" s="71" t="inlineStr">
        <is>
          <t>sources/codal/خودرو/v38_type19/T1079450.html</t>
        </is>
      </c>
    </row>
    <row r="98" ht="58" customHeight="1" s="76">
      <c r="A98" s="70" t="inlineStr">
        <is>
          <t>T19_1285658</t>
        </is>
      </c>
      <c r="B98" s="70" t="inlineStr">
        <is>
          <t>خودرو</t>
        </is>
      </c>
      <c r="C98" s="70" t="inlineStr">
        <is>
          <t>اطلاعیه ن۴۵ (Type19)</t>
        </is>
      </c>
      <c r="D98" s="70" t="n"/>
      <c r="E98" s="70" t="inlineStr">
        <is>
          <t>معرفی /تغییر در ترکیب اعضای هیئت مدیره/مدیر عامل</t>
        </is>
      </c>
      <c r="F98" s="70" t="n">
        <v>1285658</v>
      </c>
      <c r="G98" s="70" t="inlineStr">
        <is>
          <t>1403/10/01 11:39</t>
        </is>
      </c>
      <c r="H98" s="70" t="inlineStr">
        <is>
          <t>https://www.codal.ir/Reports/Decision.aspx?LetterSerial=5QQQaQQQOOObOOObKOOObOOOCSMrU7tnkpyVYFUg%3d%3d&amp;rt=0&amp;let=19&amp;ct=0&amp;ft=-1</t>
        </is>
      </c>
      <c r="I98" s="70" t="inlineStr">
        <is>
          <t>زنجیره زمانی</t>
        </is>
      </c>
      <c r="J98" s="70" t="inlineStr">
        <is>
          <t>d6ccd95f4a9831f4010c957e6b384491d3e9fcd6f82248ca925d64b0cf9ab2d7</t>
        </is>
      </c>
      <c r="K98" s="70" t="inlineStr">
        <is>
          <t>sources/codal/خودرو/v38_type19/T1285658.html</t>
        </is>
      </c>
    </row>
    <row r="99" ht="58" customHeight="1" s="76">
      <c r="A99" s="71" t="inlineStr">
        <is>
          <t>T19_1306740</t>
        </is>
      </c>
      <c r="B99" s="71" t="inlineStr">
        <is>
          <t>خودرو</t>
        </is>
      </c>
      <c r="C99" s="71" t="inlineStr">
        <is>
          <t>اطلاعیه ن۴۵ (Type19)</t>
        </is>
      </c>
      <c r="D99" s="71" t="n"/>
      <c r="E99" s="71" t="inlineStr">
        <is>
          <t>معرفی /تغییر در ترکیب اعضای هیئت مدیره/مدیر عامل</t>
        </is>
      </c>
      <c r="F99" s="71" t="n">
        <v>1306740</v>
      </c>
      <c r="G99" s="71" t="inlineStr">
        <is>
          <t>1403/11/21 15:39</t>
        </is>
      </c>
      <c r="H99" s="71" t="inlineStr">
        <is>
          <t>https://www.codal.ir/Reports/Decision.aspx?LetterSerial=gVTCoHYs1M0v5mNrsaCDkA%3d%3d&amp;rt=0&amp;let=19&amp;ct=0&amp;ft=-1</t>
        </is>
      </c>
      <c r="I99" s="71" t="inlineStr">
        <is>
          <t>زنجیره زمانی</t>
        </is>
      </c>
      <c r="J99" s="71" t="inlineStr">
        <is>
          <t>03aad8458feec324cccf700bc2f12c27cc2ca58406378eb69f96110724a629d8</t>
        </is>
      </c>
      <c r="K99" s="71" t="inlineStr">
        <is>
          <t>sources/codal/خودرو/v38_type19/T1306740.html</t>
        </is>
      </c>
    </row>
    <row r="100" ht="58" customHeight="1" s="76">
      <c r="A100" s="70" t="inlineStr">
        <is>
          <t>T19_1308744</t>
        </is>
      </c>
      <c r="B100" s="70" t="inlineStr">
        <is>
          <t>خودرو</t>
        </is>
      </c>
      <c r="C100" s="70" t="inlineStr">
        <is>
          <t>اطلاعیه ن۴۵ (Type19)</t>
        </is>
      </c>
      <c r="D100" s="70" t="n"/>
      <c r="E100" s="70" t="inlineStr">
        <is>
          <t>معرفی /تغییر در ترکیب اعضای هیئت مدیره/مدیر عامل(اصلاحیه)</t>
        </is>
      </c>
      <c r="F100" s="70" t="n">
        <v>1308744</v>
      </c>
      <c r="G100" s="70" t="inlineStr">
        <is>
          <t>1403/11/28 12:29</t>
        </is>
      </c>
      <c r="H100" s="70" t="inlineStr">
        <is>
          <t>https://www.codal.ir/Reports/Decision.aspx?LetterSerial=Py7g1I1hRZbWQQQaQQQmaHVR3hqA%3d%3d&amp;rt=0&amp;let=19&amp;ct=0&amp;ft=-1</t>
        </is>
      </c>
      <c r="I100" s="70" t="inlineStr">
        <is>
          <t>زنجیره زمانی</t>
        </is>
      </c>
      <c r="J100" s="70" t="inlineStr">
        <is>
          <t>cc5b59053166aa67f1da1a455a0934a92d1010b39b87d4af7eb60ef34f6b08ac</t>
        </is>
      </c>
      <c r="K100" s="70" t="inlineStr">
        <is>
          <t>sources/codal/خودرو/v38_type19/T1308744.html</t>
        </is>
      </c>
    </row>
    <row r="101" ht="58" customHeight="1" s="76">
      <c r="A101" s="71" t="inlineStr">
        <is>
          <t>T19_1417850</t>
        </is>
      </c>
      <c r="B101" s="71" t="inlineStr">
        <is>
          <t>خودرو</t>
        </is>
      </c>
      <c r="C101" s="71" t="inlineStr">
        <is>
          <t>اطلاعیه ن۴۵ (Type19)</t>
        </is>
      </c>
      <c r="D101" s="71" t="n"/>
      <c r="E101" s="71" t="inlineStr">
        <is>
          <t>معرفی /تغییر در ترکیب اعضای هیئت مدیره/مدیر عامل</t>
        </is>
      </c>
      <c r="F101" s="71" t="n">
        <v>1417850</v>
      </c>
      <c r="G101" s="71" t="inlineStr">
        <is>
          <t>1404/07/21 14:18</t>
        </is>
      </c>
      <c r="H101" s="71" t="inlineStr">
        <is>
          <t>https://www.codal.ir/Reports/Decision.aspx?LetterSerial=8qXiOOObOOOscQQQaQQQfIOkx3DWj8Uw1Q%3d%3d&amp;rt=0&amp;let=19&amp;ct=0&amp;ft=-1</t>
        </is>
      </c>
      <c r="I101" s="71" t="inlineStr">
        <is>
          <t>مبنای فهرست اعضا در as-of</t>
        </is>
      </c>
      <c r="J101" s="71" t="inlineStr">
        <is>
          <t>e8d2bbaae15cc76c9de36511c33c3271d1c3f78eead6f6da513241560b659ec2</t>
        </is>
      </c>
      <c r="K101" s="71" t="inlineStr">
        <is>
          <t>sources/codal/خودرو/v38_type19/T1417850.html</t>
        </is>
      </c>
    </row>
    <row r="102" ht="58" customHeight="1" s="76">
      <c r="A102" s="70" t="inlineStr">
        <is>
          <t>T19_1433580</t>
        </is>
      </c>
      <c r="B102" s="70" t="inlineStr">
        <is>
          <t>خودرو</t>
        </is>
      </c>
      <c r="C102" s="70" t="inlineStr">
        <is>
          <t>اطلاعیه ن۴۵ (Type19)</t>
        </is>
      </c>
      <c r="D102" s="70" t="n"/>
      <c r="E102" s="70" t="inlineStr">
        <is>
          <t>معرفی /تغییر در ترکیب اعضای هیئت مدیره/مدیر عامل</t>
        </is>
      </c>
      <c r="F102" s="70" t="n">
        <v>1433580</v>
      </c>
      <c r="G102" s="70" t="inlineStr">
        <is>
          <t>1404/08/17 17:57</t>
        </is>
      </c>
      <c r="H102" s="70" t="inlineStr">
        <is>
          <t>https://www.codal.ir/Reports/Decision.aspx?LetterSerial=jiwn56qgl7koiguHISy5jw%3d%3d&amp;rt=0&amp;let=19&amp;ct=0&amp;ft=-1</t>
        </is>
      </c>
      <c r="I102" s="70" t="inlineStr">
        <is>
          <t>زنجیره زمانی</t>
        </is>
      </c>
      <c r="J102" s="70" t="inlineStr">
        <is>
          <t>4c22ecbb98d29e67747fe4ebe8b715fedf3469c9a12bf3dccbf2cedad73f1e5a</t>
        </is>
      </c>
      <c r="K102" s="70" t="inlineStr">
        <is>
          <t>sources/codal/خودرو/v38_type19/T1433580.html</t>
        </is>
      </c>
    </row>
    <row r="103" ht="58" customHeight="1" s="76">
      <c r="A103" s="71" t="inlineStr">
        <is>
          <t>T19_1511411</t>
        </is>
      </c>
      <c r="B103" s="71" t="inlineStr">
        <is>
          <t>خودرو</t>
        </is>
      </c>
      <c r="C103" s="71" t="inlineStr">
        <is>
          <t>اطلاعیه ن۴۵ (Type19)</t>
        </is>
      </c>
      <c r="D103" s="71" t="n"/>
      <c r="E103" s="71" t="inlineStr">
        <is>
          <t>معرفی /تغییر در ترکیب اعضای هیئت مدیره/مدیر عامل</t>
        </is>
      </c>
      <c r="F103" s="71" t="n">
        <v>1511411</v>
      </c>
      <c r="G103" s="71" t="inlineStr">
        <is>
          <t>1405/02/02 08:35</t>
        </is>
      </c>
      <c r="H103" s="71" t="inlineStr">
        <is>
          <t>https://www.codal.ir/Reports/Decision.aspx?LetterSerial=K23o6U1FPtmCLNckv7KJyA%3d%3d&amp;rt=0&amp;let=19&amp;ct=0&amp;ft=-1</t>
        </is>
      </c>
      <c r="I103" s="71" t="inlineStr">
        <is>
          <t>زنجیره زمانی</t>
        </is>
      </c>
      <c r="J103" s="71" t="inlineStr">
        <is>
          <t>6e2eafc3a77d49c616f4da13b323f9b26f649cb4edcc9995f729badcc9db5e78</t>
        </is>
      </c>
      <c r="K103" s="71" t="inlineStr">
        <is>
          <t>sources/codal/خودرو/v38_type19/T1511411.html</t>
        </is>
      </c>
    </row>
    <row r="104" ht="58" customHeight="1" s="76">
      <c r="A104" s="70" t="inlineStr">
        <is>
          <t>T19_1547965</t>
        </is>
      </c>
      <c r="B104" s="70" t="inlineStr">
        <is>
          <t>خودرو</t>
        </is>
      </c>
      <c r="C104" s="70" t="inlineStr">
        <is>
          <t>اطلاعیه ن۴۵ (Type19)</t>
        </is>
      </c>
      <c r="D104" s="70" t="n"/>
      <c r="E104" s="70" t="inlineStr">
        <is>
          <t>معرفی /تغییر در ترکیب اعضای هیئت مدیره/مدیر عامل</t>
        </is>
      </c>
      <c r="F104" s="70" t="n">
        <v>1547965</v>
      </c>
      <c r="G104" s="70" t="inlineStr">
        <is>
          <t>1405/03/19 18:25</t>
        </is>
      </c>
      <c r="H104" s="70" t="inlineStr">
        <is>
          <t>https://www.codal.ir/Reports/Decision.aspx?LetterSerial=wfegi0mBtThVEXpcZqCodQ%3d%3d&amp;rt=0&amp;let=19&amp;ct=0&amp;ft=-1</t>
        </is>
      </c>
      <c r="I104" s="70" t="inlineStr">
        <is>
          <t>زنجیره زمانی</t>
        </is>
      </c>
      <c r="J104" s="70" t="inlineStr">
        <is>
          <t>f2a7b30da8d9c1397f20dc5ac1c5539a7926bb45084c6890e2caa4fe5d07cbd6</t>
        </is>
      </c>
      <c r="K104" s="70" t="inlineStr">
        <is>
          <t>sources/codal/خودرو/v38_type19/T1547965.html</t>
        </is>
      </c>
    </row>
    <row r="105" ht="58" customHeight="1" s="76">
      <c r="A105" s="71" t="inlineStr">
        <is>
          <t>T19_1589109</t>
        </is>
      </c>
      <c r="B105" s="71" t="inlineStr">
        <is>
          <t>خودرو</t>
        </is>
      </c>
      <c r="C105" s="71" t="inlineStr">
        <is>
          <t>اطلاعیه ن۴۵ (Type19)</t>
        </is>
      </c>
      <c r="D105" s="71" t="n"/>
      <c r="E105" s="71" t="inlineStr">
        <is>
          <t>معرفی /تغییر در ترکیب اعضای هیئت مدیره/مدیر عامل</t>
        </is>
      </c>
      <c r="F105" s="71" t="n">
        <v>1589109</v>
      </c>
      <c r="G105" s="71" t="inlineStr">
        <is>
          <t>1405/06/02 10:11</t>
        </is>
      </c>
      <c r="H105" s="71" t="inlineStr">
        <is>
          <t>https://www.codal.ir/Reports/Decision.aspx?LetterSerial=6LaOOObOOOdHUAud9IQQQaQQQV30HPrcbA%3d%3d&amp;rt=0&amp;let=19&amp;ct=0&amp;ft=-1</t>
        </is>
      </c>
      <c r="I105" s="71" t="inlineStr">
        <is>
          <t>زنجیره زمانی</t>
        </is>
      </c>
      <c r="J105" s="71" t="inlineStr">
        <is>
          <t>246ab974c4eff0a6d7bcb2aeba0890acdd2e6ddbefff27532dc73efddc7b7bac</t>
        </is>
      </c>
      <c r="K105" s="71" t="inlineStr">
        <is>
          <t>sources/codal/خودرو/v38_type19/T1589109.html</t>
        </is>
      </c>
    </row>
    <row r="106" ht="58" customHeight="1" s="76">
      <c r="A106" s="70" t="inlineStr">
        <is>
          <t>T19_871052</t>
        </is>
      </c>
      <c r="B106" s="70" t="inlineStr">
        <is>
          <t>زاگرس</t>
        </is>
      </c>
      <c r="C106" s="70" t="inlineStr">
        <is>
          <t>اطلاعیه ن۴۵ (Type19)</t>
        </is>
      </c>
      <c r="D106" s="70" t="n"/>
      <c r="E106" s="70" t="inlineStr">
        <is>
          <t>معرفی یا تغییر در ترکیب اعضای هیئت مدیره</t>
        </is>
      </c>
      <c r="F106" s="70" t="n">
        <v>871052</v>
      </c>
      <c r="G106" s="70" t="inlineStr">
        <is>
          <t>1401/01/29 13:19</t>
        </is>
      </c>
      <c r="H106" s="70" t="inlineStr">
        <is>
          <t>https://www.codal.ir/Reports/Decision.aspx?LetterSerial=%2BOiLR8vv1Opgb4diA13sZA%3D%3D&amp;rt=0&amp;let=19&amp;ct=0&amp;ft=-1</t>
        </is>
      </c>
      <c r="I106" s="70" t="inlineStr">
        <is>
          <t>زنجیره زمانی</t>
        </is>
      </c>
      <c r="J106" s="70" t="inlineStr">
        <is>
          <t>8742907ce9fe6f8c879cfa57e55adff90971e07fb5a7bca3cf5a6c9d7b922d77</t>
        </is>
      </c>
      <c r="K106" s="70" t="inlineStr">
        <is>
          <t>sources/codal/زاگرس/v38_type19/T871052.html</t>
        </is>
      </c>
    </row>
    <row r="107" ht="58" customHeight="1" s="76">
      <c r="A107" s="71" t="inlineStr">
        <is>
          <t>T19_920353</t>
        </is>
      </c>
      <c r="B107" s="71" t="inlineStr">
        <is>
          <t>زاگرس</t>
        </is>
      </c>
      <c r="C107" s="71" t="inlineStr">
        <is>
          <t>اطلاعیه ن۴۵ (Type19)</t>
        </is>
      </c>
      <c r="D107" s="71" t="n"/>
      <c r="E107" s="71" t="inlineStr">
        <is>
          <t>معرفی یا تغییر در ترکیب اعضای هیئت مدیره</t>
        </is>
      </c>
      <c r="F107" s="71" t="n">
        <v>920353</v>
      </c>
      <c r="G107" s="71" t="inlineStr">
        <is>
          <t>1401/05/09 09:50</t>
        </is>
      </c>
      <c r="H107" s="71" t="inlineStr">
        <is>
          <t>https://www.codal.ir/Reports/Decision.aspx?LetterSerial=P%2bQQQaQQQ8SNMcbG9C1DASAYb4ww%3d%3d&amp;rt=0&amp;let=19&amp;ct=0&amp;ft=-1</t>
        </is>
      </c>
      <c r="I107" s="71" t="inlineStr">
        <is>
          <t>زنجیره زمانی</t>
        </is>
      </c>
      <c r="J107" s="71" t="inlineStr">
        <is>
          <t>a739b2afea2e5b44ce61ca0c9bd81b766708f597ebb725a2ee77077e4d2d0567</t>
        </is>
      </c>
      <c r="K107" s="71" t="inlineStr">
        <is>
          <t>sources/codal/زاگرس/v38_type19/T920353.html</t>
        </is>
      </c>
    </row>
    <row r="108" ht="58" customHeight="1" s="76">
      <c r="A108" s="70" t="inlineStr">
        <is>
          <t>T19_1064112</t>
        </is>
      </c>
      <c r="B108" s="70" t="inlineStr">
        <is>
          <t>زاگرس</t>
        </is>
      </c>
      <c r="C108" s="70" t="inlineStr">
        <is>
          <t>اطلاعیه ن۴۵ (Type19)</t>
        </is>
      </c>
      <c r="D108" s="70" t="n"/>
      <c r="E108" s="70" t="inlineStr">
        <is>
          <t>معرفی /تغییر در ترکیب اعضای هیئت مدیره/مدیر عامل</t>
        </is>
      </c>
      <c r="F108" s="70" t="n">
        <v>1064112</v>
      </c>
      <c r="G108" s="70" t="inlineStr">
        <is>
          <t>1402/05/08 18:38</t>
        </is>
      </c>
      <c r="H108" s="70" t="inlineStr">
        <is>
          <t>https://www.codal.ir/Reports/Decision.aspx?LetterSerial=UkbhWVSZ%2bJOsILopBZeTFg%3d%3d&amp;rt=0&amp;let=19&amp;ct=0&amp;ft=-1</t>
        </is>
      </c>
      <c r="I108" s="70" t="inlineStr">
        <is>
          <t>زنجیره زمانی</t>
        </is>
      </c>
      <c r="J108" s="70" t="inlineStr">
        <is>
          <t>491f7877f679a005b5f8e47739e1f0b50f9bd51e08cfa236ff0b8a6bd90ad94c</t>
        </is>
      </c>
      <c r="K108" s="70" t="inlineStr">
        <is>
          <t>sources/codal/زاگرس/v38_type19/T1064112.html</t>
        </is>
      </c>
    </row>
    <row r="109" ht="58" customHeight="1" s="76">
      <c r="A109" s="71" t="inlineStr">
        <is>
          <t>T19_1393291</t>
        </is>
      </c>
      <c r="B109" s="71" t="inlineStr">
        <is>
          <t>زاگرس</t>
        </is>
      </c>
      <c r="C109" s="71" t="inlineStr">
        <is>
          <t>اطلاعیه ن۴۵ (Type19)</t>
        </is>
      </c>
      <c r="D109" s="71" t="n"/>
      <c r="E109" s="71" t="inlineStr">
        <is>
          <t>معرفی /تغییر در ترکیب اعضای هیئت مدیره/مدیر عامل</t>
        </is>
      </c>
      <c r="F109" s="71" t="n">
        <v>1393291</v>
      </c>
      <c r="G109" s="71" t="inlineStr">
        <is>
          <t>1404/05/26 09:54</t>
        </is>
      </c>
      <c r="H109" s="71" t="inlineStr">
        <is>
          <t>https://www.codal.ir/Reports/Decision.aspx?LetterSerial=QxD96QQQaQQQ4UOBYBkOOObOOOOOObOOOT3uAvMw%3d%3d&amp;rt=0&amp;let=19&amp;ct=0&amp;ft=-1</t>
        </is>
      </c>
      <c r="I109" s="71" t="inlineStr">
        <is>
          <t>زنجیره زمانی</t>
        </is>
      </c>
      <c r="J109" s="71" t="inlineStr">
        <is>
          <t>8ec830623be5b492368fdf0295c43365c15c3ee9366db0fccdb6e10aa65e578b</t>
        </is>
      </c>
      <c r="K109" s="71" t="inlineStr">
        <is>
          <t>sources/codal/زاگرس/v38_type19/T1393291.html</t>
        </is>
      </c>
    </row>
    <row r="110" ht="58" customHeight="1" s="76">
      <c r="A110" s="70" t="inlineStr">
        <is>
          <t>T19_1440464</t>
        </is>
      </c>
      <c r="B110" s="70" t="inlineStr">
        <is>
          <t>زاگرس</t>
        </is>
      </c>
      <c r="C110" s="70" t="inlineStr">
        <is>
          <t>اطلاعیه ن۴۵ (Type19)</t>
        </is>
      </c>
      <c r="D110" s="70" t="n"/>
      <c r="E110" s="70" t="inlineStr">
        <is>
          <t>معرفی /تغییر در ترکیب اعضای هیئت مدیره/مدیر عامل</t>
        </is>
      </c>
      <c r="F110" s="70" t="n">
        <v>1440464</v>
      </c>
      <c r="G110" s="70" t="inlineStr">
        <is>
          <t>1404/09/01 11:48</t>
        </is>
      </c>
      <c r="H110" s="70" t="inlineStr">
        <is>
          <t>https://www.codal.ir/Reports/Decision.aspx?LetterSerial=1TT7DtW9BpOOObOOOt26B65KVmRg%3d%3d&amp;rt=0&amp;let=19&amp;ct=0&amp;ft=-1</t>
        </is>
      </c>
      <c r="I110" s="70" t="inlineStr">
        <is>
          <t>زنجیره زمانی</t>
        </is>
      </c>
      <c r="J110" s="70" t="inlineStr">
        <is>
          <t>bfc4ad373019f87947d7eab85d53c689d2f8acdff2a43150a767c6b0bd3a030f</t>
        </is>
      </c>
      <c r="K110" s="70" t="inlineStr">
        <is>
          <t>sources/codal/زاگرس/v38_type19/T1440464.html</t>
        </is>
      </c>
    </row>
    <row r="111" ht="58" customHeight="1" s="76">
      <c r="A111" s="71" t="inlineStr">
        <is>
          <t>T19_1441375</t>
        </is>
      </c>
      <c r="B111" s="71" t="inlineStr">
        <is>
          <t>زاگرس</t>
        </is>
      </c>
      <c r="C111" s="71" t="inlineStr">
        <is>
          <t>اطلاعیه ن۴۵ (Type19)</t>
        </is>
      </c>
      <c r="D111" s="71" t="n"/>
      <c r="E111" s="71" t="inlineStr">
        <is>
          <t>معرفی /تغییر در ترکیب اعضای هیئت مدیره/مدیر عامل</t>
        </is>
      </c>
      <c r="F111" s="71" t="n">
        <v>1441375</v>
      </c>
      <c r="G111" s="71" t="inlineStr">
        <is>
          <t>1404/09/01 12:08</t>
        </is>
      </c>
      <c r="H111" s="71" t="inlineStr">
        <is>
          <t>https://www.codal.ir/Reports/Decision.aspx?LetterSerial=aCQQQaQQQvq6LciiiNJXJP6ESNBg%3d%3d&amp;rt=0&amp;let=19&amp;ct=0&amp;ft=-1</t>
        </is>
      </c>
      <c r="I111" s="71" t="inlineStr">
        <is>
          <t>زنجیره زمانی</t>
        </is>
      </c>
      <c r="J111" s="71" t="inlineStr">
        <is>
          <t>7d30b74bbdca829cf766035f61525197b47d5c81cb0517d812de78f73a472ffe</t>
        </is>
      </c>
      <c r="K111" s="71" t="inlineStr">
        <is>
          <t>sources/codal/زاگرس/v38_type19/T1441375.html</t>
        </is>
      </c>
    </row>
    <row r="112" ht="58" customHeight="1" s="76">
      <c r="A112" s="70" t="inlineStr">
        <is>
          <t>T19_1461380</t>
        </is>
      </c>
      <c r="B112" s="70" t="inlineStr">
        <is>
          <t>زاگرس</t>
        </is>
      </c>
      <c r="C112" s="70" t="inlineStr">
        <is>
          <t>اطلاعیه ن۴۵ (Type19)</t>
        </is>
      </c>
      <c r="D112" s="70" t="n"/>
      <c r="E112" s="70" t="inlineStr">
        <is>
          <t>معرفی /تغییر در ترکیب اعضای هیئت مدیره/مدیر عامل(اصلاحیه)</t>
        </is>
      </c>
      <c r="F112" s="70" t="n">
        <v>1461380</v>
      </c>
      <c r="G112" s="70" t="inlineStr">
        <is>
          <t>1404/10/01 12:36</t>
        </is>
      </c>
      <c r="H112" s="70" t="inlineStr">
        <is>
          <t>https://www.codal.ir/Reports/Decision.aspx?LetterSerial=7CVruTTMToHatBtNMvp0Ng%3d%3d&amp;rt=0&amp;let=19&amp;ct=0&amp;ft=-1</t>
        </is>
      </c>
      <c r="I112" s="70" t="inlineStr">
        <is>
          <t>مبنای فهرست اعضا در as-of</t>
        </is>
      </c>
      <c r="J112" s="70" t="inlineStr">
        <is>
          <t>7d53036fb44d6d9e5272df3f72a81225f063295d6f31744dbb9955d63b3b372d</t>
        </is>
      </c>
      <c r="K112" s="70" t="inlineStr">
        <is>
          <t>sources/codal/زاگرس/v38_type19/T1461380.html</t>
        </is>
      </c>
    </row>
    <row r="113" ht="58" customHeight="1" s="76">
      <c r="A113" s="71" t="inlineStr">
        <is>
          <t>T19_1520943</t>
        </is>
      </c>
      <c r="B113" s="71" t="inlineStr">
        <is>
          <t>زاگرس</t>
        </is>
      </c>
      <c r="C113" s="71" t="inlineStr">
        <is>
          <t>اطلاعیه ن۴۵ (Type19)</t>
        </is>
      </c>
      <c r="D113" s="71" t="n"/>
      <c r="E113" s="71" t="inlineStr">
        <is>
          <t>معرفی /تغییر در ترکیب اعضای هیئت مدیره/مدیر عامل</t>
        </is>
      </c>
      <c r="F113" s="71" t="n">
        <v>1520943</v>
      </c>
      <c r="G113" s="71" t="inlineStr">
        <is>
          <t>1405/02/19 15:11</t>
        </is>
      </c>
      <c r="H113" s="71" t="inlineStr">
        <is>
          <t>https://www.codal.ir/Reports/Decision.aspx?LetterSerial=Ahpit7ggmqnfv2XtkYyhDQ%3d%3d&amp;rt=0&amp;let=19&amp;ct=0&amp;ft=-1</t>
        </is>
      </c>
      <c r="I113" s="71" t="inlineStr">
        <is>
          <t>زنجیره زمانی</t>
        </is>
      </c>
      <c r="J113" s="71" t="inlineStr">
        <is>
          <t>133e6bdcd7f2b89a723c6bc89c47674b4d3bf4f8b6ad25c5eefb88de56a37e15</t>
        </is>
      </c>
      <c r="K113" s="71" t="inlineStr">
        <is>
          <t>sources/codal/زاگرس/v38_type19/T1520943.html</t>
        </is>
      </c>
    </row>
    <row r="114" ht="58" customHeight="1" s="76">
      <c r="A114" s="70" t="inlineStr">
        <is>
          <t>T19_993127</t>
        </is>
      </c>
      <c r="B114" s="70" t="inlineStr">
        <is>
          <t>شبندر</t>
        </is>
      </c>
      <c r="C114" s="70" t="inlineStr">
        <is>
          <t>اطلاعیه ن۴۵ (Type19)</t>
        </is>
      </c>
      <c r="D114" s="70" t="n"/>
      <c r="E114" s="70" t="inlineStr">
        <is>
          <t>معرفی /تغییر در ترکیب اعضای هیئت مدیره/مدیر عامل</t>
        </is>
      </c>
      <c r="F114" s="70" t="n">
        <v>993127</v>
      </c>
      <c r="G114" s="70" t="inlineStr">
        <is>
          <t>1401/11/25 12:19</t>
        </is>
      </c>
      <c r="H114" s="70" t="inlineStr">
        <is>
          <t>https://www.codal.ir/Reports/Decision.aspx?LetterSerial=BQQQaQQQWK8QQQaQQQ284od3fiisuZQOvg%3d%3d&amp;rt=0&amp;let=19&amp;ct=0&amp;ft=-1</t>
        </is>
      </c>
      <c r="I114" s="70" t="inlineStr">
        <is>
          <t>زنجیره زمانی</t>
        </is>
      </c>
      <c r="J114" s="70" t="inlineStr">
        <is>
          <t>f8a6a1b82ce5e6c269c8cf333338751b74926a3c7268fdab758826fae04052e3</t>
        </is>
      </c>
      <c r="K114" s="70" t="inlineStr">
        <is>
          <t>sources/codal/شبندر/v38_type19/T993127.html</t>
        </is>
      </c>
    </row>
    <row r="115" ht="58" customHeight="1" s="76">
      <c r="A115" s="71" t="inlineStr">
        <is>
          <t>T19_1058293</t>
        </is>
      </c>
      <c r="B115" s="71" t="inlineStr">
        <is>
          <t>شبندر</t>
        </is>
      </c>
      <c r="C115" s="71" t="inlineStr">
        <is>
          <t>اطلاعیه ن۴۵ (Type19)</t>
        </is>
      </c>
      <c r="D115" s="71" t="n"/>
      <c r="E115" s="71" t="inlineStr">
        <is>
          <t>معرفی /تغییر در ترکیب اعضای هیئت مدیره/مدیر عامل(اصلاحیه)</t>
        </is>
      </c>
      <c r="F115" s="71" t="n">
        <v>1058293</v>
      </c>
      <c r="G115" s="71" t="inlineStr">
        <is>
          <t>1402/04/27 09:15</t>
        </is>
      </c>
      <c r="H115" s="71" t="inlineStr">
        <is>
          <t>https://www.codal.ir/Reports/Decision.aspx?LetterSerial=XCyK70F28Yem1g0pngJzFg%3d%3d&amp;rt=0&amp;let=19&amp;ct=0&amp;ft=-1</t>
        </is>
      </c>
      <c r="I115" s="71" t="inlineStr">
        <is>
          <t>زنجیره زمانی</t>
        </is>
      </c>
      <c r="J115" s="71" t="inlineStr">
        <is>
          <t>eeae6a5507bfe8e0161c7d6d0757b55080fefcc1bf9a773ea2471f8337a44c8a</t>
        </is>
      </c>
      <c r="K115" s="71" t="inlineStr">
        <is>
          <t>sources/codal/شبندر/v38_type19/T1058293.html</t>
        </is>
      </c>
    </row>
    <row r="116" ht="58" customHeight="1" s="76">
      <c r="A116" s="70" t="inlineStr">
        <is>
          <t>T19_1147526</t>
        </is>
      </c>
      <c r="B116" s="70" t="inlineStr">
        <is>
          <t>شبندر</t>
        </is>
      </c>
      <c r="C116" s="70" t="inlineStr">
        <is>
          <t>اطلاعیه ن۴۵ (Type19)</t>
        </is>
      </c>
      <c r="D116" s="70" t="n"/>
      <c r="E116" s="70" t="inlineStr">
        <is>
          <t>معرفی /تغییر در ترکیب اعضای هیئت مدیره/مدیر عامل</t>
        </is>
      </c>
      <c r="F116" s="70" t="n">
        <v>1147526</v>
      </c>
      <c r="G116" s="70" t="inlineStr">
        <is>
          <t>1402/11/07 16:03</t>
        </is>
      </c>
      <c r="H116" s="70" t="inlineStr">
        <is>
          <t>https://www.codal.ir/Reports/Decision.aspx?LetterSerial=xv0Of7DtxPpQQQaQQQiIuQQQaQQQToUG3Q%3d%3d&amp;rt=0&amp;let=19&amp;ct=0&amp;ft=-1</t>
        </is>
      </c>
      <c r="I116" s="70" t="inlineStr">
        <is>
          <t>زنجیره زمانی</t>
        </is>
      </c>
      <c r="J116" s="70" t="inlineStr">
        <is>
          <t>c4a336a3f724950379b1d6179e7fdce6e860c7ecd79d62cc42698703027ccc03</t>
        </is>
      </c>
      <c r="K116" s="70" t="inlineStr">
        <is>
          <t>sources/codal/شبندر/v38_type19/T1147526.html</t>
        </is>
      </c>
    </row>
    <row r="117" ht="58" customHeight="1" s="76">
      <c r="A117" s="71" t="inlineStr">
        <is>
          <t>T19_1169450</t>
        </is>
      </c>
      <c r="B117" s="71" t="inlineStr">
        <is>
          <t>شبندر</t>
        </is>
      </c>
      <c r="C117" s="71" t="inlineStr">
        <is>
          <t>اطلاعیه ن۴۵ (Type19)</t>
        </is>
      </c>
      <c r="D117" s="71" t="n"/>
      <c r="E117" s="71" t="inlineStr">
        <is>
          <t>معرفی /تغییر در ترکیب اعضای هیئت مدیره/مدیر عامل</t>
        </is>
      </c>
      <c r="F117" s="71" t="n">
        <v>1169450</v>
      </c>
      <c r="G117" s="71" t="inlineStr">
        <is>
          <t>1402/12/26 15:49</t>
        </is>
      </c>
      <c r="H117" s="71" t="inlineStr">
        <is>
          <t>https://www.codal.ir/Reports/Decision.aspx?LetterSerial=gUm823bzL4b3YluaC4WTFg%3d%3d&amp;rt=0&amp;let=19&amp;ct=0&amp;ft=-1</t>
        </is>
      </c>
      <c r="I117" s="71" t="inlineStr">
        <is>
          <t>زنجیره زمانی</t>
        </is>
      </c>
      <c r="J117" s="71" t="inlineStr">
        <is>
          <t>70e8cdca1773e5483cb4ceed0035caa007f5ec5d68d701ffcb33a986f2f4bfba</t>
        </is>
      </c>
      <c r="K117" s="71" t="inlineStr">
        <is>
          <t>sources/codal/شبندر/v38_type19/T1169450.html</t>
        </is>
      </c>
    </row>
    <row r="118" ht="58" customHeight="1" s="76">
      <c r="A118" s="70" t="inlineStr">
        <is>
          <t>T19_1170350</t>
        </is>
      </c>
      <c r="B118" s="70" t="inlineStr">
        <is>
          <t>شبندر</t>
        </is>
      </c>
      <c r="C118" s="70" t="inlineStr">
        <is>
          <t>اطلاعیه ن۴۵ (Type19)</t>
        </is>
      </c>
      <c r="D118" s="70" t="n"/>
      <c r="E118" s="70" t="inlineStr">
        <is>
          <t>معرفی /تغییر در ترکیب اعضای هیئت مدیره/مدیر عامل</t>
        </is>
      </c>
      <c r="F118" s="70" t="n">
        <v>1170350</v>
      </c>
      <c r="G118" s="70" t="inlineStr">
        <is>
          <t>1402/12/27 12:29</t>
        </is>
      </c>
      <c r="H118" s="70" t="inlineStr">
        <is>
          <t>https://www.codal.ir/Reports/Decision.aspx?LetterSerial=xguuqf6nBsxVEpLf7erIjg%3d%3d&amp;rt=0&amp;let=19&amp;ct=0&amp;ft=-1</t>
        </is>
      </c>
      <c r="I118" s="70" t="inlineStr">
        <is>
          <t>زنجیره زمانی</t>
        </is>
      </c>
      <c r="J118" s="70" t="inlineStr">
        <is>
          <t>cbef4b031e3f042dd9a6feeda899492b48f34d3ceda04f21520a740c4fb41602</t>
        </is>
      </c>
      <c r="K118" s="70" t="inlineStr">
        <is>
          <t>sources/codal/شبندر/v38_type19/T1170350.html</t>
        </is>
      </c>
    </row>
    <row r="119" ht="58" customHeight="1" s="76">
      <c r="A119" s="71" t="inlineStr">
        <is>
          <t>T19_1177443</t>
        </is>
      </c>
      <c r="B119" s="71" t="inlineStr">
        <is>
          <t>شبندر</t>
        </is>
      </c>
      <c r="C119" s="71" t="inlineStr">
        <is>
          <t>اطلاعیه ن۴۵ (Type19)</t>
        </is>
      </c>
      <c r="D119" s="71" t="n"/>
      <c r="E119" s="71" t="inlineStr">
        <is>
          <t>معرفی /تغییر در ترکیب اعضای هیئت مدیره/مدیر عامل</t>
        </is>
      </c>
      <c r="F119" s="71" t="n">
        <v>1177443</v>
      </c>
      <c r="G119" s="71" t="inlineStr">
        <is>
          <t>1403/01/27 16:28</t>
        </is>
      </c>
      <c r="H119" s="71" t="inlineStr">
        <is>
          <t>https://www.codal.ir/Reports/Decision.aspx?LetterSerial=hCUtu4C3hEjY6cBZWQQQaQQQeeUg%3d%3d&amp;rt=0&amp;let=19&amp;ct=0&amp;ft=-1</t>
        </is>
      </c>
      <c r="I119" s="71" t="inlineStr">
        <is>
          <t>زنجیره زمانی</t>
        </is>
      </c>
      <c r="J119" s="71" t="inlineStr">
        <is>
          <t>a66abb9a584c5860332330d151cbc1be6874299a1d3bc7b2fb7b1a0c7c2522ab</t>
        </is>
      </c>
      <c r="K119" s="71" t="inlineStr">
        <is>
          <t>sources/codal/شبندر/v38_type19/T1177443.html</t>
        </is>
      </c>
    </row>
    <row r="120" ht="58" customHeight="1" s="76">
      <c r="A120" s="70" t="inlineStr">
        <is>
          <t>T19_1323928</t>
        </is>
      </c>
      <c r="B120" s="70" t="inlineStr">
        <is>
          <t>شبندر</t>
        </is>
      </c>
      <c r="C120" s="70" t="inlineStr">
        <is>
          <t>اطلاعیه ن۴۵ (Type19)</t>
        </is>
      </c>
      <c r="D120" s="70" t="n"/>
      <c r="E120" s="70" t="inlineStr">
        <is>
          <t>معرفی /تغییر در ترکیب اعضای هیئت مدیره/مدیر عامل</t>
        </is>
      </c>
      <c r="F120" s="70" t="n">
        <v>1323928</v>
      </c>
      <c r="G120" s="70" t="inlineStr">
        <is>
          <t>1404/01/16 08:50</t>
        </is>
      </c>
      <c r="H120" s="70" t="inlineStr">
        <is>
          <t>https://www.codal.ir/Reports/Decision.aspx?LetterSerial=LJ3g45UvZljFytTKhsnf7g%3d%3d&amp;rt=0&amp;let=19&amp;ct=0&amp;ft=-1</t>
        </is>
      </c>
      <c r="I120" s="70" t="inlineStr">
        <is>
          <t>زنجیره زمانی</t>
        </is>
      </c>
      <c r="J120" s="70" t="inlineStr">
        <is>
          <t>2025aa29cec8de8e61d86ce3b8a2e16a97b50971ed33408cfd87acdd7dea3634</t>
        </is>
      </c>
      <c r="K120" s="70" t="inlineStr">
        <is>
          <t>sources/codal/شبندر/v38_type19/T1323928.html</t>
        </is>
      </c>
    </row>
    <row r="121" ht="58" customHeight="1" s="76">
      <c r="A121" s="71" t="inlineStr">
        <is>
          <t>T19_1327416</t>
        </is>
      </c>
      <c r="B121" s="71" t="inlineStr">
        <is>
          <t>شبندر</t>
        </is>
      </c>
      <c r="C121" s="71" t="inlineStr">
        <is>
          <t>اطلاعیه ن۴۵ (Type19)</t>
        </is>
      </c>
      <c r="D121" s="71" t="n"/>
      <c r="E121" s="71" t="inlineStr">
        <is>
          <t>معرفی /تغییر در ترکیب اعضای هیئت مدیره/مدیر عامل(اصلاحیه)</t>
        </is>
      </c>
      <c r="F121" s="71" t="n">
        <v>1327416</v>
      </c>
      <c r="G121" s="71" t="inlineStr">
        <is>
          <t>1404/01/17 09:30</t>
        </is>
      </c>
      <c r="H121" s="71" t="inlineStr">
        <is>
          <t>https://www.codal.ir/Reports/Decision.aspx?LetterSerial=ULk65ZOHpAkFOOObOOOb3pLpblJQ%3d%3d&amp;rt=0&amp;let=19&amp;ct=0&amp;ft=-1</t>
        </is>
      </c>
      <c r="I121" s="71" t="inlineStr">
        <is>
          <t>زنجیره زمانی</t>
        </is>
      </c>
      <c r="J121" s="71" t="inlineStr">
        <is>
          <t>a8280c6e48ecf08dbff10cf8b82cdf6c15ef725d72703460ee6ff6c1de47f6fc</t>
        </is>
      </c>
      <c r="K121" s="71" t="inlineStr">
        <is>
          <t>sources/codal/شبندر/v38_type19/T1327416.html</t>
        </is>
      </c>
    </row>
    <row r="122" ht="58" customHeight="1" s="76">
      <c r="A122" s="70" t="inlineStr">
        <is>
          <t>T19_1393995</t>
        </is>
      </c>
      <c r="B122" s="70" t="inlineStr">
        <is>
          <t>شبندر</t>
        </is>
      </c>
      <c r="C122" s="70" t="inlineStr">
        <is>
          <t>اطلاعیه ن۴۵ (Type19)</t>
        </is>
      </c>
      <c r="D122" s="70" t="n"/>
      <c r="E122" s="70" t="inlineStr">
        <is>
          <t>معرفی /تغییر در ترکیب اعضای هیئت مدیره/مدیر عامل</t>
        </is>
      </c>
      <c r="F122" s="70" t="n">
        <v>1393995</v>
      </c>
      <c r="G122" s="70" t="inlineStr">
        <is>
          <t>1404/05/27 15:49</t>
        </is>
      </c>
      <c r="H122" s="70" t="inlineStr">
        <is>
          <t>https://www.codal.ir/Reports/Decision.aspx?LetterSerial=cTash2BNdGtuS3XWXLH3bw%3d%3d&amp;rt=0&amp;let=19&amp;ct=0&amp;ft=-1</t>
        </is>
      </c>
      <c r="I122" s="70" t="inlineStr">
        <is>
          <t>زنجیره زمانی</t>
        </is>
      </c>
      <c r="J122" s="70" t="inlineStr">
        <is>
          <t>3d0b3b6afdf871b152c18d3d20b6330fe77559bbfbd7f763d4436d75723fb76f</t>
        </is>
      </c>
      <c r="K122" s="70" t="inlineStr">
        <is>
          <t>sources/codal/شبندر/v38_type19/T1393995.html</t>
        </is>
      </c>
    </row>
    <row r="123" ht="58" customHeight="1" s="76">
      <c r="A123" s="71" t="inlineStr">
        <is>
          <t>T19_1411918</t>
        </is>
      </c>
      <c r="B123" s="71" t="inlineStr">
        <is>
          <t>شبندر</t>
        </is>
      </c>
      <c r="C123" s="71" t="inlineStr">
        <is>
          <t>اطلاعیه ن۴۵ (Type19)</t>
        </is>
      </c>
      <c r="D123" s="71" t="n"/>
      <c r="E123" s="71" t="inlineStr">
        <is>
          <t>معرفی /تغییر در ترکیب اعضای هیئت مدیره/مدیر عامل</t>
        </is>
      </c>
      <c r="F123" s="71" t="n">
        <v>1411918</v>
      </c>
      <c r="G123" s="71" t="inlineStr">
        <is>
          <t>1404/07/07 18:16</t>
        </is>
      </c>
      <c r="H123" s="71" t="inlineStr">
        <is>
          <t>https://www.codal.ir/Reports/Decision.aspx?LetterSerial=jpZVgdOOObOOOfOJi5MXRYfJoEfg%3d%3d&amp;rt=0&amp;let=19&amp;ct=0&amp;ft=-1</t>
        </is>
      </c>
      <c r="I123" s="71" t="inlineStr">
        <is>
          <t>زنجیره زمانی</t>
        </is>
      </c>
      <c r="J123" s="71" t="inlineStr">
        <is>
          <t>9015f65b4d8bc0e01f3af434b834747508750c5bad05a8fe0f2f1d0a354b63b7</t>
        </is>
      </c>
      <c r="K123" s="71" t="inlineStr">
        <is>
          <t>sources/codal/شبندر/v38_type19/T1411918.html</t>
        </is>
      </c>
    </row>
    <row r="124" ht="58" customHeight="1" s="76">
      <c r="A124" s="70" t="inlineStr">
        <is>
          <t>T19_1465718</t>
        </is>
      </c>
      <c r="B124" s="70" t="inlineStr">
        <is>
          <t>شبندر</t>
        </is>
      </c>
      <c r="C124" s="70" t="inlineStr">
        <is>
          <t>اطلاعیه ن۴۵ (Type19)</t>
        </is>
      </c>
      <c r="D124" s="70" t="n"/>
      <c r="E124" s="70" t="inlineStr">
        <is>
          <t>معرفی /تغییر در ترکیب اعضای هیئت مدیره/مدیر عامل</t>
        </is>
      </c>
      <c r="F124" s="70" t="n">
        <v>1465718</v>
      </c>
      <c r="G124" s="70" t="inlineStr">
        <is>
          <t>1404/10/07 15:08</t>
        </is>
      </c>
      <c r="H124" s="70" t="inlineStr">
        <is>
          <t>https://www.codal.ir/Reports/Decision.aspx?LetterSerial=y9Zt605P1bXJwBDkq7nQQQaQQQJQ%3d%3d&amp;rt=0&amp;let=19&amp;ct=0&amp;ft=-1</t>
        </is>
      </c>
      <c r="I124" s="70" t="inlineStr">
        <is>
          <t>زنجیره زمانی</t>
        </is>
      </c>
      <c r="J124" s="70" t="inlineStr">
        <is>
          <t>8a453a20872344bceb23abd0218b015e9b1a5c142a6018ee03a332e6a3aa5f86</t>
        </is>
      </c>
      <c r="K124" s="70" t="inlineStr">
        <is>
          <t>sources/codal/شبندر/v38_type19/T1465718.html</t>
        </is>
      </c>
    </row>
    <row r="125" ht="58" customHeight="1" s="76">
      <c r="A125" s="71" t="inlineStr">
        <is>
          <t>T19_1472522</t>
        </is>
      </c>
      <c r="B125" s="71" t="inlineStr">
        <is>
          <t>شبندر</t>
        </is>
      </c>
      <c r="C125" s="71" t="inlineStr">
        <is>
          <t>اطلاعیه ن۴۵ (Type19)</t>
        </is>
      </c>
      <c r="D125" s="71" t="n"/>
      <c r="E125" s="71" t="inlineStr">
        <is>
          <t>معرفی /تغییر در ترکیب اعضای هیئت مدیره/مدیر عامل</t>
        </is>
      </c>
      <c r="F125" s="71" t="n">
        <v>1472522</v>
      </c>
      <c r="G125" s="71" t="inlineStr">
        <is>
          <t>1404/10/24 11:34</t>
        </is>
      </c>
      <c r="H125" s="71" t="inlineStr">
        <is>
          <t>https://www.codal.ir/Reports/Decision.aspx?LetterSerial=kealwqnfPYdWwbR3UB9uZw%3d%3d&amp;rt=0&amp;let=19&amp;ct=0&amp;ft=-1</t>
        </is>
      </c>
      <c r="I125" s="71" t="inlineStr">
        <is>
          <t>مبنای فهرست اعضا در as-of</t>
        </is>
      </c>
      <c r="J125" s="71" t="inlineStr">
        <is>
          <t>883e1dfe2459560d101bc5a6452ed44552a4e05a641eaba1393204f8c9687370</t>
        </is>
      </c>
      <c r="K125" s="71" t="inlineStr">
        <is>
          <t>sources/codal/شبندر/v38_type19/T1472522.html</t>
        </is>
      </c>
    </row>
    <row r="126" ht="58" customHeight="1" s="76">
      <c r="A126" s="70" t="inlineStr">
        <is>
          <t>T19_916928</t>
        </is>
      </c>
      <c r="B126" s="70" t="inlineStr">
        <is>
          <t>پارس</t>
        </is>
      </c>
      <c r="C126" s="70" t="inlineStr">
        <is>
          <t>اطلاعیه ن۴۵ (Type19)</t>
        </is>
      </c>
      <c r="D126" s="70" t="n"/>
      <c r="E126" s="70" t="inlineStr">
        <is>
          <t>معرفی یا تغییر در ترکیب اعضای هیئت مدیره</t>
        </is>
      </c>
      <c r="F126" s="70" t="n">
        <v>916928</v>
      </c>
      <c r="G126" s="70" t="inlineStr">
        <is>
          <t>1401/05/01 15:44</t>
        </is>
      </c>
      <c r="H126" s="70" t="inlineStr">
        <is>
          <t>https://www.codal.ir/Reports/Decision.aspx?LetterSerial=DPcb8zhDuGg9YTay8OHuIg%3d%3d&amp;rt=0&amp;let=19&amp;ct=0&amp;ft=-1</t>
        </is>
      </c>
      <c r="I126" s="70" t="inlineStr">
        <is>
          <t>زنجیره زمانی</t>
        </is>
      </c>
      <c r="J126" s="70" t="inlineStr">
        <is>
          <t>70e2eaa512eac83149bbfa4988246cb359c35bdd3d2ef96e0f8d6d8579abf9ad</t>
        </is>
      </c>
      <c r="K126" s="70" t="inlineStr">
        <is>
          <t>sources/codal/پارس/v38_type19/T916928.html</t>
        </is>
      </c>
    </row>
    <row r="127" ht="58" customHeight="1" s="76">
      <c r="A127" s="71" t="inlineStr">
        <is>
          <t>T19_927464</t>
        </is>
      </c>
      <c r="B127" s="71" t="inlineStr">
        <is>
          <t>پارس</t>
        </is>
      </c>
      <c r="C127" s="71" t="inlineStr">
        <is>
          <t>اطلاعیه ن۴۵ (Type19)</t>
        </is>
      </c>
      <c r="D127" s="71" t="n"/>
      <c r="E127" s="71" t="inlineStr">
        <is>
          <t>معرفی یا تغییر در ترکیب اعضای هیئت مدیره</t>
        </is>
      </c>
      <c r="F127" s="71" t="n">
        <v>927464</v>
      </c>
      <c r="G127" s="71" t="inlineStr">
        <is>
          <t>1401/05/31 21:20</t>
        </is>
      </c>
      <c r="H127" s="71" t="inlineStr">
        <is>
          <t>https://www.codal.ir/Reports/Decision.aspx?LetterSerial=Cq8eAhgLoQQQaQQQWdUMcQQQaQQQ24RLOw%3d%3d&amp;rt=0&amp;let=19&amp;ct=0&amp;ft=-1</t>
        </is>
      </c>
      <c r="I127" s="71" t="inlineStr">
        <is>
          <t>زنجیره زمانی</t>
        </is>
      </c>
      <c r="J127" s="71" t="inlineStr">
        <is>
          <t>cedd5093fffa1ed58345b8abfb157752b6199525ad2033160744b7c6db456b84</t>
        </is>
      </c>
      <c r="K127" s="71" t="inlineStr">
        <is>
          <t>sources/codal/پارس/v38_type19/T927464.html</t>
        </is>
      </c>
    </row>
    <row r="128" ht="58" customHeight="1" s="76">
      <c r="A128" s="70" t="inlineStr">
        <is>
          <t>T19_932969</t>
        </is>
      </c>
      <c r="B128" s="70" t="inlineStr">
        <is>
          <t>پارس</t>
        </is>
      </c>
      <c r="C128" s="70" t="inlineStr">
        <is>
          <t>اطلاعیه ن۴۵ (Type19)</t>
        </is>
      </c>
      <c r="D128" s="70" t="n"/>
      <c r="E128" s="70" t="inlineStr">
        <is>
          <t>معرفی /تغییر در ترکیب اعضای هیئت مدیره/مدیر عامل(اصلاحیه)</t>
        </is>
      </c>
      <c r="F128" s="70" t="n">
        <v>932969</v>
      </c>
      <c r="G128" s="70" t="inlineStr">
        <is>
          <t>1401/06/09 15:29</t>
        </is>
      </c>
      <c r="H128" s="70" t="inlineStr">
        <is>
          <t>https://www.codal.ir/Reports/Decision.aspx?LetterSerial=1%2bxzP2HmMZeL3cfv3os97Q%3d%3d&amp;rt=0&amp;let=19&amp;ct=0&amp;ft=-1</t>
        </is>
      </c>
      <c r="I128" s="70" t="inlineStr">
        <is>
          <t>زنجیره زمانی</t>
        </is>
      </c>
      <c r="J128" s="70" t="inlineStr">
        <is>
          <t>27c0d890489c87bbf1d664b3ef19703679f15816f3159ceaa3d3685309fe082e</t>
        </is>
      </c>
      <c r="K128" s="70" t="inlineStr">
        <is>
          <t>sources/codal/پارس/v38_type19/T932969.html</t>
        </is>
      </c>
    </row>
    <row r="129" ht="58" customHeight="1" s="76">
      <c r="A129" s="71" t="inlineStr">
        <is>
          <t>T19_1114891</t>
        </is>
      </c>
      <c r="B129" s="71" t="inlineStr">
        <is>
          <t>پارس</t>
        </is>
      </c>
      <c r="C129" s="71" t="inlineStr">
        <is>
          <t>اطلاعیه ن۴۵ (Type19)</t>
        </is>
      </c>
      <c r="D129" s="71" t="n"/>
      <c r="E129" s="71" t="inlineStr">
        <is>
          <t>معرفی /تغییر در ترکیب اعضای هیئت مدیره/مدیر عامل</t>
        </is>
      </c>
      <c r="F129" s="71" t="n">
        <v>1114891</v>
      </c>
      <c r="G129" s="71" t="inlineStr">
        <is>
          <t>1402/09/08 18:38</t>
        </is>
      </c>
      <c r="H129" s="71" t="inlineStr">
        <is>
          <t>https://www.codal.ir/Reports/Decision.aspx?LetterSerial=zGOjc8zOne8wgKAW8%2bPDwA%3d%3d&amp;rt=0&amp;let=19&amp;ct=0&amp;ft=-1</t>
        </is>
      </c>
      <c r="I129" s="71" t="inlineStr">
        <is>
          <t>زنجیره زمانی</t>
        </is>
      </c>
      <c r="J129" s="71" t="inlineStr">
        <is>
          <t>4808750388550f18fc3325d1d45905cfe4838202d0268ce4db9bc5ea8d037021</t>
        </is>
      </c>
      <c r="K129" s="71" t="inlineStr">
        <is>
          <t>sources/codal/پارس/v38_type19/T1114891.html</t>
        </is>
      </c>
    </row>
    <row r="130" ht="58" customHeight="1" s="76">
      <c r="A130" s="70" t="inlineStr">
        <is>
          <t>T19_1168124</t>
        </is>
      </c>
      <c r="B130" s="70" t="inlineStr">
        <is>
          <t>پارس</t>
        </is>
      </c>
      <c r="C130" s="70" t="inlineStr">
        <is>
          <t>اطلاعیه ن۴۵ (Type19)</t>
        </is>
      </c>
      <c r="D130" s="70" t="n"/>
      <c r="E130" s="70" t="inlineStr">
        <is>
          <t>معرفی /تغییر در ترکیب اعضای هیئت مدیره/مدیر عامل</t>
        </is>
      </c>
      <c r="F130" s="70" t="n">
        <v>1168124</v>
      </c>
      <c r="G130" s="70" t="inlineStr">
        <is>
          <t>1402/12/28 09:40</t>
        </is>
      </c>
      <c r="H130" s="70" t="inlineStr">
        <is>
          <t>https://www.codal.ir/Reports/Decision.aspx?LetterSerial=OUkQEou830pQQQaQQQ64RStd7d6g%3d%3d&amp;rt=0&amp;let=19&amp;ct=0&amp;ft=-1</t>
        </is>
      </c>
      <c r="I130" s="70" t="inlineStr">
        <is>
          <t>زنجیره زمانی</t>
        </is>
      </c>
      <c r="J130" s="70" t="inlineStr">
        <is>
          <t>8323036b25a3f651a124e92f0222643a858e85664391768811c4dcb3d05f0293</t>
        </is>
      </c>
      <c r="K130" s="70" t="inlineStr">
        <is>
          <t>sources/codal/پارس/v38_type19/T1168124.html</t>
        </is>
      </c>
    </row>
    <row r="131" ht="58" customHeight="1" s="76">
      <c r="A131" s="71" t="inlineStr">
        <is>
          <t>T19_1173735</t>
        </is>
      </c>
      <c r="B131" s="71" t="inlineStr">
        <is>
          <t>پارس</t>
        </is>
      </c>
      <c r="C131" s="71" t="inlineStr">
        <is>
          <t>اطلاعیه ن۴۵ (Type19)</t>
        </is>
      </c>
      <c r="D131" s="71" t="n"/>
      <c r="E131" s="71" t="inlineStr">
        <is>
          <t>معرفی /تغییر در ترکیب اعضای هیئت مدیره/مدیر عامل(اصلاحیه)</t>
        </is>
      </c>
      <c r="F131" s="71" t="n">
        <v>1173735</v>
      </c>
      <c r="G131" s="71" t="inlineStr">
        <is>
          <t>1403/01/14 11:49</t>
        </is>
      </c>
      <c r="H131" s="71" t="inlineStr">
        <is>
          <t>https://www.codal.ir/Reports/Decision.aspx?LetterSerial=g0w7qu5N9iqklLkjIh%2biyg%3d%3d&amp;rt=0&amp;let=19&amp;ct=0&amp;ft=-1</t>
        </is>
      </c>
      <c r="I131" s="71" t="inlineStr">
        <is>
          <t>زنجیره زمانی</t>
        </is>
      </c>
      <c r="J131" s="71" t="inlineStr">
        <is>
          <t>d17e14879046d0be0b624972c4f7265ed672359e8153b352314593f6662d4950</t>
        </is>
      </c>
      <c r="K131" s="71" t="inlineStr">
        <is>
          <t>sources/codal/پارس/v38_type19/T1173735.html</t>
        </is>
      </c>
    </row>
    <row r="132" ht="58" customHeight="1" s="76">
      <c r="A132" s="70" t="inlineStr">
        <is>
          <t>T19_1232772</t>
        </is>
      </c>
      <c r="B132" s="70" t="inlineStr">
        <is>
          <t>پارس</t>
        </is>
      </c>
      <c r="C132" s="70" t="inlineStr">
        <is>
          <t>اطلاعیه ن۴۵ (Type19)</t>
        </is>
      </c>
      <c r="D132" s="70" t="n"/>
      <c r="E132" s="70" t="inlineStr">
        <is>
          <t>معرفی /تغییر در ترکیب اعضای هیئت مدیره/مدیر عامل</t>
        </is>
      </c>
      <c r="F132" s="70" t="n">
        <v>1232772</v>
      </c>
      <c r="G132" s="70" t="inlineStr">
        <is>
          <t>1403/05/22 15:44</t>
        </is>
      </c>
      <c r="H132" s="70" t="inlineStr">
        <is>
          <t>https://www.codal.ir/Reports/Decision.aspx?LetterSerial=5EU0XER4ORa2W24pC9PUOA%3d%3d&amp;rt=0&amp;let=19&amp;ct=0&amp;ft=-1</t>
        </is>
      </c>
      <c r="I132" s="70" t="inlineStr">
        <is>
          <t>زنجیره زمانی</t>
        </is>
      </c>
      <c r="J132" s="70" t="inlineStr">
        <is>
          <t>ed094b4ab9adffd15458eb671b4fc043c08b4d7d221d2f7fdaf009f068834f2c</t>
        </is>
      </c>
      <c r="K132" s="70" t="inlineStr">
        <is>
          <t>sources/codal/پارس/v38_type19/T1232772.html</t>
        </is>
      </c>
    </row>
    <row r="133" ht="58" customHeight="1" s="76">
      <c r="A133" s="71" t="inlineStr">
        <is>
          <t>T19_1256903</t>
        </is>
      </c>
      <c r="B133" s="71" t="inlineStr">
        <is>
          <t>پارس</t>
        </is>
      </c>
      <c r="C133" s="71" t="inlineStr">
        <is>
          <t>اطلاعیه ن۴۵ (Type19)</t>
        </is>
      </c>
      <c r="D133" s="71" t="n"/>
      <c r="E133" s="71" t="inlineStr">
        <is>
          <t>معرفی /تغییر در ترکیب اعضای هیئت مدیره/مدیر عامل</t>
        </is>
      </c>
      <c r="F133" s="71" t="n">
        <v>1256903</v>
      </c>
      <c r="G133" s="71" t="inlineStr">
        <is>
          <t>1403/07/24 15:47</t>
        </is>
      </c>
      <c r="H133" s="71" t="inlineStr">
        <is>
          <t>https://www.codal.ir/Reports/Decision.aspx?LetterSerial=nbjrXxlMb7VBHtpmbMp28w%3d%3d&amp;rt=0&amp;let=19&amp;ct=0&amp;ft=-1</t>
        </is>
      </c>
      <c r="I133" s="71" t="inlineStr">
        <is>
          <t>زنجیره زمانی</t>
        </is>
      </c>
      <c r="J133" s="71" t="inlineStr">
        <is>
          <t>9d103ac4fd199a9d997293c1e0330ee7f79416575c3ec2945a95f3ed027e3373</t>
        </is>
      </c>
      <c r="K133" s="71" t="inlineStr">
        <is>
          <t>sources/codal/پارس/v38_type19/T1256903.html</t>
        </is>
      </c>
    </row>
    <row r="134" ht="58" customHeight="1" s="76">
      <c r="A134" s="70" t="inlineStr">
        <is>
          <t>T19_1258780</t>
        </is>
      </c>
      <c r="B134" s="70" t="inlineStr">
        <is>
          <t>پارس</t>
        </is>
      </c>
      <c r="C134" s="70" t="inlineStr">
        <is>
          <t>اطلاعیه ن۴۵ (Type19)</t>
        </is>
      </c>
      <c r="D134" s="70" t="n"/>
      <c r="E134" s="70" t="inlineStr">
        <is>
          <t>معرفی /تغییر در ترکیب اعضای هیئت مدیره/مدیر عامل(اصلاحیه)</t>
        </is>
      </c>
      <c r="F134" s="70" t="n">
        <v>1258780</v>
      </c>
      <c r="G134" s="70" t="inlineStr">
        <is>
          <t>1403/07/29 13:02</t>
        </is>
      </c>
      <c r="H134" s="70" t="inlineStr">
        <is>
          <t>https://www.codal.ir/Reports/Decision.aspx?LetterSerial=yWFzeLVOOObOOOIYbLkQQQaQQQMkW0plUA%3d%3d&amp;rt=0&amp;let=19&amp;ct=0&amp;ft=-1</t>
        </is>
      </c>
      <c r="I134" s="70" t="inlineStr">
        <is>
          <t>زنجیره زمانی</t>
        </is>
      </c>
      <c r="J134" s="70" t="inlineStr">
        <is>
          <t>5b6b9106e28559bb56adef5aa172fc447b1c8c2e122686e6a94d33559e23401a</t>
        </is>
      </c>
      <c r="K134" s="70" t="inlineStr">
        <is>
          <t>sources/codal/پارس/v38_type19/T1258780.html</t>
        </is>
      </c>
    </row>
    <row r="135" ht="58" customHeight="1" s="76">
      <c r="A135" s="71" t="inlineStr">
        <is>
          <t>T19_1312374</t>
        </is>
      </c>
      <c r="B135" s="71" t="inlineStr">
        <is>
          <t>پارس</t>
        </is>
      </c>
      <c r="C135" s="71" t="inlineStr">
        <is>
          <t>اطلاعیه ن۴۵ (Type19)</t>
        </is>
      </c>
      <c r="D135" s="71" t="n"/>
      <c r="E135" s="71" t="inlineStr">
        <is>
          <t>معرفی /تغییر در ترکیب اعضای هیئت مدیره/مدیر عامل</t>
        </is>
      </c>
      <c r="F135" s="71" t="n">
        <v>1312374</v>
      </c>
      <c r="G135" s="71" t="inlineStr">
        <is>
          <t>1403/12/11 13:07</t>
        </is>
      </c>
      <c r="H135" s="71" t="inlineStr">
        <is>
          <t>https://www.codal.ir/Reports/Decision.aspx?LetterSerial=vw2QQQaQQQOOObOOOd7eRPotVOOObOOOJWDHqvAw%3d%3d&amp;rt=0&amp;let=19&amp;ct=0&amp;ft=-1</t>
        </is>
      </c>
      <c r="I135" s="71" t="inlineStr">
        <is>
          <t>زنجیره زمانی</t>
        </is>
      </c>
      <c r="J135" s="71" t="inlineStr">
        <is>
          <t>ef4868c4afc00dd0bd20fef418cdb5e1b7d9f509bf3ae30e3ffdb866e6ddbdd5</t>
        </is>
      </c>
      <c r="K135" s="71" t="inlineStr">
        <is>
          <t>sources/codal/پارس/v38_type19/T1312374.html</t>
        </is>
      </c>
    </row>
    <row r="136" ht="58" customHeight="1" s="76">
      <c r="A136" s="70" t="inlineStr">
        <is>
          <t>T19_1334124</t>
        </is>
      </c>
      <c r="B136" s="70" t="inlineStr">
        <is>
          <t>پارس</t>
        </is>
      </c>
      <c r="C136" s="70" t="inlineStr">
        <is>
          <t>اطلاعیه ن۴۵ (Type19)</t>
        </is>
      </c>
      <c r="D136" s="70" t="n"/>
      <c r="E136" s="70" t="inlineStr">
        <is>
          <t>معرفی /تغییر در ترکیب اعضای هیئت مدیره/مدیر عامل</t>
        </is>
      </c>
      <c r="F136" s="70" t="n">
        <v>1334124</v>
      </c>
      <c r="G136" s="70" t="inlineStr">
        <is>
          <t>1404/02/02 15:40</t>
        </is>
      </c>
      <c r="H136" s="70" t="inlineStr">
        <is>
          <t>https://www.codal.ir/Reports/Decision.aspx?LetterSerial=sjHofZygVLXICVj8iXL3Aw%3d%3d&amp;rt=0&amp;let=19&amp;ct=0&amp;ft=-1</t>
        </is>
      </c>
      <c r="I136" s="70" t="inlineStr">
        <is>
          <t>زنجیره زمانی</t>
        </is>
      </c>
      <c r="J136" s="70" t="inlineStr">
        <is>
          <t>693e4b427acf9537b4812bd283bcbd1c427100f552c647eb4141120aa64e4ae2</t>
        </is>
      </c>
      <c r="K136" s="70" t="inlineStr">
        <is>
          <t>sources/codal/پارس/v38_type19/T1334124.html</t>
        </is>
      </c>
    </row>
    <row r="137" ht="58" customHeight="1" s="76">
      <c r="A137" s="71" t="inlineStr">
        <is>
          <t>T19_1400738</t>
        </is>
      </c>
      <c r="B137" s="71" t="inlineStr">
        <is>
          <t>پارس</t>
        </is>
      </c>
      <c r="C137" s="71" t="inlineStr">
        <is>
          <t>اطلاعیه ن۴۵ (Type19)</t>
        </is>
      </c>
      <c r="D137" s="71" t="n"/>
      <c r="E137" s="71" t="inlineStr">
        <is>
          <t>معرفی /تغییر در ترکیب اعضای هیئت مدیره/مدیر عامل</t>
        </is>
      </c>
      <c r="F137" s="71" t="n">
        <v>1400738</v>
      </c>
      <c r="G137" s="71" t="inlineStr">
        <is>
          <t>1404/06/11 15:58</t>
        </is>
      </c>
      <c r="H137" s="71" t="inlineStr">
        <is>
          <t>https://www.codal.ir/Reports/Decision.aspx?LetterSerial=bPOsQQQaQQQ6xoep58y3RaXE0cag%3d%3d&amp;rt=0&amp;let=19&amp;ct=0&amp;ft=-1</t>
        </is>
      </c>
      <c r="I137" s="71" t="inlineStr">
        <is>
          <t>زنجیره زمانی</t>
        </is>
      </c>
      <c r="J137" s="71" t="inlineStr">
        <is>
          <t>50025ad8574be0e457ca82dc563e7c4aee3aeac5f52eef963d9e85f12edc0029</t>
        </is>
      </c>
      <c r="K137" s="71" t="inlineStr">
        <is>
          <t>sources/codal/پارس/v38_type19/T1400738.html</t>
        </is>
      </c>
    </row>
    <row r="138" ht="58" customHeight="1" s="76">
      <c r="A138" s="70" t="inlineStr">
        <is>
          <t>T19_1411740</t>
        </is>
      </c>
      <c r="B138" s="70" t="inlineStr">
        <is>
          <t>پارس</t>
        </is>
      </c>
      <c r="C138" s="70" t="inlineStr">
        <is>
          <t>اطلاعیه ن۴۵ (Type19)</t>
        </is>
      </c>
      <c r="D138" s="70" t="n"/>
      <c r="E138" s="70" t="inlineStr">
        <is>
          <t>معرفی /تغییر در ترکیب اعضای هیئت مدیره/مدیر عامل(اصلاحیه)</t>
        </is>
      </c>
      <c r="F138" s="70" t="n">
        <v>1411740</v>
      </c>
      <c r="G138" s="70" t="inlineStr">
        <is>
          <t>1404/07/08 12:04</t>
        </is>
      </c>
      <c r="H138" s="70" t="inlineStr">
        <is>
          <t>https://www.codal.ir/Reports/Decision.aspx?LetterSerial=zvyU71nhSRw5hoITkmhHTA%3d%3d&amp;rt=0&amp;let=19&amp;ct=0&amp;ft=-1</t>
        </is>
      </c>
      <c r="I138" s="70" t="inlineStr">
        <is>
          <t>زنجیره زمانی</t>
        </is>
      </c>
      <c r="J138" s="70" t="inlineStr">
        <is>
          <t>4787666d2e4b19452efee58572555ae1f966599c286fd8bfbeeffa6a62141a4d</t>
        </is>
      </c>
      <c r="K138" s="70" t="inlineStr">
        <is>
          <t>sources/codal/پارس/v38_type19/T1411740.html</t>
        </is>
      </c>
    </row>
    <row r="139" ht="58" customHeight="1" s="76">
      <c r="A139" s="71" t="inlineStr">
        <is>
          <t>T19_1423115</t>
        </is>
      </c>
      <c r="B139" s="71" t="inlineStr">
        <is>
          <t>پارس</t>
        </is>
      </c>
      <c r="C139" s="71" t="inlineStr">
        <is>
          <t>اطلاعیه ن۴۵ (Type19)</t>
        </is>
      </c>
      <c r="D139" s="71" t="n"/>
      <c r="E139" s="71" t="inlineStr">
        <is>
          <t>معرفی /تغییر در ترکیب اعضای هیئت مدیره/مدیر عامل</t>
        </is>
      </c>
      <c r="F139" s="71" t="n">
        <v>1423115</v>
      </c>
      <c r="G139" s="71" t="inlineStr">
        <is>
          <t>1404/07/29 11:13</t>
        </is>
      </c>
      <c r="H139" s="71" t="inlineStr">
        <is>
          <t>https://www.codal.ir/Reports/Decision.aspx?LetterSerial=1kqm2T6e5zV5EQQQaQQQKdlIj9HA%3d%3d&amp;rt=0&amp;let=19&amp;ct=0&amp;ft=-1</t>
        </is>
      </c>
      <c r="I139" s="71" t="inlineStr">
        <is>
          <t>مبنای فهرست اعضا در as-of</t>
        </is>
      </c>
      <c r="J139" s="71" t="inlineStr">
        <is>
          <t>9bba8ab88e599033df3845871b86d1d2365da81b6936ae035316c533147ea275</t>
        </is>
      </c>
      <c r="K139" s="71" t="inlineStr">
        <is>
          <t>sources/codal/پارس/v38_type19/T1423115.html</t>
        </is>
      </c>
    </row>
    <row r="140" ht="58" customHeight="1" s="76">
      <c r="A140" s="70" t="inlineStr">
        <is>
          <t>T19_1482700</t>
        </is>
      </c>
      <c r="B140" s="70" t="inlineStr">
        <is>
          <t>پارس</t>
        </is>
      </c>
      <c r="C140" s="70" t="inlineStr">
        <is>
          <t>اطلاعیه ن۴۵ (Type19)</t>
        </is>
      </c>
      <c r="D140" s="70" t="n"/>
      <c r="E140" s="70" t="inlineStr">
        <is>
          <t>معرفی /تغییر در ترکیب اعضای هیئت مدیره/مدیر عامل</t>
        </is>
      </c>
      <c r="F140" s="70" t="n">
        <v>1482700</v>
      </c>
      <c r="G140" s="70" t="inlineStr">
        <is>
          <t>1405/02/02 15:08</t>
        </is>
      </c>
      <c r="H140" s="70" t="inlineStr">
        <is>
          <t>https://www.codal.ir/Reports/Decision.aspx?LetterSerial=5ccPSY4hC0ii0SceUso79Q%3d%3d&amp;rt=0&amp;let=19&amp;ct=0&amp;ft=-1</t>
        </is>
      </c>
      <c r="I140" s="70" t="inlineStr">
        <is>
          <t>زنجیره زمانی</t>
        </is>
      </c>
      <c r="J140" s="70" t="inlineStr">
        <is>
          <t>708820813682c8d88138dce70d8dbe78fe4ecb32ecfc2e45adc222c607fbd794</t>
        </is>
      </c>
      <c r="K140" s="70" t="inlineStr">
        <is>
          <t>sources/codal/پارس/v38_type19/T1482700.html</t>
        </is>
      </c>
    </row>
    <row r="141" ht="58" customHeight="1" s="76">
      <c r="A141" s="71" t="inlineStr">
        <is>
          <t>T19_944826</t>
        </is>
      </c>
      <c r="B141" s="71" t="inlineStr">
        <is>
          <t>شتران</t>
        </is>
      </c>
      <c r="C141" s="71" t="inlineStr">
        <is>
          <t>اطلاعیه ن۴۵ (Type19)</t>
        </is>
      </c>
      <c r="D141" s="71" t="n"/>
      <c r="E141" s="71" t="inlineStr">
        <is>
          <t>معرفی /تغییر در ترکیب اعضای هیئت مدیره/مدیر عامل</t>
        </is>
      </c>
      <c r="F141" s="71" t="n">
        <v>944826</v>
      </c>
      <c r="G141" s="71" t="inlineStr">
        <is>
          <t>1401/07/18 12:24</t>
        </is>
      </c>
      <c r="H141" s="71" t="inlineStr">
        <is>
          <t>https://www.codal.ir/Reports/Decision.aspx?LetterSerial=40ItHx883oyMOU9XVZW6BQ%3d%3d&amp;rt=0&amp;let=19&amp;ct=0&amp;ft=-1</t>
        </is>
      </c>
      <c r="I141" s="71" t="inlineStr">
        <is>
          <t>زنجیره زمانی</t>
        </is>
      </c>
      <c r="J141" s="71" t="inlineStr">
        <is>
          <t>c529117725c7ffd72965af71fca221b8c6b1b123d3bab924ef611406720dcab1</t>
        </is>
      </c>
      <c r="K141" s="71" t="inlineStr">
        <is>
          <t>sources/codal/شتران/v38_type19/T944826.html</t>
        </is>
      </c>
    </row>
    <row r="142" ht="58" customHeight="1" s="76">
      <c r="A142" s="70" t="inlineStr">
        <is>
          <t>T19_964186</t>
        </is>
      </c>
      <c r="B142" s="70" t="inlineStr">
        <is>
          <t>شتران</t>
        </is>
      </c>
      <c r="C142" s="70" t="inlineStr">
        <is>
          <t>اطلاعیه ن۴۵ (Type19)</t>
        </is>
      </c>
      <c r="D142" s="70" t="n"/>
      <c r="E142" s="70" t="inlineStr">
        <is>
          <t>معرفی /تغییر در ترکیب اعضای هیئت مدیره/مدیر عامل</t>
        </is>
      </c>
      <c r="F142" s="70" t="n">
        <v>964186</v>
      </c>
      <c r="G142" s="70" t="inlineStr">
        <is>
          <t>1401/09/07 14:06</t>
        </is>
      </c>
      <c r="H142" s="70" t="inlineStr">
        <is>
          <t>https://www.codal.ir/Reports/Decision.aspx?LetterSerial=am3GE0L5gXXB4Kem4b444w%3d%3d&amp;rt=0&amp;let=19&amp;ct=0&amp;ft=-1</t>
        </is>
      </c>
      <c r="I142" s="70" t="inlineStr">
        <is>
          <t>زنجیره زمانی</t>
        </is>
      </c>
      <c r="J142" s="70" t="inlineStr">
        <is>
          <t>70de772e1aeaafd19e9e87578312515e582c16ec28077563e714678f8e12921c</t>
        </is>
      </c>
      <c r="K142" s="70" t="inlineStr">
        <is>
          <t>sources/codal/شتران/v38_type19/T964186.html</t>
        </is>
      </c>
    </row>
    <row r="143" ht="58" customHeight="1" s="76">
      <c r="A143" s="71" t="inlineStr">
        <is>
          <t>T19_965643</t>
        </is>
      </c>
      <c r="B143" s="71" t="inlineStr">
        <is>
          <t>شتران</t>
        </is>
      </c>
      <c r="C143" s="71" t="inlineStr">
        <is>
          <t>اطلاعیه ن۴۵ (Type19)</t>
        </is>
      </c>
      <c r="D143" s="71" t="n"/>
      <c r="E143" s="71" t="inlineStr">
        <is>
          <t>معرفی /تغییر در ترکیب اعضای هیئت مدیره/مدیر عامل</t>
        </is>
      </c>
      <c r="F143" s="71" t="n">
        <v>965643</v>
      </c>
      <c r="G143" s="71" t="inlineStr">
        <is>
          <t>1401/09/09 09:41</t>
        </is>
      </c>
      <c r="H143" s="71" t="inlineStr">
        <is>
          <t>https://www.codal.ir/Reports/Decision.aspx?LetterSerial=8Jslpd8EzacdY0lILys9iw%3d%3d&amp;rt=0&amp;let=19&amp;ct=0&amp;ft=-1</t>
        </is>
      </c>
      <c r="I143" s="71" t="inlineStr">
        <is>
          <t>زنجیره زمانی</t>
        </is>
      </c>
      <c r="J143" s="71" t="inlineStr">
        <is>
          <t>6dec2ff49491ab481dbc182af57f1bd75869cc145a6473111f945003185e98be</t>
        </is>
      </c>
      <c r="K143" s="71" t="inlineStr">
        <is>
          <t>sources/codal/شتران/v38_type19/T965643.html</t>
        </is>
      </c>
    </row>
    <row r="144" ht="58" customHeight="1" s="76">
      <c r="A144" s="70" t="inlineStr">
        <is>
          <t>T19_989571</t>
        </is>
      </c>
      <c r="B144" s="70" t="inlineStr">
        <is>
          <t>شتران</t>
        </is>
      </c>
      <c r="C144" s="70" t="inlineStr">
        <is>
          <t>اطلاعیه ن۴۵ (Type19)</t>
        </is>
      </c>
      <c r="D144" s="70" t="n"/>
      <c r="E144" s="70" t="inlineStr">
        <is>
          <t>معرفی /تغییر در ترکیب اعضای هیئت مدیره/مدیر عامل</t>
        </is>
      </c>
      <c r="F144" s="70" t="n">
        <v>989571</v>
      </c>
      <c r="G144" s="70" t="inlineStr">
        <is>
          <t>1401/11/10 15:51</t>
        </is>
      </c>
      <c r="H144" s="70" t="inlineStr">
        <is>
          <t>https://www.codal.ir/Reports/Decision.aspx?LetterSerial=SB8nt0Y2X8Z18PkvNbLLjA%3d%3d&amp;rt=0&amp;let=19&amp;ct=0&amp;ft=-1</t>
        </is>
      </c>
      <c r="I144" s="70" t="inlineStr">
        <is>
          <t>زنجیره زمانی</t>
        </is>
      </c>
      <c r="J144" s="70" t="inlineStr">
        <is>
          <t>eb3598260fea9dc3d304cdae885d2fe8b2f76f799815b337526298993f426d93</t>
        </is>
      </c>
      <c r="K144" s="70" t="inlineStr">
        <is>
          <t>sources/codal/شتران/v38_type19/T989571.html</t>
        </is>
      </c>
    </row>
    <row r="145" ht="58" customHeight="1" s="76">
      <c r="A145" s="71" t="inlineStr">
        <is>
          <t>T19_1076413</t>
        </is>
      </c>
      <c r="B145" s="71" t="inlineStr">
        <is>
          <t>شتران</t>
        </is>
      </c>
      <c r="C145" s="71" t="inlineStr">
        <is>
          <t>اطلاعیه ن۴۵ (Type19)</t>
        </is>
      </c>
      <c r="D145" s="71" t="n"/>
      <c r="E145" s="71" t="inlineStr">
        <is>
          <t>معرفی /تغییر در ترکیب اعضای هیئت مدیره/مدیر عامل</t>
        </is>
      </c>
      <c r="F145" s="71" t="n">
        <v>1076413</v>
      </c>
      <c r="G145" s="71" t="inlineStr">
        <is>
          <t>1402/07/05 12:49</t>
        </is>
      </c>
      <c r="H145" s="71" t="inlineStr">
        <is>
          <t>https://www.codal.ir/Reports/Decision.aspx?LetterSerial=wOsfmyfpORMKR7iVXcRwGA%3d%3d&amp;rt=0&amp;let=19&amp;ct=0&amp;ft=-1</t>
        </is>
      </c>
      <c r="I145" s="71" t="inlineStr">
        <is>
          <t>زنجیره زمانی</t>
        </is>
      </c>
      <c r="J145" s="71" t="inlineStr">
        <is>
          <t>de062b98627c002105a1066e30ead9bbc3a0c1685d6f46b975edf21d0b8ef4dc</t>
        </is>
      </c>
      <c r="K145" s="71" t="inlineStr">
        <is>
          <t>sources/codal/شتران/v38_type19/T1076413.html</t>
        </is>
      </c>
    </row>
    <row r="146" ht="58" customHeight="1" s="76">
      <c r="A146" s="70" t="inlineStr">
        <is>
          <t>T19_1093177</t>
        </is>
      </c>
      <c r="B146" s="70" t="inlineStr">
        <is>
          <t>شتران</t>
        </is>
      </c>
      <c r="C146" s="70" t="inlineStr">
        <is>
          <t>اطلاعیه ن۴۵ (Type19)</t>
        </is>
      </c>
      <c r="D146" s="70" t="n"/>
      <c r="E146" s="70" t="inlineStr">
        <is>
          <t>معرفی /تغییر در ترکیب اعضای هیئت مدیره/مدیر عامل</t>
        </is>
      </c>
      <c r="F146" s="70" t="n">
        <v>1093177</v>
      </c>
      <c r="G146" s="70" t="inlineStr">
        <is>
          <t>1402/08/02 09:01</t>
        </is>
      </c>
      <c r="H146" s="70" t="inlineStr">
        <is>
          <t>https://www.codal.ir/Reports/Decision.aspx?LetterSerial=%2bsCIzbQUSybiwad5hKIneg%3d%3d&amp;rt=0&amp;let=19&amp;ct=0&amp;ft=-1</t>
        </is>
      </c>
      <c r="I146" s="70" t="inlineStr">
        <is>
          <t>زنجیره زمانی</t>
        </is>
      </c>
      <c r="J146" s="70" t="inlineStr">
        <is>
          <t>79ed10a89b15cbd0a3935c0c9293627aba7ec728bea3ba987276ef4e2a4d0bff</t>
        </is>
      </c>
      <c r="K146" s="70" t="inlineStr">
        <is>
          <t>sources/codal/شتران/v38_type19/T1093177.html</t>
        </is>
      </c>
    </row>
    <row r="147" ht="58" customHeight="1" s="76">
      <c r="A147" s="71" t="inlineStr">
        <is>
          <t>T19_1174210</t>
        </is>
      </c>
      <c r="B147" s="71" t="inlineStr">
        <is>
          <t>شتران</t>
        </is>
      </c>
      <c r="C147" s="71" t="inlineStr">
        <is>
          <t>اطلاعیه ن۴۵ (Type19)</t>
        </is>
      </c>
      <c r="D147" s="71" t="n"/>
      <c r="E147" s="71" t="inlineStr">
        <is>
          <t>معرفی /تغییر در ترکیب اعضای هیئت مدیره/مدیر عامل</t>
        </is>
      </c>
      <c r="F147" s="71" t="n">
        <v>1174210</v>
      </c>
      <c r="G147" s="71" t="inlineStr">
        <is>
          <t>1403/01/15 15:29</t>
        </is>
      </c>
      <c r="H147" s="71" t="inlineStr">
        <is>
          <t>https://www.codal.ir/Reports/Decision.aspx?LetterSerial=uE5teeX9Uh6fx6ZVXdrxgw%3d%3d&amp;rt=0&amp;let=19&amp;ct=0&amp;ft=-1</t>
        </is>
      </c>
      <c r="I147" s="71" t="inlineStr">
        <is>
          <t>زنجیره زمانی</t>
        </is>
      </c>
      <c r="J147" s="71" t="inlineStr">
        <is>
          <t>d1189fa8744c75f032c470924a59242b9df342cf34718df0eb543775ef66e34e</t>
        </is>
      </c>
      <c r="K147" s="71" t="inlineStr">
        <is>
          <t>sources/codal/شتران/v38_type19/T1174210.html</t>
        </is>
      </c>
    </row>
    <row r="148" ht="58" customHeight="1" s="76">
      <c r="A148" s="70" t="inlineStr">
        <is>
          <t>T19_1182238</t>
        </is>
      </c>
      <c r="B148" s="70" t="inlineStr">
        <is>
          <t>شتران</t>
        </is>
      </c>
      <c r="C148" s="70" t="inlineStr">
        <is>
          <t>اطلاعیه ن۴۵ (Type19)</t>
        </is>
      </c>
      <c r="D148" s="70" t="n"/>
      <c r="E148" s="70" t="inlineStr">
        <is>
          <t>معرفی /تغییر در ترکیب اعضای هیئت مدیره/مدیر عامل(اصلاحیه)</t>
        </is>
      </c>
      <c r="F148" s="70" t="n">
        <v>1182238</v>
      </c>
      <c r="G148" s="70" t="inlineStr">
        <is>
          <t>1403/02/05 11:58</t>
        </is>
      </c>
      <c r="H148" s="70" t="inlineStr">
        <is>
          <t>https://www.codal.ir/Reports/Decision.aspx?LetterSerial=VdljbyE8wSTIFKjGdpn6sA%3d%3d&amp;rt=0&amp;let=19&amp;ct=0&amp;ft=-1</t>
        </is>
      </c>
      <c r="I148" s="70" t="inlineStr">
        <is>
          <t>زنجیره زمانی</t>
        </is>
      </c>
      <c r="J148" s="70" t="inlineStr">
        <is>
          <t>0607e30b9e59ae9c9ea2bd9e89073b7f3e0ba53636f977214353786caa53a398</t>
        </is>
      </c>
      <c r="K148" s="70" t="inlineStr">
        <is>
          <t>sources/codal/شتران/v38_type19/T1182238.html</t>
        </is>
      </c>
    </row>
    <row r="149" ht="58" customHeight="1" s="76">
      <c r="A149" s="71" t="inlineStr">
        <is>
          <t>T19_1182357</t>
        </is>
      </c>
      <c r="B149" s="71" t="inlineStr">
        <is>
          <t>شتران</t>
        </is>
      </c>
      <c r="C149" s="71" t="inlineStr">
        <is>
          <t>اطلاعیه ن۴۵ (Type19)</t>
        </is>
      </c>
      <c r="D149" s="71" t="n"/>
      <c r="E149" s="71" t="inlineStr">
        <is>
          <t>معرفی /تغییر در ترکیب اعضای هیئت مدیره/مدیر عامل(اصلاحیه)</t>
        </is>
      </c>
      <c r="F149" s="71" t="n">
        <v>1182357</v>
      </c>
      <c r="G149" s="71" t="inlineStr">
        <is>
          <t>1403/02/05 12:09</t>
        </is>
      </c>
      <c r="H149" s="71" t="inlineStr">
        <is>
          <t>https://www.codal.ir/Reports/Decision.aspx?LetterSerial=i%2bfRI0WNsgXi7x5heB98Ng%3d%3d&amp;rt=0&amp;let=19&amp;ct=0&amp;ft=-1</t>
        </is>
      </c>
      <c r="I149" s="71" t="inlineStr">
        <is>
          <t>زنجیره زمانی</t>
        </is>
      </c>
      <c r="J149" s="71" t="inlineStr">
        <is>
          <t>a9b77ec45d8ea83b937db79b0708350c1bf023c9f88a196a2477db0dc8f13f0c</t>
        </is>
      </c>
      <c r="K149" s="71" t="inlineStr">
        <is>
          <t>sources/codal/شتران/v38_type19/T1182357.html</t>
        </is>
      </c>
    </row>
    <row r="150" ht="58" customHeight="1" s="76">
      <c r="A150" s="70" t="inlineStr">
        <is>
          <t>T19_1266793</t>
        </is>
      </c>
      <c r="B150" s="70" t="inlineStr">
        <is>
          <t>شتران</t>
        </is>
      </c>
      <c r="C150" s="70" t="inlineStr">
        <is>
          <t>اطلاعیه ن۴۵ (Type19)</t>
        </is>
      </c>
      <c r="D150" s="70" t="n"/>
      <c r="E150" s="70" t="inlineStr">
        <is>
          <t>معرفی /تغییر در ترکیب اعضای هیئت مدیره/مدیر عامل</t>
        </is>
      </c>
      <c r="F150" s="70" t="n">
        <v>1266793</v>
      </c>
      <c r="G150" s="70" t="inlineStr">
        <is>
          <t>1403/08/16 14:47</t>
        </is>
      </c>
      <c r="H150" s="70" t="inlineStr">
        <is>
          <t>https://www.codal.ir/Reports/Decision.aspx?LetterSerial=1QZQQQaQQQTl3J5mASvYNPnzWOOObOOOyw%3d%3d&amp;rt=0&amp;let=19&amp;ct=0&amp;ft=-1</t>
        </is>
      </c>
      <c r="I150" s="70" t="inlineStr">
        <is>
          <t>زنجیره زمانی</t>
        </is>
      </c>
      <c r="J150" s="70" t="inlineStr">
        <is>
          <t>7490b0517fa78ec6175be7b67fecc446634ec31a624f9b794cd8aca2bd6ec950</t>
        </is>
      </c>
      <c r="K150" s="70" t="inlineStr">
        <is>
          <t>sources/codal/شتران/v38_type19/T1266793.html</t>
        </is>
      </c>
    </row>
    <row r="151" ht="58" customHeight="1" s="76">
      <c r="A151" s="71" t="inlineStr">
        <is>
          <t>T19_1279421</t>
        </is>
      </c>
      <c r="B151" s="71" t="inlineStr">
        <is>
          <t>شتران</t>
        </is>
      </c>
      <c r="C151" s="71" t="inlineStr">
        <is>
          <t>اطلاعیه ن۴۵ (Type19)</t>
        </is>
      </c>
      <c r="D151" s="71" t="n"/>
      <c r="E151" s="71" t="inlineStr">
        <is>
          <t>معرفی /تغییر در ترکیب اعضای هیئت مدیره/مدیر عامل</t>
        </is>
      </c>
      <c r="F151" s="71" t="n">
        <v>1279421</v>
      </c>
      <c r="G151" s="71" t="inlineStr">
        <is>
          <t>1403/09/13 15:51</t>
        </is>
      </c>
      <c r="H151" s="71" t="inlineStr">
        <is>
          <t>https://www.codal.ir/Reports/Decision.aspx?LetterSerial=lT7D4szFkbh6tpxxrcsv9w%3d%3d&amp;rt=0&amp;let=19&amp;ct=0&amp;ft=-1</t>
        </is>
      </c>
      <c r="I151" s="71" t="inlineStr">
        <is>
          <t>زنجیره زمانی</t>
        </is>
      </c>
      <c r="J151" s="71" t="inlineStr">
        <is>
          <t>1820e661a4ab6c351abcc336b6690a271c93cd879532c4b18bd419d56487decb</t>
        </is>
      </c>
      <c r="K151" s="71" t="inlineStr">
        <is>
          <t>sources/codal/شتران/v38_type19/T1279421.html</t>
        </is>
      </c>
    </row>
    <row r="152" ht="58" customHeight="1" s="76">
      <c r="A152" s="70" t="inlineStr">
        <is>
          <t>T19_1297220</t>
        </is>
      </c>
      <c r="B152" s="70" t="inlineStr">
        <is>
          <t>شتران</t>
        </is>
      </c>
      <c r="C152" s="70" t="inlineStr">
        <is>
          <t>اطلاعیه ن۴۵ (Type19)</t>
        </is>
      </c>
      <c r="D152" s="70" t="n"/>
      <c r="E152" s="70" t="inlineStr">
        <is>
          <t>معرفی /تغییر در ترکیب اعضای هیئت مدیره/مدیر عامل</t>
        </is>
      </c>
      <c r="F152" s="70" t="n">
        <v>1297220</v>
      </c>
      <c r="G152" s="70" t="inlineStr">
        <is>
          <t>1403/10/29 15:32</t>
        </is>
      </c>
      <c r="H152" s="70" t="inlineStr">
        <is>
          <t>https://www.codal.ir/Reports/Decision.aspx?LetterSerial=DS73TzUY71Qm0V81oHX6cQ%3d%3d&amp;rt=0&amp;let=19&amp;ct=0&amp;ft=-1</t>
        </is>
      </c>
      <c r="I152" s="70" t="inlineStr">
        <is>
          <t>زنجیره زمانی</t>
        </is>
      </c>
      <c r="J152" s="70" t="inlineStr">
        <is>
          <t>510cf648cba6d5113e2ba4e1b52adbe3a139c80c20e4eff561ede7d41885f794</t>
        </is>
      </c>
      <c r="K152" s="70" t="inlineStr">
        <is>
          <t>sources/codal/شتران/v38_type19/T1297220.html</t>
        </is>
      </c>
    </row>
    <row r="153" ht="58" customHeight="1" s="76">
      <c r="A153" s="71" t="inlineStr">
        <is>
          <t>T19_1315123</t>
        </is>
      </c>
      <c r="B153" s="71" t="inlineStr">
        <is>
          <t>شتران</t>
        </is>
      </c>
      <c r="C153" s="71" t="inlineStr">
        <is>
          <t>اطلاعیه ن۴۵ (Type19)</t>
        </is>
      </c>
      <c r="D153" s="71" t="n"/>
      <c r="E153" s="71" t="inlineStr">
        <is>
          <t>معرفی /تغییر در ترکیب اعضای هیئت مدیره/مدیر عامل</t>
        </is>
      </c>
      <c r="F153" s="71" t="n">
        <v>1315123</v>
      </c>
      <c r="G153" s="71" t="inlineStr">
        <is>
          <t>1403/12/11 14:01</t>
        </is>
      </c>
      <c r="H153" s="71" t="inlineStr">
        <is>
          <t>https://www.codal.ir/Reports/Decision.aspx?LetterSerial=jC7jGrNav7huwEmBxRimPA%3d%3d&amp;rt=0&amp;let=19&amp;ct=0&amp;ft=-1</t>
        </is>
      </c>
      <c r="I153" s="71" t="inlineStr">
        <is>
          <t>زنجیره زمانی</t>
        </is>
      </c>
      <c r="J153" s="71" t="inlineStr">
        <is>
          <t>4f98b50f4cf319f4254ab62f07bf88b751c4dfebfe386f657606ef5513d263bd</t>
        </is>
      </c>
      <c r="K153" s="71" t="inlineStr">
        <is>
          <t>sources/codal/شتران/v38_type19/T1315123.html</t>
        </is>
      </c>
    </row>
    <row r="154" ht="58" customHeight="1" s="76">
      <c r="A154" s="70" t="inlineStr">
        <is>
          <t>T19_1389158</t>
        </is>
      </c>
      <c r="B154" s="70" t="inlineStr">
        <is>
          <t>شتران</t>
        </is>
      </c>
      <c r="C154" s="70" t="inlineStr">
        <is>
          <t>اطلاعیه ن۴۵ (Type19)</t>
        </is>
      </c>
      <c r="D154" s="70" t="n"/>
      <c r="E154" s="70" t="inlineStr">
        <is>
          <t>معرفی /تغییر در ترکیب اعضای هیئت مدیره/مدیر عامل</t>
        </is>
      </c>
      <c r="F154" s="70" t="n">
        <v>1389158</v>
      </c>
      <c r="G154" s="70" t="inlineStr">
        <is>
          <t>1404/05/13 13:20</t>
        </is>
      </c>
      <c r="H154" s="70" t="inlineStr">
        <is>
          <t>https://www.codal.ir/Reports/Decision.aspx?LetterSerial=hqwCTQ8YBB95e6p3fQQQaQQQ9Qeg%3d%3d&amp;rt=0&amp;let=19&amp;ct=0&amp;ft=-1</t>
        </is>
      </c>
      <c r="I154" s="70" t="inlineStr">
        <is>
          <t>زنجیره زمانی</t>
        </is>
      </c>
      <c r="J154" s="70" t="inlineStr">
        <is>
          <t>619fdcf95cd4ca2821ea501a140f898c706742606bd2970c12f3e5bfaf2f85fd</t>
        </is>
      </c>
      <c r="K154" s="70" t="inlineStr">
        <is>
          <t>sources/codal/شتران/v38_type19/T1389158.html</t>
        </is>
      </c>
    </row>
    <row r="155" ht="58" customHeight="1" s="76">
      <c r="A155" s="71" t="inlineStr">
        <is>
          <t>T19_1389607</t>
        </is>
      </c>
      <c r="B155" s="71" t="inlineStr">
        <is>
          <t>شتران</t>
        </is>
      </c>
      <c r="C155" s="71" t="inlineStr">
        <is>
          <t>اطلاعیه ن۴۵ (Type19)</t>
        </is>
      </c>
      <c r="D155" s="71" t="n"/>
      <c r="E155" s="71" t="inlineStr">
        <is>
          <t>معرفی /تغییر در ترکیب اعضای هیئت مدیره/مدیر عامل(اصلاحیه)</t>
        </is>
      </c>
      <c r="F155" s="71" t="n">
        <v>1389607</v>
      </c>
      <c r="G155" s="71" t="inlineStr">
        <is>
          <t>1404/05/14 10:47</t>
        </is>
      </c>
      <c r="H155" s="71" t="inlineStr">
        <is>
          <t>https://www.codal.ir/Reports/Decision.aspx?LetterSerial=95jBT1EMbIEUrTtNCucBtw%3d%3d&amp;rt=0&amp;let=19&amp;ct=0&amp;ft=-1</t>
        </is>
      </c>
      <c r="I155" s="71" t="inlineStr">
        <is>
          <t>مبنای فهرست اعضا در as-of</t>
        </is>
      </c>
      <c r="J155" s="71" t="inlineStr">
        <is>
          <t>75ade8dc82e5ba17c4e4967d26140f6fd04ec71448896e4f6998abef377bc96d</t>
        </is>
      </c>
      <c r="K155" s="71" t="inlineStr">
        <is>
          <t>sources/codal/شتران/v38_type19/T1389607.html</t>
        </is>
      </c>
    </row>
    <row r="156" ht="58" customHeight="1" s="76">
      <c r="A156" s="70" t="inlineStr">
        <is>
          <t>T19_967447</t>
        </is>
      </c>
      <c r="B156" s="70" t="inlineStr">
        <is>
          <t>وتجارت</t>
        </is>
      </c>
      <c r="C156" s="70" t="inlineStr">
        <is>
          <t>اطلاعیه ن۴۵ (Type19)</t>
        </is>
      </c>
      <c r="D156" s="70" t="n"/>
      <c r="E156" s="70" t="inlineStr">
        <is>
          <t>معرفی /تغییر در ترکیب اعضای هیئت مدیره/مدیر عامل</t>
        </is>
      </c>
      <c r="F156" s="70" t="n">
        <v>967447</v>
      </c>
      <c r="G156" s="70" t="inlineStr">
        <is>
          <t>1401/09/14 19:15</t>
        </is>
      </c>
      <c r="H156" s="70" t="inlineStr">
        <is>
          <t>https://www.codal.ir/Reports/Decision.aspx?LetterSerial=1NlfFthCJ0vjQQQaQQQ%2btA6jLoTA%3d%3d&amp;rt=3&amp;let=19&amp;ct=0&amp;ft=-1</t>
        </is>
      </c>
      <c r="I156" s="70" t="inlineStr">
        <is>
          <t>زنجیره زمانی</t>
        </is>
      </c>
      <c r="J156" s="70" t="inlineStr">
        <is>
          <t>af60c5ca82560652a338cf466de13e2293a877f1e7164be1e0eb00ba7ff5b384</t>
        </is>
      </c>
      <c r="K156" s="70" t="inlineStr">
        <is>
          <t>sources/codal/وتجارت/v38_type19/T967447.html</t>
        </is>
      </c>
    </row>
    <row r="157" ht="58" customHeight="1" s="76">
      <c r="A157" s="71" t="inlineStr">
        <is>
          <t>T19_977045</t>
        </is>
      </c>
      <c r="B157" s="71" t="inlineStr">
        <is>
          <t>وتجارت</t>
        </is>
      </c>
      <c r="C157" s="71" t="inlineStr">
        <is>
          <t>اطلاعیه ن۴۵ (Type19)</t>
        </is>
      </c>
      <c r="D157" s="71" t="n"/>
      <c r="E157" s="71" t="inlineStr">
        <is>
          <t>معرفی /تغییر در ترکیب اعضای هیئت مدیره/مدیر عامل(اصلاحیه)</t>
        </is>
      </c>
      <c r="F157" s="71" t="n">
        <v>977045</v>
      </c>
      <c r="G157" s="71" t="inlineStr">
        <is>
          <t>1401/10/18 10:10</t>
        </is>
      </c>
      <c r="H157" s="71" t="inlineStr">
        <is>
          <t>https://www.codal.ir/Reports/Decision.aspx?LetterSerial=4QXgqT9tKr2TRWygOI0wGQ%3d%3d&amp;rt=3&amp;let=19&amp;ct=0&amp;ft=-1</t>
        </is>
      </c>
      <c r="I157" s="71" t="inlineStr">
        <is>
          <t>زنجیره زمانی</t>
        </is>
      </c>
      <c r="J157" s="71" t="inlineStr">
        <is>
          <t>64554e90f01817c10e0b1ccaf8de047dc5a25e22d11d374882df811eb26c24ea</t>
        </is>
      </c>
      <c r="K157" s="71" t="inlineStr">
        <is>
          <t>sources/codal/وتجارت/v38_type19/T977045.html</t>
        </is>
      </c>
    </row>
    <row r="158" ht="58" customHeight="1" s="76">
      <c r="A158" s="70" t="inlineStr">
        <is>
          <t>T19_1007228</t>
        </is>
      </c>
      <c r="B158" s="70" t="inlineStr">
        <is>
          <t>وتجارت</t>
        </is>
      </c>
      <c r="C158" s="70" t="inlineStr">
        <is>
          <t>اطلاعیه ن۴۵ (Type19)</t>
        </is>
      </c>
      <c r="D158" s="70" t="n"/>
      <c r="E158" s="70" t="inlineStr">
        <is>
          <t>معرفی /تغییر در ترکیب اعضای هیئت مدیره/مدیر عامل</t>
        </is>
      </c>
      <c r="F158" s="70" t="n">
        <v>1007228</v>
      </c>
      <c r="G158" s="70" t="inlineStr">
        <is>
          <t>1402/01/14 16:42</t>
        </is>
      </c>
      <c r="H158" s="70" t="inlineStr">
        <is>
          <t>https://www.codal.ir/Reports/Decision.aspx?LetterSerial=MP4ADx5tYpVWWJp0dEW7Rw%3d%3d&amp;rt=3&amp;let=19&amp;ct=0&amp;ft=-1</t>
        </is>
      </c>
      <c r="I158" s="70" t="inlineStr">
        <is>
          <t>زنجیره زمانی</t>
        </is>
      </c>
      <c r="J158" s="70" t="inlineStr">
        <is>
          <t>6d46f4a79124287b04f67975064890c637bf0244c996618395bc6b747ca42093</t>
        </is>
      </c>
      <c r="K158" s="70" t="inlineStr">
        <is>
          <t>sources/codal/وتجارت/v38_type19/T1007228.html</t>
        </is>
      </c>
    </row>
    <row r="159" ht="58" customHeight="1" s="76">
      <c r="A159" s="71" t="inlineStr">
        <is>
          <t>T19_1116308</t>
        </is>
      </c>
      <c r="B159" s="71" t="inlineStr">
        <is>
          <t>وتجارت</t>
        </is>
      </c>
      <c r="C159" s="71" t="inlineStr">
        <is>
          <t>اطلاعیه ن۴۵ (Type19)</t>
        </is>
      </c>
      <c r="D159" s="71" t="n"/>
      <c r="E159" s="71" t="inlineStr">
        <is>
          <t>معرفی /تغییر در ترکیب اعضای هیئت مدیره/مدیر عامل</t>
        </is>
      </c>
      <c r="F159" s="71" t="n">
        <v>1116308</v>
      </c>
      <c r="G159" s="71" t="inlineStr">
        <is>
          <t>1402/09/18 12:10</t>
        </is>
      </c>
      <c r="H159" s="71" t="inlineStr">
        <is>
          <t>https://www.codal.ir/Reports/Decision.aspx?LetterSerial=jtWqUD12H827vQQQaQQQ9JLJXMpw%3d%3d&amp;rt=3&amp;let=19&amp;ct=0&amp;ft=-1</t>
        </is>
      </c>
      <c r="I159" s="71" t="inlineStr">
        <is>
          <t>زنجیره زمانی</t>
        </is>
      </c>
      <c r="J159" s="71" t="inlineStr">
        <is>
          <t>566b639a5104c108b26b94eced320383eb4e04d405ce35cfd5e3b4c9d5800ccc</t>
        </is>
      </c>
      <c r="K159" s="71" t="inlineStr">
        <is>
          <t>sources/codal/وتجارت/v38_type19/T1116308.html</t>
        </is>
      </c>
    </row>
    <row r="160" ht="58" customHeight="1" s="76">
      <c r="A160" s="70" t="inlineStr">
        <is>
          <t>T19_1159936</t>
        </is>
      </c>
      <c r="B160" s="70" t="inlineStr">
        <is>
          <t>وتجارت</t>
        </is>
      </c>
      <c r="C160" s="70" t="inlineStr">
        <is>
          <t>اطلاعیه ن۴۵ (Type19)</t>
        </is>
      </c>
      <c r="D160" s="70" t="n"/>
      <c r="E160" s="70" t="inlineStr">
        <is>
          <t>معرفی /تغییر در ترکیب اعضای هیئت مدیره/مدیر عامل</t>
        </is>
      </c>
      <c r="F160" s="70" t="n">
        <v>1159936</v>
      </c>
      <c r="G160" s="70" t="inlineStr">
        <is>
          <t>1402/12/08 17:02</t>
        </is>
      </c>
      <c r="H160" s="70" t="inlineStr">
        <is>
          <t>https://www.codal.ir/Reports/Decision.aspx?LetterSerial=OqEx%2bg3X3xQQQaQQQ1V8FTa1bU9w%3d%3d&amp;rt=3&amp;let=19&amp;ct=0&amp;ft=-1</t>
        </is>
      </c>
      <c r="I160" s="70" t="inlineStr">
        <is>
          <t>زنجیره زمانی</t>
        </is>
      </c>
      <c r="J160" s="70" t="inlineStr">
        <is>
          <t>fcbe30ecc4fe1e4d92fba6b0a7fa8e6066a2f15ad957b1e08b8672263ec2ae83</t>
        </is>
      </c>
      <c r="K160" s="70" t="inlineStr">
        <is>
          <t>sources/codal/وتجارت/v38_type19/T1159936.html</t>
        </is>
      </c>
    </row>
    <row r="161" ht="58" customHeight="1" s="76">
      <c r="A161" s="71" t="inlineStr">
        <is>
          <t>T19_1443078</t>
        </is>
      </c>
      <c r="B161" s="71" t="inlineStr">
        <is>
          <t>وتجارت</t>
        </is>
      </c>
      <c r="C161" s="71" t="inlineStr">
        <is>
          <t>اطلاعیه ن۴۵ (Type19)</t>
        </is>
      </c>
      <c r="D161" s="71" t="n"/>
      <c r="E161" s="71" t="inlineStr">
        <is>
          <t>معرفی /تغییر در ترکیب اعضای هیئت مدیره/مدیر عامل</t>
        </is>
      </c>
      <c r="F161" s="71" t="n">
        <v>1443078</v>
      </c>
      <c r="G161" s="71" t="inlineStr">
        <is>
          <t>1404/09/04 17:32</t>
        </is>
      </c>
      <c r="H161" s="71" t="inlineStr">
        <is>
          <t>https://www.codal.ir/Reports/Decision.aspx?LetterSerial=s68uu8w1pIytJrgW6WphNA%3d%3d&amp;rt=3&amp;let=19&amp;ct=0&amp;ft=-1</t>
        </is>
      </c>
      <c r="I161" s="71" t="inlineStr">
        <is>
          <t>زنجیره زمانی</t>
        </is>
      </c>
      <c r="J161" s="71" t="inlineStr">
        <is>
          <t>6e80b256efe2fc025312b3e56b300d5a538a1661efe8ccb17a9d0085784dfc35</t>
        </is>
      </c>
      <c r="K161" s="71" t="inlineStr">
        <is>
          <t>sources/codal/وتجارت/v38_type19/T1443078.html</t>
        </is>
      </c>
    </row>
    <row r="162" ht="58" customHeight="1" s="76">
      <c r="A162" s="70" t="inlineStr">
        <is>
          <t>T19_1444154</t>
        </is>
      </c>
      <c r="B162" s="70" t="inlineStr">
        <is>
          <t>وتجارت</t>
        </is>
      </c>
      <c r="C162" s="70" t="inlineStr">
        <is>
          <t>اطلاعیه ن۴۵ (Type19)</t>
        </is>
      </c>
      <c r="D162" s="70" t="n"/>
      <c r="E162" s="70" t="inlineStr">
        <is>
          <t>معرفی /تغییر در ترکیب اعضای هیئت مدیره/مدیر عامل(اصلاحیه)</t>
        </is>
      </c>
      <c r="F162" s="70" t="n">
        <v>1444154</v>
      </c>
      <c r="G162" s="70" t="inlineStr">
        <is>
          <t>1404/09/15 16:55</t>
        </is>
      </c>
      <c r="H162" s="70" t="inlineStr">
        <is>
          <t>https://www.codal.ir/Reports/Decision.aspx?LetterSerial=tL1npzfj3XSDR4oEqs1VIw%3d%3d&amp;rt=3&amp;let=19&amp;ct=0&amp;ft=-1</t>
        </is>
      </c>
      <c r="I162" s="70" t="inlineStr">
        <is>
          <t>مبنای فهرست اعضا در as-of</t>
        </is>
      </c>
      <c r="J162" s="70" t="inlineStr">
        <is>
          <t>f5ccc1d41f6592f7355b6e9feb12addb9b3c838cecc248ced54fd0c4d2cf7848</t>
        </is>
      </c>
      <c r="K162" s="70" t="inlineStr">
        <is>
          <t>sources/codal/وتجارت/v38_type19/T1444154.html</t>
        </is>
      </c>
    </row>
    <row r="163" ht="58" customHeight="1" s="76">
      <c r="A163" s="71" t="inlineStr">
        <is>
          <t>T19_914148</t>
        </is>
      </c>
      <c r="B163" s="71" t="inlineStr">
        <is>
          <t>رمپنا</t>
        </is>
      </c>
      <c r="C163" s="71" t="inlineStr">
        <is>
          <t>اطلاعیه ن۴۵ (Type19)</t>
        </is>
      </c>
      <c r="D163" s="71" t="n"/>
      <c r="E163" s="71" t="inlineStr">
        <is>
          <t>معرفی یا تغییر در ترکیب اعضای هیئت مدیره</t>
        </is>
      </c>
      <c r="F163" s="71" t="n">
        <v>914148</v>
      </c>
      <c r="G163" s="71" t="inlineStr">
        <is>
          <t>1401/05/24 10:12</t>
        </is>
      </c>
      <c r="H163" s="71" t="inlineStr">
        <is>
          <t>https://www.codal.ir/Reports/Decision.aspx?LetterSerial=TpJtwc%2b3re70G93oEb5zxw%3d%3d&amp;rt=5&amp;let=19&amp;ct=0&amp;ft=-1</t>
        </is>
      </c>
      <c r="I163" s="71" t="inlineStr">
        <is>
          <t>زنجیره زمانی</t>
        </is>
      </c>
      <c r="J163" s="71" t="inlineStr">
        <is>
          <t>d695ffb92d9f20a191416278e952f23a8eb9575d7a690d1788c828daaedf752c</t>
        </is>
      </c>
      <c r="K163" s="71" t="inlineStr">
        <is>
          <t>sources/codal/رمپنا/v38_type19/T914148.html</t>
        </is>
      </c>
    </row>
    <row r="164" ht="58" customHeight="1" s="76">
      <c r="A164" s="70" t="inlineStr">
        <is>
          <t>T19_924696</t>
        </is>
      </c>
      <c r="B164" s="70" t="inlineStr">
        <is>
          <t>رمپنا</t>
        </is>
      </c>
      <c r="C164" s="70" t="inlineStr">
        <is>
          <t>اطلاعیه ن۴۵ (Type19)</t>
        </is>
      </c>
      <c r="D164" s="70" t="n"/>
      <c r="E164" s="70" t="inlineStr">
        <is>
          <t>معرفی یا تغییر در ترکیب اعضای هیئت مدیره(اصلاحیه)</t>
        </is>
      </c>
      <c r="F164" s="70" t="n">
        <v>924696</v>
      </c>
      <c r="G164" s="70" t="inlineStr">
        <is>
          <t>1401/05/24 11:12</t>
        </is>
      </c>
      <c r="H164" s="70" t="inlineStr">
        <is>
          <t>https://www.codal.ir/Reports/Decision.aspx?LetterSerial=X5D1ZYmEqUpFXodPMOcUvA%3d%3d&amp;rt=5&amp;let=19&amp;ct=0&amp;ft=-1</t>
        </is>
      </c>
      <c r="I164" s="70" t="inlineStr">
        <is>
          <t>زنجیره زمانی</t>
        </is>
      </c>
      <c r="J164" s="70" t="inlineStr">
        <is>
          <t>2a4c631a6482d821dca6e0422d6cb8d7b66d8a87857542a5ea573b68a8520ef8</t>
        </is>
      </c>
      <c r="K164" s="70" t="inlineStr">
        <is>
          <t>sources/codal/رمپنا/v38_type19/T924696.html</t>
        </is>
      </c>
    </row>
    <row r="165" ht="58" customHeight="1" s="76">
      <c r="A165" s="71" t="inlineStr">
        <is>
          <t>T19_1047157</t>
        </is>
      </c>
      <c r="B165" s="71" t="inlineStr">
        <is>
          <t>رمپنا</t>
        </is>
      </c>
      <c r="C165" s="71" t="inlineStr">
        <is>
          <t>اطلاعیه ن۴۵ (Type19)</t>
        </is>
      </c>
      <c r="D165" s="71" t="n"/>
      <c r="E165" s="71" t="inlineStr">
        <is>
          <t>معرفی /تغییر در ترکیب اعضای هیئت مدیره/مدیر عامل</t>
        </is>
      </c>
      <c r="F165" s="71" t="n">
        <v>1047157</v>
      </c>
      <c r="G165" s="71" t="inlineStr">
        <is>
          <t>1402/04/10 17:33</t>
        </is>
      </c>
      <c r="H165" s="71" t="inlineStr">
        <is>
          <t>https://www.codal.ir/Reports/Decision.aspx?LetterSerial=zoViwH6TsAHB63Q2bx3RGA%3d%3d&amp;rt=5&amp;let=19&amp;ct=0&amp;ft=-1</t>
        </is>
      </c>
      <c r="I165" s="71" t="inlineStr">
        <is>
          <t>زنجیره زمانی</t>
        </is>
      </c>
      <c r="J165" s="71" t="inlineStr">
        <is>
          <t>397ccd146b75aa0115c7b0f7bfadeafbe52f228d5dcd1f630f440f417dfc9c4c</t>
        </is>
      </c>
      <c r="K165" s="71" t="inlineStr">
        <is>
          <t>sources/codal/رمپنا/v38_type19/T1047157.html</t>
        </is>
      </c>
    </row>
    <row r="166" ht="58" customHeight="1" s="76">
      <c r="A166" s="70" t="inlineStr">
        <is>
          <t>T19_1049062</t>
        </is>
      </c>
      <c r="B166" s="70" t="inlineStr">
        <is>
          <t>رمپنا</t>
        </is>
      </c>
      <c r="C166" s="70" t="inlineStr">
        <is>
          <t>اطلاعیه ن۴۵ (Type19)</t>
        </is>
      </c>
      <c r="D166" s="70" t="n"/>
      <c r="E166" s="70" t="inlineStr">
        <is>
          <t>معرفی /تغییر در ترکیب اعضای هیئت مدیره/مدیر عامل(اصلاحیه)</t>
        </is>
      </c>
      <c r="F166" s="70" t="n">
        <v>1049062</v>
      </c>
      <c r="G166" s="70" t="inlineStr">
        <is>
          <t>1402/04/10 18:25</t>
        </is>
      </c>
      <c r="H166" s="70" t="inlineStr">
        <is>
          <t>https://www.codal.ir/Reports/Decision.aspx?LetterSerial=Sux9hEDQaBjsY8PQ79371Q%3d%3d&amp;rt=5&amp;let=19&amp;ct=0&amp;ft=-1</t>
        </is>
      </c>
      <c r="I166" s="70" t="inlineStr">
        <is>
          <t>زنجیره زمانی</t>
        </is>
      </c>
      <c r="J166" s="70" t="inlineStr">
        <is>
          <t>36b4cd5dd51fea2946e379c36a7eaedc43aec26ac8a88b4d6d6f9803704d08ef</t>
        </is>
      </c>
      <c r="K166" s="70" t="inlineStr">
        <is>
          <t>sources/codal/رمپنا/v38_type19/T1049062.html</t>
        </is>
      </c>
    </row>
    <row r="167" ht="58" customHeight="1" s="76">
      <c r="A167" s="71" t="inlineStr">
        <is>
          <t>T19_1053521</t>
        </is>
      </c>
      <c r="B167" s="71" t="inlineStr">
        <is>
          <t>رمپنا</t>
        </is>
      </c>
      <c r="C167" s="71" t="inlineStr">
        <is>
          <t>اطلاعیه ن۴۵ (Type19)</t>
        </is>
      </c>
      <c r="D167" s="71" t="n"/>
      <c r="E167" s="71" t="inlineStr">
        <is>
          <t>معرفی /تغییر در ترکیب اعضای هیئت مدیره/مدیر عامل(اصلاحیه)</t>
        </is>
      </c>
      <c r="F167" s="71" t="n">
        <v>1053521</v>
      </c>
      <c r="G167" s="71" t="inlineStr">
        <is>
          <t>1402/04/19 14:35</t>
        </is>
      </c>
      <c r="H167" s="71" t="inlineStr">
        <is>
          <t>https://www.codal.ir/Reports/Decision.aspx?LetterSerial=WptRiNPSZv90%2bjLV1B3y%2bQ%3d%3d&amp;rt=5&amp;let=19&amp;ct=0&amp;ft=-1</t>
        </is>
      </c>
      <c r="I167" s="71" t="inlineStr">
        <is>
          <t>زنجیره زمانی</t>
        </is>
      </c>
      <c r="J167" s="71" t="inlineStr">
        <is>
          <t>da1dedf7e1cc18debb2c4f70ca9944db684d5a0f4e723cd309ccddaeba89d6f4</t>
        </is>
      </c>
      <c r="K167" s="71" t="inlineStr">
        <is>
          <t>sources/codal/رمپنا/v38_type19/T1053521.html</t>
        </is>
      </c>
    </row>
    <row r="168" ht="58" customHeight="1" s="76">
      <c r="A168" s="70" t="inlineStr">
        <is>
          <t>T19_1115958</t>
        </is>
      </c>
      <c r="B168" s="70" t="inlineStr">
        <is>
          <t>رمپنا</t>
        </is>
      </c>
      <c r="C168" s="70" t="inlineStr">
        <is>
          <t>اطلاعیه ن۴۵ (Type19)</t>
        </is>
      </c>
      <c r="D168" s="70" t="n"/>
      <c r="E168" s="70" t="inlineStr">
        <is>
          <t>معرفی /تغییر در ترکیب اعضای هیئت مدیره/مدیر عامل</t>
        </is>
      </c>
      <c r="F168" s="70" t="n">
        <v>1115958</v>
      </c>
      <c r="G168" s="70" t="inlineStr">
        <is>
          <t>1402/09/11 13:49</t>
        </is>
      </c>
      <c r="H168" s="70" t="inlineStr">
        <is>
          <t>https://www.codal.ir/Reports/Decision.aspx?LetterSerial=WnJnCUE90uBIEkLRG89S%2bw%3d%3d&amp;rt=5&amp;let=19&amp;ct=0&amp;ft=-1</t>
        </is>
      </c>
      <c r="I168" s="70" t="inlineStr">
        <is>
          <t>زنجیره زمانی</t>
        </is>
      </c>
      <c r="J168" s="70" t="inlineStr">
        <is>
          <t>75c2371a4b3840c3e65b8bd2092b22999bbfd0fc0a98e4a5a5486edb61b1f05c</t>
        </is>
      </c>
      <c r="K168" s="70" t="inlineStr">
        <is>
          <t>sources/codal/رمپنا/v38_type19/T1115958.html</t>
        </is>
      </c>
    </row>
    <row r="169" ht="58" customHeight="1" s="76">
      <c r="A169" s="71" t="inlineStr">
        <is>
          <t>T19_1136577</t>
        </is>
      </c>
      <c r="B169" s="71" t="inlineStr">
        <is>
          <t>رمپنا</t>
        </is>
      </c>
      <c r="C169" s="71" t="inlineStr">
        <is>
          <t>اطلاعیه ن۴۵ (Type19)</t>
        </is>
      </c>
      <c r="D169" s="71" t="n"/>
      <c r="E169" s="71" t="inlineStr">
        <is>
          <t>معرفی /تغییر در ترکیب اعضای هیئت مدیره/مدیر عامل(اصلاحیه)</t>
        </is>
      </c>
      <c r="F169" s="71" t="n">
        <v>1136577</v>
      </c>
      <c r="G169" s="71" t="inlineStr">
        <is>
          <t>1402/10/13 12:58</t>
        </is>
      </c>
      <c r="H169" s="71" t="inlineStr">
        <is>
          <t>https://www.codal.ir/Reports/Decision.aspx?LetterSerial=zUnjDFnUo2ylotadvkGMJQ%3d%3d&amp;rt=5&amp;let=19&amp;ct=0&amp;ft=-1</t>
        </is>
      </c>
      <c r="I169" s="71" t="inlineStr">
        <is>
          <t>زنجیره زمانی</t>
        </is>
      </c>
      <c r="J169" s="71" t="inlineStr">
        <is>
          <t>56986c232a0ed96a1c2ace2a5cc84fda1c7ea897ffd576868310d6f1a114c965</t>
        </is>
      </c>
      <c r="K169" s="71" t="inlineStr">
        <is>
          <t>sources/codal/رمپنا/v38_type19/T1136577.html</t>
        </is>
      </c>
    </row>
    <row r="170" ht="58" customHeight="1" s="76">
      <c r="A170" s="70" t="inlineStr">
        <is>
          <t>T19_1203308</t>
        </is>
      </c>
      <c r="B170" s="70" t="inlineStr">
        <is>
          <t>رمپنا</t>
        </is>
      </c>
      <c r="C170" s="70" t="inlineStr">
        <is>
          <t>اطلاعیه ن۴۵ (Type19)</t>
        </is>
      </c>
      <c r="D170" s="70" t="n"/>
      <c r="E170" s="70" t="inlineStr">
        <is>
          <t>معرفی /تغییر در ترکیب اعضای هیئت مدیره/مدیر عامل</t>
        </is>
      </c>
      <c r="F170" s="70" t="n">
        <v>1203308</v>
      </c>
      <c r="G170" s="70" t="inlineStr">
        <is>
          <t>1403/03/26 09:51</t>
        </is>
      </c>
      <c r="H170" s="70" t="inlineStr">
        <is>
          <t>https://www.codal.ir/Reports/Decision.aspx?LetterSerial=X0dV8ek43tXQYjTGrc7DYw%3d%3d&amp;rt=5&amp;let=19&amp;ct=0&amp;ft=-1</t>
        </is>
      </c>
      <c r="I170" s="70" t="inlineStr">
        <is>
          <t>زنجیره زمانی</t>
        </is>
      </c>
      <c r="J170" s="70" t="inlineStr">
        <is>
          <t>a3df2d752a5c60340367930cdfe9f9a593871f4ef388f7e0a99c31d9e3c9107e</t>
        </is>
      </c>
      <c r="K170" s="70" t="inlineStr">
        <is>
          <t>sources/codal/رمپنا/v38_type19/T1203308.html</t>
        </is>
      </c>
    </row>
    <row r="171" ht="58" customHeight="1" s="76">
      <c r="A171" s="71" t="inlineStr">
        <is>
          <t>T19_1343229</t>
        </is>
      </c>
      <c r="B171" s="71" t="inlineStr">
        <is>
          <t>رمپنا</t>
        </is>
      </c>
      <c r="C171" s="71" t="inlineStr">
        <is>
          <t>اطلاعیه ن۴۵ (Type19)</t>
        </is>
      </c>
      <c r="D171" s="71" t="n"/>
      <c r="E171" s="71" t="inlineStr">
        <is>
          <t>معرفی /تغییر در ترکیب اعضای هیئت مدیره/مدیر عامل</t>
        </is>
      </c>
      <c r="F171" s="71" t="n">
        <v>1343229</v>
      </c>
      <c r="G171" s="71" t="inlineStr">
        <is>
          <t>1404/02/23 11:13</t>
        </is>
      </c>
      <c r="H171" s="71" t="inlineStr">
        <is>
          <t>https://www.codal.ir/Reports/Decision.aspx?LetterSerial=1RbelsHZHs8H6r0ujf8E7Q%3d%3d&amp;rt=5&amp;let=19&amp;ct=0&amp;ft=-1</t>
        </is>
      </c>
      <c r="I171" s="71" t="inlineStr">
        <is>
          <t>زنجیره زمانی</t>
        </is>
      </c>
      <c r="J171" s="71" t="inlineStr">
        <is>
          <t>df63af0dce558de7a878206061a6984b448aabd939212f52a06c55e9699072e8</t>
        </is>
      </c>
      <c r="K171" s="71" t="inlineStr">
        <is>
          <t>sources/codal/رمپنا/v38_type19/T1343229.html</t>
        </is>
      </c>
    </row>
    <row r="172" ht="58" customHeight="1" s="76">
      <c r="A172" s="70" t="inlineStr">
        <is>
          <t>T19_1352980</t>
        </is>
      </c>
      <c r="B172" s="70" t="inlineStr">
        <is>
          <t>رمپنا</t>
        </is>
      </c>
      <c r="C172" s="70" t="inlineStr">
        <is>
          <t>اطلاعیه ن۴۵ (Type19)</t>
        </is>
      </c>
      <c r="D172" s="70" t="n"/>
      <c r="E172" s="70" t="inlineStr">
        <is>
          <t>معرفی /تغییر در ترکیب اعضای هیئت مدیره/مدیر عامل(اصلاحیه)</t>
        </is>
      </c>
      <c r="F172" s="70" t="n">
        <v>1352980</v>
      </c>
      <c r="G172" s="70" t="inlineStr">
        <is>
          <t>1404/03/08 10:49</t>
        </is>
      </c>
      <c r="H172" s="70" t="inlineStr">
        <is>
          <t>https://www.codal.ir/Reports/Decision.aspx?LetterSerial=gsard4xmaj4Zi8yOS8AWMA%3d%3d&amp;rt=5&amp;let=19&amp;ct=0&amp;ft=-1</t>
        </is>
      </c>
      <c r="I172" s="70" t="inlineStr">
        <is>
          <t>زنجیره زمانی</t>
        </is>
      </c>
      <c r="J172" s="70" t="inlineStr">
        <is>
          <t>56c6d370b5fb1ad41809720a130aaaaed0b1668c119d30e32b52d15bf1510b55</t>
        </is>
      </c>
      <c r="K172" s="70" t="inlineStr">
        <is>
          <t>sources/codal/رمپنا/v38_type19/T1352980.html</t>
        </is>
      </c>
    </row>
    <row r="173" ht="58" customHeight="1" s="76">
      <c r="A173" s="71" t="inlineStr">
        <is>
          <t>T19_1362888</t>
        </is>
      </c>
      <c r="B173" s="71" t="inlineStr">
        <is>
          <t>رمپنا</t>
        </is>
      </c>
      <c r="C173" s="71" t="inlineStr">
        <is>
          <t>اطلاعیه ن۴۵ (Type19)</t>
        </is>
      </c>
      <c r="D173" s="71" t="n"/>
      <c r="E173" s="71" t="inlineStr">
        <is>
          <t>معرفی /تغییر در ترکیب اعضای هیئت مدیره/مدیر عامل(اصلاحیه)</t>
        </is>
      </c>
      <c r="F173" s="71" t="n">
        <v>1362888</v>
      </c>
      <c r="G173" s="71" t="inlineStr">
        <is>
          <t>1404/04/08 12:22</t>
        </is>
      </c>
      <c r="H173" s="71" t="inlineStr">
        <is>
          <t>https://www.codal.ir/Reports/Decision.aspx?LetterSerial=pYw8S6fEaaJbXZ6McQQQaQQQXohA%3d%3d&amp;rt=5&amp;let=19&amp;ct=0&amp;ft=-1</t>
        </is>
      </c>
      <c r="I173" s="71" t="inlineStr">
        <is>
          <t>زنجیره زمانی</t>
        </is>
      </c>
      <c r="J173" s="71" t="inlineStr">
        <is>
          <t>72332f9d49d745698f32bf5c699a255a24e6819024ce0de4ed58080ad4c44244</t>
        </is>
      </c>
      <c r="K173" s="71" t="inlineStr">
        <is>
          <t>sources/codal/رمپنا/v38_type19/T1362888.html</t>
        </is>
      </c>
    </row>
    <row r="174" ht="58" customHeight="1" s="76">
      <c r="A174" s="70" t="inlineStr">
        <is>
          <t>T19_1378204</t>
        </is>
      </c>
      <c r="B174" s="70" t="inlineStr">
        <is>
          <t>رمپنا</t>
        </is>
      </c>
      <c r="C174" s="70" t="inlineStr">
        <is>
          <t>اطلاعیه ن۴۵ (Type19)</t>
        </is>
      </c>
      <c r="D174" s="70" t="n"/>
      <c r="E174" s="70" t="inlineStr">
        <is>
          <t>معرفی /تغییر در ترکیب اعضای هیئت مدیره/مدیر عامل</t>
        </is>
      </c>
      <c r="F174" s="70" t="n">
        <v>1378204</v>
      </c>
      <c r="G174" s="70" t="inlineStr">
        <is>
          <t>1404/04/31 17:12</t>
        </is>
      </c>
      <c r="H174" s="70" t="inlineStr">
        <is>
          <t>https://www.codal.ir/Reports/Decision.aspx?LetterSerial=Ry0OOObOOOOOObOOOFhudOOObOOOF3NI6qgyBV5A%3d%3d&amp;rt=5&amp;let=19&amp;ct=0&amp;ft=-1</t>
        </is>
      </c>
      <c r="I174" s="70" t="inlineStr">
        <is>
          <t>زنجیره زمانی</t>
        </is>
      </c>
      <c r="J174" s="70" t="inlineStr">
        <is>
          <t>f2dcddc7fcbbe59d007671e6c4fef94b427d7962cf84e40dd0c403fa96543422</t>
        </is>
      </c>
      <c r="K174" s="70" t="inlineStr">
        <is>
          <t>sources/codal/رمپنا/v38_type19/T1378204.html</t>
        </is>
      </c>
    </row>
    <row r="175" ht="58" customHeight="1" s="76">
      <c r="A175" s="71" t="inlineStr">
        <is>
          <t>T19_1482306</t>
        </is>
      </c>
      <c r="B175" s="71" t="inlineStr">
        <is>
          <t>رمپنا</t>
        </is>
      </c>
      <c r="C175" s="71" t="inlineStr">
        <is>
          <t>اطلاعیه ن۴۵ (Type19)</t>
        </is>
      </c>
      <c r="D175" s="71" t="n"/>
      <c r="E175" s="71" t="inlineStr">
        <is>
          <t>معرفی /تغییر در ترکیب اعضای هیئت مدیره/مدیر عامل</t>
        </is>
      </c>
      <c r="F175" s="71" t="n">
        <v>1482306</v>
      </c>
      <c r="G175" s="71" t="inlineStr">
        <is>
          <t>1404/11/12 14:31</t>
        </is>
      </c>
      <c r="H175" s="71" t="inlineStr">
        <is>
          <t>https://www.codal.ir/Reports/Decision.aspx?LetterSerial=4P4QQQaQQQssbMX9ZMuZVciqBKOOObOOOg%3d%3d&amp;rt=5&amp;let=19&amp;ct=0&amp;ft=-1</t>
        </is>
      </c>
      <c r="I175" s="71" t="inlineStr">
        <is>
          <t>مبنای فهرست اعضا در as-of</t>
        </is>
      </c>
      <c r="J175" s="71" t="inlineStr">
        <is>
          <t>1d907a8f54a4930736e237487120ff4316ce5ba2a91b00dc06501c312b0a5ea8</t>
        </is>
      </c>
      <c r="K175" s="71" t="inlineStr">
        <is>
          <t>sources/codal/رمپنا/v38_type19/T1482306.html</t>
        </is>
      </c>
    </row>
    <row r="176" ht="58" customHeight="1" s="76">
      <c r="A176" s="70" t="inlineStr">
        <is>
          <t>T19_1523599</t>
        </is>
      </c>
      <c r="B176" s="70" t="inlineStr">
        <is>
          <t>رمپنا</t>
        </is>
      </c>
      <c r="C176" s="70" t="inlineStr">
        <is>
          <t>اطلاعیه ن۴۵ (Type19)</t>
        </is>
      </c>
      <c r="D176" s="70" t="n"/>
      <c r="E176" s="70" t="inlineStr">
        <is>
          <t>معرفی /تغییر در ترکیب اعضای هیئت مدیره/مدیر عامل</t>
        </is>
      </c>
      <c r="F176" s="70" t="n">
        <v>1523599</v>
      </c>
      <c r="G176" s="70" t="inlineStr">
        <is>
          <t>1405/02/20 13:05</t>
        </is>
      </c>
      <c r="H176" s="70" t="inlineStr">
        <is>
          <t>https://www.codal.ir/Reports/Decision.aspx?LetterSerial=6HnsE5edJIF7UOOObOOOIcOAPpQA%3d%3d&amp;rt=5&amp;let=19&amp;ct=0&amp;ft=-1</t>
        </is>
      </c>
      <c r="I176" s="70" t="inlineStr">
        <is>
          <t>زنجیره زمانی</t>
        </is>
      </c>
      <c r="J176" s="70" t="inlineStr">
        <is>
          <t>a2b9e6218a93141bbe5e9e8c903eaa527a28de4934fdf53236a707c8d570bf75</t>
        </is>
      </c>
      <c r="K176" s="70" t="inlineStr">
        <is>
          <t>sources/codal/رمپنا/v38_type19/T1523599.html</t>
        </is>
      </c>
    </row>
    <row r="177" ht="58" customHeight="1" s="76">
      <c r="A177" s="71" t="inlineStr">
        <is>
          <t>T19_1581623</t>
        </is>
      </c>
      <c r="B177" s="71" t="inlineStr">
        <is>
          <t>رمپنا</t>
        </is>
      </c>
      <c r="C177" s="71" t="inlineStr">
        <is>
          <t>اطلاعیه ن۴۵ (Type19)</t>
        </is>
      </c>
      <c r="D177" s="71" t="n"/>
      <c r="E177" s="71" t="inlineStr">
        <is>
          <t>معرفی /تغییر در ترکیب اعضای هیئت مدیره/مدیر عامل</t>
        </is>
      </c>
      <c r="F177" s="71" t="n">
        <v>1581623</v>
      </c>
      <c r="G177" s="71" t="inlineStr">
        <is>
          <t>1405/05/14 18:47</t>
        </is>
      </c>
      <c r="H177" s="71" t="inlineStr">
        <is>
          <t>https://www.codal.ir/Reports/Decision.aspx?LetterSerial=64GxK04zB3QQQaQQQ9UQ9949MAOOObOOOQ%3d%3d&amp;rt=5&amp;let=19&amp;ct=0&amp;ft=-1</t>
        </is>
      </c>
      <c r="I177" s="71" t="inlineStr">
        <is>
          <t>زنجیره زمانی</t>
        </is>
      </c>
      <c r="J177" s="71" t="inlineStr">
        <is>
          <t>aef253e52fc582d5b09803dae2bc81193752b24629c9ff18d8b4d2ae5a78d967</t>
        </is>
      </c>
      <c r="K177" s="71" t="inlineStr">
        <is>
          <t>sources/codal/رمپنا/v38_type19/T1581623.html</t>
        </is>
      </c>
    </row>
    <row r="178" ht="58" customHeight="1" s="76">
      <c r="A178" s="70" t="inlineStr">
        <is>
          <t>T19_1582056</t>
        </is>
      </c>
      <c r="B178" s="70" t="inlineStr">
        <is>
          <t>رمپنا</t>
        </is>
      </c>
      <c r="C178" s="70" t="inlineStr">
        <is>
          <t>اطلاعیه ن۴۵ (Type19)</t>
        </is>
      </c>
      <c r="D178" s="70" t="n"/>
      <c r="E178" s="70" t="inlineStr">
        <is>
          <t>معرفی /تغییر در ترکیب اعضای هیئت مدیره/مدیر عامل(اصلاحیه)</t>
        </is>
      </c>
      <c r="F178" s="70" t="n">
        <v>1582056</v>
      </c>
      <c r="G178" s="70" t="inlineStr">
        <is>
          <t>1405/05/26 15:09</t>
        </is>
      </c>
      <c r="H178" s="70" t="inlineStr">
        <is>
          <t>https://www.codal.ir/Reports/Decision.aspx?LetterSerial=IYwLTuhLcKN10ZPUwnld8g%3d%3d&amp;rt=5&amp;let=19&amp;ct=0&amp;ft=-1</t>
        </is>
      </c>
      <c r="I178" s="70" t="inlineStr">
        <is>
          <t>زنجیره زمانی</t>
        </is>
      </c>
      <c r="J178" s="70" t="inlineStr">
        <is>
          <t>5bdebe5625e7fa6ea890411c65a501d4ea82cf9dd7615c789df9c885a0da8772</t>
        </is>
      </c>
      <c r="K178" s="70" t="inlineStr">
        <is>
          <t>sources/codal/رمپنا/v38_type19/T1582056.html</t>
        </is>
      </c>
    </row>
    <row r="179" ht="58" customHeight="1" s="76">
      <c r="A179" s="71" t="inlineStr">
        <is>
          <t>T19_1065843</t>
        </is>
      </c>
      <c r="B179" s="71" t="inlineStr">
        <is>
          <t>فخوز</t>
        </is>
      </c>
      <c r="C179" s="71" t="inlineStr">
        <is>
          <t>اطلاعیه ن۴۵ (Type19)</t>
        </is>
      </c>
      <c r="D179" s="71" t="n"/>
      <c r="E179" s="71" t="inlineStr">
        <is>
          <t>معرفی /تغییر در ترکیب اعضای هیئت مدیره/مدیر عامل</t>
        </is>
      </c>
      <c r="F179" s="71" t="n">
        <v>1065843</v>
      </c>
      <c r="G179" s="71" t="inlineStr">
        <is>
          <t>1402/05/11 10:02</t>
        </is>
      </c>
      <c r="H179" s="71" t="inlineStr">
        <is>
          <t>https://www.codal.ir/Reports/Decision.aspx?LetterSerial=KbpEbfJg57JqDsuQQQaQQQS5O7TQ%3d%3d&amp;rt=0&amp;let=19&amp;ct=0&amp;ft=-1</t>
        </is>
      </c>
      <c r="I179" s="71" t="inlineStr">
        <is>
          <t>زنجیره زمانی</t>
        </is>
      </c>
      <c r="J179" s="71" t="inlineStr">
        <is>
          <t>f634dee2d3fe8f88d6195806c353b300ad8c05b075ef2049d43c2ece16c88805</t>
        </is>
      </c>
      <c r="K179" s="71" t="inlineStr">
        <is>
          <t>sources/codal/فخوز/v38_type19/T1065843.html</t>
        </is>
      </c>
    </row>
    <row r="180" ht="58" customHeight="1" s="76">
      <c r="A180" s="70" t="inlineStr">
        <is>
          <t>T19_1071071</t>
        </is>
      </c>
      <c r="B180" s="70" t="inlineStr">
        <is>
          <t>فخوز</t>
        </is>
      </c>
      <c r="C180" s="70" t="inlineStr">
        <is>
          <t>اطلاعیه ن۴۵ (Type19)</t>
        </is>
      </c>
      <c r="D180" s="70" t="n"/>
      <c r="E180" s="70" t="inlineStr">
        <is>
          <t>معرفی /تغییر در ترکیب اعضای هیئت مدیره/مدیر عامل(اصلاحیه)</t>
        </is>
      </c>
      <c r="F180" s="70" t="n">
        <v>1071071</v>
      </c>
      <c r="G180" s="70" t="inlineStr">
        <is>
          <t>1402/05/25 11:27</t>
        </is>
      </c>
      <c r="H180" s="70" t="inlineStr">
        <is>
          <t>https://www.codal.ir/Reports/Decision.aspx?LetterSerial=igMo41rAkcuqhWA62nHygw%3d%3d&amp;rt=0&amp;let=19&amp;ct=0&amp;ft=-1</t>
        </is>
      </c>
      <c r="I180" s="70" t="inlineStr">
        <is>
          <t>زنجیره زمانی</t>
        </is>
      </c>
      <c r="J180" s="70" t="inlineStr">
        <is>
          <t>a6bb123e4cca61c90f393546b2d4e54235a5e6c386e534ae1a006269eb965092</t>
        </is>
      </c>
      <c r="K180" s="70" t="inlineStr">
        <is>
          <t>sources/codal/فخوز/v38_type19/T1071071.html</t>
        </is>
      </c>
    </row>
    <row r="181" ht="58" customHeight="1" s="76">
      <c r="A181" s="71" t="inlineStr">
        <is>
          <t>T19_1074438</t>
        </is>
      </c>
      <c r="B181" s="71" t="inlineStr">
        <is>
          <t>فخوز</t>
        </is>
      </c>
      <c r="C181" s="71" t="inlineStr">
        <is>
          <t>اطلاعیه ن۴۵ (Type19)</t>
        </is>
      </c>
      <c r="D181" s="71" t="n"/>
      <c r="E181" s="71" t="inlineStr">
        <is>
          <t>معرفی /تغییر در ترکیب اعضای هیئت مدیره/مدیر عامل</t>
        </is>
      </c>
      <c r="F181" s="71" t="n">
        <v>1074438</v>
      </c>
      <c r="G181" s="71" t="inlineStr">
        <is>
          <t>1402/06/04 12:28</t>
        </is>
      </c>
      <c r="H181" s="71" t="inlineStr">
        <is>
          <t>https://www.codal.ir/Reports/Decision.aspx?LetterSerial=g5pfKBv9oPgSx4DG6VVSLw%3d%3d&amp;rt=0&amp;let=19&amp;ct=0&amp;ft=-1</t>
        </is>
      </c>
      <c r="I181" s="71" t="inlineStr">
        <is>
          <t>زنجیره زمانی</t>
        </is>
      </c>
      <c r="J181" s="71" t="inlineStr">
        <is>
          <t>876d8950b86f85ea01ed39e3462ba95beaefe24b3634939ca85b9e72f72aefde</t>
        </is>
      </c>
      <c r="K181" s="71" t="inlineStr">
        <is>
          <t>sources/codal/فخوز/v38_type19/T1074438.html</t>
        </is>
      </c>
    </row>
    <row r="182" ht="58" customHeight="1" s="76">
      <c r="A182" s="70" t="inlineStr">
        <is>
          <t>T19_1296243</t>
        </is>
      </c>
      <c r="B182" s="70" t="inlineStr">
        <is>
          <t>فخوز</t>
        </is>
      </c>
      <c r="C182" s="70" t="inlineStr">
        <is>
          <t>اطلاعیه ن۴۵ (Type19)</t>
        </is>
      </c>
      <c r="D182" s="70" t="n"/>
      <c r="E182" s="70" t="inlineStr">
        <is>
          <t>معرفی /تغییر در ترکیب اعضای هیئت مدیره/مدیر عامل</t>
        </is>
      </c>
      <c r="F182" s="70" t="n">
        <v>1296243</v>
      </c>
      <c r="G182" s="70" t="inlineStr">
        <is>
          <t>1403/10/26 13:07</t>
        </is>
      </c>
      <c r="H182" s="70" t="inlineStr">
        <is>
          <t>https://www.codal.ir/Reports/Decision.aspx?LetterSerial=kA5r9cueARD3bemH5ciAgg%3d%3d&amp;rt=0&amp;let=19&amp;ct=0&amp;ft=-1</t>
        </is>
      </c>
      <c r="I182" s="70" t="inlineStr">
        <is>
          <t>زنجیره زمانی</t>
        </is>
      </c>
      <c r="J182" s="70" t="inlineStr">
        <is>
          <t>598ef89f71926fe8f25ba24c8152b08b46daf96ba4c883034550ca1d3030b863</t>
        </is>
      </c>
      <c r="K182" s="70" t="inlineStr">
        <is>
          <t>sources/codal/فخوز/v38_type19/T1296243.html</t>
        </is>
      </c>
    </row>
    <row r="183" ht="58" customHeight="1" s="76">
      <c r="A183" s="71" t="inlineStr">
        <is>
          <t>T19_1390696</t>
        </is>
      </c>
      <c r="B183" s="71" t="inlineStr">
        <is>
          <t>فخوز</t>
        </is>
      </c>
      <c r="C183" s="71" t="inlineStr">
        <is>
          <t>اطلاعیه ن۴۵ (Type19)</t>
        </is>
      </c>
      <c r="D183" s="71" t="n"/>
      <c r="E183" s="71" t="inlineStr">
        <is>
          <t>معرفی /تغییر در ترکیب اعضای هیئت مدیره/مدیر عامل</t>
        </is>
      </c>
      <c r="F183" s="71" t="n">
        <v>1390696</v>
      </c>
      <c r="G183" s="71" t="inlineStr">
        <is>
          <t>1404/05/18 16:15</t>
        </is>
      </c>
      <c r="H183" s="71" t="inlineStr">
        <is>
          <t>https://www.codal.ir/Reports/Decision.aspx?LetterSerial=oFsXuGyVxYcQS6hFuPP0WQ%3d%3d&amp;rt=0&amp;let=19&amp;ct=0&amp;ft=-1</t>
        </is>
      </c>
      <c r="I183" s="71" t="inlineStr">
        <is>
          <t>زنجیره زمانی</t>
        </is>
      </c>
      <c r="J183" s="71" t="inlineStr">
        <is>
          <t>a15993e01f8668f1ca2cf6b54194a9ee07068dc2ce28a97f20aea524c6b4ff14</t>
        </is>
      </c>
      <c r="K183" s="71" t="inlineStr">
        <is>
          <t>sources/codal/فخوز/v38_type19/T1390696.html</t>
        </is>
      </c>
    </row>
    <row r="184" ht="58" customHeight="1" s="76">
      <c r="A184" s="70" t="inlineStr">
        <is>
          <t>T19_1391437</t>
        </is>
      </c>
      <c r="B184" s="70" t="inlineStr">
        <is>
          <t>فخوز</t>
        </is>
      </c>
      <c r="C184" s="70" t="inlineStr">
        <is>
          <t>اطلاعیه ن۴۵ (Type19)</t>
        </is>
      </c>
      <c r="D184" s="70" t="n"/>
      <c r="E184" s="70" t="inlineStr">
        <is>
          <t>معرفی /تغییر در ترکیب اعضای هیئت مدیره/مدیر عامل(اصلاحیه)</t>
        </is>
      </c>
      <c r="F184" s="70" t="n">
        <v>1391437</v>
      </c>
      <c r="G184" s="70" t="inlineStr">
        <is>
          <t>1404/05/20 09:14</t>
        </is>
      </c>
      <c r="H184" s="70" t="inlineStr">
        <is>
          <t>https://www.codal.ir/Reports/Decision.aspx?LetterSerial=BBO0LDG3msGEvsDsz654rg%3d%3d&amp;rt=0&amp;let=19&amp;ct=0&amp;ft=-1</t>
        </is>
      </c>
      <c r="I184" s="70" t="inlineStr">
        <is>
          <t>زنجیره زمانی</t>
        </is>
      </c>
      <c r="J184" s="70" t="inlineStr">
        <is>
          <t>af6818f20d02189590af14b7332ed604af9fb98fcacc0eb93581dcfebcf960b3</t>
        </is>
      </c>
      <c r="K184" s="70" t="inlineStr">
        <is>
          <t>sources/codal/فخوز/v38_type19/T1391437.html</t>
        </is>
      </c>
    </row>
    <row r="185" ht="58" customHeight="1" s="76">
      <c r="A185" s="71" t="inlineStr">
        <is>
          <t>T19_1393004</t>
        </is>
      </c>
      <c r="B185" s="71" t="inlineStr">
        <is>
          <t>فخوز</t>
        </is>
      </c>
      <c r="C185" s="71" t="inlineStr">
        <is>
          <t>اطلاعیه ن۴۵ (Type19)</t>
        </is>
      </c>
      <c r="D185" s="71" t="n"/>
      <c r="E185" s="71" t="inlineStr">
        <is>
          <t>معرفی /تغییر در ترکیب اعضای هیئت مدیره/مدیر عامل</t>
        </is>
      </c>
      <c r="F185" s="71" t="n">
        <v>1393004</v>
      </c>
      <c r="G185" s="71" t="inlineStr">
        <is>
          <t>1404/05/27 14:38</t>
        </is>
      </c>
      <c r="H185" s="71" t="inlineStr">
        <is>
          <t>https://www.codal.ir/Reports/Decision.aspx?LetterSerial=6zgqhifr57D5V2qAMfuvng%3d%3d&amp;rt=0&amp;let=19&amp;ct=0&amp;ft=-1</t>
        </is>
      </c>
      <c r="I185" s="71" t="inlineStr">
        <is>
          <t>مبنای فهرست اعضا در as-of</t>
        </is>
      </c>
      <c r="J185" s="71" t="inlineStr">
        <is>
          <t>9c9899918be4ebe37d2cb3a4f17531d374e925828c8e5b4c957e9cb73e92e88b</t>
        </is>
      </c>
      <c r="K185" s="71" t="inlineStr">
        <is>
          <t>sources/codal/فخوز/v38_type19/T1393004.html</t>
        </is>
      </c>
    </row>
    <row r="186" ht="58" customHeight="1" s="76">
      <c r="A186" s="70" t="inlineStr">
        <is>
          <t>T19_1509579</t>
        </is>
      </c>
      <c r="B186" s="70" t="inlineStr">
        <is>
          <t>فخوز</t>
        </is>
      </c>
      <c r="C186" s="70" t="inlineStr">
        <is>
          <t>اطلاعیه ن۴۵ (Type19)</t>
        </is>
      </c>
      <c r="D186" s="70" t="n"/>
      <c r="E186" s="70" t="inlineStr">
        <is>
          <t>معرفی /تغییر در ترکیب اعضای هیئت مدیره/مدیر عامل</t>
        </is>
      </c>
      <c r="F186" s="70" t="n">
        <v>1509579</v>
      </c>
      <c r="G186" s="70" t="inlineStr">
        <is>
          <t>1405/01/31 11:05</t>
        </is>
      </c>
      <c r="H186" s="70" t="inlineStr">
        <is>
          <t>https://www.codal.ir/Reports/Decision.aspx?LetterSerial=9sqjqF47rZ8onw8KkhtYWw%3d%3d&amp;rt=0&amp;let=19&amp;ct=0&amp;ft=-1</t>
        </is>
      </c>
      <c r="I186" s="70" t="inlineStr">
        <is>
          <t>زنجیره زمانی</t>
        </is>
      </c>
      <c r="J186" s="70" t="inlineStr">
        <is>
          <t>692cb5db3a063cf9a04584cea4b18ce9bc97aa9c2a00f776cf984ec232ec71fe</t>
        </is>
      </c>
      <c r="K186" s="70" t="inlineStr">
        <is>
          <t>sources/codal/فخوز/v38_type19/T1509579.html</t>
        </is>
      </c>
    </row>
    <row r="187" ht="58" customHeight="1" s="76">
      <c r="A187" s="71" t="inlineStr">
        <is>
          <t>T19_864736</t>
        </is>
      </c>
      <c r="B187" s="71" t="inlineStr">
        <is>
          <t>شستا</t>
        </is>
      </c>
      <c r="C187" s="71" t="inlineStr">
        <is>
          <t>اطلاعیه ن۴۵ (Type19)</t>
        </is>
      </c>
      <c r="D187" s="71" t="n"/>
      <c r="E187" s="71" t="inlineStr">
        <is>
          <t>معرفی یا تغییر در ترکیب اعضای هیئت مدیره(اصلاحیه)</t>
        </is>
      </c>
      <c r="F187" s="71" t="n">
        <v>864736</v>
      </c>
      <c r="G187" s="71" t="inlineStr">
        <is>
          <t>1401/01/06 12:28</t>
        </is>
      </c>
      <c r="H187" s="71" t="inlineStr">
        <is>
          <t>https://www.codal.ir/Reports/Decision.aspx?LetterSerial=QQQaQQQRWkSm%2BlR8nnOou6dGZEcw%3D%3D&amp;rt=2&amp;let=19&amp;ct=0&amp;ft=-1</t>
        </is>
      </c>
      <c r="I187" s="71" t="inlineStr">
        <is>
          <t>زنجیره زمانی</t>
        </is>
      </c>
      <c r="J187" s="71" t="inlineStr">
        <is>
          <t>fa78ccb0ff95c4af0ca424f7a8fdf9ccdd7dbf9376583992786b3335f4596775</t>
        </is>
      </c>
      <c r="K187" s="71" t="inlineStr">
        <is>
          <t>sources/codal/شستا/v38_type19/T864736.html</t>
        </is>
      </c>
    </row>
    <row r="188" ht="58" customHeight="1" s="76">
      <c r="A188" s="70" t="inlineStr">
        <is>
          <t>T19_872897</t>
        </is>
      </c>
      <c r="B188" s="70" t="inlineStr">
        <is>
          <t>شستا</t>
        </is>
      </c>
      <c r="C188" s="70" t="inlineStr">
        <is>
          <t>اطلاعیه ن۴۵ (Type19)</t>
        </is>
      </c>
      <c r="D188" s="70" t="n"/>
      <c r="E188" s="70" t="inlineStr">
        <is>
          <t>معرفی یا تغییر در ترکیب اعضای هیئت مدیره</t>
        </is>
      </c>
      <c r="F188" s="70" t="n">
        <v>872897</v>
      </c>
      <c r="G188" s="70" t="inlineStr">
        <is>
          <t>1401/01/31 12:58</t>
        </is>
      </c>
      <c r="H188" s="70" t="inlineStr">
        <is>
          <t>https://www.codal.ir/Reports/Decision.aspx?LetterSerial=d7EMFvzJCtltHfvseEwT5g%3D%3D&amp;rt=2&amp;let=19&amp;ct=0&amp;ft=-1</t>
        </is>
      </c>
      <c r="I188" s="70" t="inlineStr">
        <is>
          <t>زنجیره زمانی</t>
        </is>
      </c>
      <c r="J188" s="70" t="inlineStr">
        <is>
          <t>44420c0a3583b2dd27fd8fdeae0717c7d8f67d04064b13546ecd5fe97ba1b424</t>
        </is>
      </c>
      <c r="K188" s="70" t="inlineStr">
        <is>
          <t>sources/codal/شستا/v38_type19/T872897.html</t>
        </is>
      </c>
    </row>
    <row r="189" ht="58" customHeight="1" s="76">
      <c r="A189" s="71" t="inlineStr">
        <is>
          <t>T19_936330</t>
        </is>
      </c>
      <c r="B189" s="71" t="inlineStr">
        <is>
          <t>شستا</t>
        </is>
      </c>
      <c r="C189" s="71" t="inlineStr">
        <is>
          <t>اطلاعیه ن۴۵ (Type19)</t>
        </is>
      </c>
      <c r="D189" s="71" t="n"/>
      <c r="E189" s="71" t="inlineStr">
        <is>
          <t>معرفی /تغییر در ترکیب اعضای هیئت مدیره/مدیر عامل</t>
        </is>
      </c>
      <c r="F189" s="71" t="n">
        <v>936330</v>
      </c>
      <c r="G189" s="71" t="inlineStr">
        <is>
          <t>1401/06/16 11:31</t>
        </is>
      </c>
      <c r="H189" s="71" t="inlineStr">
        <is>
          <t>https://www.codal.ir/Reports/Decision.aspx?LetterSerial=iKjRzQQQaQQQCuKEIOWi0352p8mg%3d%3d&amp;rt=2&amp;let=19&amp;ct=0&amp;ft=-1</t>
        </is>
      </c>
      <c r="I189" s="71" t="inlineStr">
        <is>
          <t>زنجیره زمانی</t>
        </is>
      </c>
      <c r="J189" s="71" t="inlineStr">
        <is>
          <t>81517a3bbdfc24f4572c7a6c53a0a57197a4aac7651bf2c0a21d4624c006d85c</t>
        </is>
      </c>
      <c r="K189" s="71" t="inlineStr">
        <is>
          <t>sources/codal/شستا/v38_type19/T936330.html</t>
        </is>
      </c>
    </row>
    <row r="190" ht="58" customHeight="1" s="76">
      <c r="A190" s="70" t="inlineStr">
        <is>
          <t>T19_1004599</t>
        </is>
      </c>
      <c r="B190" s="70" t="inlineStr">
        <is>
          <t>شستا</t>
        </is>
      </c>
      <c r="C190" s="70" t="inlineStr">
        <is>
          <t>اطلاعیه ن۴۵ (Type19)</t>
        </is>
      </c>
      <c r="D190" s="70" t="n"/>
      <c r="E190" s="70" t="inlineStr">
        <is>
          <t>معرفی /تغییر در ترکیب اعضای هیئت مدیره/مدیر عامل</t>
        </is>
      </c>
      <c r="F190" s="70" t="n">
        <v>1004599</v>
      </c>
      <c r="G190" s="70" t="inlineStr">
        <is>
          <t>1401/12/27 08:50</t>
        </is>
      </c>
      <c r="H190" s="70" t="inlineStr">
        <is>
          <t>https://www.codal.ir/Reports/Decision.aspx?LetterSerial=GRHOOZn0kkUGzyoAJhBz5A%3d%3d&amp;rt=2&amp;let=19&amp;ct=0&amp;ft=-1</t>
        </is>
      </c>
      <c r="I190" s="70" t="inlineStr">
        <is>
          <t>زنجیره زمانی</t>
        </is>
      </c>
      <c r="J190" s="70" t="inlineStr">
        <is>
          <t>5772373f8b2164b109a587c67d9dfb806f855530b0320bafcd76bfd7ef6dbca0</t>
        </is>
      </c>
      <c r="K190" s="70" t="inlineStr">
        <is>
          <t>sources/codal/شستا/v38_type19/T1004599.html</t>
        </is>
      </c>
    </row>
    <row r="191" ht="58" customHeight="1" s="76">
      <c r="A191" s="71" t="inlineStr">
        <is>
          <t>T19_1035576</t>
        </is>
      </c>
      <c r="B191" s="71" t="inlineStr">
        <is>
          <t>شستا</t>
        </is>
      </c>
      <c r="C191" s="71" t="inlineStr">
        <is>
          <t>اطلاعیه ن۴۵ (Type19)</t>
        </is>
      </c>
      <c r="D191" s="71" t="n"/>
      <c r="E191" s="71" t="inlineStr">
        <is>
          <t>معرفی /تغییر در ترکیب اعضای هیئت مدیره/مدیر عامل(اصلاحیه)</t>
        </is>
      </c>
      <c r="F191" s="71" t="n">
        <v>1035576</v>
      </c>
      <c r="G191" s="71" t="inlineStr">
        <is>
          <t>1402/03/13 21:56</t>
        </is>
      </c>
      <c r="H191" s="71" t="inlineStr">
        <is>
          <t>https://www.codal.ir/Reports/Decision.aspx?LetterSerial=OOYdTHb6MeJZpS%2bUxjRTPg%3d%3d&amp;rt=2&amp;let=19&amp;ct=0&amp;ft=-1</t>
        </is>
      </c>
      <c r="I191" s="71" t="inlineStr">
        <is>
          <t>زنجیره زمانی</t>
        </is>
      </c>
      <c r="J191" s="71" t="inlineStr">
        <is>
          <t>e43f038e20ae80af78bdca86a05b3fde1c1b206f1b2f0ef9c7a1bf0146b4c9f7</t>
        </is>
      </c>
      <c r="K191" s="71" t="inlineStr">
        <is>
          <t>sources/codal/شستا/v38_type19/T1035576.html</t>
        </is>
      </c>
    </row>
    <row r="192" ht="58" customHeight="1" s="76">
      <c r="A192" s="70" t="inlineStr">
        <is>
          <t>T19_1069049</t>
        </is>
      </c>
      <c r="B192" s="70" t="inlineStr">
        <is>
          <t>شستا</t>
        </is>
      </c>
      <c r="C192" s="70" t="inlineStr">
        <is>
          <t>اطلاعیه ن۴۵ (Type19)</t>
        </is>
      </c>
      <c r="D192" s="70" t="n"/>
      <c r="E192" s="70" t="inlineStr">
        <is>
          <t>معرفی /تغییر در ترکیب اعضای هیئت مدیره/مدیر عامل</t>
        </is>
      </c>
      <c r="F192" s="70" t="n">
        <v>1069049</v>
      </c>
      <c r="G192" s="70" t="inlineStr">
        <is>
          <t>1402/05/21 14:45</t>
        </is>
      </c>
      <c r="H192" s="70" t="inlineStr">
        <is>
          <t>https://www.codal.ir/Reports/Decision.aspx?LetterSerial=e51HMww2joA6W%2bu%2bH6vzkg%3d%3d&amp;rt=2&amp;let=19&amp;ct=0&amp;ft=-1</t>
        </is>
      </c>
      <c r="I192" s="70" t="inlineStr">
        <is>
          <t>زنجیره زمانی</t>
        </is>
      </c>
      <c r="J192" s="70" t="inlineStr">
        <is>
          <t>cf973d12e9dc7e5d6ce37341a37644454738bbb6335c4aa73c6726c5b8202ec5</t>
        </is>
      </c>
      <c r="K192" s="70" t="inlineStr">
        <is>
          <t>sources/codal/شستا/v38_type19/T1069049.html</t>
        </is>
      </c>
    </row>
    <row r="193" ht="58" customHeight="1" s="76">
      <c r="A193" s="71" t="inlineStr">
        <is>
          <t>T19_1077102</t>
        </is>
      </c>
      <c r="B193" s="71" t="inlineStr">
        <is>
          <t>شستا</t>
        </is>
      </c>
      <c r="C193" s="71" t="inlineStr">
        <is>
          <t>اطلاعیه ن۴۵ (Type19)</t>
        </is>
      </c>
      <c r="D193" s="71" t="n"/>
      <c r="E193" s="71" t="inlineStr">
        <is>
          <t>معرفی /تغییر در ترکیب اعضای هیئت مدیره/مدیر عامل</t>
        </is>
      </c>
      <c r="F193" s="71" t="n">
        <v>1077102</v>
      </c>
      <c r="G193" s="71" t="inlineStr">
        <is>
          <t>1402/06/07 18:56</t>
        </is>
      </c>
      <c r="H193" s="71" t="inlineStr">
        <is>
          <t>https://www.codal.ir/Reports/Decision.aspx?LetterSerial=PxsIXopmdUHkc2FnQr%2bJBA%3d%3d&amp;rt=2&amp;let=19&amp;ct=0&amp;ft=-1</t>
        </is>
      </c>
      <c r="I193" s="71" t="inlineStr">
        <is>
          <t>زنجیره زمانی</t>
        </is>
      </c>
      <c r="J193" s="71" t="inlineStr">
        <is>
          <t>bb039c47653a53eb260c39a79e573b38bc8b15ab279064ad5037a05c4c5981e7</t>
        </is>
      </c>
      <c r="K193" s="71" t="inlineStr">
        <is>
          <t>sources/codal/شستا/v38_type19/T1077102.html</t>
        </is>
      </c>
    </row>
    <row r="194" ht="58" customHeight="1" s="76">
      <c r="A194" s="70" t="inlineStr">
        <is>
          <t>T19_1085402</t>
        </is>
      </c>
      <c r="B194" s="70" t="inlineStr">
        <is>
          <t>شستا</t>
        </is>
      </c>
      <c r="C194" s="70" t="inlineStr">
        <is>
          <t>اطلاعیه ن۴۵ (Type19)</t>
        </is>
      </c>
      <c r="D194" s="70" t="n"/>
      <c r="E194" s="70" t="inlineStr">
        <is>
          <t>معرفی /تغییر در ترکیب اعضای هیئت مدیره/مدیر عامل(اصلاحیه)</t>
        </is>
      </c>
      <c r="F194" s="70" t="n">
        <v>1085402</v>
      </c>
      <c r="G194" s="70" t="inlineStr">
        <is>
          <t>1402/07/02 14:02</t>
        </is>
      </c>
      <c r="H194" s="70" t="inlineStr">
        <is>
          <t>https://www.codal.ir/Reports/Decision.aspx?LetterSerial=tevMWiXLRH7I9lD7GX57mg%3d%3d&amp;rt=2&amp;let=19&amp;ct=0&amp;ft=-1</t>
        </is>
      </c>
      <c r="I194" s="70" t="inlineStr">
        <is>
          <t>زنجیره زمانی</t>
        </is>
      </c>
      <c r="J194" s="70" t="inlineStr">
        <is>
          <t>cf4e3dc1251a3d114d718fe666689bf64d0c29d3354d29275794621f9b0ad3b7</t>
        </is>
      </c>
      <c r="K194" s="70" t="inlineStr">
        <is>
          <t>sources/codal/شستا/v38_type19/T1085402.html</t>
        </is>
      </c>
    </row>
    <row r="195" ht="58" customHeight="1" s="76">
      <c r="A195" s="71" t="inlineStr">
        <is>
          <t>T19_1086722</t>
        </is>
      </c>
      <c r="B195" s="71" t="inlineStr">
        <is>
          <t>شستا</t>
        </is>
      </c>
      <c r="C195" s="71" t="inlineStr">
        <is>
          <t>اطلاعیه ن۴۵ (Type19)</t>
        </is>
      </c>
      <c r="D195" s="71" t="n"/>
      <c r="E195" s="71" t="inlineStr">
        <is>
          <t>معرفی /تغییر در ترکیب اعضای هیئت مدیره/مدیر عامل(اصلاحیه)</t>
        </is>
      </c>
      <c r="F195" s="71" t="n">
        <v>1086722</v>
      </c>
      <c r="G195" s="71" t="inlineStr">
        <is>
          <t>1402/07/05 10:28</t>
        </is>
      </c>
      <c r="H195" s="71" t="inlineStr">
        <is>
          <t>https://www.codal.ir/Reports/Decision.aspx?LetterSerial=3AS1czE9bXk7QQQaQQQ0MdKe9FMw%3d%3d&amp;rt=2&amp;let=19&amp;ct=0&amp;ft=-1</t>
        </is>
      </c>
      <c r="I195" s="71" t="inlineStr">
        <is>
          <t>زنجیره زمانی</t>
        </is>
      </c>
      <c r="J195" s="71" t="inlineStr">
        <is>
          <t>cc492e6c353fd1764721b22a5103c0146e460998fc61e907ec0ba88cf058e582</t>
        </is>
      </c>
      <c r="K195" s="71" t="inlineStr">
        <is>
          <t>sources/codal/شستا/v38_type19/T1086722.html</t>
        </is>
      </c>
    </row>
    <row r="196" ht="58" customHeight="1" s="76">
      <c r="A196" s="70" t="inlineStr">
        <is>
          <t>T19_1103274</t>
        </is>
      </c>
      <c r="B196" s="70" t="inlineStr">
        <is>
          <t>شستا</t>
        </is>
      </c>
      <c r="C196" s="70" t="inlineStr">
        <is>
          <t>اطلاعیه ن۴۵ (Type19)</t>
        </is>
      </c>
      <c r="D196" s="70" t="n"/>
      <c r="E196" s="70" t="inlineStr">
        <is>
          <t>معرفی /تغییر در ترکیب اعضای هیئت مدیره/مدیر عامل</t>
        </is>
      </c>
      <c r="F196" s="70" t="n">
        <v>1103274</v>
      </c>
      <c r="G196" s="70" t="inlineStr">
        <is>
          <t>1402/08/17 14:44</t>
        </is>
      </c>
      <c r="H196" s="70" t="inlineStr">
        <is>
          <t>https://www.codal.ir/Reports/Decision.aspx?LetterSerial=iLTOZvV15NpmNdlisdnaSQ%3d%3d&amp;rt=2&amp;let=19&amp;ct=0&amp;ft=-1</t>
        </is>
      </c>
      <c r="I196" s="70" t="inlineStr">
        <is>
          <t>زنجیره زمانی</t>
        </is>
      </c>
      <c r="J196" s="70" t="inlineStr">
        <is>
          <t>9cdd37ee731f9cb89a413feb52e19711b9c262b9bd219e82f88ae28560521210</t>
        </is>
      </c>
      <c r="K196" s="70" t="inlineStr">
        <is>
          <t>sources/codal/شستا/v38_type19/T1103274.html</t>
        </is>
      </c>
    </row>
    <row r="197" ht="58" customHeight="1" s="76">
      <c r="A197" s="71" t="inlineStr">
        <is>
          <t>T19_1103341</t>
        </is>
      </c>
      <c r="B197" s="71" t="inlineStr">
        <is>
          <t>شستا</t>
        </is>
      </c>
      <c r="C197" s="71" t="inlineStr">
        <is>
          <t>اطلاعیه ن۴۵ (Type19)</t>
        </is>
      </c>
      <c r="D197" s="71" t="n"/>
      <c r="E197" s="71" t="inlineStr">
        <is>
          <t>معرفی /تغییر در ترکیب اعضای هیئت مدیره/مدیر عامل(اصلاحیه)</t>
        </is>
      </c>
      <c r="F197" s="71" t="n">
        <v>1103341</v>
      </c>
      <c r="G197" s="71" t="inlineStr">
        <is>
          <t>1402/08/17 15:46</t>
        </is>
      </c>
      <c r="H197" s="71" t="inlineStr">
        <is>
          <t>https://www.codal.ir/Reports/Decision.aspx?LetterSerial=b8oxHadTuSstqVNc5Bqzjw%3d%3d&amp;rt=2&amp;let=19&amp;ct=0&amp;ft=-1</t>
        </is>
      </c>
      <c r="I197" s="71" t="inlineStr">
        <is>
          <t>زنجیره زمانی</t>
        </is>
      </c>
      <c r="J197" s="71" t="inlineStr">
        <is>
          <t>2d55784752e902c9b29951073dd0fd5471c7affab39b8ac2a82d78bb1b09a21c</t>
        </is>
      </c>
      <c r="K197" s="71" t="inlineStr">
        <is>
          <t>sources/codal/شستا/v38_type19/T1103341.html</t>
        </is>
      </c>
    </row>
    <row r="198" ht="58" customHeight="1" s="76">
      <c r="A198" s="70" t="inlineStr">
        <is>
          <t>T19_1113897</t>
        </is>
      </c>
      <c r="B198" s="70" t="inlineStr">
        <is>
          <t>شستا</t>
        </is>
      </c>
      <c r="C198" s="70" t="inlineStr">
        <is>
          <t>اطلاعیه ن۴۵ (Type19)</t>
        </is>
      </c>
      <c r="D198" s="70" t="n"/>
      <c r="E198" s="70" t="inlineStr">
        <is>
          <t>معرفی /تغییر در ترکیب اعضای هیئت مدیره/مدیر عامل</t>
        </is>
      </c>
      <c r="F198" s="70" t="n">
        <v>1113897</v>
      </c>
      <c r="G198" s="70" t="inlineStr">
        <is>
          <t>1402/09/07 13:43</t>
        </is>
      </c>
      <c r="H198" s="70" t="inlineStr">
        <is>
          <t>https://www.codal.ir/Reports/Decision.aspx?LetterSerial=6RcsBZ8Xo1iBkPaqIScb6A%3d%3d&amp;rt=2&amp;let=19&amp;ct=0&amp;ft=-1</t>
        </is>
      </c>
      <c r="I198" s="70" t="inlineStr">
        <is>
          <t>زنجیره زمانی</t>
        </is>
      </c>
      <c r="J198" s="70" t="inlineStr">
        <is>
          <t>ec8daedfc542e09b0034926d2c7d1679cdd7f3d645ae246576ec9bd2f5ec15b7</t>
        </is>
      </c>
      <c r="K198" s="70" t="inlineStr">
        <is>
          <t>sources/codal/شستا/v38_type19/T1113897.html</t>
        </is>
      </c>
    </row>
    <row r="199" ht="58" customHeight="1" s="76">
      <c r="A199" s="71" t="inlineStr">
        <is>
          <t>T19_1145823</t>
        </is>
      </c>
      <c r="B199" s="71" t="inlineStr">
        <is>
          <t>شستا</t>
        </is>
      </c>
      <c r="C199" s="71" t="inlineStr">
        <is>
          <t>اطلاعیه ن۴۵ (Type19)</t>
        </is>
      </c>
      <c r="D199" s="71" t="n"/>
      <c r="E199" s="71" t="inlineStr">
        <is>
          <t>معرفی /تغییر در ترکیب اعضای هیئت مدیره/مدیر عامل(اصلاحیه)</t>
        </is>
      </c>
      <c r="F199" s="71" t="n">
        <v>1145823</v>
      </c>
      <c r="G199" s="71" t="inlineStr">
        <is>
          <t>1402/11/03 13:01</t>
        </is>
      </c>
      <c r="H199" s="71" t="inlineStr">
        <is>
          <t>https://www.codal.ir/Reports/Decision.aspx?LetterSerial=k9B9YYaqK2m2zcUR%2bkQQQaQQQoWA%3d%3d&amp;rt=2&amp;let=19&amp;ct=0&amp;ft=-1</t>
        </is>
      </c>
      <c r="I199" s="71" t="inlineStr">
        <is>
          <t>زنجیره زمانی</t>
        </is>
      </c>
      <c r="J199" s="71" t="inlineStr">
        <is>
          <t>d1c9af5f0cd3a634cea4753df464d44a7b0fc289f82064f708c143718f6e3ae0</t>
        </is>
      </c>
      <c r="K199" s="71" t="inlineStr">
        <is>
          <t>sources/codal/شستا/v38_type19/T1145823.html</t>
        </is>
      </c>
    </row>
    <row r="200" ht="58" customHeight="1" s="76">
      <c r="A200" s="70" t="inlineStr">
        <is>
          <t>T19_1268159</t>
        </is>
      </c>
      <c r="B200" s="70" t="inlineStr">
        <is>
          <t>شستا</t>
        </is>
      </c>
      <c r="C200" s="70" t="inlineStr">
        <is>
          <t>اطلاعیه ن۴۵ (Type19)</t>
        </is>
      </c>
      <c r="D200" s="70" t="n"/>
      <c r="E200" s="70" t="inlineStr">
        <is>
          <t>معرفی /تغییر در ترکیب اعضای هیئت مدیره/مدیر عامل</t>
        </is>
      </c>
      <c r="F200" s="70" t="n">
        <v>1268159</v>
      </c>
      <c r="G200" s="70" t="inlineStr">
        <is>
          <t>1403/08/21 14:43</t>
        </is>
      </c>
      <c r="H200" s="70" t="inlineStr">
        <is>
          <t>https://www.codal.ir/Reports/Decision.aspx?LetterSerial=pdtOEOqEQWkgVVDxCaaubg%3d%3d&amp;rt=2&amp;let=19&amp;ct=0&amp;ft=-1</t>
        </is>
      </c>
      <c r="I200" s="70" t="inlineStr">
        <is>
          <t>زنجیره زمانی</t>
        </is>
      </c>
      <c r="J200" s="70" t="inlineStr">
        <is>
          <t>200061661cd0dd6de3753ef077cecdbc5ef959da19a27a197137ba406d5e669f</t>
        </is>
      </c>
      <c r="K200" s="70" t="inlineStr">
        <is>
          <t>sources/codal/شستا/v38_type19/T1268159.html</t>
        </is>
      </c>
    </row>
    <row r="201" ht="58" customHeight="1" s="76">
      <c r="A201" s="71" t="inlineStr">
        <is>
          <t>T19_1276377</t>
        </is>
      </c>
      <c r="B201" s="71" t="inlineStr">
        <is>
          <t>شستا</t>
        </is>
      </c>
      <c r="C201" s="71" t="inlineStr">
        <is>
          <t>اطلاعیه ن۴۵ (Type19)</t>
        </is>
      </c>
      <c r="D201" s="71" t="n"/>
      <c r="E201" s="71" t="inlineStr">
        <is>
          <t>معرفی /تغییر در ترکیب اعضای هیئت مدیره/مدیر عامل(اصلاحیه)</t>
        </is>
      </c>
      <c r="F201" s="71" t="n">
        <v>1276377</v>
      </c>
      <c r="G201" s="71" t="inlineStr">
        <is>
          <t>1403/09/07 16:58</t>
        </is>
      </c>
      <c r="H201" s="71" t="inlineStr">
        <is>
          <t>https://www.codal.ir/Reports/Decision.aspx?LetterSerial=njkZPADKKhrXt4Cjw82qDQ%3d%3d&amp;rt=2&amp;let=19&amp;ct=0&amp;ft=-1</t>
        </is>
      </c>
      <c r="I201" s="71" t="inlineStr">
        <is>
          <t>زنجیره زمانی</t>
        </is>
      </c>
      <c r="J201" s="71" t="inlineStr">
        <is>
          <t>75e933b0f9c2929af5062591e6bbb536ffcfc13a26bcc87480c5808e40a9facb</t>
        </is>
      </c>
      <c r="K201" s="71" t="inlineStr">
        <is>
          <t>sources/codal/شستا/v38_type19/T1276377.html</t>
        </is>
      </c>
    </row>
    <row r="202" ht="58" customHeight="1" s="76">
      <c r="A202" s="70" t="inlineStr">
        <is>
          <t>T19_1284069</t>
        </is>
      </c>
      <c r="B202" s="70" t="inlineStr">
        <is>
          <t>شستا</t>
        </is>
      </c>
      <c r="C202" s="70" t="inlineStr">
        <is>
          <t>اطلاعیه ن۴۵ (Type19)</t>
        </is>
      </c>
      <c r="D202" s="70" t="n"/>
      <c r="E202" s="70" t="inlineStr">
        <is>
          <t>معرفی /تغییر در ترکیب اعضای هیئت مدیره/مدیر عامل</t>
        </is>
      </c>
      <c r="F202" s="70" t="n">
        <v>1284069</v>
      </c>
      <c r="G202" s="70" t="inlineStr">
        <is>
          <t>1403/09/25 19:38</t>
        </is>
      </c>
      <c r="H202" s="70" t="inlineStr">
        <is>
          <t>https://www.codal.ir/Reports/Decision.aspx?LetterSerial=YpUihd29tgLru9DmuQQQaQQQ8F8w%3d%3d&amp;rt=2&amp;let=19&amp;ct=0&amp;ft=-1</t>
        </is>
      </c>
      <c r="I202" s="70" t="inlineStr">
        <is>
          <t>زنجیره زمانی</t>
        </is>
      </c>
      <c r="J202" s="70" t="inlineStr">
        <is>
          <t>808f3ba7f4a2cea7d58c85fc2391d57c35b0209c82a4a1368b6a0ea3508b3b8a</t>
        </is>
      </c>
      <c r="K202" s="70" t="inlineStr">
        <is>
          <t>sources/codal/شستا/v38_type19/T1284069.html</t>
        </is>
      </c>
    </row>
    <row r="203" ht="58" customHeight="1" s="76">
      <c r="A203" s="71" t="inlineStr">
        <is>
          <t>T19_1309408</t>
        </is>
      </c>
      <c r="B203" s="71" t="inlineStr">
        <is>
          <t>شستا</t>
        </is>
      </c>
      <c r="C203" s="71" t="inlineStr">
        <is>
          <t>اطلاعیه ن۴۵ (Type19)</t>
        </is>
      </c>
      <c r="D203" s="71" t="n"/>
      <c r="E203" s="71" t="inlineStr">
        <is>
          <t>معرفی /تغییر در ترکیب اعضای هیئت مدیره/مدیر عامل</t>
        </is>
      </c>
      <c r="F203" s="71" t="n">
        <v>1309408</v>
      </c>
      <c r="G203" s="71" t="inlineStr">
        <is>
          <t>1403/11/29 16:12</t>
        </is>
      </c>
      <c r="H203" s="71" t="inlineStr">
        <is>
          <t>https://www.codal.ir/Reports/Decision.aspx?LetterSerial=Ps39vPeSeN5C9vgbYrpvuQ%3d%3d&amp;rt=2&amp;let=19&amp;ct=0&amp;ft=-1</t>
        </is>
      </c>
      <c r="I203" s="71" t="inlineStr">
        <is>
          <t>زنجیره زمانی</t>
        </is>
      </c>
      <c r="J203" s="71" t="inlineStr">
        <is>
          <t>f28c6de869c64f6fe55b832b62d97ef999609304c2fcda353874a6f9664aeac0</t>
        </is>
      </c>
      <c r="K203" s="71" t="inlineStr">
        <is>
          <t>sources/codal/شستا/v38_type19/T1309408.html</t>
        </is>
      </c>
    </row>
    <row r="204" ht="58" customHeight="1" s="76">
      <c r="A204" s="70" t="inlineStr">
        <is>
          <t>T19_1320931</t>
        </is>
      </c>
      <c r="B204" s="70" t="inlineStr">
        <is>
          <t>شستا</t>
        </is>
      </c>
      <c r="C204" s="70" t="inlineStr">
        <is>
          <t>اطلاعیه ن۴۵ (Type19)</t>
        </is>
      </c>
      <c r="D204" s="70" t="n"/>
      <c r="E204" s="70" t="inlineStr">
        <is>
          <t>معرفی /تغییر در ترکیب اعضای هیئت مدیره/مدیر عامل</t>
        </is>
      </c>
      <c r="F204" s="70" t="n">
        <v>1320931</v>
      </c>
      <c r="G204" s="70" t="inlineStr">
        <is>
          <t>1403/12/22 10:29</t>
        </is>
      </c>
      <c r="H204" s="70" t="inlineStr">
        <is>
          <t>https://www.codal.ir/Reports/Decision.aspx?LetterSerial=pk2gUF4FVfw9cOOObOOOOR6kSTDg%3d%3d&amp;rt=2&amp;let=19&amp;ct=0&amp;ft=-1</t>
        </is>
      </c>
      <c r="I204" s="70" t="inlineStr">
        <is>
          <t>مبنای فهرست اعضا در as-of</t>
        </is>
      </c>
      <c r="J204" s="70" t="inlineStr">
        <is>
          <t>21a51b103e46390fa15f0c27e1f9c0f95c5353338081ea5b04872a5f7ada0f6e</t>
        </is>
      </c>
      <c r="K204" s="70" t="inlineStr">
        <is>
          <t>sources/codal/شستا/v38_type19/T1320931.html</t>
        </is>
      </c>
    </row>
    <row r="205" ht="58" customHeight="1" s="76">
      <c r="A205" s="71" t="inlineStr">
        <is>
          <t>T19_1387666</t>
        </is>
      </c>
      <c r="B205" s="71" t="inlineStr">
        <is>
          <t>شستا</t>
        </is>
      </c>
      <c r="C205" s="71" t="inlineStr">
        <is>
          <t>اطلاعیه ن۴۵ (Type19)</t>
        </is>
      </c>
      <c r="D205" s="71" t="n"/>
      <c r="E205" s="71" t="inlineStr">
        <is>
          <t>معرفی /تغییر در ترکیب اعضای هیئت مدیره/مدیر عامل</t>
        </is>
      </c>
      <c r="F205" s="71" t="n">
        <v>1387666</v>
      </c>
      <c r="G205" s="71" t="inlineStr">
        <is>
          <t>1404/05/11 15:19</t>
        </is>
      </c>
      <c r="H205" s="71" t="inlineStr">
        <is>
          <t>https://www.codal.ir/Reports/Decision.aspx?LetterSerial=fFLCr8sNfgTBUbMn9Bs8Ow%3d%3d&amp;rt=2&amp;let=19&amp;ct=0&amp;ft=-1</t>
        </is>
      </c>
      <c r="I205" s="71" t="inlineStr">
        <is>
          <t>زنجیره زمانی</t>
        </is>
      </c>
      <c r="J205" s="71" t="inlineStr">
        <is>
          <t>7d115d4c16c61fffaede7aea4bcbc623edde5709f92d23ce2a46b13ddc797467</t>
        </is>
      </c>
      <c r="K205" s="71" t="inlineStr">
        <is>
          <t>sources/codal/شستا/v38_type19/T1387666.html</t>
        </is>
      </c>
    </row>
    <row r="206" ht="58" customHeight="1" s="76">
      <c r="A206" s="70" t="inlineStr">
        <is>
          <t>T19_1388381</t>
        </is>
      </c>
      <c r="B206" s="70" t="inlineStr">
        <is>
          <t>شستا</t>
        </is>
      </c>
      <c r="C206" s="70" t="inlineStr">
        <is>
          <t>اطلاعیه ن۴۵ (Type19)</t>
        </is>
      </c>
      <c r="D206" s="70" t="n"/>
      <c r="E206" s="70" t="inlineStr">
        <is>
          <t>معرفی /تغییر در ترکیب اعضای هیئت مدیره/مدیر عامل(اصلاحیه)</t>
        </is>
      </c>
      <c r="F206" s="70" t="n">
        <v>1388381</v>
      </c>
      <c r="G206" s="70" t="inlineStr">
        <is>
          <t>1404/05/12 08:52</t>
        </is>
      </c>
      <c r="H206" s="70" t="inlineStr">
        <is>
          <t>https://www.codal.ir/Reports/Decision.aspx?LetterSerial=8DTV91fGFoRYE7N4nAWY1Q%3d%3d&amp;rt=2&amp;let=19&amp;ct=0&amp;ft=-1</t>
        </is>
      </c>
      <c r="I206" s="70" t="inlineStr">
        <is>
          <t>زنجیره زمانی</t>
        </is>
      </c>
      <c r="J206" s="70" t="inlineStr">
        <is>
          <t>669d70ef2f472577273cc80757b71776e21fdd25443c2c1cbae3960ebb00deda</t>
        </is>
      </c>
      <c r="K206" s="70" t="inlineStr">
        <is>
          <t>sources/codal/شستا/v38_type19/T1388381.html</t>
        </is>
      </c>
    </row>
    <row r="207" ht="58" customHeight="1" s="76">
      <c r="A207" s="71" t="inlineStr">
        <is>
          <t>T19_1389745</t>
        </is>
      </c>
      <c r="B207" s="71" t="inlineStr">
        <is>
          <t>شستا</t>
        </is>
      </c>
      <c r="C207" s="71" t="inlineStr">
        <is>
          <t>اطلاعیه ن۴۵ (Type19)</t>
        </is>
      </c>
      <c r="D207" s="71" t="n"/>
      <c r="E207" s="71" t="inlineStr">
        <is>
          <t>معرفی /تغییر در ترکیب اعضای هیئت مدیره/مدیر عامل(اصلاحیه)</t>
        </is>
      </c>
      <c r="F207" s="71" t="n">
        <v>1389745</v>
      </c>
      <c r="G207" s="71" t="inlineStr">
        <is>
          <t>1404/05/14 14:36</t>
        </is>
      </c>
      <c r="H207" s="71" t="inlineStr">
        <is>
          <t>https://www.codal.ir/Reports/Decision.aspx?LetterSerial=8jEiPOBTMja0glOOObOOOYHIGAYg%3d%3d&amp;rt=2&amp;let=19&amp;ct=0&amp;ft=-1</t>
        </is>
      </c>
      <c r="I207" s="71" t="inlineStr">
        <is>
          <t>زنجیره زمانی</t>
        </is>
      </c>
      <c r="J207" s="71" t="inlineStr">
        <is>
          <t>a0f30fd0ccec46fe9f749313c8b8bbe24649156623152a3cd4bfc201e7275fde</t>
        </is>
      </c>
      <c r="K207" s="71" t="inlineStr">
        <is>
          <t>sources/codal/شستا/v38_type19/T1389745.html</t>
        </is>
      </c>
    </row>
    <row r="208" ht="58" customHeight="1" s="76">
      <c r="A208" s="70" t="inlineStr">
        <is>
          <t>T19_1403080</t>
        </is>
      </c>
      <c r="B208" s="70" t="inlineStr">
        <is>
          <t>شستا</t>
        </is>
      </c>
      <c r="C208" s="70" t="inlineStr">
        <is>
          <t>اطلاعیه ن۴۵ (Type19)</t>
        </is>
      </c>
      <c r="D208" s="70" t="n"/>
      <c r="E208" s="70" t="inlineStr">
        <is>
          <t>معرفی /تغییر در ترکیب اعضای هیئت مدیره/مدیر عامل(اصلاحیه)</t>
        </is>
      </c>
      <c r="F208" s="70" t="n">
        <v>1403080</v>
      </c>
      <c r="G208" s="70" t="inlineStr">
        <is>
          <t>1404/06/15 17:53</t>
        </is>
      </c>
      <c r="H208" s="70" t="inlineStr">
        <is>
          <t>https://www.codal.ir/Reports/Decision.aspx?LetterSerial=6flQzIPOOObOOOkacIHpgouNtsUg%3d%3d&amp;rt=2&amp;let=19&amp;ct=0&amp;ft=-1</t>
        </is>
      </c>
      <c r="I208" s="70" t="inlineStr">
        <is>
          <t>زنجیره زمانی</t>
        </is>
      </c>
      <c r="J208" s="70" t="inlineStr">
        <is>
          <t>72c1a6e4ce992770e6e93860d48df275e07fe5ec3286fe5bacab1c9fbd831ea1</t>
        </is>
      </c>
      <c r="K208" s="70" t="inlineStr">
        <is>
          <t>sources/codal/شستا/v38_type19/T1403080.html</t>
        </is>
      </c>
    </row>
    <row r="209" ht="58" customHeight="1" s="76">
      <c r="A209" s="71" t="inlineStr">
        <is>
          <t>T19_899109</t>
        </is>
      </c>
      <c r="B209" s="71" t="inlineStr">
        <is>
          <t>شپنا</t>
        </is>
      </c>
      <c r="C209" s="71" t="inlineStr">
        <is>
          <t>اطلاعیه ن۴۵ (Type19)</t>
        </is>
      </c>
      <c r="D209" s="71" t="n"/>
      <c r="E209" s="71" t="inlineStr">
        <is>
          <t>معرفی یا تغییر در ترکیب اعضای هیئت مدیره</t>
        </is>
      </c>
      <c r="F209" s="71" t="n">
        <v>899109</v>
      </c>
      <c r="G209" s="71" t="inlineStr">
        <is>
          <t>1401/03/31 14:23</t>
        </is>
      </c>
      <c r="H209" s="71" t="inlineStr">
        <is>
          <t>https://www.codal.ir/Reports/Decision.aspx?LetterSerial=u7W06D6hDFNDPtWBlUU4Cg%3d%3d&amp;rt=0&amp;let=19&amp;ct=0&amp;ft=-1</t>
        </is>
      </c>
      <c r="I209" s="71" t="inlineStr">
        <is>
          <t>زنجیره زمانی</t>
        </is>
      </c>
      <c r="J209" s="71" t="inlineStr">
        <is>
          <t>a0886a707e67f08520a19db3e09c180978542d40c494abeb47afc32524e08e54</t>
        </is>
      </c>
      <c r="K209" s="71" t="inlineStr">
        <is>
          <t>sources/codal/شپنا/v38_type19/T899109.html</t>
        </is>
      </c>
    </row>
    <row r="210" ht="58" customHeight="1" s="76">
      <c r="A210" s="70" t="inlineStr">
        <is>
          <t>T19_947535</t>
        </is>
      </c>
      <c r="B210" s="70" t="inlineStr">
        <is>
          <t>شپنا</t>
        </is>
      </c>
      <c r="C210" s="70" t="inlineStr">
        <is>
          <t>اطلاعیه ن۴۵ (Type19)</t>
        </is>
      </c>
      <c r="D210" s="70" t="n"/>
      <c r="E210" s="70" t="inlineStr">
        <is>
          <t>معرفی /تغییر در ترکیب اعضای هیئت مدیره/مدیر عامل</t>
        </is>
      </c>
      <c r="F210" s="70" t="n">
        <v>947535</v>
      </c>
      <c r="G210" s="70" t="inlineStr">
        <is>
          <t>1401/08/16 09:23</t>
        </is>
      </c>
      <c r="H210" s="70" t="inlineStr">
        <is>
          <t>https://www.codal.ir/Reports/Decision.aspx?LetterSerial=npNVWKTGVqzqPQv2TJGURA%3d%3d&amp;rt=0&amp;let=19&amp;ct=0&amp;ft=-1</t>
        </is>
      </c>
      <c r="I210" s="70" t="inlineStr">
        <is>
          <t>زنجیره زمانی</t>
        </is>
      </c>
      <c r="J210" s="70" t="inlineStr">
        <is>
          <t>f92969f3a551ff80e5f0df115183c808e484b49c5bbbff1d312f7566296aed2e</t>
        </is>
      </c>
      <c r="K210" s="70" t="inlineStr">
        <is>
          <t>sources/codal/شپنا/v38_type19/T947535.html</t>
        </is>
      </c>
    </row>
    <row r="211" ht="58" customHeight="1" s="76">
      <c r="A211" s="71" t="inlineStr">
        <is>
          <t>T19_1088327</t>
        </is>
      </c>
      <c r="B211" s="71" t="inlineStr">
        <is>
          <t>شپنا</t>
        </is>
      </c>
      <c r="C211" s="71" t="inlineStr">
        <is>
          <t>اطلاعیه ن۴۵ (Type19)</t>
        </is>
      </c>
      <c r="D211" s="71" t="n"/>
      <c r="E211" s="71" t="inlineStr">
        <is>
          <t>معرفی /تغییر در ترکیب اعضای هیئت مدیره/مدیر عامل</t>
        </is>
      </c>
      <c r="F211" s="71" t="n">
        <v>1088327</v>
      </c>
      <c r="G211" s="71" t="inlineStr">
        <is>
          <t>1402/07/09 14:58</t>
        </is>
      </c>
      <c r="H211" s="71" t="inlineStr">
        <is>
          <t>https://www.codal.ir/Reports/Decision.aspx?LetterSerial=fAmpVcQ55s1mp59SYRPvQA%3d%3d&amp;rt=0&amp;let=19&amp;ct=0&amp;ft=-1</t>
        </is>
      </c>
      <c r="I211" s="71" t="inlineStr">
        <is>
          <t>زنجیره زمانی</t>
        </is>
      </c>
      <c r="J211" s="71" t="inlineStr">
        <is>
          <t>1d8ae8ef85711a7738966588850defd92f4f759b64c29c0bfc6f3ac1184bc8cb</t>
        </is>
      </c>
      <c r="K211" s="71" t="inlineStr">
        <is>
          <t>sources/codal/شپنا/v38_type19/T1088327.html</t>
        </is>
      </c>
    </row>
    <row r="212" ht="58" customHeight="1" s="76">
      <c r="A212" s="70" t="inlineStr">
        <is>
          <t>T19_1097523</t>
        </is>
      </c>
      <c r="B212" s="70" t="inlineStr">
        <is>
          <t>شپنا</t>
        </is>
      </c>
      <c r="C212" s="70" t="inlineStr">
        <is>
          <t>اطلاعیه ن۴۵ (Type19)</t>
        </is>
      </c>
      <c r="D212" s="70" t="n"/>
      <c r="E212" s="70" t="inlineStr">
        <is>
          <t>معرفی /تغییر در ترکیب اعضای هیئت مدیره/مدیر عامل</t>
        </is>
      </c>
      <c r="F212" s="70" t="n">
        <v>1097523</v>
      </c>
      <c r="G212" s="70" t="inlineStr">
        <is>
          <t>1402/08/03 16:01</t>
        </is>
      </c>
      <c r="H212" s="70" t="inlineStr">
        <is>
          <t>https://www.codal.ir/Reports/Decision.aspx?LetterSerial=TesRljndBGORCf13cLsgwA%3d%3d&amp;rt=0&amp;let=19&amp;ct=0&amp;ft=-1</t>
        </is>
      </c>
      <c r="I212" s="70" t="inlineStr">
        <is>
          <t>زنجیره زمانی</t>
        </is>
      </c>
      <c r="J212" s="70" t="inlineStr">
        <is>
          <t>7872560b0767fefa663cfbdf90cb415785ef49eb0bdab5eebc4d61e8ffd8ce13</t>
        </is>
      </c>
      <c r="K212" s="70" t="inlineStr">
        <is>
          <t>sources/codal/شپنا/v38_type19/T1097523.html</t>
        </is>
      </c>
    </row>
    <row r="213" ht="58" customHeight="1" s="76">
      <c r="A213" s="71" t="inlineStr">
        <is>
          <t>T19_1100681</t>
        </is>
      </c>
      <c r="B213" s="71" t="inlineStr">
        <is>
          <t>شپنا</t>
        </is>
      </c>
      <c r="C213" s="71" t="inlineStr">
        <is>
          <t>اطلاعیه ن۴۵ (Type19)</t>
        </is>
      </c>
      <c r="D213" s="71" t="n"/>
      <c r="E213" s="71" t="inlineStr">
        <is>
          <t>معرفی /تغییر در ترکیب اعضای هیئت مدیره/مدیر عامل</t>
        </is>
      </c>
      <c r="F213" s="71" t="n">
        <v>1100681</v>
      </c>
      <c r="G213" s="71" t="inlineStr">
        <is>
          <t>1402/08/10 18:08</t>
        </is>
      </c>
      <c r="H213" s="71" t="inlineStr">
        <is>
          <t>https://www.codal.ir/Reports/Decision.aspx?LetterSerial=OVk0hOz7kldyriPw1ptLhA%3d%3d&amp;rt=0&amp;let=19&amp;ct=0&amp;ft=-1</t>
        </is>
      </c>
      <c r="I213" s="71" t="inlineStr">
        <is>
          <t>زنجیره زمانی</t>
        </is>
      </c>
      <c r="J213" s="71" t="inlineStr">
        <is>
          <t>4b26d5e44625a05c2dc1262fc2e4e1509d1a9d60c1ae4d04a7b806d2905d679c</t>
        </is>
      </c>
      <c r="K213" s="71" t="inlineStr">
        <is>
          <t>sources/codal/شپنا/v38_type19/T1100681.html</t>
        </is>
      </c>
    </row>
    <row r="214" ht="58" customHeight="1" s="76">
      <c r="A214" s="70" t="inlineStr">
        <is>
          <t>T19_1100948</t>
        </is>
      </c>
      <c r="B214" s="70" t="inlineStr">
        <is>
          <t>شپنا</t>
        </is>
      </c>
      <c r="C214" s="70" t="inlineStr">
        <is>
          <t>اطلاعیه ن۴۵ (Type19)</t>
        </is>
      </c>
      <c r="D214" s="70" t="n"/>
      <c r="E214" s="70" t="inlineStr">
        <is>
          <t>معرفی /تغییر در ترکیب اعضای هیئت مدیره/مدیر عامل(اصلاحیه)</t>
        </is>
      </c>
      <c r="F214" s="70" t="n">
        <v>1100948</v>
      </c>
      <c r="G214" s="70" t="inlineStr">
        <is>
          <t>1402/08/14 12:05</t>
        </is>
      </c>
      <c r="H214" s="70" t="inlineStr">
        <is>
          <t>https://www.codal.ir/Reports/Decision.aspx?LetterSerial=Dk4Kw%2bg4QUqGVWDH%2bQQQaQQQ2Uhg%3d%3d&amp;rt=0&amp;let=19&amp;ct=0&amp;ft=-1</t>
        </is>
      </c>
      <c r="I214" s="70" t="inlineStr">
        <is>
          <t>زنجیره زمانی</t>
        </is>
      </c>
      <c r="J214" s="70" t="inlineStr">
        <is>
          <t>10feb7563d9bd92f120a7fdf8b67fa93454daa27bea3f8b7ec1496c00129401b</t>
        </is>
      </c>
      <c r="K214" s="70" t="inlineStr">
        <is>
          <t>sources/codal/شپنا/v38_type19/T1100948.html</t>
        </is>
      </c>
    </row>
    <row r="215" ht="58" customHeight="1" s="76">
      <c r="A215" s="71" t="inlineStr">
        <is>
          <t>T19_1241448</t>
        </is>
      </c>
      <c r="B215" s="71" t="inlineStr">
        <is>
          <t>شپنا</t>
        </is>
      </c>
      <c r="C215" s="71" t="inlineStr">
        <is>
          <t>اطلاعیه ن۴۵ (Type19)</t>
        </is>
      </c>
      <c r="D215" s="71" t="n"/>
      <c r="E215" s="71" t="inlineStr">
        <is>
          <t>معرفی /تغییر در ترکیب اعضای هیئت مدیره/مدیر عامل</t>
        </is>
      </c>
      <c r="F215" s="71" t="n">
        <v>1241448</v>
      </c>
      <c r="G215" s="71" t="inlineStr">
        <is>
          <t>1403/06/08 12:46</t>
        </is>
      </c>
      <c r="H215" s="71" t="inlineStr">
        <is>
          <t>https://www.codal.ir/Reports/Decision.aspx?LetterSerial=03mBEX8oQQQaQQQinVfNs6j0IPpA%3d%3d&amp;rt=0&amp;let=19&amp;ct=0&amp;ft=-1</t>
        </is>
      </c>
      <c r="I215" s="71" t="inlineStr">
        <is>
          <t>زنجیره زمانی</t>
        </is>
      </c>
      <c r="J215" s="71" t="inlineStr">
        <is>
          <t>ab52214da370c2e25f25659375ff1587bd4cf6857247dff39850a2c916fe81eb</t>
        </is>
      </c>
      <c r="K215" s="71" t="inlineStr">
        <is>
          <t>sources/codal/شپنا/v38_type19/T1241448.html</t>
        </is>
      </c>
    </row>
    <row r="216" ht="58" customHeight="1" s="76">
      <c r="A216" s="70" t="inlineStr">
        <is>
          <t>T19_1247727</t>
        </is>
      </c>
      <c r="B216" s="70" t="inlineStr">
        <is>
          <t>شپنا</t>
        </is>
      </c>
      <c r="C216" s="70" t="inlineStr">
        <is>
          <t>اطلاعیه ن۴۵ (Type19)</t>
        </is>
      </c>
      <c r="D216" s="70" t="n"/>
      <c r="E216" s="70" t="inlineStr">
        <is>
          <t>معرفی /تغییر در ترکیب اعضای هیئت مدیره/مدیر عامل</t>
        </is>
      </c>
      <c r="F216" s="70" t="n">
        <v>1247727</v>
      </c>
      <c r="G216" s="70" t="inlineStr">
        <is>
          <t>1403/06/29 10:23</t>
        </is>
      </c>
      <c r="H216" s="70" t="inlineStr">
        <is>
          <t>https://www.codal.ir/Reports/Decision.aspx?LetterSerial=8EDuTbGOOObOOOpQcOtYJ9RbVk6A%3d%3d&amp;rt=0&amp;let=19&amp;ct=0&amp;ft=-1</t>
        </is>
      </c>
      <c r="I216" s="70" t="inlineStr">
        <is>
          <t>زنجیره زمانی</t>
        </is>
      </c>
      <c r="J216" s="70" t="inlineStr">
        <is>
          <t>4fa7fe1a98bbe36fde24cf5aa2a5ec731f8d1a436fe72a03539c07d3c06fb112</t>
        </is>
      </c>
      <c r="K216" s="70" t="inlineStr">
        <is>
          <t>sources/codal/شپنا/v38_type19/T1247727.html</t>
        </is>
      </c>
    </row>
    <row r="217" ht="58" customHeight="1" s="76">
      <c r="A217" s="71" t="inlineStr">
        <is>
          <t>T19_1282139</t>
        </is>
      </c>
      <c r="B217" s="71" t="inlineStr">
        <is>
          <t>شپنا</t>
        </is>
      </c>
      <c r="C217" s="71" t="inlineStr">
        <is>
          <t>اطلاعیه ن۴۵ (Type19)</t>
        </is>
      </c>
      <c r="D217" s="71" t="n"/>
      <c r="E217" s="71" t="inlineStr">
        <is>
          <t>معرفی /تغییر در ترکیب اعضای هیئت مدیره/مدیر عامل</t>
        </is>
      </c>
      <c r="F217" s="71" t="n">
        <v>1282139</v>
      </c>
      <c r="G217" s="71" t="inlineStr">
        <is>
          <t>1403/09/19 15:01</t>
        </is>
      </c>
      <c r="H217" s="71" t="inlineStr">
        <is>
          <t>https://www.codal.ir/Reports/Decision.aspx?LetterSerial=zVhXkNg42diXEOpO5MskSA%3d%3d&amp;rt=0&amp;let=19&amp;ct=0&amp;ft=-1</t>
        </is>
      </c>
      <c r="I217" s="71" t="inlineStr">
        <is>
          <t>زنجیره زمانی</t>
        </is>
      </c>
      <c r="J217" s="71" t="inlineStr">
        <is>
          <t>41fa7c70ad7e3b5d5acf8fc7d4a505b4c580fb362750509babd060e7419070d0</t>
        </is>
      </c>
      <c r="K217" s="71" t="inlineStr">
        <is>
          <t>sources/codal/شپنا/v38_type19/T1282139.html</t>
        </is>
      </c>
    </row>
    <row r="218" ht="58" customHeight="1" s="76">
      <c r="A218" s="70" t="inlineStr">
        <is>
          <t>T19_1294677</t>
        </is>
      </c>
      <c r="B218" s="70" t="inlineStr">
        <is>
          <t>شپنا</t>
        </is>
      </c>
      <c r="C218" s="70" t="inlineStr">
        <is>
          <t>اطلاعیه ن۴۵ (Type19)</t>
        </is>
      </c>
      <c r="D218" s="70" t="n"/>
      <c r="E218" s="70" t="inlineStr">
        <is>
          <t>معرفی /تغییر در ترکیب اعضای هیئت مدیره/مدیر عامل</t>
        </is>
      </c>
      <c r="F218" s="70" t="n">
        <v>1294677</v>
      </c>
      <c r="G218" s="70" t="inlineStr">
        <is>
          <t>1403/11/03 12:20</t>
        </is>
      </c>
      <c r="H218" s="70" t="inlineStr">
        <is>
          <t>https://www.codal.ir/Reports/Decision.aspx?LetterSerial=BgB1TPEYicGYh74gmrG9mA%3d%3d&amp;rt=0&amp;let=19&amp;ct=0&amp;ft=-1</t>
        </is>
      </c>
      <c r="I218" s="70" t="inlineStr">
        <is>
          <t>زنجیره زمانی</t>
        </is>
      </c>
      <c r="J218" s="70" t="inlineStr">
        <is>
          <t>83b695ff0d464fc76f191bce53c27d4fe0e1f15eb943cf676bc712aeb410776d</t>
        </is>
      </c>
      <c r="K218" s="70" t="inlineStr">
        <is>
          <t>sources/codal/شپنا/v38_type19/T1294677.html</t>
        </is>
      </c>
    </row>
    <row r="219" ht="58" customHeight="1" s="76">
      <c r="A219" s="71" t="inlineStr">
        <is>
          <t>T19_1334378</t>
        </is>
      </c>
      <c r="B219" s="71" t="inlineStr">
        <is>
          <t>شپنا</t>
        </is>
      </c>
      <c r="C219" s="71" t="inlineStr">
        <is>
          <t>اطلاعیه ن۴۵ (Type19)</t>
        </is>
      </c>
      <c r="D219" s="71" t="n"/>
      <c r="E219" s="71" t="inlineStr">
        <is>
          <t>معرفی /تغییر در ترکیب اعضای هیئت مدیره/مدیر عامل</t>
        </is>
      </c>
      <c r="F219" s="71" t="n">
        <v>1334378</v>
      </c>
      <c r="G219" s="71" t="inlineStr">
        <is>
          <t>1404/02/03 11:59</t>
        </is>
      </c>
      <c r="H219" s="71" t="inlineStr">
        <is>
          <t>https://www.codal.ir/Reports/Decision.aspx?LetterSerial=SIOOObOOOYQaJ4h5Pgat3PWBKWgw%3d%3d&amp;rt=0&amp;let=19&amp;ct=0&amp;ft=-1</t>
        </is>
      </c>
      <c r="I219" s="71" t="inlineStr">
        <is>
          <t>زنجیره زمانی</t>
        </is>
      </c>
      <c r="J219" s="71" t="inlineStr">
        <is>
          <t>838b1c6fe864c276799a0f173cc4886d43bc683b95bf200ec1da5263890e43e9</t>
        </is>
      </c>
      <c r="K219" s="71" t="inlineStr">
        <is>
          <t>sources/codal/شپنا/v38_type19/T1334378.html</t>
        </is>
      </c>
    </row>
    <row r="220" ht="58" customHeight="1" s="76">
      <c r="A220" s="70" t="inlineStr">
        <is>
          <t>T19_1428503</t>
        </is>
      </c>
      <c r="B220" s="70" t="inlineStr">
        <is>
          <t>شپنا</t>
        </is>
      </c>
      <c r="C220" s="70" t="inlineStr">
        <is>
          <t>اطلاعیه ن۴۵ (Type19)</t>
        </is>
      </c>
      <c r="D220" s="70" t="n"/>
      <c r="E220" s="70" t="inlineStr">
        <is>
          <t>معرفی /تغییر در ترکیب اعضای هیئت مدیره/مدیر عامل</t>
        </is>
      </c>
      <c r="F220" s="70" t="n">
        <v>1428503</v>
      </c>
      <c r="G220" s="70" t="inlineStr">
        <is>
          <t>1404/08/07 14:24</t>
        </is>
      </c>
      <c r="H220" s="70" t="inlineStr">
        <is>
          <t>https://www.codal.ir/Reports/Decision.aspx?LetterSerial=zWRtzdFgEWKY0H4XNrzRzA%3d%3d&amp;rt=0&amp;let=19&amp;ct=0&amp;ft=-1</t>
        </is>
      </c>
      <c r="I220" s="70" t="inlineStr">
        <is>
          <t>مبنای فهرست اعضا در as-of</t>
        </is>
      </c>
      <c r="J220" s="70" t="inlineStr">
        <is>
          <t>81e69d1736dd8bea829f4d067e28e3c2ce41dd298504057db73e456d94d8fda9</t>
        </is>
      </c>
      <c r="K220" s="70" t="inlineStr">
        <is>
          <t>sources/codal/شپنا/v38_type19/T1428503.html</t>
        </is>
      </c>
    </row>
    <row r="221" ht="58" customHeight="1" s="76">
      <c r="A221" s="71" t="inlineStr">
        <is>
          <t>T19_1511575</t>
        </is>
      </c>
      <c r="B221" s="71" t="inlineStr">
        <is>
          <t>شپنا</t>
        </is>
      </c>
      <c r="C221" s="71" t="inlineStr">
        <is>
          <t>اطلاعیه ن۴۵ (Type19)</t>
        </is>
      </c>
      <c r="D221" s="71" t="n"/>
      <c r="E221" s="71" t="inlineStr">
        <is>
          <t>معرفی /تغییر در ترکیب اعضای هیئت مدیره/مدیر عامل</t>
        </is>
      </c>
      <c r="F221" s="71" t="n">
        <v>1511575</v>
      </c>
      <c r="G221" s="71" t="inlineStr">
        <is>
          <t>1405/02/02 09:47</t>
        </is>
      </c>
      <c r="H221" s="71" t="inlineStr">
        <is>
          <t>https://www.codal.ir/Reports/Decision.aspx?LetterSerial=1QQQaQQQgyuQQQQaQQQyM7dGQQQaQQQswkCUcpOOObOOOQ%3d%3d&amp;rt=0&amp;let=19&amp;ct=0&amp;ft=-1</t>
        </is>
      </c>
      <c r="I221" s="71" t="inlineStr">
        <is>
          <t>زنجیره زمانی</t>
        </is>
      </c>
      <c r="J221" s="71" t="inlineStr">
        <is>
          <t>1e8dcc73bd0a13da4bec51cd169f91b90add9f2e905c923a8755f09217682cb5</t>
        </is>
      </c>
      <c r="K221" s="71" t="inlineStr">
        <is>
          <t>sources/codal/شپنا/v38_type19/T1511575.html</t>
        </is>
      </c>
    </row>
    <row r="222" ht="58" customHeight="1" s="76">
      <c r="A222" s="70" t="inlineStr">
        <is>
          <t>T19_1511644</t>
        </is>
      </c>
      <c r="B222" s="70" t="inlineStr">
        <is>
          <t>شپنا</t>
        </is>
      </c>
      <c r="C222" s="70" t="inlineStr">
        <is>
          <t>اطلاعیه ن۴۵ (Type19)</t>
        </is>
      </c>
      <c r="D222" s="70" t="n"/>
      <c r="E222" s="70" t="inlineStr">
        <is>
          <t>معرفی /تغییر در ترکیب اعضای هیئت مدیره/مدیر عامل(اصلاحیه)</t>
        </is>
      </c>
      <c r="F222" s="70" t="n">
        <v>1511644</v>
      </c>
      <c r="G222" s="70" t="inlineStr">
        <is>
          <t>1405/02/02 10:26</t>
        </is>
      </c>
      <c r="H222" s="70" t="inlineStr">
        <is>
          <t>https://www.codal.ir/Reports/Decision.aspx?LetterSerial=DsN8PiaOqqqkEQSscbxtVw%3d%3d&amp;rt=0&amp;let=19&amp;ct=0&amp;ft=-1</t>
        </is>
      </c>
      <c r="I222" s="70" t="inlineStr">
        <is>
          <t>زنجیره زمانی</t>
        </is>
      </c>
      <c r="J222" s="70" t="inlineStr">
        <is>
          <t>cba03b6d7148ec68f2555bc3a7e2d09ad7676309cc697a29768a43dbf8db3a1b</t>
        </is>
      </c>
      <c r="K222" s="70" t="inlineStr">
        <is>
          <t>sources/codal/شپنا/v38_type19/T1511644.html</t>
        </is>
      </c>
    </row>
    <row r="223" ht="58" customHeight="1" s="76">
      <c r="A223" s="71" t="inlineStr">
        <is>
          <t>T19_1512078</t>
        </is>
      </c>
      <c r="B223" s="71" t="inlineStr">
        <is>
          <t>شپنا</t>
        </is>
      </c>
      <c r="C223" s="71" t="inlineStr">
        <is>
          <t>اطلاعیه ن۴۵ (Type19)</t>
        </is>
      </c>
      <c r="D223" s="71" t="n"/>
      <c r="E223" s="71" t="inlineStr">
        <is>
          <t>معرفی /تغییر در ترکیب اعضای هیئت مدیره/مدیر عامل(اصلاحیه)</t>
        </is>
      </c>
      <c r="F223" s="71" t="n">
        <v>1512078</v>
      </c>
      <c r="G223" s="71" t="inlineStr">
        <is>
          <t>1405/02/02 13:29</t>
        </is>
      </c>
      <c r="H223" s="71" t="inlineStr">
        <is>
          <t>https://www.codal.ir/Reports/Decision.aspx?LetterSerial=EAQQuAQQQQaQQQNVGEQJRXiF5Qhg%3d%3d&amp;rt=0&amp;let=19&amp;ct=0&amp;ft=-1</t>
        </is>
      </c>
      <c r="I223" s="71" t="inlineStr">
        <is>
          <t>زنجیره زمانی</t>
        </is>
      </c>
      <c r="J223" s="71" t="inlineStr">
        <is>
          <t>aa983348189ed0c1598b03e51440887c1e85ecd3ea3789d49dd6ebd2d5a56813</t>
        </is>
      </c>
      <c r="K223" s="71" t="inlineStr">
        <is>
          <t>sources/codal/شپنا/v38_type19/T1512078.html</t>
        </is>
      </c>
    </row>
    <row r="224" ht="58" customHeight="1" s="76">
      <c r="A224" s="70" t="inlineStr">
        <is>
          <t>T19_1525877</t>
        </is>
      </c>
      <c r="B224" s="70" t="inlineStr">
        <is>
          <t>شپنا</t>
        </is>
      </c>
      <c r="C224" s="70" t="inlineStr">
        <is>
          <t>اطلاعیه ن۴۵ (Type19)</t>
        </is>
      </c>
      <c r="D224" s="70" t="n"/>
      <c r="E224" s="70" t="inlineStr">
        <is>
          <t>معرفی /تغییر در ترکیب اعضای هیئت مدیره/مدیر عامل</t>
        </is>
      </c>
      <c r="F224" s="70" t="n">
        <v>1525877</v>
      </c>
      <c r="G224" s="70" t="inlineStr">
        <is>
          <t>1405/02/28 07:43</t>
        </is>
      </c>
      <c r="H224" s="70" t="inlineStr">
        <is>
          <t>https://www.codal.ir/Reports/Decision.aspx?LetterSerial=SKWQQQaQQQG0QsnPy6NsWMXYnW4Q%3d%3d&amp;rt=0&amp;let=19&amp;ct=0&amp;ft=-1</t>
        </is>
      </c>
      <c r="I224" s="70" t="inlineStr">
        <is>
          <t>زنجیره زمانی</t>
        </is>
      </c>
      <c r="J224" s="70" t="inlineStr">
        <is>
          <t>20cdcfbac63b0233d9af00d912d4e133659383324e3e151f846f4df178e5f68e</t>
        </is>
      </c>
      <c r="K224" s="70" t="inlineStr">
        <is>
          <t>sources/codal/شپنا/v38_type19/T1525877.html</t>
        </is>
      </c>
    </row>
    <row r="225" ht="58" customHeight="1" s="76">
      <c r="A225" s="71" t="inlineStr">
        <is>
          <t>T19_1581428</t>
        </is>
      </c>
      <c r="B225" s="71" t="inlineStr">
        <is>
          <t>شپنا</t>
        </is>
      </c>
      <c r="C225" s="71" t="inlineStr">
        <is>
          <t>اطلاعیه ن۴۵ (Type19)</t>
        </is>
      </c>
      <c r="D225" s="71" t="n"/>
      <c r="E225" s="71" t="inlineStr">
        <is>
          <t>معرفی /تغییر در ترکیب اعضای هیئت مدیره/مدیر عامل</t>
        </is>
      </c>
      <c r="F225" s="71" t="n">
        <v>1581428</v>
      </c>
      <c r="G225" s="71" t="inlineStr">
        <is>
          <t>1405/05/14 13:16</t>
        </is>
      </c>
      <c r="H225" s="71" t="inlineStr">
        <is>
          <t>https://www.codal.ir/Reports/Decision.aspx?LetterSerial=DevIqEOOObOOOgHF3OfyrpppNfnA%3d%3d&amp;rt=0&amp;let=19&amp;ct=0&amp;ft=-1</t>
        </is>
      </c>
      <c r="I225" s="71" t="inlineStr">
        <is>
          <t>زنجیره زمانی</t>
        </is>
      </c>
      <c r="J225" s="71" t="inlineStr">
        <is>
          <t>009a9ea48461f296a49f2032207104f99d28e400f10ed0719e2aefd277f478f7</t>
        </is>
      </c>
      <c r="K225" s="71" t="inlineStr">
        <is>
          <t>sources/codal/شپنا/v38_type19/T1581428.html</t>
        </is>
      </c>
    </row>
    <row r="226" ht="58" customHeight="1" s="76">
      <c r="A226" s="70" t="inlineStr">
        <is>
          <t>T19_916997</t>
        </is>
      </c>
      <c r="B226" s="70" t="inlineStr">
        <is>
          <t>وغدیر</t>
        </is>
      </c>
      <c r="C226" s="70" t="inlineStr">
        <is>
          <t>اطلاعیه ن۴۵ (Type19)</t>
        </is>
      </c>
      <c r="D226" s="70" t="n"/>
      <c r="E226" s="70" t="inlineStr">
        <is>
          <t>معرفی یا تغییر در ترکیب اعضای هیئت مدیره</t>
        </is>
      </c>
      <c r="F226" s="70" t="n">
        <v>916997</v>
      </c>
      <c r="G226" s="70" t="inlineStr">
        <is>
          <t>1401/05/01 16:10</t>
        </is>
      </c>
      <c r="H226" s="70" t="inlineStr">
        <is>
          <t>https://www.codal.ir/Reports/Decision.aspx?LetterSerial=poHc6vXAsOBtYJ1pG5Y7BQ%3d%3d&amp;rt=2&amp;let=19&amp;ct=0&amp;ft=-1</t>
        </is>
      </c>
      <c r="I226" s="70" t="inlineStr">
        <is>
          <t>زنجیره زمانی</t>
        </is>
      </c>
      <c r="J226" s="70" t="inlineStr">
        <is>
          <t>265e01974e1422947222f71bb2a2843a8c89cd0de33ef94348db2b82a7f4e8b0</t>
        </is>
      </c>
      <c r="K226" s="70" t="inlineStr">
        <is>
          <t>sources/codal/وغدیر/v38_type19/T916997.html</t>
        </is>
      </c>
    </row>
    <row r="227" ht="58" customHeight="1" s="76">
      <c r="A227" s="71" t="inlineStr">
        <is>
          <t>T19_920860</t>
        </is>
      </c>
      <c r="B227" s="71" t="inlineStr">
        <is>
          <t>وغدیر</t>
        </is>
      </c>
      <c r="C227" s="71" t="inlineStr">
        <is>
          <t>اطلاعیه ن۴۵ (Type19)</t>
        </is>
      </c>
      <c r="D227" s="71" t="n"/>
      <c r="E227" s="71" t="inlineStr">
        <is>
          <t>معرفی یا تغییر در ترکیب اعضای هیئت مدیره</t>
        </is>
      </c>
      <c r="F227" s="71" t="n">
        <v>920860</v>
      </c>
      <c r="G227" s="71" t="inlineStr">
        <is>
          <t>1401/05/09 18:39</t>
        </is>
      </c>
      <c r="H227" s="71" t="inlineStr">
        <is>
          <t>https://www.codal.ir/Reports/Decision.aspx?LetterSerial=SlgCiSKSnBxhZdpUlFQQQaQQQOeA%3d%3d&amp;rt=2&amp;let=19&amp;ct=0&amp;ft=-1</t>
        </is>
      </c>
      <c r="I227" s="71" t="inlineStr">
        <is>
          <t>زنجیره زمانی</t>
        </is>
      </c>
      <c r="J227" s="71" t="inlineStr">
        <is>
          <t>e3fed579fef626de8f965f8cda6195b4c0bb006cc1ed45adb1c5224dcbe8db6e</t>
        </is>
      </c>
      <c r="K227" s="71" t="inlineStr">
        <is>
          <t>sources/codal/وغدیر/v38_type19/T920860.html</t>
        </is>
      </c>
    </row>
    <row r="228" ht="58" customHeight="1" s="76">
      <c r="A228" s="70" t="inlineStr">
        <is>
          <t>T19_958704</t>
        </is>
      </c>
      <c r="B228" s="70" t="inlineStr">
        <is>
          <t>وغدیر</t>
        </is>
      </c>
      <c r="C228" s="70" t="inlineStr">
        <is>
          <t>اطلاعیه ن۴۵ (Type19)</t>
        </is>
      </c>
      <c r="D228" s="70" t="n"/>
      <c r="E228" s="70" t="inlineStr">
        <is>
          <t>معرفی /تغییر در ترکیب اعضای هیئت مدیره/مدیر عامل</t>
        </is>
      </c>
      <c r="F228" s="70" t="n">
        <v>958704</v>
      </c>
      <c r="G228" s="70" t="inlineStr">
        <is>
          <t>1401/08/25 14:15</t>
        </is>
      </c>
      <c r="H228" s="70" t="inlineStr">
        <is>
          <t>https://www.codal.ir/Reports/Decision.aspx?LetterSerial=3rGVQQQaQQQd2Y%2bZL2wj3MovBO9g%3d%3d&amp;rt=2&amp;let=19&amp;ct=0&amp;ft=-1</t>
        </is>
      </c>
      <c r="I228" s="70" t="inlineStr">
        <is>
          <t>زنجیره زمانی</t>
        </is>
      </c>
      <c r="J228" s="70" t="inlineStr">
        <is>
          <t>52df7ba54cb2a8aaa3f80b192b89a835fc6f67de8c55f4a56a277c55ab934c05</t>
        </is>
      </c>
      <c r="K228" s="70" t="inlineStr">
        <is>
          <t>sources/codal/وغدیر/v38_type19/T958704.html</t>
        </is>
      </c>
    </row>
    <row r="229" ht="58" customHeight="1" s="76">
      <c r="A229" s="71" t="inlineStr">
        <is>
          <t>T19_1012764</t>
        </is>
      </c>
      <c r="B229" s="71" t="inlineStr">
        <is>
          <t>وغدیر</t>
        </is>
      </c>
      <c r="C229" s="71" t="inlineStr">
        <is>
          <t>اطلاعیه ن۴۵ (Type19)</t>
        </is>
      </c>
      <c r="D229" s="71" t="n"/>
      <c r="E229" s="71" t="inlineStr">
        <is>
          <t>معرفی /تغییر در ترکیب اعضای هیئت مدیره/مدیر عامل(اصلاحیه)</t>
        </is>
      </c>
      <c r="F229" s="71" t="n">
        <v>1012764</v>
      </c>
      <c r="G229" s="71" t="inlineStr">
        <is>
          <t>1402/01/24 10:43</t>
        </is>
      </c>
      <c r="H229" s="71" t="inlineStr">
        <is>
          <t>https://www.codal.ir/Reports/Decision.aspx?LetterSerial=QAhjOPwKg4IXl9MdP5Ktdg%3d%3d&amp;rt=2&amp;let=19&amp;ct=0&amp;ft=-1</t>
        </is>
      </c>
      <c r="I229" s="71" t="inlineStr">
        <is>
          <t>زنجیره زمانی</t>
        </is>
      </c>
      <c r="J229" s="71" t="inlineStr">
        <is>
          <t>9b907f8a04387b962de495d92deb6a890e1668f2c5eb61a6af4ece28c6262e5c</t>
        </is>
      </c>
      <c r="K229" s="71" t="inlineStr">
        <is>
          <t>sources/codal/وغدیر/v38_type19/T1012764.html</t>
        </is>
      </c>
    </row>
    <row r="230" ht="58" customHeight="1" s="76">
      <c r="A230" s="70" t="inlineStr">
        <is>
          <t>T19_1040188</t>
        </is>
      </c>
      <c r="B230" s="70" t="inlineStr">
        <is>
          <t>وغدیر</t>
        </is>
      </c>
      <c r="C230" s="70" t="inlineStr">
        <is>
          <t>اطلاعیه ن۴۵ (Type19)</t>
        </is>
      </c>
      <c r="D230" s="70" t="n"/>
      <c r="E230" s="70" t="inlineStr">
        <is>
          <t>معرفی /تغییر در ترکیب اعضای هیئت مدیره/مدیر عامل</t>
        </is>
      </c>
      <c r="F230" s="70" t="n">
        <v>1040188</v>
      </c>
      <c r="G230" s="70" t="inlineStr">
        <is>
          <t>1402/03/24 10:56</t>
        </is>
      </c>
      <c r="H230" s="70" t="inlineStr">
        <is>
          <t>https://www.codal.ir/Reports/Decision.aspx?LetterSerial=g4QvK6X8%2bIu2XsXtUetBGg%3d%3d&amp;rt=2&amp;let=19&amp;ct=0&amp;ft=-1</t>
        </is>
      </c>
      <c r="I230" s="70" t="inlineStr">
        <is>
          <t>زنجیره زمانی</t>
        </is>
      </c>
      <c r="J230" s="70" t="inlineStr">
        <is>
          <t>3c36ccf59db30b1733422e07c0ba4a529f7e502f1d8de241459a9e12d057f19b</t>
        </is>
      </c>
      <c r="K230" s="70" t="inlineStr">
        <is>
          <t>sources/codal/وغدیر/v38_type19/T1040188.html</t>
        </is>
      </c>
    </row>
    <row r="231" ht="58" customHeight="1" s="76">
      <c r="A231" s="71" t="inlineStr">
        <is>
          <t>T19_1082295</t>
        </is>
      </c>
      <c r="B231" s="71" t="inlineStr">
        <is>
          <t>وغدیر</t>
        </is>
      </c>
      <c r="C231" s="71" t="inlineStr">
        <is>
          <t>اطلاعیه ن۴۵ (Type19)</t>
        </is>
      </c>
      <c r="D231" s="71" t="n"/>
      <c r="E231" s="71" t="inlineStr">
        <is>
          <t>معرفی /تغییر در ترکیب اعضای هیئت مدیره/مدیر عامل</t>
        </is>
      </c>
      <c r="F231" s="71" t="n">
        <v>1082295</v>
      </c>
      <c r="G231" s="71" t="inlineStr">
        <is>
          <t>1402/06/21 10:07</t>
        </is>
      </c>
      <c r="H231" s="71" t="inlineStr">
        <is>
          <t>https://www.codal.ir/Reports/Decision.aspx?LetterSerial=u6lMpedEZMyYEtFTXgmUTQ%3d%3d&amp;rt=2&amp;let=19&amp;ct=0&amp;ft=-1</t>
        </is>
      </c>
      <c r="I231" s="71" t="inlineStr">
        <is>
          <t>زنجیره زمانی</t>
        </is>
      </c>
      <c r="J231" s="71" t="inlineStr">
        <is>
          <t>fa8685f34e8af832bd56134773a9364a1862d4e5f02cf68e0fdf03198bf30d05</t>
        </is>
      </c>
      <c r="K231" s="71" t="inlineStr">
        <is>
          <t>sources/codal/وغدیر/v38_type19/T1082295.html</t>
        </is>
      </c>
    </row>
    <row r="232" ht="58" customHeight="1" s="76">
      <c r="A232" s="70" t="inlineStr">
        <is>
          <t>T19_1087868</t>
        </is>
      </c>
      <c r="B232" s="70" t="inlineStr">
        <is>
          <t>وغدیر</t>
        </is>
      </c>
      <c r="C232" s="70" t="inlineStr">
        <is>
          <t>اطلاعیه ن۴۵ (Type19)</t>
        </is>
      </c>
      <c r="D232" s="70" t="n"/>
      <c r="E232" s="70" t="inlineStr">
        <is>
          <t>معرفی /تغییر در ترکیب اعضای هیئت مدیره/مدیر عامل(اصلاحیه)</t>
        </is>
      </c>
      <c r="F232" s="70" t="n">
        <v>1087868</v>
      </c>
      <c r="G232" s="70" t="inlineStr">
        <is>
          <t>1402/07/08 14:49</t>
        </is>
      </c>
      <c r="H232" s="70" t="inlineStr">
        <is>
          <t>https://www.codal.ir/Reports/Decision.aspx?LetterSerial=m%2b2YVisod2W5uxZkw5VTnA%3d%3d&amp;rt=2&amp;let=19&amp;ct=0&amp;ft=-1</t>
        </is>
      </c>
      <c r="I232" s="70" t="inlineStr">
        <is>
          <t>زنجیره زمانی</t>
        </is>
      </c>
      <c r="J232" s="70" t="inlineStr">
        <is>
          <t>26a5d46febea28725329dc5b894cd77de93cbc02730ca95bdae0e63507f6dcfa</t>
        </is>
      </c>
      <c r="K232" s="70" t="inlineStr">
        <is>
          <t>sources/codal/وغدیر/v38_type19/T1087868.html</t>
        </is>
      </c>
    </row>
    <row r="233" ht="58" customHeight="1" s="76">
      <c r="A233" s="71" t="inlineStr">
        <is>
          <t>T19_1093115</t>
        </is>
      </c>
      <c r="B233" s="71" t="inlineStr">
        <is>
          <t>وغدیر</t>
        </is>
      </c>
      <c r="C233" s="71" t="inlineStr">
        <is>
          <t>اطلاعیه ن۴۵ (Type19)</t>
        </is>
      </c>
      <c r="D233" s="71" t="n"/>
      <c r="E233" s="71" t="inlineStr">
        <is>
          <t>معرفی /تغییر در ترکیب اعضای هیئت مدیره/مدیر عامل</t>
        </is>
      </c>
      <c r="F233" s="71" t="n">
        <v>1093115</v>
      </c>
      <c r="G233" s="71" t="inlineStr">
        <is>
          <t>1402/07/24 17:55</t>
        </is>
      </c>
      <c r="H233" s="71" t="inlineStr">
        <is>
          <t>https://www.codal.ir/Reports/Decision.aspx?LetterSerial=x9vIovcdQQQaQQQWt4mWwGQQQaQQQGb%2bEw%3d%3d&amp;rt=2&amp;let=19&amp;ct=0&amp;ft=-1</t>
        </is>
      </c>
      <c r="I233" s="71" t="inlineStr">
        <is>
          <t>زنجیره زمانی</t>
        </is>
      </c>
      <c r="J233" s="71" t="inlineStr">
        <is>
          <t>cce8bdbd263cc5fb8ff06a00594da6a841dbf5e8e7b95349cde9b07a8e245688</t>
        </is>
      </c>
      <c r="K233" s="71" t="inlineStr">
        <is>
          <t>sources/codal/وغدیر/v38_type19/T1093115.html</t>
        </is>
      </c>
    </row>
    <row r="234" ht="58" customHeight="1" s="76">
      <c r="A234" s="70" t="inlineStr">
        <is>
          <t>T19_1135448</t>
        </is>
      </c>
      <c r="B234" s="70" t="inlineStr">
        <is>
          <t>وغدیر</t>
        </is>
      </c>
      <c r="C234" s="70" t="inlineStr">
        <is>
          <t>اطلاعیه ن۴۵ (Type19)</t>
        </is>
      </c>
      <c r="D234" s="70" t="n"/>
      <c r="E234" s="70" t="inlineStr">
        <is>
          <t>معرفی /تغییر در ترکیب اعضای هیئت مدیره/مدیر عامل(اصلاحیه)</t>
        </is>
      </c>
      <c r="F234" s="70" t="n">
        <v>1135448</v>
      </c>
      <c r="G234" s="70" t="inlineStr">
        <is>
          <t>1402/10/11 09:37</t>
        </is>
      </c>
      <c r="H234" s="70" t="inlineStr">
        <is>
          <t>https://www.codal.ir/Reports/Decision.aspx?LetterSerial=vQvFD33s4BfNEOxFYHBypA%3d%3d&amp;rt=2&amp;let=19&amp;ct=0&amp;ft=-1</t>
        </is>
      </c>
      <c r="I234" s="70" t="inlineStr">
        <is>
          <t>زنجیره زمانی</t>
        </is>
      </c>
      <c r="J234" s="70" t="inlineStr">
        <is>
          <t>687f89662f7cfe15d2e446a60b4e454e6d095f9f06c9e0f0181c7e150c5460b3</t>
        </is>
      </c>
      <c r="K234" s="70" t="inlineStr">
        <is>
          <t>sources/codal/وغدیر/v38_type19/T1135448.html</t>
        </is>
      </c>
    </row>
    <row r="235" ht="58" customHeight="1" s="76">
      <c r="A235" s="71" t="inlineStr">
        <is>
          <t>T19_1167863</t>
        </is>
      </c>
      <c r="B235" s="71" t="inlineStr">
        <is>
          <t>وغدیر</t>
        </is>
      </c>
      <c r="C235" s="71" t="inlineStr">
        <is>
          <t>اطلاعیه ن۴۵ (Type19)</t>
        </is>
      </c>
      <c r="D235" s="71" t="n"/>
      <c r="E235" s="71" t="inlineStr">
        <is>
          <t>معرفی /تغییر در ترکیب اعضای هیئت مدیره/مدیر عامل(اصلاحیه)</t>
        </is>
      </c>
      <c r="F235" s="71" t="n">
        <v>1167863</v>
      </c>
      <c r="G235" s="71" t="inlineStr">
        <is>
          <t>1402/12/22 10:41</t>
        </is>
      </c>
      <c r="H235" s="71" t="inlineStr">
        <is>
          <t>https://www.codal.ir/Reports/Decision.aspx?LetterSerial=y19RXp6zohQQQaQQQ0sOAyyn732Q%3d%3d&amp;rt=2&amp;let=19&amp;ct=0&amp;ft=-1</t>
        </is>
      </c>
      <c r="I235" s="71" t="inlineStr">
        <is>
          <t>زنجیره زمانی</t>
        </is>
      </c>
      <c r="J235" s="71" t="inlineStr">
        <is>
          <t>a666441b28369c992af34ddc6c11a3f4854606d765ec1745595ca55d76c6d67d</t>
        </is>
      </c>
      <c r="K235" s="71" t="inlineStr">
        <is>
          <t>sources/codal/وغدیر/v38_type19/T1167863.html</t>
        </is>
      </c>
    </row>
    <row r="236" ht="58" customHeight="1" s="76">
      <c r="A236" s="70" t="inlineStr">
        <is>
          <t>T19_1188660</t>
        </is>
      </c>
      <c r="B236" s="70" t="inlineStr">
        <is>
          <t>وغدیر</t>
        </is>
      </c>
      <c r="C236" s="70" t="inlineStr">
        <is>
          <t>اطلاعیه ن۴۵ (Type19)</t>
        </is>
      </c>
      <c r="D236" s="70" t="n"/>
      <c r="E236" s="70" t="inlineStr">
        <is>
          <t>معرفی /تغییر در ترکیب اعضای هیئت مدیره/مدیر عامل(اصلاحیه)</t>
        </is>
      </c>
      <c r="F236" s="70" t="n">
        <v>1188660</v>
      </c>
      <c r="G236" s="70" t="inlineStr">
        <is>
          <t>1403/02/22 16:44</t>
        </is>
      </c>
      <c r="H236" s="70" t="inlineStr">
        <is>
          <t>https://www.codal.ir/Reports/Decision.aspx?LetterSerial=HYvUpwlAVdDpo0FpT3gsMA%3d%3d&amp;rt=2&amp;let=19&amp;ct=0&amp;ft=-1</t>
        </is>
      </c>
      <c r="I236" s="70" t="inlineStr">
        <is>
          <t>زنجیره زمانی</t>
        </is>
      </c>
      <c r="J236" s="70" t="inlineStr">
        <is>
          <t>710035c0f1000eb3d1a83dff3ccab6d3aaf5c376e6ecb7f969ae970a7d4ecc0f</t>
        </is>
      </c>
      <c r="K236" s="70" t="inlineStr">
        <is>
          <t>sources/codal/وغدیر/v38_type19/T1188660.html</t>
        </is>
      </c>
    </row>
    <row r="237" ht="58" customHeight="1" s="76">
      <c r="A237" s="71" t="inlineStr">
        <is>
          <t>T19_1189918</t>
        </is>
      </c>
      <c r="B237" s="71" t="inlineStr">
        <is>
          <t>وغدیر</t>
        </is>
      </c>
      <c r="C237" s="71" t="inlineStr">
        <is>
          <t>اطلاعیه ن۴۵ (Type19)</t>
        </is>
      </c>
      <c r="D237" s="71" t="n"/>
      <c r="E237" s="71" t="inlineStr">
        <is>
          <t>معرفی /تغییر در ترکیب اعضای هیئت مدیره/مدیر عامل</t>
        </is>
      </c>
      <c r="F237" s="71" t="n">
        <v>1189918</v>
      </c>
      <c r="G237" s="71" t="inlineStr">
        <is>
          <t>1403/02/25 11:21</t>
        </is>
      </c>
      <c r="H237" s="71" t="inlineStr">
        <is>
          <t>https://www.codal.ir/Reports/Decision.aspx?LetterSerial=bbjKIZaejQ2Lu8AcAcLOfQ%3d%3d&amp;rt=2&amp;let=19&amp;ct=0&amp;ft=-1</t>
        </is>
      </c>
      <c r="I237" s="71" t="inlineStr">
        <is>
          <t>زنجیره زمانی</t>
        </is>
      </c>
      <c r="J237" s="71" t="inlineStr">
        <is>
          <t>04cb470f8d449746df87c79ba989be6a3552e9db053e4c2f39e98cbd6d82327e</t>
        </is>
      </c>
      <c r="K237" s="71" t="inlineStr">
        <is>
          <t>sources/codal/وغدیر/v38_type19/T1189918.html</t>
        </is>
      </c>
    </row>
    <row r="238" ht="58" customHeight="1" s="76">
      <c r="A238" s="70" t="inlineStr">
        <is>
          <t>T19_1250216</t>
        </is>
      </c>
      <c r="B238" s="70" t="inlineStr">
        <is>
          <t>وغدیر</t>
        </is>
      </c>
      <c r="C238" s="70" t="inlineStr">
        <is>
          <t>اطلاعیه ن۴۵ (Type19)</t>
        </is>
      </c>
      <c r="D238" s="70" t="n"/>
      <c r="E238" s="70" t="inlineStr">
        <is>
          <t>معرفی /تغییر در ترکیب اعضای هیئت مدیره/مدیر عامل</t>
        </is>
      </c>
      <c r="F238" s="70" t="n">
        <v>1250216</v>
      </c>
      <c r="G238" s="70" t="inlineStr">
        <is>
          <t>1403/07/04 12:26</t>
        </is>
      </c>
      <c r="H238" s="70" t="inlineStr">
        <is>
          <t>https://www.codal.ir/Reports/Decision.aspx?LetterSerial=w2OlaFpLHNzTgPDVYHou4g%3d%3d&amp;rt=2&amp;let=19&amp;ct=0&amp;ft=-1</t>
        </is>
      </c>
      <c r="I238" s="70" t="inlineStr">
        <is>
          <t>زنجیره زمانی</t>
        </is>
      </c>
      <c r="J238" s="70" t="inlineStr">
        <is>
          <t>8f5d0a8ecd59a7a1712fb18c7d97cd45aeeb3f9c3e39cac797e6df16f0e15036</t>
        </is>
      </c>
      <c r="K238" s="70" t="inlineStr">
        <is>
          <t>sources/codal/وغدیر/v38_type19/T1250216.html</t>
        </is>
      </c>
    </row>
    <row r="239" ht="58" customHeight="1" s="76">
      <c r="A239" s="71" t="inlineStr">
        <is>
          <t>T19_1250780</t>
        </is>
      </c>
      <c r="B239" s="71" t="inlineStr">
        <is>
          <t>وغدیر</t>
        </is>
      </c>
      <c r="C239" s="71" t="inlineStr">
        <is>
          <t>اطلاعیه ن۴۵ (Type19)</t>
        </is>
      </c>
      <c r="D239" s="71" t="n"/>
      <c r="E239" s="71" t="inlineStr">
        <is>
          <t>معرفی /تغییر در ترکیب اعضای هیئت مدیره/مدیر عامل</t>
        </is>
      </c>
      <c r="F239" s="71" t="n">
        <v>1250780</v>
      </c>
      <c r="G239" s="71" t="inlineStr">
        <is>
          <t>1403/07/05 20:58</t>
        </is>
      </c>
      <c r="H239" s="71" t="inlineStr">
        <is>
          <t>https://www.codal.ir/Reports/Decision.aspx?LetterSerial=3XlH8UAwEXuvOOObOOOkilkqCpVg%3d%3d&amp;rt=2&amp;let=19&amp;ct=0&amp;ft=-1</t>
        </is>
      </c>
      <c r="I239" s="71" t="inlineStr">
        <is>
          <t>زنجیره زمانی</t>
        </is>
      </c>
      <c r="J239" s="71" t="inlineStr">
        <is>
          <t>710bd26afb210f0cbc83c74334be723de98bd959fb76d71cdb14933e974b74b1</t>
        </is>
      </c>
      <c r="K239" s="71" t="inlineStr">
        <is>
          <t>sources/codal/وغدیر/v38_type19/T1250780.html</t>
        </is>
      </c>
    </row>
    <row r="240" ht="58" customHeight="1" s="76">
      <c r="A240" s="70" t="inlineStr">
        <is>
          <t>T19_1259192</t>
        </is>
      </c>
      <c r="B240" s="70" t="inlineStr">
        <is>
          <t>وغدیر</t>
        </is>
      </c>
      <c r="C240" s="70" t="inlineStr">
        <is>
          <t>اطلاعیه ن۴۵ (Type19)</t>
        </is>
      </c>
      <c r="D240" s="70" t="n"/>
      <c r="E240" s="70" t="inlineStr">
        <is>
          <t>معرفی /تغییر در ترکیب اعضای هیئت مدیره/مدیر عامل</t>
        </is>
      </c>
      <c r="F240" s="70" t="n">
        <v>1259192</v>
      </c>
      <c r="G240" s="70" t="inlineStr">
        <is>
          <t>1403/07/30 16:45</t>
        </is>
      </c>
      <c r="H240" s="70" t="inlineStr">
        <is>
          <t>https://www.codal.ir/Reports/Decision.aspx?LetterSerial=A60mnrvkJp2z9gaZFXaOOObOOOYQ%3d%3d&amp;rt=2&amp;let=19&amp;ct=0&amp;ft=-1</t>
        </is>
      </c>
      <c r="I240" s="70" t="inlineStr">
        <is>
          <t>زنجیره زمانی</t>
        </is>
      </c>
      <c r="J240" s="70" t="inlineStr">
        <is>
          <t>b2fb550791dd7cba40789afccb7d2162f7ef394e43661fd3b9a2abbeea71c51d</t>
        </is>
      </c>
      <c r="K240" s="70" t="inlineStr">
        <is>
          <t>sources/codal/وغدیر/v38_type19/T1259192.html</t>
        </is>
      </c>
    </row>
    <row r="241" ht="58" customHeight="1" s="76">
      <c r="A241" s="71" t="inlineStr">
        <is>
          <t>T19_1271772</t>
        </is>
      </c>
      <c r="B241" s="71" t="inlineStr">
        <is>
          <t>وغدیر</t>
        </is>
      </c>
      <c r="C241" s="71" t="inlineStr">
        <is>
          <t>اطلاعیه ن۴۵ (Type19)</t>
        </is>
      </c>
      <c r="D241" s="71" t="n"/>
      <c r="E241" s="71" t="inlineStr">
        <is>
          <t>معرفی /تغییر در ترکیب اعضای هیئت مدیره/مدیر عامل</t>
        </is>
      </c>
      <c r="F241" s="71" t="n">
        <v>1271772</v>
      </c>
      <c r="G241" s="71" t="inlineStr">
        <is>
          <t>1403/08/29 09:10</t>
        </is>
      </c>
      <c r="H241" s="71" t="inlineStr">
        <is>
          <t>https://www.codal.ir/Reports/Decision.aspx?LetterSerial=WnTJ5KOOOObOOOQ47O0ZQXlXeOHA%3d%3d&amp;rt=2&amp;let=19&amp;ct=0&amp;ft=-1</t>
        </is>
      </c>
      <c r="I241" s="71" t="inlineStr">
        <is>
          <t>زنجیره زمانی</t>
        </is>
      </c>
      <c r="J241" s="71" t="inlineStr">
        <is>
          <t>d4fdd79bb95ed60b8661cf6360c762faf6d954fc4b86326101c161850f0801bb</t>
        </is>
      </c>
      <c r="K241" s="71" t="inlineStr">
        <is>
          <t>sources/codal/وغدیر/v38_type19/T1271772.html</t>
        </is>
      </c>
    </row>
    <row r="242" ht="58" customHeight="1" s="76">
      <c r="A242" s="70" t="inlineStr">
        <is>
          <t>T19_1283385</t>
        </is>
      </c>
      <c r="B242" s="70" t="inlineStr">
        <is>
          <t>وغدیر</t>
        </is>
      </c>
      <c r="C242" s="70" t="inlineStr">
        <is>
          <t>اطلاعیه ن۴۵ (Type19)</t>
        </is>
      </c>
      <c r="D242" s="70" t="n"/>
      <c r="E242" s="70" t="inlineStr">
        <is>
          <t>معرفی /تغییر در ترکیب اعضای هیئت مدیره/مدیر عامل</t>
        </is>
      </c>
      <c r="F242" s="70" t="n">
        <v>1283385</v>
      </c>
      <c r="G242" s="70" t="inlineStr">
        <is>
          <t>1403/09/24 11:31</t>
        </is>
      </c>
      <c r="H242" s="70" t="inlineStr">
        <is>
          <t>https://www.codal.ir/Reports/Decision.aspx?LetterSerial=b9uqvOIQIMvyGYAfsuoWUg%3d%3d&amp;rt=2&amp;let=19&amp;ct=0&amp;ft=-1</t>
        </is>
      </c>
      <c r="I242" s="70" t="inlineStr">
        <is>
          <t>زنجیره زمانی</t>
        </is>
      </c>
      <c r="J242" s="70" t="inlineStr">
        <is>
          <t>493ad34acb647eded47112be4104614e4fa1e23e261bb016221161aad4da4cd2</t>
        </is>
      </c>
      <c r="K242" s="70" t="inlineStr">
        <is>
          <t>sources/codal/وغدیر/v38_type19/T1283385.html</t>
        </is>
      </c>
    </row>
    <row r="243" ht="58" customHeight="1" s="76">
      <c r="A243" s="71" t="inlineStr">
        <is>
          <t>T19_1307841</t>
        </is>
      </c>
      <c r="B243" s="71" t="inlineStr">
        <is>
          <t>وغدیر</t>
        </is>
      </c>
      <c r="C243" s="71" t="inlineStr">
        <is>
          <t>اطلاعیه ن۴۵ (Type19)</t>
        </is>
      </c>
      <c r="D243" s="71" t="n"/>
      <c r="E243" s="71" t="inlineStr">
        <is>
          <t>معرفی /تغییر در ترکیب اعضای هیئت مدیره/مدیر عامل</t>
        </is>
      </c>
      <c r="F243" s="71" t="n">
        <v>1307841</v>
      </c>
      <c r="G243" s="71" t="inlineStr">
        <is>
          <t>1403/11/27 09:13</t>
        </is>
      </c>
      <c r="H243" s="71" t="inlineStr">
        <is>
          <t>https://www.codal.ir/Reports/Decision.aspx?LetterSerial=veSUxcRwdC2UIMY6FgOOObOOOjZg%3d%3d&amp;rt=2&amp;let=19&amp;ct=0&amp;ft=-1</t>
        </is>
      </c>
      <c r="I243" s="71" t="inlineStr">
        <is>
          <t>زنجیره زمانی</t>
        </is>
      </c>
      <c r="J243" s="71" t="inlineStr">
        <is>
          <t>14f9ccba6b62a14a31cc6519bcb46315629e02f9f3a24c64f1e32f63830e3671</t>
        </is>
      </c>
      <c r="K243" s="71" t="inlineStr">
        <is>
          <t>sources/codal/وغدیر/v38_type19/T1307841.html</t>
        </is>
      </c>
    </row>
    <row r="244" ht="58" customHeight="1" s="76">
      <c r="A244" s="70" t="inlineStr">
        <is>
          <t>T19_1331046</t>
        </is>
      </c>
      <c r="B244" s="70" t="inlineStr">
        <is>
          <t>وغدیر</t>
        </is>
      </c>
      <c r="C244" s="70" t="inlineStr">
        <is>
          <t>اطلاعیه ن۴۵ (Type19)</t>
        </is>
      </c>
      <c r="D244" s="70" t="n"/>
      <c r="E244" s="70" t="inlineStr">
        <is>
          <t>معرفی /تغییر در ترکیب اعضای هیئت مدیره/مدیر عامل</t>
        </is>
      </c>
      <c r="F244" s="70" t="n">
        <v>1331046</v>
      </c>
      <c r="G244" s="70" t="inlineStr">
        <is>
          <t>1404/01/26 18:02</t>
        </is>
      </c>
      <c r="H244" s="70" t="inlineStr">
        <is>
          <t>https://www.codal.ir/Reports/Decision.aspx?LetterSerial=c8iXjAINhGN7XGHc4XLFWg%3d%3d&amp;rt=2&amp;let=19&amp;ct=0&amp;ft=-1</t>
        </is>
      </c>
      <c r="I244" s="70" t="inlineStr">
        <is>
          <t>زنجیره زمانی</t>
        </is>
      </c>
      <c r="J244" s="70" t="inlineStr">
        <is>
          <t>2269e0bd7764e604265be4a79825a272896e61044492bba1dec0f874cc3e2964</t>
        </is>
      </c>
      <c r="K244" s="70" t="inlineStr">
        <is>
          <t>sources/codal/وغدیر/v38_type19/T1331046.html</t>
        </is>
      </c>
    </row>
    <row r="245" ht="58" customHeight="1" s="76">
      <c r="A245" s="71" t="inlineStr">
        <is>
          <t>T19_1368801</t>
        </is>
      </c>
      <c r="B245" s="71" t="inlineStr">
        <is>
          <t>وغدیر</t>
        </is>
      </c>
      <c r="C245" s="71" t="inlineStr">
        <is>
          <t>اطلاعیه ن۴۵ (Type19)</t>
        </is>
      </c>
      <c r="D245" s="71" t="n"/>
      <c r="E245" s="71" t="inlineStr">
        <is>
          <t>معرفی /تغییر در ترکیب اعضای هیئت مدیره/مدیر عامل</t>
        </is>
      </c>
      <c r="F245" s="71" t="n">
        <v>1368801</v>
      </c>
      <c r="G245" s="71" t="inlineStr">
        <is>
          <t>1404/04/18 15:17</t>
        </is>
      </c>
      <c r="H245" s="71" t="inlineStr">
        <is>
          <t>https://www.codal.ir/Reports/Decision.aspx?LetterSerial=jFUwtXYMQQQaQQQciiIoBWMVanOQ%3d%3d&amp;rt=2&amp;let=19&amp;ct=0&amp;ft=-1</t>
        </is>
      </c>
      <c r="I245" s="71" t="inlineStr">
        <is>
          <t>زنجیره زمانی</t>
        </is>
      </c>
      <c r="J245" s="71" t="inlineStr">
        <is>
          <t>da7d0d888d7914b5be5449f875f2fe2964cbcaf62aaee089e1ade19d591177db</t>
        </is>
      </c>
      <c r="K245" s="71" t="inlineStr">
        <is>
          <t>sources/codal/وغدیر/v38_type19/T1368801.html</t>
        </is>
      </c>
    </row>
    <row r="246" ht="58" customHeight="1" s="76">
      <c r="A246" s="70" t="inlineStr">
        <is>
          <t>T19_1405584</t>
        </is>
      </c>
      <c r="B246" s="70" t="inlineStr">
        <is>
          <t>وغدیر</t>
        </is>
      </c>
      <c r="C246" s="70" t="inlineStr">
        <is>
          <t>اطلاعیه ن۴۵ (Type19)</t>
        </is>
      </c>
      <c r="D246" s="70" t="n"/>
      <c r="E246" s="70" t="inlineStr">
        <is>
          <t>معرفی /تغییر در ترکیب اعضای هیئت مدیره/مدیر عامل</t>
        </is>
      </c>
      <c r="F246" s="70" t="n">
        <v>1405584</v>
      </c>
      <c r="G246" s="70" t="inlineStr">
        <is>
          <t>1404/06/24 11:36</t>
        </is>
      </c>
      <c r="H246" s="70" t="inlineStr">
        <is>
          <t>https://www.codal.ir/Reports/Decision.aspx?LetterSerial=ytYjZCpQQQaQQQ34BFQkm8DLxX9A%3d%3d&amp;rt=2&amp;let=19&amp;ct=0&amp;ft=-1</t>
        </is>
      </c>
      <c r="I246" s="70" t="inlineStr">
        <is>
          <t>مبنای فهرست اعضا در as-of</t>
        </is>
      </c>
      <c r="J246" s="70" t="inlineStr">
        <is>
          <t>235ad1c0041304a09248fc7bf2412fa69fa99a839ae93005188bc0fc763ffc84</t>
        </is>
      </c>
      <c r="K246" s="70" t="inlineStr">
        <is>
          <t>sources/codal/وغدیر/v38_type19/T1405584.html</t>
        </is>
      </c>
    </row>
    <row r="247" ht="58" customHeight="1" s="76">
      <c r="A247" s="71" t="inlineStr">
        <is>
          <t>T19_1602959</t>
        </is>
      </c>
      <c r="B247" s="71" t="inlineStr">
        <is>
          <t>وغدیر</t>
        </is>
      </c>
      <c r="C247" s="71" t="inlineStr">
        <is>
          <t>اطلاعیه ن۴۵ (Type19)</t>
        </is>
      </c>
      <c r="D247" s="71" t="n"/>
      <c r="E247" s="71" t="inlineStr">
        <is>
          <t>معرفی /تغییر در ترکیب اعضای هیئت مدیره/مدیر عامل</t>
        </is>
      </c>
      <c r="F247" s="71" t="n">
        <v>1602959</v>
      </c>
      <c r="G247" s="71" t="inlineStr">
        <is>
          <t>1405/07/01 18:16</t>
        </is>
      </c>
      <c r="H247" s="71" t="inlineStr">
        <is>
          <t>https://www.codal.ir/Reports/Decision.aspx?LetterSerial=mvTpKr4heYMiVtjMqGcd4Q%3d%3d&amp;rt=2&amp;let=19&amp;ct=0&amp;ft=-1</t>
        </is>
      </c>
      <c r="I247" s="71" t="inlineStr">
        <is>
          <t>زنجیره زمانی</t>
        </is>
      </c>
      <c r="J247" s="71" t="inlineStr">
        <is>
          <t>1b6a01de282c434b70e41e22e64d5e0e0e3beba305059c943fc2dd802358e1aa</t>
        </is>
      </c>
      <c r="K247" s="71" t="inlineStr">
        <is>
          <t>sources/codal/وغدیر/v38_type19/T1602959.html</t>
        </is>
      </c>
    </row>
    <row r="248" ht="58" customHeight="1" s="76">
      <c r="A248" s="70" t="inlineStr">
        <is>
          <t>T19_892353</t>
        </is>
      </c>
      <c r="B248" s="70" t="inlineStr">
        <is>
          <t>نوری</t>
        </is>
      </c>
      <c r="C248" s="70" t="inlineStr">
        <is>
          <t>اطلاعیه ن۴۵ (Type19)</t>
        </is>
      </c>
      <c r="D248" s="70" t="n"/>
      <c r="E248" s="70" t="inlineStr">
        <is>
          <t>معرفی یا تغییر در ترکیب اعضای هیئت مدیره</t>
        </is>
      </c>
      <c r="F248" s="70" t="n">
        <v>892353</v>
      </c>
      <c r="G248" s="70" t="inlineStr">
        <is>
          <t>1401/03/11 17:08</t>
        </is>
      </c>
      <c r="H248" s="70" t="inlineStr">
        <is>
          <t>https://www.codal.ir/Reports/Decision.aspx?LetterSerial=sGL4cgsrrCSlQQQaQQQIkV5lWa1Q%3d%3d&amp;rt=0&amp;let=19&amp;ct=0&amp;ft=-1</t>
        </is>
      </c>
      <c r="I248" s="70" t="inlineStr">
        <is>
          <t>زنجیره زمانی</t>
        </is>
      </c>
      <c r="J248" s="70" t="inlineStr">
        <is>
          <t>d0b53c3cf37d3b52a42c16f8ad90cf69532ee310da7ff46b0f35d8d8840b434c</t>
        </is>
      </c>
      <c r="K248" s="70" t="inlineStr">
        <is>
          <t>sources/codal/نوری/v38_type19/T892353.html</t>
        </is>
      </c>
    </row>
    <row r="249" ht="58" customHeight="1" s="76">
      <c r="A249" s="71" t="inlineStr">
        <is>
          <t>T19_898779</t>
        </is>
      </c>
      <c r="B249" s="71" t="inlineStr">
        <is>
          <t>نوری</t>
        </is>
      </c>
      <c r="C249" s="71" t="inlineStr">
        <is>
          <t>اطلاعیه ن۴۵ (Type19)</t>
        </is>
      </c>
      <c r="D249" s="71" t="n"/>
      <c r="E249" s="71" t="inlineStr">
        <is>
          <t>معرفی یا تغییر در ترکیب اعضای هیئت مدیره</t>
        </is>
      </c>
      <c r="F249" s="71" t="n">
        <v>898779</v>
      </c>
      <c r="G249" s="71" t="inlineStr">
        <is>
          <t>1401/03/29 17:33</t>
        </is>
      </c>
      <c r="H249" s="71" t="inlineStr">
        <is>
          <t>https://www.codal.ir/Reports/Decision.aspx?LetterSerial=vsEopHI5B4vfHf2UEWQQQaQQQe5A%3d%3d&amp;rt=0&amp;let=19&amp;ct=0&amp;ft=-1</t>
        </is>
      </c>
      <c r="I249" s="71" t="inlineStr">
        <is>
          <t>زنجیره زمانی</t>
        </is>
      </c>
      <c r="J249" s="71" t="inlineStr">
        <is>
          <t>3eaacc1c0915f7e46bdcd66c4d092b433713c5d94c0903e2bc6be59d1e14ecad</t>
        </is>
      </c>
      <c r="K249" s="71" t="inlineStr">
        <is>
          <t>sources/codal/نوری/v38_type19/T898779.html</t>
        </is>
      </c>
    </row>
    <row r="250" ht="58" customHeight="1" s="76">
      <c r="A250" s="70" t="inlineStr">
        <is>
          <t>T19_1161814</t>
        </is>
      </c>
      <c r="B250" s="70" t="inlineStr">
        <is>
          <t>نوری</t>
        </is>
      </c>
      <c r="C250" s="70" t="inlineStr">
        <is>
          <t>اطلاعیه ن۴۵ (Type19)</t>
        </is>
      </c>
      <c r="D250" s="70" t="n"/>
      <c r="E250" s="70" t="inlineStr">
        <is>
          <t>معرفی /تغییر در ترکیب اعضای هیئت مدیره/مدیر عامل</t>
        </is>
      </c>
      <c r="F250" s="70" t="n">
        <v>1161814</v>
      </c>
      <c r="G250" s="70" t="inlineStr">
        <is>
          <t>1402/12/19 15:03</t>
        </is>
      </c>
      <c r="H250" s="70" t="inlineStr">
        <is>
          <t>https://www.codal.ir/Reports/Decision.aspx?LetterSerial=Ls4QQQaQQQ4I56xCoKqr83VDEdvw%3d%3d&amp;rt=0&amp;let=19&amp;ct=0&amp;ft=-1</t>
        </is>
      </c>
      <c r="I250" s="70" t="inlineStr">
        <is>
          <t>زنجیره زمانی</t>
        </is>
      </c>
      <c r="J250" s="70" t="inlineStr">
        <is>
          <t>26736ea49f1611f40f05c29b8210c1fb36abcec19c2fe03a182b6f5ae208b9e4</t>
        </is>
      </c>
      <c r="K250" s="70" t="inlineStr">
        <is>
          <t>sources/codal/نوری/v38_type19/T1161814.html</t>
        </is>
      </c>
    </row>
    <row r="251" ht="58" customHeight="1" s="76">
      <c r="A251" s="71" t="inlineStr">
        <is>
          <t>T19_1184137</t>
        </is>
      </c>
      <c r="B251" s="71" t="inlineStr">
        <is>
          <t>نوری</t>
        </is>
      </c>
      <c r="C251" s="71" t="inlineStr">
        <is>
          <t>اطلاعیه ن۴۵ (Type19)</t>
        </is>
      </c>
      <c r="D251" s="71" t="n"/>
      <c r="E251" s="71" t="inlineStr">
        <is>
          <t>معرفی /تغییر در ترکیب اعضای هیئت مدیره/مدیر عامل</t>
        </is>
      </c>
      <c r="F251" s="71" t="n">
        <v>1184137</v>
      </c>
      <c r="G251" s="71" t="inlineStr">
        <is>
          <t>1403/02/09 19:16</t>
        </is>
      </c>
      <c r="H251" s="71" t="inlineStr">
        <is>
          <t>https://www.codal.ir/Reports/Decision.aspx?LetterSerial=OpPuDvlUpotY%2bx1cjPxVyg%3d%3d&amp;rt=0&amp;let=19&amp;ct=0&amp;ft=-1</t>
        </is>
      </c>
      <c r="I251" s="71" t="inlineStr">
        <is>
          <t>زنجیره زمانی</t>
        </is>
      </c>
      <c r="J251" s="71" t="inlineStr">
        <is>
          <t>4bb1e17c83dbb6cf500c037078c6e47932f79ae68c84dd423a9c8f14cf5a14e8</t>
        </is>
      </c>
      <c r="K251" s="71" t="inlineStr">
        <is>
          <t>sources/codal/نوری/v38_type19/T1184137.html</t>
        </is>
      </c>
    </row>
    <row r="252" ht="58" customHeight="1" s="76">
      <c r="A252" s="70" t="inlineStr">
        <is>
          <t>T19_1270763</t>
        </is>
      </c>
      <c r="B252" s="70" t="inlineStr">
        <is>
          <t>نوری</t>
        </is>
      </c>
      <c r="C252" s="70" t="inlineStr">
        <is>
          <t>اطلاعیه ن۴۵ (Type19)</t>
        </is>
      </c>
      <c r="D252" s="70" t="n"/>
      <c r="E252" s="70" t="inlineStr">
        <is>
          <t>معرفی /تغییر در ترکیب اعضای هیئت مدیره/مدیر عامل</t>
        </is>
      </c>
      <c r="F252" s="70" t="n">
        <v>1270763</v>
      </c>
      <c r="G252" s="70" t="inlineStr">
        <is>
          <t>1403/08/27 17:02</t>
        </is>
      </c>
      <c r="H252" s="70" t="inlineStr">
        <is>
          <t>https://www.codal.ir/Reports/Decision.aspx?LetterSerial=smhicjLn5jVmlYmSTSfSQQQaQQQQ%3d%3d&amp;rt=0&amp;let=19&amp;ct=0&amp;ft=-1</t>
        </is>
      </c>
      <c r="I252" s="70" t="inlineStr">
        <is>
          <t>زنجیره زمانی</t>
        </is>
      </c>
      <c r="J252" s="70" t="inlineStr">
        <is>
          <t>ecdecc8c05d10e174afe56a3e5558b475c76f5e92f959218a6b0e32757fb4612</t>
        </is>
      </c>
      <c r="K252" s="70" t="inlineStr">
        <is>
          <t>sources/codal/نوری/v38_type19/T1270763.html</t>
        </is>
      </c>
    </row>
    <row r="253" ht="58" customHeight="1" s="76">
      <c r="A253" s="71" t="inlineStr">
        <is>
          <t>T19_1289625</t>
        </is>
      </c>
      <c r="B253" s="71" t="inlineStr">
        <is>
          <t>نوری</t>
        </is>
      </c>
      <c r="C253" s="71" t="inlineStr">
        <is>
          <t>اطلاعیه ن۴۵ (Type19)</t>
        </is>
      </c>
      <c r="D253" s="71" t="n"/>
      <c r="E253" s="71" t="inlineStr">
        <is>
          <t>معرفی /تغییر در ترکیب اعضای هیئت مدیره/مدیر عامل</t>
        </is>
      </c>
      <c r="F253" s="71" t="n">
        <v>1289625</v>
      </c>
      <c r="G253" s="71" t="inlineStr">
        <is>
          <t>1403/10/09 17:01</t>
        </is>
      </c>
      <c r="H253" s="71" t="inlineStr">
        <is>
          <t>https://www.codal.ir/Reports/Decision.aspx?LetterSerial=MfQQQaQQQDABne99nhfpFA0iJO3g%3d%3d&amp;rt=0&amp;let=19&amp;ct=0&amp;ft=-1</t>
        </is>
      </c>
      <c r="I253" s="71" t="inlineStr">
        <is>
          <t>زنجیره زمانی</t>
        </is>
      </c>
      <c r="J253" s="71" t="inlineStr">
        <is>
          <t>def4c0572bb68651add369501f655dc0853492f382a4c3e00b275a4826b942b7</t>
        </is>
      </c>
      <c r="K253" s="71" t="inlineStr">
        <is>
          <t>sources/codal/نوری/v38_type19/T1289625.html</t>
        </is>
      </c>
    </row>
    <row r="254" ht="58" customHeight="1" s="76">
      <c r="A254" s="70" t="inlineStr">
        <is>
          <t>T19_1289837</t>
        </is>
      </c>
      <c r="B254" s="70" t="inlineStr">
        <is>
          <t>نوری</t>
        </is>
      </c>
      <c r="C254" s="70" t="inlineStr">
        <is>
          <t>اطلاعیه ن۴۵ (Type19)</t>
        </is>
      </c>
      <c r="D254" s="70" t="n"/>
      <c r="E254" s="70" t="inlineStr">
        <is>
          <t>معرفی /تغییر در ترکیب اعضای هیئت مدیره/مدیر عامل(اصلاحیه)</t>
        </is>
      </c>
      <c r="F254" s="70" t="n">
        <v>1289837</v>
      </c>
      <c r="G254" s="70" t="inlineStr">
        <is>
          <t>1403/10/09 17:13</t>
        </is>
      </c>
      <c r="H254" s="70" t="inlineStr">
        <is>
          <t>https://www.codal.ir/Reports/Decision.aspx?LetterSerial=6qZQcEHQQQaQQQV0hQQQaQQQHyzjiFKFSQ%3d%3d&amp;rt=0&amp;let=19&amp;ct=0&amp;ft=-1</t>
        </is>
      </c>
      <c r="I254" s="70" t="inlineStr">
        <is>
          <t>زنجیره زمانی</t>
        </is>
      </c>
      <c r="J254" s="70" t="inlineStr">
        <is>
          <t>94c22d3d1f870362e2fbd836f0f74f0bcd52c16a0ae18272920673769ac5d497</t>
        </is>
      </c>
      <c r="K254" s="70" t="inlineStr">
        <is>
          <t>sources/codal/نوری/v38_type19/T1289837.html</t>
        </is>
      </c>
    </row>
    <row r="255" ht="58" customHeight="1" s="76">
      <c r="A255" s="71" t="inlineStr">
        <is>
          <t>T19_1368288</t>
        </is>
      </c>
      <c r="B255" s="71" t="inlineStr">
        <is>
          <t>نوری</t>
        </is>
      </c>
      <c r="C255" s="71" t="inlineStr">
        <is>
          <t>اطلاعیه ن۴۵ (Type19)</t>
        </is>
      </c>
      <c r="D255" s="71" t="n"/>
      <c r="E255" s="71" t="inlineStr">
        <is>
          <t>معرفی /تغییر در ترکیب اعضای هیئت مدیره/مدیر عامل</t>
        </is>
      </c>
      <c r="F255" s="71" t="n">
        <v>1368288</v>
      </c>
      <c r="G255" s="71" t="inlineStr">
        <is>
          <t>1404/04/17 18:43</t>
        </is>
      </c>
      <c r="H255" s="71" t="inlineStr">
        <is>
          <t>https://www.codal.ir/Reports/Decision.aspx?LetterSerial=j92bfv180vODlZhjuNAJYg%3d%3d&amp;rt=0&amp;let=19&amp;ct=0&amp;ft=-1</t>
        </is>
      </c>
      <c r="I255" s="71" t="inlineStr">
        <is>
          <t>زنجیره زمانی</t>
        </is>
      </c>
      <c r="J255" s="71" t="inlineStr">
        <is>
          <t>3f86f5bed4e65764b4b0af540322b8eff8c56100dcd7fbf0cf0b949c250c8e56</t>
        </is>
      </c>
      <c r="K255" s="71" t="inlineStr">
        <is>
          <t>sources/codal/نوری/v38_type19/T1368288.html</t>
        </is>
      </c>
    </row>
    <row r="256" ht="58" customHeight="1" s="76">
      <c r="A256" s="70" t="inlineStr">
        <is>
          <t>T19_1393593</t>
        </is>
      </c>
      <c r="B256" s="70" t="inlineStr">
        <is>
          <t>نوری</t>
        </is>
      </c>
      <c r="C256" s="70" t="inlineStr">
        <is>
          <t>اطلاعیه ن۴۵ (Type19)</t>
        </is>
      </c>
      <c r="D256" s="70" t="n"/>
      <c r="E256" s="70" t="inlineStr">
        <is>
          <t>معرفی /تغییر در ترکیب اعضای هیئت مدیره/مدیر عامل</t>
        </is>
      </c>
      <c r="F256" s="70" t="n">
        <v>1393593</v>
      </c>
      <c r="G256" s="70" t="inlineStr">
        <is>
          <t>1404/05/27 08:07</t>
        </is>
      </c>
      <c r="H256" s="70" t="inlineStr">
        <is>
          <t>https://www.codal.ir/Reports/Decision.aspx?LetterSerial=eREBsVb9WQQQevJMhpSxzg%3d%3d&amp;rt=0&amp;let=19&amp;ct=0&amp;ft=-1</t>
        </is>
      </c>
      <c r="I256" s="70" t="inlineStr">
        <is>
          <t>زنجیره زمانی</t>
        </is>
      </c>
      <c r="J256" s="70" t="inlineStr">
        <is>
          <t>d4f5fb09a32736be6c392f9f83c65a0155fb9b17f6ad144998a16739c2d38688</t>
        </is>
      </c>
      <c r="K256" s="70" t="inlineStr">
        <is>
          <t>sources/codal/نوری/v38_type19/T1393593.html</t>
        </is>
      </c>
    </row>
    <row r="257" ht="58" customHeight="1" s="76">
      <c r="A257" s="71" t="inlineStr">
        <is>
          <t>T19_1407882</t>
        </is>
      </c>
      <c r="B257" s="71" t="inlineStr">
        <is>
          <t>نوری</t>
        </is>
      </c>
      <c r="C257" s="71" t="inlineStr">
        <is>
          <t>اطلاعیه ن۴۵ (Type19)</t>
        </is>
      </c>
      <c r="D257" s="71" t="n"/>
      <c r="E257" s="71" t="inlineStr">
        <is>
          <t>معرفی /تغییر در ترکیب اعضای هیئت مدیره/مدیر عامل</t>
        </is>
      </c>
      <c r="F257" s="71" t="n">
        <v>1407882</v>
      </c>
      <c r="G257" s="71" t="inlineStr">
        <is>
          <t>1404/06/31 07:08</t>
        </is>
      </c>
      <c r="H257" s="71" t="inlineStr">
        <is>
          <t>https://www.codal.ir/Reports/Decision.aspx?LetterSerial=cIj6tSlAsWJOE7v3zY09nQ%3d%3d&amp;rt=0&amp;let=19&amp;ct=0&amp;ft=-1</t>
        </is>
      </c>
      <c r="I257" s="71" t="inlineStr">
        <is>
          <t>زنجیره زمانی</t>
        </is>
      </c>
      <c r="J257" s="71" t="inlineStr">
        <is>
          <t>c20545ddd8b21cec218bb2d1fdae32835df516a7297f33375020610f8a50457e</t>
        </is>
      </c>
      <c r="K257" s="71" t="inlineStr">
        <is>
          <t>sources/codal/نوری/v38_type19/T1407882.html</t>
        </is>
      </c>
    </row>
    <row r="258" ht="58" customHeight="1" s="76">
      <c r="A258" s="70" t="inlineStr">
        <is>
          <t>T19_1437791</t>
        </is>
      </c>
      <c r="B258" s="70" t="inlineStr">
        <is>
          <t>نوری</t>
        </is>
      </c>
      <c r="C258" s="70" t="inlineStr">
        <is>
          <t>اطلاعیه ن۴۵ (Type19)</t>
        </is>
      </c>
      <c r="D258" s="70" t="n"/>
      <c r="E258" s="70" t="inlineStr">
        <is>
          <t>معرفی /تغییر در ترکیب اعضای هیئت مدیره/مدیر عامل</t>
        </is>
      </c>
      <c r="F258" s="70" t="n">
        <v>1437791</v>
      </c>
      <c r="G258" s="70" t="inlineStr">
        <is>
          <t>1404/08/28 15:29</t>
        </is>
      </c>
      <c r="H258" s="70" t="inlineStr">
        <is>
          <t>https://www.codal.ir/Reports/Decision.aspx?LetterSerial=kJZEdsB5awCObPfKKGJOGQ%3d%3d&amp;rt=0&amp;let=19&amp;ct=0&amp;ft=-1</t>
        </is>
      </c>
      <c r="I258" s="70" t="inlineStr">
        <is>
          <t>زنجیره زمانی</t>
        </is>
      </c>
      <c r="J258" s="70" t="inlineStr">
        <is>
          <t>4f20269ec96fb77714d1db9e7b39770bce2667cb421d7d1af3bbcbc0162b6172</t>
        </is>
      </c>
      <c r="K258" s="70" t="inlineStr">
        <is>
          <t>sources/codal/نوری/v38_type19/T1437791.html</t>
        </is>
      </c>
    </row>
    <row r="259" ht="58" customHeight="1" s="76">
      <c r="A259" s="71" t="inlineStr">
        <is>
          <t>T19_1494047</t>
        </is>
      </c>
      <c r="B259" s="71" t="inlineStr">
        <is>
          <t>نوری</t>
        </is>
      </c>
      <c r="C259" s="71" t="inlineStr">
        <is>
          <t>اطلاعیه ن۴۵ (Type19)</t>
        </is>
      </c>
      <c r="D259" s="71" t="n"/>
      <c r="E259" s="71" t="inlineStr">
        <is>
          <t>معرفی /تغییر در ترکیب اعضای هیئت مدیره/مدیر عامل</t>
        </is>
      </c>
      <c r="F259" s="71" t="n">
        <v>1494047</v>
      </c>
      <c r="G259" s="71" t="inlineStr">
        <is>
          <t>1404/12/04 13:51</t>
        </is>
      </c>
      <c r="H259" s="71" t="inlineStr">
        <is>
          <t>https://www.codal.ir/Reports/Decision.aspx?LetterSerial=NQQQaQQQYphXIoc4nwYbowPbQQQaQQQL2A%3d%3d&amp;rt=0&amp;let=19&amp;ct=0&amp;ft=-1</t>
        </is>
      </c>
      <c r="I259" s="71" t="inlineStr">
        <is>
          <t>زنجیره زمانی</t>
        </is>
      </c>
      <c r="J259" s="71" t="inlineStr">
        <is>
          <t>c22303bf3d2674970fe3f512531e36ba19171d53beb39b6b1ceb0b69f0741251</t>
        </is>
      </c>
      <c r="K259" s="71" t="inlineStr">
        <is>
          <t>sources/codal/نوری/v38_type19/T1494047.html</t>
        </is>
      </c>
    </row>
    <row r="260" ht="58" customHeight="1" s="76">
      <c r="A260" s="70" t="inlineStr">
        <is>
          <t>T19_1494196</t>
        </is>
      </c>
      <c r="B260" s="70" t="inlineStr">
        <is>
          <t>نوری</t>
        </is>
      </c>
      <c r="C260" s="70" t="inlineStr">
        <is>
          <t>اطلاعیه ن۴۵ (Type19)</t>
        </is>
      </c>
      <c r="D260" s="70" t="n"/>
      <c r="E260" s="70" t="inlineStr">
        <is>
          <t>معرفی /تغییر در ترکیب اعضای هیئت مدیره/مدیر عامل(اصلاحیه)</t>
        </is>
      </c>
      <c r="F260" s="70" t="n">
        <v>1494196</v>
      </c>
      <c r="G260" s="70" t="inlineStr">
        <is>
          <t>1404/12/04 15:33</t>
        </is>
      </c>
      <c r="H260" s="70" t="inlineStr">
        <is>
          <t>https://www.codal.ir/Reports/Decision.aspx?LetterSerial=iF5v8ocM7nWxWM03Dsdq2Q%3d%3d&amp;rt=0&amp;let=19&amp;ct=0&amp;ft=-1</t>
        </is>
      </c>
      <c r="I260" s="70" t="inlineStr">
        <is>
          <t>زنجیره زمانی</t>
        </is>
      </c>
      <c r="J260" s="70" t="inlineStr">
        <is>
          <t>74d1ab1830613cb70630b8b62bbc02dbe6bf9919d6ebdb1a026b177ab3e86e50</t>
        </is>
      </c>
      <c r="K260" s="70" t="inlineStr">
        <is>
          <t>sources/codal/نوری/v38_type19/T1494196.html</t>
        </is>
      </c>
    </row>
    <row r="261" ht="58" customHeight="1" s="76">
      <c r="A261" s="71" t="inlineStr">
        <is>
          <t>T19_1582361</t>
        </is>
      </c>
      <c r="B261" s="71" t="inlineStr">
        <is>
          <t>نوری</t>
        </is>
      </c>
      <c r="C261" s="71" t="inlineStr">
        <is>
          <t>اطلاعیه ن۴۵ (Type19)</t>
        </is>
      </c>
      <c r="D261" s="71" t="n"/>
      <c r="E261" s="71" t="inlineStr">
        <is>
          <t>معرفی /تغییر در ترکیب اعضای هیئت مدیره/مدیر عامل(اصلاحیه)</t>
        </is>
      </c>
      <c r="F261" s="71" t="n">
        <v>1582361</v>
      </c>
      <c r="G261" s="71" t="inlineStr">
        <is>
          <t>1405/05/18 07:48</t>
        </is>
      </c>
      <c r="H261" s="71" t="inlineStr">
        <is>
          <t>https://www.codal.ir/Reports/Decision.aspx?LetterSerial=BpzktIAusbNz2ux9FZwb4w%3d%3d&amp;rt=0&amp;let=19&amp;ct=0&amp;ft=-1</t>
        </is>
      </c>
      <c r="I261" s="71" t="inlineStr">
        <is>
          <t>مبنای فهرست اعضا در as-of</t>
        </is>
      </c>
      <c r="J261" s="71" t="inlineStr">
        <is>
          <t>db8392e265beabc02a28825c437580756000c784e26f701e222f89e868a3e599</t>
        </is>
      </c>
      <c r="K261" s="71" t="inlineStr">
        <is>
          <t>sources/codal/نوری/v38_type19/T1582361.html</t>
        </is>
      </c>
    </row>
    <row r="262" ht="58" customHeight="1" s="76">
      <c r="A262" s="70" t="inlineStr">
        <is>
          <t>T19_898514</t>
        </is>
      </c>
      <c r="B262" s="70" t="inlineStr">
        <is>
          <t>فولاد</t>
        </is>
      </c>
      <c r="C262" s="70" t="inlineStr">
        <is>
          <t>اطلاعیه ن۴۵ (Type19)</t>
        </is>
      </c>
      <c r="D262" s="70" t="n"/>
      <c r="E262" s="70" t="inlineStr">
        <is>
          <t>معرفی یا تغییر در ترکیب اعضای هیئت مدیره</t>
        </is>
      </c>
      <c r="F262" s="70" t="n">
        <v>898514</v>
      </c>
      <c r="G262" s="70" t="inlineStr">
        <is>
          <t>1401/03/29 14:17</t>
        </is>
      </c>
      <c r="H262" s="70" t="inlineStr">
        <is>
          <t>https://www.codal.ir/Reports/Decision.aspx?LetterSerial=EyVI%2bcU7TsMZNxGafdAXoA%3d%3d&amp;rt=0&amp;let=19&amp;ct=0&amp;ft=-1</t>
        </is>
      </c>
      <c r="I262" s="70" t="inlineStr">
        <is>
          <t>زنجیره زمانی</t>
        </is>
      </c>
      <c r="J262" s="70" t="inlineStr">
        <is>
          <t>27512068e96c3c50a6dc2b5cea327c417a1b0bdb2442a09bdd5511186b4d153a</t>
        </is>
      </c>
      <c r="K262" s="70" t="inlineStr">
        <is>
          <t>sources/codal/فولاد/v38_type19/T898514.html</t>
        </is>
      </c>
    </row>
    <row r="263" ht="58" customHeight="1" s="76">
      <c r="A263" s="71" t="inlineStr">
        <is>
          <t>T19_976110</t>
        </is>
      </c>
      <c r="B263" s="71" t="inlineStr">
        <is>
          <t>فولاد</t>
        </is>
      </c>
      <c r="C263" s="71" t="inlineStr">
        <is>
          <t>اطلاعیه ن۴۵ (Type19)</t>
        </is>
      </c>
      <c r="D263" s="71" t="n"/>
      <c r="E263" s="71" t="inlineStr">
        <is>
          <t>معرفی /تغییر در ترکیب اعضای هیئت مدیره/مدیر عامل</t>
        </is>
      </c>
      <c r="F263" s="71" t="n">
        <v>976110</v>
      </c>
      <c r="G263" s="71" t="inlineStr">
        <is>
          <t>1401/10/10 09:33</t>
        </is>
      </c>
      <c r="H263" s="71" t="inlineStr">
        <is>
          <t>https://www.codal.ir/Reports/Decision.aspx?LetterSerial=hT5NvAFXMjyBoCPPRvNYRg%3d%3d&amp;rt=0&amp;let=19&amp;ct=0&amp;ft=-1</t>
        </is>
      </c>
      <c r="I263" s="71" t="inlineStr">
        <is>
          <t>زنجیره زمانی</t>
        </is>
      </c>
      <c r="J263" s="71" t="inlineStr">
        <is>
          <t>5263831b1f9761b7770c9ca42463e87c3557f09ff86b9af64911a819e240a7f3</t>
        </is>
      </c>
      <c r="K263" s="71" t="inlineStr">
        <is>
          <t>sources/codal/فولاد/v38_type19/T976110.html</t>
        </is>
      </c>
    </row>
    <row r="264" ht="58" customHeight="1" s="76">
      <c r="A264" s="70" t="inlineStr">
        <is>
          <t>T19_1019932</t>
        </is>
      </c>
      <c r="B264" s="70" t="inlineStr">
        <is>
          <t>فولاد</t>
        </is>
      </c>
      <c r="C264" s="70" t="inlineStr">
        <is>
          <t>اطلاعیه ن۴۵ (Type19)</t>
        </is>
      </c>
      <c r="D264" s="70" t="n"/>
      <c r="E264" s="70" t="inlineStr">
        <is>
          <t>معرفی /تغییر در ترکیب اعضای هیئت مدیره/مدیر عامل</t>
        </is>
      </c>
      <c r="F264" s="70" t="n">
        <v>1019932</v>
      </c>
      <c r="G264" s="70" t="inlineStr">
        <is>
          <t>1402/02/12 09:23</t>
        </is>
      </c>
      <c r="H264" s="70" t="inlineStr">
        <is>
          <t>https://www.codal.ir/Reports/Decision.aspx?LetterSerial=G2yWaw6BkJ23or5leIuIOw%3d%3d&amp;rt=0&amp;let=19&amp;ct=0&amp;ft=-1</t>
        </is>
      </c>
      <c r="I264" s="70" t="inlineStr">
        <is>
          <t>زنجیره زمانی</t>
        </is>
      </c>
      <c r="J264" s="70" t="inlineStr">
        <is>
          <t>4712616e323a4c4d35d9feace04237657367010e0e103f28cb476b52dbd52ebf</t>
        </is>
      </c>
      <c r="K264" s="70" t="inlineStr">
        <is>
          <t>sources/codal/فولاد/v38_type19/T1019932.html</t>
        </is>
      </c>
    </row>
    <row r="265" ht="58" customHeight="1" s="76">
      <c r="A265" s="71" t="inlineStr">
        <is>
          <t>T19_1068167</t>
        </is>
      </c>
      <c r="B265" s="71" t="inlineStr">
        <is>
          <t>فولاد</t>
        </is>
      </c>
      <c r="C265" s="71" t="inlineStr">
        <is>
          <t>اطلاعیه ن۴۵ (Type19)</t>
        </is>
      </c>
      <c r="D265" s="71" t="n"/>
      <c r="E265" s="71" t="inlineStr">
        <is>
          <t>معرفی /تغییر در ترکیب اعضای هیئت مدیره/مدیر عامل</t>
        </is>
      </c>
      <c r="F265" s="71" t="n">
        <v>1068167</v>
      </c>
      <c r="G265" s="71" t="inlineStr">
        <is>
          <t>1402/05/15 16:17</t>
        </is>
      </c>
      <c r="H265" s="71" t="inlineStr">
        <is>
          <t>https://www.codal.ir/Reports/Decision.aspx?LetterSerial=ZE0HkKPIM%2bl70khbY6agsw%3d%3d&amp;rt=0&amp;let=19&amp;ct=0&amp;ft=-1</t>
        </is>
      </c>
      <c r="I265" s="71" t="inlineStr">
        <is>
          <t>زنجیره زمانی</t>
        </is>
      </c>
      <c r="J265" s="71" t="inlineStr">
        <is>
          <t>a81d34a4e87782ba0ccfa04bf75d90084b4bcd6e1d391e220dad93414034bd99</t>
        </is>
      </c>
      <c r="K265" s="71" t="inlineStr">
        <is>
          <t>sources/codal/فولاد/v38_type19/T1068167.html</t>
        </is>
      </c>
    </row>
    <row r="266" ht="58" customHeight="1" s="76">
      <c r="A266" s="70" t="inlineStr">
        <is>
          <t>T19_1073439</t>
        </is>
      </c>
      <c r="B266" s="70" t="inlineStr">
        <is>
          <t>فولاد</t>
        </is>
      </c>
      <c r="C266" s="70" t="inlineStr">
        <is>
          <t>اطلاعیه ن۴۵ (Type19)</t>
        </is>
      </c>
      <c r="D266" s="70" t="n"/>
      <c r="E266" s="70" t="inlineStr">
        <is>
          <t>معرفی /تغییر در ترکیب اعضای هیئت مدیره/مدیر عامل</t>
        </is>
      </c>
      <c r="F266" s="70" t="n">
        <v>1073439</v>
      </c>
      <c r="G266" s="70" t="inlineStr">
        <is>
          <t>1402/05/30 15:57</t>
        </is>
      </c>
      <c r="H266" s="70" t="inlineStr">
        <is>
          <t>https://www.codal.ir/Reports/Decision.aspx?LetterSerial=GcnrKxKD1OrgBJKRHXTVbg%3d%3d&amp;rt=0&amp;let=19&amp;ct=0&amp;ft=-1</t>
        </is>
      </c>
      <c r="I266" s="70" t="inlineStr">
        <is>
          <t>زنجیره زمانی</t>
        </is>
      </c>
      <c r="J266" s="70" t="inlineStr">
        <is>
          <t>7aa8b1f126a655de033921d94773d08d48707bade05d164e7e427a599994db5a</t>
        </is>
      </c>
      <c r="K266" s="70" t="inlineStr">
        <is>
          <t>sources/codal/فولاد/v38_type19/T1073439.html</t>
        </is>
      </c>
    </row>
    <row r="267" ht="58" customHeight="1" s="76">
      <c r="A267" s="71" t="inlineStr">
        <is>
          <t>T19_1092752</t>
        </is>
      </c>
      <c r="B267" s="71" t="inlineStr">
        <is>
          <t>فولاد</t>
        </is>
      </c>
      <c r="C267" s="71" t="inlineStr">
        <is>
          <t>اطلاعیه ن۴۵ (Type19)</t>
        </is>
      </c>
      <c r="D267" s="71" t="n"/>
      <c r="E267" s="71" t="inlineStr">
        <is>
          <t>معرفی /تغییر در ترکیب اعضای هیئت مدیره/مدیر عامل</t>
        </is>
      </c>
      <c r="F267" s="71" t="n">
        <v>1092752</v>
      </c>
      <c r="G267" s="71" t="inlineStr">
        <is>
          <t>1402/07/24 16:10</t>
        </is>
      </c>
      <c r="H267" s="71" t="inlineStr">
        <is>
          <t>https://www.codal.ir/Reports/Decision.aspx?LetterSerial=34frAVrwLJO04IkwrsmiTA%3d%3d&amp;rt=0&amp;let=19&amp;ct=0&amp;ft=-1</t>
        </is>
      </c>
      <c r="I267" s="71" t="inlineStr">
        <is>
          <t>زنجیره زمانی</t>
        </is>
      </c>
      <c r="J267" s="71" t="inlineStr">
        <is>
          <t>79d9a4089eb7a068659f6595806279e21d2d16d86dcc2c561563d659d2bce498</t>
        </is>
      </c>
      <c r="K267" s="71" t="inlineStr">
        <is>
          <t>sources/codal/فولاد/v38_type19/T1092752.html</t>
        </is>
      </c>
    </row>
    <row r="268" ht="58" customHeight="1" s="76">
      <c r="A268" s="70" t="inlineStr">
        <is>
          <t>T19_1150872</t>
        </is>
      </c>
      <c r="B268" s="70" t="inlineStr">
        <is>
          <t>فولاد</t>
        </is>
      </c>
      <c r="C268" s="70" t="inlineStr">
        <is>
          <t>اطلاعیه ن۴۵ (Type19)</t>
        </is>
      </c>
      <c r="D268" s="70" t="n"/>
      <c r="E268" s="70" t="inlineStr">
        <is>
          <t>معرفی /تغییر در ترکیب اعضای هیئت مدیره/مدیر عامل</t>
        </is>
      </c>
      <c r="F268" s="70" t="n">
        <v>1150872</v>
      </c>
      <c r="G268" s="70" t="inlineStr">
        <is>
          <t>1402/11/15 16:40</t>
        </is>
      </c>
      <c r="H268" s="70" t="inlineStr">
        <is>
          <t>https://www.codal.ir/Reports/Decision.aspx?LetterSerial=uRgb%2bVjM1lGK287QQQaQQQGrSwWA%3d%3d&amp;rt=0&amp;let=19&amp;ct=0&amp;ft=-1</t>
        </is>
      </c>
      <c r="I268" s="70" t="inlineStr">
        <is>
          <t>زنجیره زمانی</t>
        </is>
      </c>
      <c r="J268" s="70" t="inlineStr">
        <is>
          <t>3852d77cf0f1a3310e5e1817b629e810a399bf8f517a15b73085820e94b7eb43</t>
        </is>
      </c>
      <c r="K268" s="70" t="inlineStr">
        <is>
          <t>sources/codal/فولاد/v38_type19/T1150872.html</t>
        </is>
      </c>
    </row>
    <row r="269" ht="58" customHeight="1" s="76">
      <c r="A269" s="71" t="inlineStr">
        <is>
          <t>T19_1150914</t>
        </is>
      </c>
      <c r="B269" s="71" t="inlineStr">
        <is>
          <t>فولاد</t>
        </is>
      </c>
      <c r="C269" s="71" t="inlineStr">
        <is>
          <t>اطلاعیه ن۴۵ (Type19)</t>
        </is>
      </c>
      <c r="D269" s="71" t="n"/>
      <c r="E269" s="71" t="inlineStr">
        <is>
          <t>معرفی /تغییر در ترکیب اعضای هیئت مدیره/مدیر عامل(اصلاحیه)</t>
        </is>
      </c>
      <c r="F269" s="71" t="n">
        <v>1150914</v>
      </c>
      <c r="G269" s="71" t="inlineStr">
        <is>
          <t>1402/11/15 17:27</t>
        </is>
      </c>
      <c r="H269" s="71" t="inlineStr">
        <is>
          <t>https://www.codal.ir/Reports/Decision.aspx?LetterSerial=DvDsU7R8JHz5lN8ZW0igig%3d%3d&amp;rt=0&amp;let=19&amp;ct=0&amp;ft=-1</t>
        </is>
      </c>
      <c r="I269" s="71" t="inlineStr">
        <is>
          <t>زنجیره زمانی</t>
        </is>
      </c>
      <c r="J269" s="71" t="inlineStr">
        <is>
          <t>344fed25c9bb528d37ea4944fd50a1f7f6634a928bc3efe3717dc83bf020653c</t>
        </is>
      </c>
      <c r="K269" s="71" t="inlineStr">
        <is>
          <t>sources/codal/فولاد/v38_type19/T1150914.html</t>
        </is>
      </c>
    </row>
    <row r="270" ht="58" customHeight="1" s="76">
      <c r="A270" s="70" t="inlineStr">
        <is>
          <t>T19_1310030</t>
        </is>
      </c>
      <c r="B270" s="70" t="inlineStr">
        <is>
          <t>فولاد</t>
        </is>
      </c>
      <c r="C270" s="70" t="inlineStr">
        <is>
          <t>اطلاعیه ن۴۵ (Type19)</t>
        </is>
      </c>
      <c r="D270" s="70" t="n"/>
      <c r="E270" s="70" t="inlineStr">
        <is>
          <t>معرفی /تغییر در ترکیب اعضای هیئت مدیره/مدیر عامل</t>
        </is>
      </c>
      <c r="F270" s="70" t="n">
        <v>1310030</v>
      </c>
      <c r="G270" s="70" t="inlineStr">
        <is>
          <t>1403/12/01 12:32</t>
        </is>
      </c>
      <c r="H270" s="70" t="inlineStr">
        <is>
          <t>https://www.codal.ir/Reports/Decision.aspx?LetterSerial=7sUhO6PC5RQJgQQQaQQQ2cvB6hbw%3d%3d&amp;rt=0&amp;let=19&amp;ct=0&amp;ft=-1</t>
        </is>
      </c>
      <c r="I270" s="70" t="inlineStr">
        <is>
          <t>زنجیره زمانی</t>
        </is>
      </c>
      <c r="J270" s="70" t="inlineStr">
        <is>
          <t>c5cf225775eba9c45fa6db4379b3299f7ab3858de6744b92cf20c618cb0dee7c</t>
        </is>
      </c>
      <c r="K270" s="70" t="inlineStr">
        <is>
          <t>sources/codal/فولاد/v38_type19/T1310030.html</t>
        </is>
      </c>
    </row>
    <row r="271" ht="58" customHeight="1" s="76">
      <c r="A271" s="71" t="inlineStr">
        <is>
          <t>T19_1338443</t>
        </is>
      </c>
      <c r="B271" s="71" t="inlineStr">
        <is>
          <t>فولاد</t>
        </is>
      </c>
      <c r="C271" s="71" t="inlineStr">
        <is>
          <t>اطلاعیه ن۴۵ (Type19)</t>
        </is>
      </c>
      <c r="D271" s="71" t="n"/>
      <c r="E271" s="71" t="inlineStr">
        <is>
          <t>معرفی /تغییر در ترکیب اعضای هیئت مدیره/مدیر عامل(اصلاحیه)</t>
        </is>
      </c>
      <c r="F271" s="71" t="n">
        <v>1338443</v>
      </c>
      <c r="G271" s="71" t="inlineStr">
        <is>
          <t>1404/02/13 09:02</t>
        </is>
      </c>
      <c r="H271" s="71" t="inlineStr">
        <is>
          <t>https://www.codal.ir/Reports/Decision.aspx?LetterSerial=bEdDMk8CWHdhiTMOcnZnDA%3d%3d&amp;rt=0&amp;let=19&amp;ct=0&amp;ft=-1</t>
        </is>
      </c>
      <c r="I271" s="71" t="inlineStr">
        <is>
          <t>زنجیره زمانی</t>
        </is>
      </c>
      <c r="J271" s="71" t="inlineStr">
        <is>
          <t>a1551771438c9bbed5e5c93c32431b04377ae991b5677d6a603913e88414ba6e</t>
        </is>
      </c>
      <c r="K271" s="71" t="inlineStr">
        <is>
          <t>sources/codal/فولاد/v38_type19/T1338443.html</t>
        </is>
      </c>
    </row>
    <row r="272" ht="58" customHeight="1" s="76">
      <c r="A272" s="70" t="inlineStr">
        <is>
          <t>T19_1387200</t>
        </is>
      </c>
      <c r="B272" s="70" t="inlineStr">
        <is>
          <t>فولاد</t>
        </is>
      </c>
      <c r="C272" s="70" t="inlineStr">
        <is>
          <t>اطلاعیه ن۴۵ (Type19)</t>
        </is>
      </c>
      <c r="D272" s="70" t="n"/>
      <c r="E272" s="70" t="inlineStr">
        <is>
          <t>معرفی /تغییر در ترکیب اعضای هیئت مدیره/مدیر عامل(اصلاحیه)</t>
        </is>
      </c>
      <c r="F272" s="70" t="n">
        <v>1387200</v>
      </c>
      <c r="G272" s="70" t="inlineStr">
        <is>
          <t>1404/05/10 16:08</t>
        </is>
      </c>
      <c r="H272" s="70" t="inlineStr">
        <is>
          <t>https://www.codal.ir/Reports/Decision.aspx?LetterSerial=gmlLRpS7cu2Ou9Vz2tw17w%3d%3d&amp;rt=0&amp;let=19&amp;ct=0&amp;ft=-1</t>
        </is>
      </c>
      <c r="I272" s="70" t="inlineStr">
        <is>
          <t>زنجیره زمانی</t>
        </is>
      </c>
      <c r="J272" s="70" t="inlineStr">
        <is>
          <t>e3734f23e852c5dce13c958cd8f5ff6b5e6c36a24ae16d76926c4d08352c49b8</t>
        </is>
      </c>
      <c r="K272" s="70" t="inlineStr">
        <is>
          <t>sources/codal/فولاد/v38_type19/T1387200.html</t>
        </is>
      </c>
    </row>
    <row r="273" ht="58" customHeight="1" s="76">
      <c r="A273" s="71" t="inlineStr">
        <is>
          <t>T19_1428558</t>
        </is>
      </c>
      <c r="B273" s="71" t="inlineStr">
        <is>
          <t>فولاد</t>
        </is>
      </c>
      <c r="C273" s="71" t="inlineStr">
        <is>
          <t>اطلاعیه ن۴۵ (Type19)</t>
        </is>
      </c>
      <c r="D273" s="71" t="n"/>
      <c r="E273" s="71" t="inlineStr">
        <is>
          <t>معرفی /تغییر در ترکیب اعضای هیئت مدیره/مدیر عامل</t>
        </is>
      </c>
      <c r="F273" s="71" t="n">
        <v>1428558</v>
      </c>
      <c r="G273" s="71" t="inlineStr">
        <is>
          <t>1404/08/07 21:45</t>
        </is>
      </c>
      <c r="H273" s="71" t="inlineStr">
        <is>
          <t>https://www.codal.ir/Reports/Decision.aspx?LetterSerial=c7mkFCKVlrk57BRfNSfZoA%3d%3d&amp;rt=0&amp;let=19&amp;ct=0&amp;ft=-1</t>
        </is>
      </c>
      <c r="I273" s="71" t="inlineStr">
        <is>
          <t>زنجیره زمانی</t>
        </is>
      </c>
      <c r="J273" s="71" t="inlineStr">
        <is>
          <t>029232ef3c80406bf9bca102f854a99587358898e5a8317f48bd97ec6821ce21</t>
        </is>
      </c>
      <c r="K273" s="71" t="inlineStr">
        <is>
          <t>sources/codal/فولاد/v38_type19/T1428558.html</t>
        </is>
      </c>
    </row>
    <row r="274" ht="58" customHeight="1" s="76">
      <c r="A274" s="70" t="inlineStr">
        <is>
          <t>T19_1429644</t>
        </is>
      </c>
      <c r="B274" s="70" t="inlineStr">
        <is>
          <t>فولاد</t>
        </is>
      </c>
      <c r="C274" s="70" t="inlineStr">
        <is>
          <t>اطلاعیه ن۴۵ (Type19)</t>
        </is>
      </c>
      <c r="D274" s="70" t="n"/>
      <c r="E274" s="70" t="inlineStr">
        <is>
          <t>معرفی /تغییر در ترکیب اعضای هیئت مدیره/مدیر عامل(اصلاحیه)</t>
        </is>
      </c>
      <c r="F274" s="70" t="n">
        <v>1429644</v>
      </c>
      <c r="G274" s="70" t="inlineStr">
        <is>
          <t>1404/08/10 15:48</t>
        </is>
      </c>
      <c r="H274" s="70" t="inlineStr">
        <is>
          <t>https://www.codal.ir/Reports/Decision.aspx?LetterSerial=2U4NEZY3Ls1KoUe8xawxuA%3d%3d&amp;rt=0&amp;let=19&amp;ct=0&amp;ft=-1</t>
        </is>
      </c>
      <c r="I274" s="70" t="inlineStr">
        <is>
          <t>زنجیره زمانی</t>
        </is>
      </c>
      <c r="J274" s="70" t="inlineStr">
        <is>
          <t>29fb23032429076f14462a62b81671a66507b84bef88e57c8a7eeb486a3a61de</t>
        </is>
      </c>
      <c r="K274" s="70" t="inlineStr">
        <is>
          <t>sources/codal/فولاد/v38_type19/T1429644.html</t>
        </is>
      </c>
    </row>
    <row r="275" ht="58" customHeight="1" s="76">
      <c r="A275" s="71" t="inlineStr">
        <is>
          <t>T19_1464295</t>
        </is>
      </c>
      <c r="B275" s="71" t="inlineStr">
        <is>
          <t>فولاد</t>
        </is>
      </c>
      <c r="C275" s="71" t="inlineStr">
        <is>
          <t>اطلاعیه ن۴۵ (Type19)</t>
        </is>
      </c>
      <c r="D275" s="71" t="n"/>
      <c r="E275" s="71" t="inlineStr">
        <is>
          <t>معرفی /تغییر در ترکیب اعضای هیئت مدیره/مدیر عامل</t>
        </is>
      </c>
      <c r="F275" s="71" t="n">
        <v>1464295</v>
      </c>
      <c r="G275" s="71" t="inlineStr">
        <is>
          <t>1404/10/04 13:29</t>
        </is>
      </c>
      <c r="H275" s="71" t="inlineStr">
        <is>
          <t>https://www.codal.ir/Reports/Decision.aspx?LetterSerial=UrL03SiACerZMa9yqY7tvw%3d%3d&amp;rt=0&amp;let=19&amp;ct=0&amp;ft=-1</t>
        </is>
      </c>
      <c r="I275" s="71" t="inlineStr">
        <is>
          <t>مبنای فهرست اعضا در as-of</t>
        </is>
      </c>
      <c r="J275" s="71" t="inlineStr">
        <is>
          <t>973097976d726297582c1dd839e0d884e2d34fd7f5b26f0b73e491e846138ad9</t>
        </is>
      </c>
      <c r="K275" s="71" t="inlineStr">
        <is>
          <t>sources/codal/فولاد/v38_type19/T1464295.html</t>
        </is>
      </c>
    </row>
    <row r="276" ht="58" customHeight="1" s="76">
      <c r="A276" s="70" t="inlineStr">
        <is>
          <t>T19_857425</t>
        </is>
      </c>
      <c r="B276" s="70" t="inlineStr">
        <is>
          <t>کچاد</t>
        </is>
      </c>
      <c r="C276" s="70" t="inlineStr">
        <is>
          <t>اطلاعیه ن۴۵ (Type19)</t>
        </is>
      </c>
      <c r="D276" s="70" t="n"/>
      <c r="E276" s="70" t="inlineStr">
        <is>
          <t>معرفی یا تغییر در ترکیب اعضای هیئت مدیره</t>
        </is>
      </c>
      <c r="F276" s="70" t="n">
        <v>857425</v>
      </c>
      <c r="G276" s="70" t="inlineStr">
        <is>
          <t>1401/02/10 14:41</t>
        </is>
      </c>
      <c r="H276" s="70" t="inlineStr">
        <is>
          <t>https://www.codal.ir/Reports/Decision.aspx?LetterSerial=9me2DUH0iQQQaQQQ%2BaNVewspccHg%3D%3D&amp;rt=0&amp;let=19&amp;ct=0&amp;ft=-1</t>
        </is>
      </c>
      <c r="I276" s="70" t="inlineStr">
        <is>
          <t>زنجیره زمانی</t>
        </is>
      </c>
      <c r="J276" s="70" t="inlineStr">
        <is>
          <t>cff1f40514ad54098718593c79db27c222faedb69cf6624ca0523e582b78abb7</t>
        </is>
      </c>
      <c r="K276" s="70" t="inlineStr">
        <is>
          <t>sources/codal/کچاد/v38_type19/T857425.html</t>
        </is>
      </c>
    </row>
    <row r="277" ht="58" customHeight="1" s="76">
      <c r="A277" s="71" t="inlineStr">
        <is>
          <t>T19_899673</t>
        </is>
      </c>
      <c r="B277" s="71" t="inlineStr">
        <is>
          <t>کچاد</t>
        </is>
      </c>
      <c r="C277" s="71" t="inlineStr">
        <is>
          <t>اطلاعیه ن۴۵ (Type19)</t>
        </is>
      </c>
      <c r="D277" s="71" t="n"/>
      <c r="E277" s="71" t="inlineStr">
        <is>
          <t>معرفی یا تغییر در ترکیب اعضای هیئت مدیره</t>
        </is>
      </c>
      <c r="F277" s="71" t="n">
        <v>899673</v>
      </c>
      <c r="G277" s="71" t="inlineStr">
        <is>
          <t>1401/04/01 09:50</t>
        </is>
      </c>
      <c r="H277" s="71" t="inlineStr">
        <is>
          <t>https://www.codal.ir/Reports/Decision.aspx?LetterSerial=6NAX6nfBVqgxhKxvPQAN2Q%3d%3d&amp;rt=0&amp;let=19&amp;ct=0&amp;ft=-1</t>
        </is>
      </c>
      <c r="I277" s="71" t="inlineStr">
        <is>
          <t>زنجیره زمانی</t>
        </is>
      </c>
      <c r="J277" s="71" t="inlineStr">
        <is>
          <t>9b065f750aaa099f5ee4b5be89141d1e5b9e2d7468878639e8511bc9c19319cc</t>
        </is>
      </c>
      <c r="K277" s="71" t="inlineStr">
        <is>
          <t>sources/codal/کچاد/v38_type19/T899673.html</t>
        </is>
      </c>
    </row>
    <row r="278" ht="58" customHeight="1" s="76">
      <c r="A278" s="70" t="inlineStr">
        <is>
          <t>T19_900233</t>
        </is>
      </c>
      <c r="B278" s="70" t="inlineStr">
        <is>
          <t>کچاد</t>
        </is>
      </c>
      <c r="C278" s="70" t="inlineStr">
        <is>
          <t>اطلاعیه ن۴۵ (Type19)</t>
        </is>
      </c>
      <c r="D278" s="70" t="n"/>
      <c r="E278" s="70" t="inlineStr">
        <is>
          <t>معرفی یا تغییر در ترکیب اعضای هیئت مدیره</t>
        </is>
      </c>
      <c r="F278" s="70" t="n">
        <v>900233</v>
      </c>
      <c r="G278" s="70" t="inlineStr">
        <is>
          <t>1401/04/01 11:46</t>
        </is>
      </c>
      <c r="H278" s="70" t="inlineStr">
        <is>
          <t>https://www.codal.ir/Reports/Decision.aspx?LetterSerial=qYSSm9B%2brl0QQQaQQQLr8lsF62rw%3d%3d&amp;rt=0&amp;let=19&amp;ct=0&amp;ft=-1</t>
        </is>
      </c>
      <c r="I278" s="70" t="inlineStr">
        <is>
          <t>زنجیره زمانی</t>
        </is>
      </c>
      <c r="J278" s="70" t="inlineStr">
        <is>
          <t>466b4d6522410f6f29da07ffe87667eeea847d8be8fb8334ff3017d39d0771b9</t>
        </is>
      </c>
      <c r="K278" s="70" t="inlineStr">
        <is>
          <t>sources/codal/کچاد/v38_type19/T900233.html</t>
        </is>
      </c>
    </row>
    <row r="279" ht="58" customHeight="1" s="76">
      <c r="A279" s="71" t="inlineStr">
        <is>
          <t>T19_918924</t>
        </is>
      </c>
      <c r="B279" s="71" t="inlineStr">
        <is>
          <t>کچاد</t>
        </is>
      </c>
      <c r="C279" s="71" t="inlineStr">
        <is>
          <t>اطلاعیه ن۴۵ (Type19)</t>
        </is>
      </c>
      <c r="D279" s="71" t="n"/>
      <c r="E279" s="71" t="inlineStr">
        <is>
          <t>معرفی یا تغییر در ترکیب اعضای هیئت مدیره</t>
        </is>
      </c>
      <c r="F279" s="71" t="n">
        <v>918924</v>
      </c>
      <c r="G279" s="71" t="inlineStr">
        <is>
          <t>1401/05/04 15:53</t>
        </is>
      </c>
      <c r="H279" s="71" t="inlineStr">
        <is>
          <t>https://www.codal.ir/Reports/Decision.aspx?LetterSerial=nyqtpn8Zsri7KviKZQQQaQQQC7Wg%3d%3d&amp;rt=0&amp;let=19&amp;ct=0&amp;ft=-1</t>
        </is>
      </c>
      <c r="I279" s="71" t="inlineStr">
        <is>
          <t>زنجیره زمانی</t>
        </is>
      </c>
      <c r="J279" s="71" t="inlineStr">
        <is>
          <t>352d7354fa65a84791245dea176e64afe5a7290bbaba218c631935d5e6788e22</t>
        </is>
      </c>
      <c r="K279" s="71" t="inlineStr">
        <is>
          <t>sources/codal/کچاد/v38_type19/T918924.html</t>
        </is>
      </c>
    </row>
    <row r="280" ht="58" customHeight="1" s="76">
      <c r="A280" s="70" t="inlineStr">
        <is>
          <t>T19_1062331</t>
        </is>
      </c>
      <c r="B280" s="70" t="inlineStr">
        <is>
          <t>کچاد</t>
        </is>
      </c>
      <c r="C280" s="70" t="inlineStr">
        <is>
          <t>اطلاعیه ن۴۵ (Type19)</t>
        </is>
      </c>
      <c r="D280" s="70" t="n"/>
      <c r="E280" s="70" t="inlineStr">
        <is>
          <t>معرفی /تغییر در ترکیب اعضای هیئت مدیره/مدیر عامل</t>
        </is>
      </c>
      <c r="F280" s="70" t="n">
        <v>1062331</v>
      </c>
      <c r="G280" s="70" t="inlineStr">
        <is>
          <t>1402/05/01 16:35</t>
        </is>
      </c>
      <c r="H280" s="70" t="inlineStr">
        <is>
          <t>https://www.codal.ir/Reports/Decision.aspx?LetterSerial=DaIfvjGOB4q3ZXxcQQQaQQQ1n7sw%3d%3d&amp;rt=0&amp;let=19&amp;ct=0&amp;ft=-1</t>
        </is>
      </c>
      <c r="I280" s="70" t="inlineStr">
        <is>
          <t>زنجیره زمانی</t>
        </is>
      </c>
      <c r="J280" s="70" t="inlineStr">
        <is>
          <t>18c29a99bed9e69d20c2587fb996f349341ab5c7eb2249a4884cf82eaa2728c8</t>
        </is>
      </c>
      <c r="K280" s="70" t="inlineStr">
        <is>
          <t>sources/codal/کچاد/v38_type19/T1062331.html</t>
        </is>
      </c>
    </row>
    <row r="281" ht="58" customHeight="1" s="76">
      <c r="A281" s="71" t="inlineStr">
        <is>
          <t>T19_1085698</t>
        </is>
      </c>
      <c r="B281" s="71" t="inlineStr">
        <is>
          <t>کچاد</t>
        </is>
      </c>
      <c r="C281" s="71" t="inlineStr">
        <is>
          <t>اطلاعیه ن۴۵ (Type19)</t>
        </is>
      </c>
      <c r="D281" s="71" t="n"/>
      <c r="E281" s="71" t="inlineStr">
        <is>
          <t>معرفی /تغییر در ترکیب اعضای هیئت مدیره/مدیر عامل</t>
        </is>
      </c>
      <c r="F281" s="71" t="n">
        <v>1085698</v>
      </c>
      <c r="G281" s="71" t="inlineStr">
        <is>
          <t>1402/07/03 14:16</t>
        </is>
      </c>
      <c r="H281" s="71" t="inlineStr">
        <is>
          <t>https://www.codal.ir/Reports/Decision.aspx?LetterSerial=h%2bS2QcAoMnSTgf6bjzt22g%3d%3d&amp;rt=0&amp;let=19&amp;ct=0&amp;ft=-1</t>
        </is>
      </c>
      <c r="I281" s="71" t="inlineStr">
        <is>
          <t>زنجیره زمانی</t>
        </is>
      </c>
      <c r="J281" s="71" t="inlineStr">
        <is>
          <t>1faed23699167b36edd56a85e08613831a685ead0362682d7dd42442784cfd1b</t>
        </is>
      </c>
      <c r="K281" s="71" t="inlineStr">
        <is>
          <t>sources/codal/کچاد/v38_type19/T1085698.html</t>
        </is>
      </c>
    </row>
    <row r="282" ht="58" customHeight="1" s="76">
      <c r="A282" s="70" t="inlineStr">
        <is>
          <t>T19_1096175</t>
        </is>
      </c>
      <c r="B282" s="70" t="inlineStr">
        <is>
          <t>کچاد</t>
        </is>
      </c>
      <c r="C282" s="70" t="inlineStr">
        <is>
          <t>اطلاعیه ن۴۵ (Type19)</t>
        </is>
      </c>
      <c r="D282" s="70" t="n"/>
      <c r="E282" s="70" t="inlineStr">
        <is>
          <t>معرفی /تغییر در ترکیب اعضای هیئت مدیره/مدیر عامل</t>
        </is>
      </c>
      <c r="F282" s="70" t="n">
        <v>1096175</v>
      </c>
      <c r="G282" s="70" t="inlineStr">
        <is>
          <t>1402/08/01 16:14</t>
        </is>
      </c>
      <c r="H282" s="70" t="inlineStr">
        <is>
          <t>https://www.codal.ir/Reports/Decision.aspx?LetterSerial=dmjT8FOcMTU0EWal49M9Ng%3d%3d&amp;rt=0&amp;let=19&amp;ct=0&amp;ft=-1</t>
        </is>
      </c>
      <c r="I282" s="70" t="inlineStr">
        <is>
          <t>زنجیره زمانی</t>
        </is>
      </c>
      <c r="J282" s="70" t="inlineStr">
        <is>
          <t>3d0d77c735b001fb19db21ec35fea3a2f3d478f8d3d14f89eb68f56c50513f53</t>
        </is>
      </c>
      <c r="K282" s="70" t="inlineStr">
        <is>
          <t>sources/codal/کچاد/v38_type19/T1096175.html</t>
        </is>
      </c>
    </row>
    <row r="283" ht="58" customHeight="1" s="76">
      <c r="A283" s="71" t="inlineStr">
        <is>
          <t>T19_1274810</t>
        </is>
      </c>
      <c r="B283" s="71" t="inlineStr">
        <is>
          <t>کچاد</t>
        </is>
      </c>
      <c r="C283" s="71" t="inlineStr">
        <is>
          <t>اطلاعیه ن۴۵ (Type19)</t>
        </is>
      </c>
      <c r="D283" s="71" t="n"/>
      <c r="E283" s="71" t="inlineStr">
        <is>
          <t>معرفی /تغییر در ترکیب اعضای هیئت مدیره/مدیر عامل</t>
        </is>
      </c>
      <c r="F283" s="71" t="n">
        <v>1274810</v>
      </c>
      <c r="G283" s="71" t="inlineStr">
        <is>
          <t>1403/09/04 20:01</t>
        </is>
      </c>
      <c r="H283" s="71" t="inlineStr">
        <is>
          <t>https://www.codal.ir/Reports/Decision.aspx?LetterSerial=iAkNOOObOOOyoikXuTIn8lkVczPw%3d%3d&amp;rt=0&amp;let=19&amp;ct=0&amp;ft=-1</t>
        </is>
      </c>
      <c r="I283" s="71" t="inlineStr">
        <is>
          <t>زنجیره زمانی</t>
        </is>
      </c>
      <c r="J283" s="71" t="inlineStr">
        <is>
          <t>48f4be34201f20b494590bb10206a41ce68cfb65a7b9763514be5c5991b3fdbc</t>
        </is>
      </c>
      <c r="K283" s="71" t="inlineStr">
        <is>
          <t>sources/codal/کچاد/v38_type19/T1274810.html</t>
        </is>
      </c>
    </row>
    <row r="284" ht="58" customHeight="1" s="76">
      <c r="A284" s="70" t="inlineStr">
        <is>
          <t>T19_1275234</t>
        </is>
      </c>
      <c r="B284" s="70" t="inlineStr">
        <is>
          <t>کچاد</t>
        </is>
      </c>
      <c r="C284" s="70" t="inlineStr">
        <is>
          <t>اطلاعیه ن۴۵ (Type19)</t>
        </is>
      </c>
      <c r="D284" s="70" t="n"/>
      <c r="E284" s="70" t="inlineStr">
        <is>
          <t>معرفی /تغییر در ترکیب اعضای هیئت مدیره/مدیر عامل(اصلاحیه)</t>
        </is>
      </c>
      <c r="F284" s="70" t="n">
        <v>1275234</v>
      </c>
      <c r="G284" s="70" t="inlineStr">
        <is>
          <t>1403/09/04 20:46</t>
        </is>
      </c>
      <c r="H284" s="70" t="inlineStr">
        <is>
          <t>https://www.codal.ir/Reports/Decision.aspx?LetterSerial=sGmemGsb7AQ1fFqRipOlbQ%3d%3d&amp;rt=0&amp;let=19&amp;ct=0&amp;ft=-1</t>
        </is>
      </c>
      <c r="I284" s="70" t="inlineStr">
        <is>
          <t>زنجیره زمانی</t>
        </is>
      </c>
      <c r="J284" s="70" t="inlineStr">
        <is>
          <t>f447825d3fb3e1c9e733da0695e1b69a58c163646078ad915b08cd0ef1fdbcd6</t>
        </is>
      </c>
      <c r="K284" s="70" t="inlineStr">
        <is>
          <t>sources/codal/کچاد/v38_type19/T1275234.html</t>
        </is>
      </c>
    </row>
    <row r="285" ht="58" customHeight="1" s="76">
      <c r="A285" s="71" t="inlineStr">
        <is>
          <t>T19_1287746</t>
        </is>
      </c>
      <c r="B285" s="71" t="inlineStr">
        <is>
          <t>کچاد</t>
        </is>
      </c>
      <c r="C285" s="71" t="inlineStr">
        <is>
          <t>اطلاعیه ن۴۵ (Type19)</t>
        </is>
      </c>
      <c r="D285" s="71" t="n"/>
      <c r="E285" s="71" t="inlineStr">
        <is>
          <t>معرفی /تغییر در ترکیب اعضای هیئت مدیره/مدیر عامل</t>
        </is>
      </c>
      <c r="F285" s="71" t="n">
        <v>1287746</v>
      </c>
      <c r="G285" s="71" t="inlineStr">
        <is>
          <t>1403/10/05 14:58</t>
        </is>
      </c>
      <c r="H285" s="71" t="inlineStr">
        <is>
          <t>https://www.codal.ir/Reports/Decision.aspx?LetterSerial=v9VDr2f0BIJNqKEnWy6Rug%3d%3d&amp;rt=0&amp;let=19&amp;ct=0&amp;ft=-1</t>
        </is>
      </c>
      <c r="I285" s="71" t="inlineStr">
        <is>
          <t>زنجیره زمانی</t>
        </is>
      </c>
      <c r="J285" s="71" t="inlineStr">
        <is>
          <t>b5b20aad27f4c04b1db146fa525e8a1aeceb8af6a412225033a32a85a052d881</t>
        </is>
      </c>
      <c r="K285" s="71" t="inlineStr">
        <is>
          <t>sources/codal/کچاد/v38_type19/T1287746.html</t>
        </is>
      </c>
    </row>
    <row r="286" ht="58" customHeight="1" s="76">
      <c r="A286" s="70" t="inlineStr">
        <is>
          <t>T19_1343237</t>
        </is>
      </c>
      <c r="B286" s="70" t="inlineStr">
        <is>
          <t>کچاد</t>
        </is>
      </c>
      <c r="C286" s="70" t="inlineStr">
        <is>
          <t>اطلاعیه ن۴۵ (Type19)</t>
        </is>
      </c>
      <c r="D286" s="70" t="n"/>
      <c r="E286" s="70" t="inlineStr">
        <is>
          <t>معرفی /تغییر در ترکیب اعضای هیئت مدیره/مدیر عامل</t>
        </is>
      </c>
      <c r="F286" s="70" t="n">
        <v>1343237</v>
      </c>
      <c r="G286" s="70" t="inlineStr">
        <is>
          <t>1404/02/24 16:33</t>
        </is>
      </c>
      <c r="H286" s="70" t="inlineStr">
        <is>
          <t>https://www.codal.ir/Reports/Decision.aspx?LetterSerial=WtxLMfRQBjXMKexEV1XDIA%3d%3d&amp;rt=0&amp;let=19&amp;ct=0&amp;ft=-1</t>
        </is>
      </c>
      <c r="I286" s="70" t="inlineStr">
        <is>
          <t>زنجیره زمانی</t>
        </is>
      </c>
      <c r="J286" s="70" t="inlineStr">
        <is>
          <t>8c141b7e5ac264ded667c015ad412f98b47308735814aaa2cd3272627030e37c</t>
        </is>
      </c>
      <c r="K286" s="70" t="inlineStr">
        <is>
          <t>sources/codal/کچاد/v38_type19/T1343237.html</t>
        </is>
      </c>
    </row>
    <row r="287" ht="58" customHeight="1" s="76">
      <c r="A287" s="71" t="inlineStr">
        <is>
          <t>T19_1345798</t>
        </is>
      </c>
      <c r="B287" s="71" t="inlineStr">
        <is>
          <t>کچاد</t>
        </is>
      </c>
      <c r="C287" s="71" t="inlineStr">
        <is>
          <t>اطلاعیه ن۴۵ (Type19)</t>
        </is>
      </c>
      <c r="D287" s="71" t="n"/>
      <c r="E287" s="71" t="inlineStr">
        <is>
          <t>معرفی /تغییر در ترکیب اعضای هیئت مدیره/مدیر عامل(اصلاحیه)</t>
        </is>
      </c>
      <c r="F287" s="71" t="n">
        <v>1345798</v>
      </c>
      <c r="G287" s="71" t="inlineStr">
        <is>
          <t>1404/02/29 08:07</t>
        </is>
      </c>
      <c r="H287" s="71" t="inlineStr">
        <is>
          <t>https://www.codal.ir/Reports/Decision.aspx?LetterSerial=syMSjj9puchLnumOOOObOOODhTVg%3d%3d&amp;rt=0&amp;let=19&amp;ct=0&amp;ft=-1</t>
        </is>
      </c>
      <c r="I287" s="71" t="inlineStr">
        <is>
          <t>زنجیره زمانی</t>
        </is>
      </c>
      <c r="J287" s="71" t="inlineStr">
        <is>
          <t>69cfd1d7f38f0166626684a484ceee9848f2a9c322d4b649eba4af4e7c827829</t>
        </is>
      </c>
      <c r="K287" s="71" t="inlineStr">
        <is>
          <t>sources/codal/کچاد/v38_type19/T1345798.html</t>
        </is>
      </c>
    </row>
    <row r="288" ht="58" customHeight="1" s="76">
      <c r="A288" s="70" t="inlineStr">
        <is>
          <t>T19_1391765</t>
        </is>
      </c>
      <c r="B288" s="70" t="inlineStr">
        <is>
          <t>کچاد</t>
        </is>
      </c>
      <c r="C288" s="70" t="inlineStr">
        <is>
          <t>اطلاعیه ن۴۵ (Type19)</t>
        </is>
      </c>
      <c r="D288" s="70" t="n"/>
      <c r="E288" s="70" t="inlineStr">
        <is>
          <t>معرفی /تغییر در ترکیب اعضای هیئت مدیره/مدیر عامل</t>
        </is>
      </c>
      <c r="F288" s="70" t="n">
        <v>1391765</v>
      </c>
      <c r="G288" s="70" t="inlineStr">
        <is>
          <t>1404/05/20 17:25</t>
        </is>
      </c>
      <c r="H288" s="70" t="inlineStr">
        <is>
          <t>https://www.codal.ir/Reports/Decision.aspx?LetterSerial=IAYTKaAQbe89etLVXMBN9w%3d%3d&amp;rt=0&amp;let=19&amp;ct=0&amp;ft=-1</t>
        </is>
      </c>
      <c r="I288" s="70" t="inlineStr">
        <is>
          <t>مبنای فهرست اعضا در as-of</t>
        </is>
      </c>
      <c r="J288" s="70" t="inlineStr">
        <is>
          <t>363a6b6ce372cc3ffce1450be1d1902e456806b8a5c9f38455908021c8e68a88</t>
        </is>
      </c>
      <c r="K288" s="70" t="inlineStr">
        <is>
          <t>sources/codal/کچاد/v38_type19/T1391765.html</t>
        </is>
      </c>
    </row>
    <row r="289" ht="58" customHeight="1" s="76">
      <c r="A289" s="71" t="inlineStr">
        <is>
          <t>T19_1473973</t>
        </is>
      </c>
      <c r="B289" s="71" t="inlineStr">
        <is>
          <t>کچاد</t>
        </is>
      </c>
      <c r="C289" s="71" t="inlineStr">
        <is>
          <t>اطلاعیه ن۴۵ (Type19)</t>
        </is>
      </c>
      <c r="D289" s="71" t="n"/>
      <c r="E289" s="71" t="inlineStr">
        <is>
          <t>معرفی /تغییر در ترکیب اعضای هیئت مدیره/مدیر عامل</t>
        </is>
      </c>
      <c r="F289" s="71" t="n">
        <v>1473973</v>
      </c>
      <c r="G289" s="71" t="inlineStr">
        <is>
          <t>1404/10/29 17:59</t>
        </is>
      </c>
      <c r="H289" s="71" t="inlineStr">
        <is>
          <t>https://www.codal.ir/Reports/Decision.aspx?LetterSerial=XPg1kJyBIkadWnCXHnsdKg%3d%3d&amp;rt=0&amp;let=19&amp;ct=0&amp;ft=-1</t>
        </is>
      </c>
      <c r="I289" s="71" t="inlineStr">
        <is>
          <t>زنجیره زمانی</t>
        </is>
      </c>
      <c r="J289" s="71" t="inlineStr">
        <is>
          <t>c37f32e7a7547d754228de5f1605be40c12000bdbdaa3b2d59a04ed89d430c99</t>
        </is>
      </c>
      <c r="K289" s="71" t="inlineStr">
        <is>
          <t>sources/codal/کچاد/v38_type19/T1473973.html</t>
        </is>
      </c>
    </row>
    <row r="290" ht="58" customHeight="1" s="76">
      <c r="A290" s="70" t="inlineStr">
        <is>
          <t>T19_870454</t>
        </is>
      </c>
      <c r="B290" s="70" t="inlineStr">
        <is>
          <t>کگل</t>
        </is>
      </c>
      <c r="C290" s="70" t="inlineStr">
        <is>
          <t>اطلاعیه ن۴۵ (Type19)</t>
        </is>
      </c>
      <c r="D290" s="70" t="n"/>
      <c r="E290" s="70" t="inlineStr">
        <is>
          <t>معرفی یا تغییر در ترکیب اعضای هیئت مدیره</t>
        </is>
      </c>
      <c r="F290" s="70" t="n">
        <v>870454</v>
      </c>
      <c r="G290" s="70" t="inlineStr">
        <is>
          <t>1401/01/28 16:43</t>
        </is>
      </c>
      <c r="H290" s="70" t="inlineStr">
        <is>
          <t>https://www.codal.ir/Reports/Decision.aspx?LetterSerial=TcdgMd7Uc8XzjVQQQaQQQaHUB1iQ%3D%3D&amp;rt=0&amp;let=19&amp;ct=0&amp;ft=-1</t>
        </is>
      </c>
      <c r="I290" s="70" t="inlineStr">
        <is>
          <t>زنجیره زمانی</t>
        </is>
      </c>
      <c r="J290" s="70" t="inlineStr">
        <is>
          <t>6d4d44d42221f3512eb1361a40ec67d4f681aad64246d0a1254cda48bda32ad7</t>
        </is>
      </c>
      <c r="K290" s="70" t="inlineStr">
        <is>
          <t>sources/codal/کگل/v38_type19/T870454.html</t>
        </is>
      </c>
    </row>
    <row r="291" ht="58" customHeight="1" s="76">
      <c r="A291" s="71" t="inlineStr">
        <is>
          <t>T19_955094</t>
        </is>
      </c>
      <c r="B291" s="71" t="inlineStr">
        <is>
          <t>کگل</t>
        </is>
      </c>
      <c r="C291" s="71" t="inlineStr">
        <is>
          <t>اطلاعیه ن۴۵ (Type19)</t>
        </is>
      </c>
      <c r="D291" s="71" t="n"/>
      <c r="E291" s="71" t="inlineStr">
        <is>
          <t>معرفی /تغییر در ترکیب اعضای هیئت مدیره/مدیر عامل</t>
        </is>
      </c>
      <c r="F291" s="71" t="n">
        <v>955094</v>
      </c>
      <c r="G291" s="71" t="inlineStr">
        <is>
          <t>1401/08/15 20:26</t>
        </is>
      </c>
      <c r="H291" s="71" t="inlineStr">
        <is>
          <t>https://www.codal.ir/Reports/Decision.aspx?LetterSerial=n%2bhViQQQaQQQBNORyoJ5rvxCWX3w%3d%3d&amp;rt=0&amp;let=19&amp;ct=0&amp;ft=-1</t>
        </is>
      </c>
      <c r="I291" s="71" t="inlineStr">
        <is>
          <t>زنجیره زمانی</t>
        </is>
      </c>
      <c r="J291" s="71" t="inlineStr">
        <is>
          <t>d209de017bd42f649dac7e78251e46c1d95934723e107d712aaabafd64317848</t>
        </is>
      </c>
      <c r="K291" s="71" t="inlineStr">
        <is>
          <t>sources/codal/کگل/v38_type19/T955094.html</t>
        </is>
      </c>
    </row>
    <row r="292" ht="58" customHeight="1" s="76">
      <c r="A292" s="70" t="inlineStr">
        <is>
          <t>T19_1067923</t>
        </is>
      </c>
      <c r="B292" s="70" t="inlineStr">
        <is>
          <t>کگل</t>
        </is>
      </c>
      <c r="C292" s="70" t="inlineStr">
        <is>
          <t>اطلاعیه ن۴۵ (Type19)</t>
        </is>
      </c>
      <c r="D292" s="70" t="n"/>
      <c r="E292" s="70" t="inlineStr">
        <is>
          <t>معرفی /تغییر در ترکیب اعضای هیئت مدیره/مدیر عامل</t>
        </is>
      </c>
      <c r="F292" s="70" t="n">
        <v>1067923</v>
      </c>
      <c r="G292" s="70" t="inlineStr">
        <is>
          <t>1402/05/15 15:40</t>
        </is>
      </c>
      <c r="H292" s="70" t="inlineStr">
        <is>
          <t>https://www.codal.ir/Reports/Decision.aspx?LetterSerial=GZtknif%2bwOzGkzES1cffjg%3d%3d&amp;rt=0&amp;let=19&amp;ct=0&amp;ft=-1</t>
        </is>
      </c>
      <c r="I292" s="70" t="inlineStr">
        <is>
          <t>زنجیره زمانی</t>
        </is>
      </c>
      <c r="J292" s="70" t="inlineStr">
        <is>
          <t>f6cb06775e8e0f6cfc14bf50389e96729e14d18f28166e62d9de492a2d56636a</t>
        </is>
      </c>
      <c r="K292" s="70" t="inlineStr">
        <is>
          <t>sources/codal/کگل/v38_type19/T1067923.html</t>
        </is>
      </c>
    </row>
    <row r="293" ht="58" customHeight="1" s="76">
      <c r="A293" s="71" t="inlineStr">
        <is>
          <t>T19_1068697</t>
        </is>
      </c>
      <c r="B293" s="71" t="inlineStr">
        <is>
          <t>کگل</t>
        </is>
      </c>
      <c r="C293" s="71" t="inlineStr">
        <is>
          <t>اطلاعیه ن۴۵ (Type19)</t>
        </is>
      </c>
      <c r="D293" s="71" t="n"/>
      <c r="E293" s="71" t="inlineStr">
        <is>
          <t>معرفی /تغییر در ترکیب اعضای هیئت مدیره/مدیر عامل(اصلاحیه)</t>
        </is>
      </c>
      <c r="F293" s="71" t="n">
        <v>1068697</v>
      </c>
      <c r="G293" s="71" t="inlineStr">
        <is>
          <t>1402/05/16 19:13</t>
        </is>
      </c>
      <c r="H293" s="71" t="inlineStr">
        <is>
          <t>https://www.codal.ir/Reports/Decision.aspx?LetterSerial=VQ3IPvPJP01JAKCfR7MDLw%3d%3d&amp;rt=0&amp;let=19&amp;ct=0&amp;ft=-1</t>
        </is>
      </c>
      <c r="I293" s="71" t="inlineStr">
        <is>
          <t>زنجیره زمانی</t>
        </is>
      </c>
      <c r="J293" s="71" t="inlineStr">
        <is>
          <t>cf87f3ebb8aa0e20a3ffdc1bfea064707c1f9301170839481dcb80798a1ef9ef</t>
        </is>
      </c>
      <c r="K293" s="71" t="inlineStr">
        <is>
          <t>sources/codal/کگل/v38_type19/T1068697.html</t>
        </is>
      </c>
    </row>
    <row r="294" ht="58" customHeight="1" s="76">
      <c r="A294" s="70" t="inlineStr">
        <is>
          <t>T19_1203614</t>
        </is>
      </c>
      <c r="B294" s="70" t="inlineStr">
        <is>
          <t>کگل</t>
        </is>
      </c>
      <c r="C294" s="70" t="inlineStr">
        <is>
          <t>اطلاعیه ن۴۵ (Type19)</t>
        </is>
      </c>
      <c r="D294" s="70" t="n"/>
      <c r="E294" s="70" t="inlineStr">
        <is>
          <t>معرفی /تغییر در ترکیب اعضای هیئت مدیره/مدیر عامل</t>
        </is>
      </c>
      <c r="F294" s="70" t="n">
        <v>1203614</v>
      </c>
      <c r="G294" s="70" t="inlineStr">
        <is>
          <t>1403/03/26 17:53</t>
        </is>
      </c>
      <c r="H294" s="70" t="inlineStr">
        <is>
          <t>https://www.codal.ir/Reports/Decision.aspx?LetterSerial=Ag6g3sSjP48AWQQQaQQQURh9QDZA%3d%3d&amp;rt=0&amp;let=19&amp;ct=0&amp;ft=-1</t>
        </is>
      </c>
      <c r="I294" s="70" t="inlineStr">
        <is>
          <t>زنجیره زمانی</t>
        </is>
      </c>
      <c r="J294" s="70" t="inlineStr">
        <is>
          <t>9fe754c110d015f2a38d9e59a66581a17a205f5fe0db82b8b9d307f0bbb3236f</t>
        </is>
      </c>
      <c r="K294" s="70" t="inlineStr">
        <is>
          <t>sources/codal/کگل/v38_type19/T1203614.html</t>
        </is>
      </c>
    </row>
    <row r="295" ht="58" customHeight="1" s="76">
      <c r="A295" s="71" t="inlineStr">
        <is>
          <t>T19_1207414</t>
        </is>
      </c>
      <c r="B295" s="71" t="inlineStr">
        <is>
          <t>کگل</t>
        </is>
      </c>
      <c r="C295" s="71" t="inlineStr">
        <is>
          <t>اطلاعیه ن۴۵ (Type19)</t>
        </is>
      </c>
      <c r="D295" s="71" t="n"/>
      <c r="E295" s="71" t="inlineStr">
        <is>
          <t>معرفی /تغییر در ترکیب اعضای هیئت مدیره/مدیر عامل(اصلاحیه)</t>
        </is>
      </c>
      <c r="F295" s="71" t="n">
        <v>1207414</v>
      </c>
      <c r="G295" s="71" t="inlineStr">
        <is>
          <t>1403/04/03 19:39</t>
        </is>
      </c>
      <c r="H295" s="71" t="inlineStr">
        <is>
          <t>https://www.codal.ir/Reports/Decision.aspx?LetterSerial=UINHipeFOBf8mIJVSsXQ5Q%3d%3d&amp;rt=0&amp;let=19&amp;ct=0&amp;ft=-1</t>
        </is>
      </c>
      <c r="I295" s="71" t="inlineStr">
        <is>
          <t>زنجیره زمانی</t>
        </is>
      </c>
      <c r="J295" s="71" t="inlineStr">
        <is>
          <t>5770ab997428149e284bd0952bd747c2b60c25836dc2b282caebb8f476a37b44</t>
        </is>
      </c>
      <c r="K295" s="71" t="inlineStr">
        <is>
          <t>sources/codal/کگل/v38_type19/T1207414.html</t>
        </is>
      </c>
    </row>
    <row r="296" ht="58" customHeight="1" s="76">
      <c r="A296" s="70" t="inlineStr">
        <is>
          <t>T19_1319449</t>
        </is>
      </c>
      <c r="B296" s="70" t="inlineStr">
        <is>
          <t>کگل</t>
        </is>
      </c>
      <c r="C296" s="70" t="inlineStr">
        <is>
          <t>اطلاعیه ن۴۵ (Type19)</t>
        </is>
      </c>
      <c r="D296" s="70" t="n"/>
      <c r="E296" s="70" t="inlineStr">
        <is>
          <t>معرفی /تغییر در ترکیب اعضای هیئت مدیره/مدیر عامل</t>
        </is>
      </c>
      <c r="F296" s="70" t="n">
        <v>1319449</v>
      </c>
      <c r="G296" s="70" t="inlineStr">
        <is>
          <t>1403/12/19 22:33</t>
        </is>
      </c>
      <c r="H296" s="70" t="inlineStr">
        <is>
          <t>https://www.codal.ir/Reports/Decision.aspx?LetterSerial=V8TQGa6IRAmh3pwzvDL0KQ%3d%3d&amp;rt=0&amp;let=19&amp;ct=0&amp;ft=-1</t>
        </is>
      </c>
      <c r="I296" s="70" t="inlineStr">
        <is>
          <t>زنجیره زمانی</t>
        </is>
      </c>
      <c r="J296" s="70" t="inlineStr">
        <is>
          <t>07c5c2d12ffb31c3a30f2deeaa3a195f395f1b14868dcd72257874c3b6a92b59</t>
        </is>
      </c>
      <c r="K296" s="70" t="inlineStr">
        <is>
          <t>sources/codal/کگل/v38_type19/T1319449.html</t>
        </is>
      </c>
    </row>
    <row r="297" ht="58" customHeight="1" s="76">
      <c r="A297" s="71" t="inlineStr">
        <is>
          <t>T19_1330437</t>
        </is>
      </c>
      <c r="B297" s="71" t="inlineStr">
        <is>
          <t>کگل</t>
        </is>
      </c>
      <c r="C297" s="71" t="inlineStr">
        <is>
          <t>اطلاعیه ن۴۵ (Type19)</t>
        </is>
      </c>
      <c r="D297" s="71" t="n"/>
      <c r="E297" s="71" t="inlineStr">
        <is>
          <t>معرفی /تغییر در ترکیب اعضای هیئت مدیره/مدیر عامل</t>
        </is>
      </c>
      <c r="F297" s="71" t="n">
        <v>1330437</v>
      </c>
      <c r="G297" s="71" t="inlineStr">
        <is>
          <t>1404/01/25 17:27</t>
        </is>
      </c>
      <c r="H297" s="71" t="inlineStr">
        <is>
          <t>https://www.codal.ir/Reports/Decision.aspx?LetterSerial=YyPw9OOObOOONwCIj059an7yzC0g%3d%3d&amp;rt=0&amp;let=19&amp;ct=0&amp;ft=-1</t>
        </is>
      </c>
      <c r="I297" s="71" t="inlineStr">
        <is>
          <t>زنجیره زمانی</t>
        </is>
      </c>
      <c r="J297" s="71" t="inlineStr">
        <is>
          <t>4193a038c55487e6de64ee7a1a88308d61bfc226d674995b6da802be1f78a745</t>
        </is>
      </c>
      <c r="K297" s="71" t="inlineStr">
        <is>
          <t>sources/codal/کگل/v38_type19/T1330437.html</t>
        </is>
      </c>
    </row>
    <row r="298" ht="58" customHeight="1" s="76">
      <c r="A298" s="70" t="inlineStr">
        <is>
          <t>T19_1414920</t>
        </is>
      </c>
      <c r="B298" s="70" t="inlineStr">
        <is>
          <t>کگل</t>
        </is>
      </c>
      <c r="C298" s="70" t="inlineStr">
        <is>
          <t>اطلاعیه ن۴۵ (Type19)</t>
        </is>
      </c>
      <c r="D298" s="70" t="n"/>
      <c r="E298" s="70" t="inlineStr">
        <is>
          <t>معرفی /تغییر در ترکیب اعضای هیئت مدیره/مدیر عامل</t>
        </is>
      </c>
      <c r="F298" s="70" t="n">
        <v>1414920</v>
      </c>
      <c r="G298" s="70" t="inlineStr">
        <is>
          <t>1404/07/14 09:28</t>
        </is>
      </c>
      <c r="H298" s="70" t="inlineStr">
        <is>
          <t>https://www.codal.ir/Reports/Decision.aspx?LetterSerial=IYIOOObOOO6mh6t3bHqdV5BigMrg%3d%3d&amp;rt=0&amp;let=19&amp;ct=0&amp;ft=-1</t>
        </is>
      </c>
      <c r="I298" s="70" t="inlineStr">
        <is>
          <t>مبنای فهرست اعضا در as-of</t>
        </is>
      </c>
      <c r="J298" s="70" t="inlineStr">
        <is>
          <t>2f9ec8a0e7328c6f6d913d026a5ee999cc5a61ae26e6b5f8d7444ae1d62ace0d</t>
        </is>
      </c>
      <c r="K298" s="70" t="inlineStr">
        <is>
          <t>sources/codal/کگل/v38_type19/T1414920.html</t>
        </is>
      </c>
    </row>
    <row r="299" ht="58" customHeight="1" s="76">
      <c r="A299" s="71" t="inlineStr">
        <is>
          <t>T19_1091782</t>
        </is>
      </c>
      <c r="B299" s="71" t="inlineStr">
        <is>
          <t>پارسان</t>
        </is>
      </c>
      <c r="C299" s="71" t="inlineStr">
        <is>
          <t>اطلاعیه ن۴۵ (Type19)</t>
        </is>
      </c>
      <c r="D299" s="71" t="n"/>
      <c r="E299" s="71" t="inlineStr">
        <is>
          <t>معرفی /تغییر در ترکیب اعضای هیئت مدیره/مدیر عامل</t>
        </is>
      </c>
      <c r="F299" s="71" t="n">
        <v>1091782</v>
      </c>
      <c r="G299" s="71" t="inlineStr">
        <is>
          <t>1402/07/22 18:58</t>
        </is>
      </c>
      <c r="H299" s="71" t="inlineStr">
        <is>
          <t>https://www.codal.ir/Reports/Decision.aspx?LetterSerial=RMLzPNj3tz02catQQQaQQQi%2bU8tA%3d%3d&amp;rt=2&amp;let=19&amp;ct=0&amp;ft=-1</t>
        </is>
      </c>
      <c r="I299" s="71" t="inlineStr">
        <is>
          <t>زنجیره زمانی</t>
        </is>
      </c>
      <c r="J299" s="71" t="inlineStr">
        <is>
          <t>a6b03d1d04e0e0816f745ba3c1ad37d5a3d609f4620f855d167133954e5659ff</t>
        </is>
      </c>
      <c r="K299" s="71" t="inlineStr">
        <is>
          <t>sources/codal/پارسان/v38_type19/T1091782.html</t>
        </is>
      </c>
    </row>
    <row r="300" ht="58" customHeight="1" s="76">
      <c r="A300" s="70" t="inlineStr">
        <is>
          <t>T19_1092969</t>
        </is>
      </c>
      <c r="B300" s="70" t="inlineStr">
        <is>
          <t>پارسان</t>
        </is>
      </c>
      <c r="C300" s="70" t="inlineStr">
        <is>
          <t>اطلاعیه ن۴۵ (Type19)</t>
        </is>
      </c>
      <c r="D300" s="70" t="n"/>
      <c r="E300" s="70" t="inlineStr">
        <is>
          <t>معرفی /تغییر در ترکیب اعضای هیئت مدیره/مدیر عامل(اصلاحیه)</t>
        </is>
      </c>
      <c r="F300" s="70" t="n">
        <v>1092969</v>
      </c>
      <c r="G300" s="70" t="inlineStr">
        <is>
          <t>1402/07/24 15:53</t>
        </is>
      </c>
      <c r="H300" s="70" t="inlineStr">
        <is>
          <t>https://www.codal.ir/Reports/Decision.aspx?LetterSerial=jGIwR2Dk5QQQaQQQjItQpIoghySg%3d%3d&amp;rt=2&amp;let=19&amp;ct=0&amp;ft=-1</t>
        </is>
      </c>
      <c r="I300" s="70" t="inlineStr">
        <is>
          <t>زنجیره زمانی</t>
        </is>
      </c>
      <c r="J300" s="70" t="inlineStr">
        <is>
          <t>591b7cc3806108c873d84a237ccbaffa454c67ce81ca4eb3830fd8c616416ca4</t>
        </is>
      </c>
      <c r="K300" s="70" t="inlineStr">
        <is>
          <t>sources/codal/پارسان/v38_type19/T1092969.html</t>
        </is>
      </c>
    </row>
    <row r="301" ht="58" customHeight="1" s="76">
      <c r="A301" s="71" t="inlineStr">
        <is>
          <t>T19_1190022</t>
        </is>
      </c>
      <c r="B301" s="71" t="inlineStr">
        <is>
          <t>پارسان</t>
        </is>
      </c>
      <c r="C301" s="71" t="inlineStr">
        <is>
          <t>اطلاعیه ن۴۵ (Type19)</t>
        </is>
      </c>
      <c r="D301" s="71" t="n"/>
      <c r="E301" s="71" t="inlineStr">
        <is>
          <t>معرفی /تغییر در ترکیب اعضای هیئت مدیره/مدیر عامل</t>
        </is>
      </c>
      <c r="F301" s="71" t="n">
        <v>1190022</v>
      </c>
      <c r="G301" s="71" t="inlineStr">
        <is>
          <t>1403/02/25 17:22</t>
        </is>
      </c>
      <c r="H301" s="71" t="inlineStr">
        <is>
          <t>https://www.codal.ir/Reports/Decision.aspx?LetterSerial=nRihI1tGW5N3lO4NRTzScw%3d%3d&amp;rt=2&amp;let=19&amp;ct=0&amp;ft=-1</t>
        </is>
      </c>
      <c r="I301" s="71" t="inlineStr">
        <is>
          <t>زنجیره زمانی</t>
        </is>
      </c>
      <c r="J301" s="71" t="inlineStr">
        <is>
          <t>5f384feaba24475921e1b64ff75e45e9c9b0b36c79a4721b7d4cda30edd221b6</t>
        </is>
      </c>
      <c r="K301" s="71" t="inlineStr">
        <is>
          <t>sources/codal/پارسان/v38_type19/T1190022.html</t>
        </is>
      </c>
    </row>
    <row r="302" ht="58" customHeight="1" s="76">
      <c r="A302" s="70" t="inlineStr">
        <is>
          <t>T19_1194814</t>
        </is>
      </c>
      <c r="B302" s="70" t="inlineStr">
        <is>
          <t>پارسان</t>
        </is>
      </c>
      <c r="C302" s="70" t="inlineStr">
        <is>
          <t>اطلاعیه ن۴۵ (Type19)</t>
        </is>
      </c>
      <c r="D302" s="70" t="n"/>
      <c r="E302" s="70" t="inlineStr">
        <is>
          <t>معرفی /تغییر در ترکیب اعضای هیئت مدیره/مدیر عامل(اصلاحیه)</t>
        </is>
      </c>
      <c r="F302" s="70" t="n">
        <v>1194814</v>
      </c>
      <c r="G302" s="70" t="inlineStr">
        <is>
          <t>1403/03/05 10:39</t>
        </is>
      </c>
      <c r="H302" s="70" t="inlineStr">
        <is>
          <t>https://www.codal.ir/Reports/Decision.aspx?LetterSerial=dKgPQQQaQQQ%2brnSEnC2UIEnLH9fg%3d%3d&amp;rt=2&amp;let=19&amp;ct=0&amp;ft=-1</t>
        </is>
      </c>
      <c r="I302" s="70" t="inlineStr">
        <is>
          <t>زنجیره زمانی</t>
        </is>
      </c>
      <c r="J302" s="70" t="inlineStr">
        <is>
          <t>39d980d031c9e60e0ae9a05b42de97c5a55d54bdcc9734a83ba613b2a71bd6f9</t>
        </is>
      </c>
      <c r="K302" s="70" t="inlineStr">
        <is>
          <t>sources/codal/پارسان/v38_type19/T1194814.html</t>
        </is>
      </c>
    </row>
    <row r="303" ht="58" customHeight="1" s="76">
      <c r="A303" s="71" t="inlineStr">
        <is>
          <t>T19_1288275</t>
        </is>
      </c>
      <c r="B303" s="71" t="inlineStr">
        <is>
          <t>پارسان</t>
        </is>
      </c>
      <c r="C303" s="71" t="inlineStr">
        <is>
          <t>اطلاعیه ن۴۵ (Type19)</t>
        </is>
      </c>
      <c r="D303" s="71" t="n"/>
      <c r="E303" s="71" t="inlineStr">
        <is>
          <t>معرفی /تغییر در ترکیب اعضای هیئت مدیره/مدیر عامل(اصلاحیه)</t>
        </is>
      </c>
      <c r="F303" s="71" t="n">
        <v>1288275</v>
      </c>
      <c r="G303" s="71" t="inlineStr">
        <is>
          <t>1403/10/05 17:35</t>
        </is>
      </c>
      <c r="H303" s="71" t="inlineStr">
        <is>
          <t>https://www.codal.ir/Reports/Decision.aspx?LetterSerial=DsOgAmOOObOOOXCBilD6gqB1SIaw%3d%3d&amp;rt=2&amp;let=19&amp;ct=0&amp;ft=-1</t>
        </is>
      </c>
      <c r="I303" s="71" t="inlineStr">
        <is>
          <t>زنجیره زمانی</t>
        </is>
      </c>
      <c r="J303" s="71" t="inlineStr">
        <is>
          <t>b96e17eb366a0fa138600f9bdfa497726d577403a04b212a8cd671e9b9f2c728</t>
        </is>
      </c>
      <c r="K303" s="71" t="inlineStr">
        <is>
          <t>sources/codal/پارسان/v38_type19/T1288275.html</t>
        </is>
      </c>
    </row>
    <row r="304" ht="58" customHeight="1" s="76">
      <c r="A304" s="70" t="inlineStr">
        <is>
          <t>T19_1327522</t>
        </is>
      </c>
      <c r="B304" s="70" t="inlineStr">
        <is>
          <t>پارسان</t>
        </is>
      </c>
      <c r="C304" s="70" t="inlineStr">
        <is>
          <t>اطلاعیه ن۴۵ (Type19)</t>
        </is>
      </c>
      <c r="D304" s="70" t="n"/>
      <c r="E304" s="70" t="inlineStr">
        <is>
          <t>معرفی /تغییر در ترکیب اعضای هیئت مدیره/مدیر عامل(اصلاحیه)</t>
        </is>
      </c>
      <c r="F304" s="70" t="n">
        <v>1327522</v>
      </c>
      <c r="G304" s="70" t="inlineStr">
        <is>
          <t>1404/01/18 11:02</t>
        </is>
      </c>
      <c r="H304" s="70" t="inlineStr">
        <is>
          <t>https://www.codal.ir/Reports/Decision.aspx?LetterSerial=wfIbWhw2kxhrgTknh0QQQaQQQ6zg%3d%3d&amp;rt=2&amp;let=19&amp;ct=0&amp;ft=-1</t>
        </is>
      </c>
      <c r="I304" s="70" t="inlineStr">
        <is>
          <t>زنجیره زمانی</t>
        </is>
      </c>
      <c r="J304" s="70" t="inlineStr">
        <is>
          <t>a2c7115b9d9dac4eb5ac3fab8166186e65adbfc13a0b2ac05594230d61cd824e</t>
        </is>
      </c>
      <c r="K304" s="70" t="inlineStr">
        <is>
          <t>sources/codal/پارسان/v38_type19/T1327522.html</t>
        </is>
      </c>
    </row>
    <row r="305" ht="58" customHeight="1" s="76">
      <c r="A305" s="71" t="inlineStr">
        <is>
          <t>T19_1345985</t>
        </is>
      </c>
      <c r="B305" s="71" t="inlineStr">
        <is>
          <t>پارسان</t>
        </is>
      </c>
      <c r="C305" s="71" t="inlineStr">
        <is>
          <t>اطلاعیه ن۴۵ (Type19)</t>
        </is>
      </c>
      <c r="D305" s="71" t="n"/>
      <c r="E305" s="71" t="inlineStr">
        <is>
          <t>معرفی /تغییر در ترکیب اعضای هیئت مدیره/مدیر عامل</t>
        </is>
      </c>
      <c r="F305" s="71" t="n">
        <v>1345985</v>
      </c>
      <c r="G305" s="71" t="inlineStr">
        <is>
          <t>1404/02/30 17:25</t>
        </is>
      </c>
      <c r="H305" s="71" t="inlineStr">
        <is>
          <t>https://www.codal.ir/Reports/Decision.aspx?LetterSerial=Isgmsl2s3SpQQQaQQQYOnBYzL9bw%3d%3d&amp;rt=2&amp;let=19&amp;ct=0&amp;ft=-1</t>
        </is>
      </c>
      <c r="I305" s="71" t="inlineStr">
        <is>
          <t>زنجیره زمانی</t>
        </is>
      </c>
      <c r="J305" s="71" t="inlineStr">
        <is>
          <t>c5afcf78c9032ca8b006075dfb7522ddbaa312adb4a6fe64d03357036ab1061d</t>
        </is>
      </c>
      <c r="K305" s="71" t="inlineStr">
        <is>
          <t>sources/codal/پارسان/v38_type19/T1345985.html</t>
        </is>
      </c>
    </row>
    <row r="306" ht="58" customHeight="1" s="76">
      <c r="A306" s="70" t="inlineStr">
        <is>
          <t>T19_1347530</t>
        </is>
      </c>
      <c r="B306" s="70" t="inlineStr">
        <is>
          <t>پارسان</t>
        </is>
      </c>
      <c r="C306" s="70" t="inlineStr">
        <is>
          <t>اطلاعیه ن۴۵ (Type19)</t>
        </is>
      </c>
      <c r="D306" s="70" t="n"/>
      <c r="E306" s="70" t="inlineStr">
        <is>
          <t>معرفی /تغییر در ترکیب اعضای هیئت مدیره/مدیر عامل(اصلاحیه)</t>
        </is>
      </c>
      <c r="F306" s="70" t="n">
        <v>1347530</v>
      </c>
      <c r="G306" s="70" t="inlineStr">
        <is>
          <t>1404/06/16 08:59</t>
        </is>
      </c>
      <c r="H306" s="70" t="inlineStr">
        <is>
          <t>https://www.codal.ir/Reports/Decision.aspx?LetterSerial=jL7ox8nUQHggs3Bz99P9mw%3d%3d&amp;rt=2&amp;let=19&amp;ct=0&amp;ft=-1</t>
        </is>
      </c>
      <c r="I306" s="70" t="inlineStr">
        <is>
          <t>زنجیره زمانی</t>
        </is>
      </c>
      <c r="J306" s="70" t="inlineStr">
        <is>
          <t>01d4fa6a719f25bc1516de9497fa3cd09acfa95f2ee64e501a9b11b64b6ae7ad</t>
        </is>
      </c>
      <c r="K306" s="70" t="inlineStr">
        <is>
          <t>sources/codal/پارسان/v38_type19/T1347530.html</t>
        </is>
      </c>
    </row>
    <row r="307" ht="58" customHeight="1" s="76">
      <c r="A307" s="71" t="inlineStr">
        <is>
          <t>T19_1404286</t>
        </is>
      </c>
      <c r="B307" s="71" t="inlineStr">
        <is>
          <t>پارسان</t>
        </is>
      </c>
      <c r="C307" s="71" t="inlineStr">
        <is>
          <t>اطلاعیه ن۴۵ (Type19)</t>
        </is>
      </c>
      <c r="D307" s="71" t="n"/>
      <c r="E307" s="71" t="inlineStr">
        <is>
          <t>معرفی /تغییر در ترکیب اعضای هیئت مدیره/مدیر عامل(اصلاحیه)</t>
        </is>
      </c>
      <c r="F307" s="71" t="n">
        <v>1404286</v>
      </c>
      <c r="G307" s="71" t="inlineStr">
        <is>
          <t>1404/06/18 12:44</t>
        </is>
      </c>
      <c r="H307" s="71" t="inlineStr">
        <is>
          <t>https://www.codal.ir/Reports/Decision.aspx?LetterSerial=PuEOnAnj4ZS5OOObOOOKq07SAMtA%3d%3d&amp;rt=2&amp;let=19&amp;ct=0&amp;ft=-1</t>
        </is>
      </c>
      <c r="I307" s="71" t="inlineStr">
        <is>
          <t>زنجیره زمانی</t>
        </is>
      </c>
      <c r="J307" s="71" t="inlineStr">
        <is>
          <t>ba986f13b5cc0be2ccef750a5f1fa1c199e0c8fafdda53ee609654fb389034fd</t>
        </is>
      </c>
      <c r="K307" s="71" t="inlineStr">
        <is>
          <t>sources/codal/پارسان/v38_type19/T1404286.html</t>
        </is>
      </c>
    </row>
    <row r="308" ht="58" customHeight="1" s="76">
      <c r="A308" s="70" t="inlineStr">
        <is>
          <t>T19_1443940</t>
        </is>
      </c>
      <c r="B308" s="70" t="inlineStr">
        <is>
          <t>پارسان</t>
        </is>
      </c>
      <c r="C308" s="70" t="inlineStr">
        <is>
          <t>اطلاعیه ن۴۵ (Type19)</t>
        </is>
      </c>
      <c r="D308" s="70" t="n"/>
      <c r="E308" s="70" t="inlineStr">
        <is>
          <t>معرفی /تغییر در ترکیب اعضای هیئت مدیره/مدیر عامل(اصلاحیه)</t>
        </is>
      </c>
      <c r="F308" s="70" t="n">
        <v>1443940</v>
      </c>
      <c r="G308" s="70" t="inlineStr">
        <is>
          <t>1404/09/06 11:03</t>
        </is>
      </c>
      <c r="H308" s="70" t="inlineStr">
        <is>
          <t>https://www.codal.ir/Reports/Decision.aspx?LetterSerial=zNIQQQaQQQIYcl2yMb4DUIPu3s7w%3d%3d&amp;rt=2&amp;let=19&amp;ct=0&amp;ft=-1</t>
        </is>
      </c>
      <c r="I308" s="70" t="inlineStr">
        <is>
          <t>زنجیره زمانی</t>
        </is>
      </c>
      <c r="J308" s="70" t="inlineStr">
        <is>
          <t>6bada336a4f2a0c4f5293c99b549eba45d143296c6023345e5e9b6406caeee87</t>
        </is>
      </c>
      <c r="K308" s="70" t="inlineStr">
        <is>
          <t>sources/codal/پارسان/v38_type19/T1443940.html</t>
        </is>
      </c>
    </row>
    <row r="309" ht="58" customHeight="1" s="76">
      <c r="A309" s="71" t="inlineStr">
        <is>
          <t>T19_1448512</t>
        </is>
      </c>
      <c r="B309" s="71" t="inlineStr">
        <is>
          <t>پارسان</t>
        </is>
      </c>
      <c r="C309" s="71" t="inlineStr">
        <is>
          <t>اطلاعیه ن۴۵ (Type19)</t>
        </is>
      </c>
      <c r="D309" s="71" t="n"/>
      <c r="E309" s="71" t="inlineStr">
        <is>
          <t>معرفی /تغییر در ترکیب اعضای هیئت مدیره/مدیر عامل(اصلاحیه)</t>
        </is>
      </c>
      <c r="F309" s="71" t="n">
        <v>1448512</v>
      </c>
      <c r="G309" s="71" t="inlineStr">
        <is>
          <t>1404/09/16 16:12</t>
        </is>
      </c>
      <c r="H309" s="71" t="inlineStr">
        <is>
          <t>https://www.codal.ir/Reports/Decision.aspx?LetterSerial=30pTNdU33IMXapDBWqVd5A%3d%3d&amp;rt=2&amp;let=19&amp;ct=0&amp;ft=-1</t>
        </is>
      </c>
      <c r="I309" s="71" t="inlineStr">
        <is>
          <t>زنجیره زمانی</t>
        </is>
      </c>
      <c r="J309" s="71" t="inlineStr">
        <is>
          <t>bf52d8acf2f73a3406e2472c7e4de645fd23cf3b32b17517f4fe548b4fa2f009</t>
        </is>
      </c>
      <c r="K309" s="71" t="inlineStr">
        <is>
          <t>sources/codal/پارسان/v38_type19/T1448512.html</t>
        </is>
      </c>
    </row>
    <row r="310" ht="58" customHeight="1" s="76">
      <c r="A310" s="70" t="inlineStr">
        <is>
          <t>T19_1451719</t>
        </is>
      </c>
      <c r="B310" s="70" t="inlineStr">
        <is>
          <t>پارسان</t>
        </is>
      </c>
      <c r="C310" s="70" t="inlineStr">
        <is>
          <t>اطلاعیه ن۴۵ (Type19)</t>
        </is>
      </c>
      <c r="D310" s="70" t="n"/>
      <c r="E310" s="70" t="inlineStr">
        <is>
          <t>معرفی /تغییر در ترکیب اعضای هیئت مدیره/مدیر عامل(اصلاحیه)</t>
        </is>
      </c>
      <c r="F310" s="70" t="n">
        <v>1451719</v>
      </c>
      <c r="G310" s="70" t="inlineStr">
        <is>
          <t>1404/09/17 19:57</t>
        </is>
      </c>
      <c r="H310" s="70" t="inlineStr">
        <is>
          <t>https://www.codal.ir/Reports/Decision.aspx?LetterSerial=7OVvyYgUCPIRoPOOObOOOeQJKBsQ%3d%3d&amp;rt=2&amp;let=19&amp;ct=0&amp;ft=-1</t>
        </is>
      </c>
      <c r="I310" s="70" t="inlineStr">
        <is>
          <t>مبنای فهرست اعضا در as-of</t>
        </is>
      </c>
      <c r="J310" s="70" t="inlineStr">
        <is>
          <t>7807104ee7da59a05b0a11ec07cfbb3723a721ed059267db7103b6f43751e13e</t>
        </is>
      </c>
      <c r="K310" s="70" t="inlineStr">
        <is>
          <t>sources/codal/پارسان/v38_type19/T1451719.html</t>
        </is>
      </c>
    </row>
    <row r="311" ht="58" customHeight="1" s="76">
      <c r="A311" s="71" t="inlineStr">
        <is>
          <t>T19_1515744</t>
        </is>
      </c>
      <c r="B311" s="71" t="inlineStr">
        <is>
          <t>پارسان</t>
        </is>
      </c>
      <c r="C311" s="71" t="inlineStr">
        <is>
          <t>اطلاعیه ن۴۵ (Type19)</t>
        </is>
      </c>
      <c r="D311" s="71" t="n"/>
      <c r="E311" s="71" t="inlineStr">
        <is>
          <t>معرفی /تغییر در ترکیب اعضای هیئت مدیره/مدیر عامل</t>
        </is>
      </c>
      <c r="F311" s="71" t="n">
        <v>1515744</v>
      </c>
      <c r="G311" s="71" t="inlineStr">
        <is>
          <t>1405/02/08 15:08</t>
        </is>
      </c>
      <c r="H311" s="71" t="inlineStr">
        <is>
          <t>https://www.codal.ir/Reports/Decision.aspx?LetterSerial=ZsQQQaQQQ7NKJBxEPKajHG8hBbng%3d%3d&amp;rt=2&amp;let=19&amp;ct=0&amp;ft=-1</t>
        </is>
      </c>
      <c r="I311" s="71" t="inlineStr">
        <is>
          <t>زنجیره زمانی</t>
        </is>
      </c>
      <c r="J311" s="71" t="inlineStr">
        <is>
          <t>ff46039bc3361d4b85b4bd974b015d870b0fc9cff2d9ab8b16146da6d5dc5bb2</t>
        </is>
      </c>
      <c r="K311" s="71" t="inlineStr">
        <is>
          <t>sources/codal/پارسان/v38_type19/T1515744.html</t>
        </is>
      </c>
    </row>
    <row r="312" ht="58" customHeight="1" s="76">
      <c r="A312" s="70" t="inlineStr">
        <is>
          <t>T19_1515813</t>
        </is>
      </c>
      <c r="B312" s="70" t="inlineStr">
        <is>
          <t>پارسان</t>
        </is>
      </c>
      <c r="C312" s="70" t="inlineStr">
        <is>
          <t>اطلاعیه ن۴۵ (Type19)</t>
        </is>
      </c>
      <c r="D312" s="70" t="n"/>
      <c r="E312" s="70" t="inlineStr">
        <is>
          <t>معرفی /تغییر در ترکیب اعضای هیئت مدیره/مدیر عامل(اصلاحیه)</t>
        </is>
      </c>
      <c r="F312" s="70" t="n">
        <v>1515813</v>
      </c>
      <c r="G312" s="70" t="inlineStr">
        <is>
          <t>1405/02/08 15:49</t>
        </is>
      </c>
      <c r="H312" s="70" t="inlineStr">
        <is>
          <t>https://www.codal.ir/Reports/Decision.aspx?LetterSerial=JkOpvbSCefwHFf65Sx4P0Q%3d%3d&amp;rt=2&amp;let=19&amp;ct=0&amp;ft=-1</t>
        </is>
      </c>
      <c r="I312" s="70" t="inlineStr">
        <is>
          <t>زنجیره زمانی</t>
        </is>
      </c>
      <c r="J312" s="70" t="inlineStr">
        <is>
          <t>d928e32184888bdeebacfc845b5546f5e682813594f3fdd77f8cb1c6eefd30e9</t>
        </is>
      </c>
      <c r="K312" s="70" t="inlineStr">
        <is>
          <t>sources/codal/پارسان/v38_type19/T1515813.html</t>
        </is>
      </c>
    </row>
    <row r="313" ht="58" customHeight="1" s="76">
      <c r="A313" s="71" t="inlineStr">
        <is>
          <t>T19_1551463</t>
        </is>
      </c>
      <c r="B313" s="71" t="inlineStr">
        <is>
          <t>پارسان</t>
        </is>
      </c>
      <c r="C313" s="71" t="inlineStr">
        <is>
          <t>اطلاعیه ن۴۵ (Type19)</t>
        </is>
      </c>
      <c r="D313" s="71" t="n"/>
      <c r="E313" s="71" t="inlineStr">
        <is>
          <t>معرفی /تغییر در ترکیب اعضای هیئت مدیره/مدیر عامل</t>
        </is>
      </c>
      <c r="F313" s="71" t="n">
        <v>1551463</v>
      </c>
      <c r="G313" s="71" t="inlineStr">
        <is>
          <t>1405/03/26 18:34</t>
        </is>
      </c>
      <c r="H313" s="71" t="inlineStr">
        <is>
          <t>https://www.codal.ir/Reports/Decision.aspx?LetterSerial=QESigfwj5vCKnxHP4NdMYg%3d%3d&amp;rt=2&amp;let=19&amp;ct=0&amp;ft=-1</t>
        </is>
      </c>
      <c r="I313" s="71" t="inlineStr">
        <is>
          <t>زنجیره زمانی</t>
        </is>
      </c>
      <c r="J313" s="71" t="inlineStr">
        <is>
          <t>4ef4642a66f2f27c2b09ff42fa91e706f657ffa7bcb55356d28c66692bbef0ff</t>
        </is>
      </c>
      <c r="K313" s="71" t="inlineStr">
        <is>
          <t>sources/codal/پارسان/v38_type19/T1551463.html</t>
        </is>
      </c>
    </row>
    <row r="314" ht="58" customHeight="1" s="76">
      <c r="A314" s="70" t="inlineStr">
        <is>
          <t>T19_866776</t>
        </is>
      </c>
      <c r="B314" s="70" t="inlineStr">
        <is>
          <t>اخابر</t>
        </is>
      </c>
      <c r="C314" s="70" t="inlineStr">
        <is>
          <t>اطلاعیه ن۴۵ (Type19)</t>
        </is>
      </c>
      <c r="D314" s="70" t="n"/>
      <c r="E314" s="70" t="inlineStr">
        <is>
          <t>معرفی یا تغییر در ترکیب اعضای هیئت مدیره</t>
        </is>
      </c>
      <c r="F314" s="70" t="n">
        <v>866776</v>
      </c>
      <c r="G314" s="70" t="inlineStr">
        <is>
          <t>1401/01/17 10:35</t>
        </is>
      </c>
      <c r="H314" s="70" t="inlineStr">
        <is>
          <t>https://www.codal.ir/Reports/Decision.aspx?LetterSerial=uCG7pR86QGk%2BPza0WzziBw%3D%3D&amp;rt=5&amp;let=19&amp;ct=0&amp;ft=-1</t>
        </is>
      </c>
      <c r="I314" s="70" t="inlineStr">
        <is>
          <t>زنجیره زمانی</t>
        </is>
      </c>
      <c r="J314" s="70" t="inlineStr">
        <is>
          <t>212891cf29a8d685db7a7abfaa9676651a246e438a28230c55468f2de19a258d</t>
        </is>
      </c>
      <c r="K314" s="70" t="inlineStr">
        <is>
          <t>sources/codal/اخابر/v38_type19/T866776.html</t>
        </is>
      </c>
    </row>
    <row r="315" ht="58" customHeight="1" s="76">
      <c r="A315" s="71" t="inlineStr">
        <is>
          <t>T19_968715</t>
        </is>
      </c>
      <c r="B315" s="71" t="inlineStr">
        <is>
          <t>اخابر</t>
        </is>
      </c>
      <c r="C315" s="71" t="inlineStr">
        <is>
          <t>اطلاعیه ن۴۵ (Type19)</t>
        </is>
      </c>
      <c r="D315" s="71" t="n"/>
      <c r="E315" s="71" t="inlineStr">
        <is>
          <t>معرفی /تغییر در ترکیب اعضای هیئت مدیره/مدیر عامل</t>
        </is>
      </c>
      <c r="F315" s="71" t="n">
        <v>968715</v>
      </c>
      <c r="G315" s="71" t="inlineStr">
        <is>
          <t>1402/01/19 12:38</t>
        </is>
      </c>
      <c r="H315" s="71" t="inlineStr">
        <is>
          <t>https://www.codal.ir/Reports/Decision.aspx?LetterSerial=nv1xquYiEteJUolkJgC72w%3d%3d&amp;rt=5&amp;let=19&amp;ct=0&amp;ft=-1</t>
        </is>
      </c>
      <c r="I315" s="71" t="inlineStr">
        <is>
          <t>زنجیره زمانی</t>
        </is>
      </c>
      <c r="J315" s="71" t="inlineStr">
        <is>
          <t>30da08be856b0bda779dad8d79277cc6af7db518b0c50ea48b5aa10ec4a0e956</t>
        </is>
      </c>
      <c r="K315" s="71" t="inlineStr">
        <is>
          <t>sources/codal/اخابر/v38_type19/T968715.html</t>
        </is>
      </c>
    </row>
    <row r="316" ht="58" customHeight="1" s="76">
      <c r="A316" s="70" t="inlineStr">
        <is>
          <t>T19_1011041</t>
        </is>
      </c>
      <c r="B316" s="70" t="inlineStr">
        <is>
          <t>اخابر</t>
        </is>
      </c>
      <c r="C316" s="70" t="inlineStr">
        <is>
          <t>اطلاعیه ن۴۵ (Type19)</t>
        </is>
      </c>
      <c r="D316" s="70" t="n"/>
      <c r="E316" s="70" t="inlineStr">
        <is>
          <t>معرفی /تغییر در ترکیب اعضای هیئت مدیره/مدیر عامل(اصلاحیه)</t>
        </is>
      </c>
      <c r="F316" s="70" t="n">
        <v>1011041</v>
      </c>
      <c r="G316" s="70" t="inlineStr">
        <is>
          <t>1402/01/20 09:17</t>
        </is>
      </c>
      <c r="H316" s="70" t="inlineStr">
        <is>
          <t>https://www.codal.ir/Reports/Decision.aspx?LetterSerial=q4eIvxoYo93p4yQQQaQQQKD%2bKuQQQaQQQA%3d%3d&amp;rt=5&amp;let=19&amp;ct=0&amp;ft=-1</t>
        </is>
      </c>
      <c r="I316" s="70" t="inlineStr">
        <is>
          <t>زنجیره زمانی</t>
        </is>
      </c>
      <c r="J316" s="70" t="inlineStr">
        <is>
          <t>f4a8e1ff3cff53fb2602ce3af7bbc17de06b60e95c4b54b9690b0d43c57303d7</t>
        </is>
      </c>
      <c r="K316" s="70" t="inlineStr">
        <is>
          <t>sources/codal/اخابر/v38_type19/T1011041.html</t>
        </is>
      </c>
    </row>
    <row r="317" ht="58" customHeight="1" s="76">
      <c r="A317" s="71" t="inlineStr">
        <is>
          <t>T19_1044308</t>
        </is>
      </c>
      <c r="B317" s="71" t="inlineStr">
        <is>
          <t>اخابر</t>
        </is>
      </c>
      <c r="C317" s="71" t="inlineStr">
        <is>
          <t>اطلاعیه ن۴۵ (Type19)</t>
        </is>
      </c>
      <c r="D317" s="71" t="n"/>
      <c r="E317" s="71" t="inlineStr">
        <is>
          <t>معرفی /تغییر در ترکیب اعضای هیئت مدیره/مدیر عامل</t>
        </is>
      </c>
      <c r="F317" s="71" t="n">
        <v>1044308</v>
      </c>
      <c r="G317" s="71" t="inlineStr">
        <is>
          <t>1402/04/03 18:01</t>
        </is>
      </c>
      <c r="H317" s="71" t="inlineStr">
        <is>
          <t>https://www.codal.ir/Reports/Decision.aspx?LetterSerial=0qfm1V1bD3KGK9XrK3pUPg%3d%3d&amp;rt=5&amp;let=19&amp;ct=0&amp;ft=-1</t>
        </is>
      </c>
      <c r="I317" s="71" t="inlineStr">
        <is>
          <t>زنجیره زمانی</t>
        </is>
      </c>
      <c r="J317" s="71" t="inlineStr">
        <is>
          <t>158cfca4cf39082951dc4feead590560256b35352625c7e0578bfb0d164b9e0f</t>
        </is>
      </c>
      <c r="K317" s="71" t="inlineStr">
        <is>
          <t>sources/codal/اخابر/v38_type19/T1044308.html</t>
        </is>
      </c>
    </row>
    <row r="318" ht="58" customHeight="1" s="76">
      <c r="A318" s="70" t="inlineStr">
        <is>
          <t>T19_1051329</t>
        </is>
      </c>
      <c r="B318" s="70" t="inlineStr">
        <is>
          <t>اخابر</t>
        </is>
      </c>
      <c r="C318" s="70" t="inlineStr">
        <is>
          <t>اطلاعیه ن۴۵ (Type19)</t>
        </is>
      </c>
      <c r="D318" s="70" t="n"/>
      <c r="E318" s="70" t="inlineStr">
        <is>
          <t>معرفی /تغییر در ترکیب اعضای هیئت مدیره/مدیر عامل(اصلاحیه)</t>
        </is>
      </c>
      <c r="F318" s="70" t="n">
        <v>1051329</v>
      </c>
      <c r="G318" s="70" t="inlineStr">
        <is>
          <t>1402/04/14 12:28</t>
        </is>
      </c>
      <c r="H318" s="70" t="inlineStr">
        <is>
          <t>https://www.codal.ir/Reports/Decision.aspx?LetterSerial=7O47Nnr5yay66TU29PEqOA%3d%3d&amp;rt=5&amp;let=19&amp;ct=0&amp;ft=-1</t>
        </is>
      </c>
      <c r="I318" s="70" t="inlineStr">
        <is>
          <t>زنجیره زمانی</t>
        </is>
      </c>
      <c r="J318" s="70" t="inlineStr">
        <is>
          <t>d7bdde6953d08dae554a610908d2c864e4bbd2b09ab6a27e6252e39d0dc990fa</t>
        </is>
      </c>
      <c r="K318" s="70" t="inlineStr">
        <is>
          <t>sources/codal/اخابر/v38_type19/T1051329.html</t>
        </is>
      </c>
    </row>
    <row r="319" ht="58" customHeight="1" s="76">
      <c r="A319" s="71" t="inlineStr">
        <is>
          <t>T19_1052068</t>
        </is>
      </c>
      <c r="B319" s="71" t="inlineStr">
        <is>
          <t>اخابر</t>
        </is>
      </c>
      <c r="C319" s="71" t="inlineStr">
        <is>
          <t>اطلاعیه ن۴۵ (Type19)</t>
        </is>
      </c>
      <c r="D319" s="71" t="n"/>
      <c r="E319" s="71" t="inlineStr">
        <is>
          <t>معرفی /تغییر در ترکیب اعضای هیئت مدیره/مدیر عامل</t>
        </is>
      </c>
      <c r="F319" s="71" t="n">
        <v>1052068</v>
      </c>
      <c r="G319" s="71" t="inlineStr">
        <is>
          <t>1402/04/15 17:25</t>
        </is>
      </c>
      <c r="H319" s="71" t="inlineStr">
        <is>
          <t>https://www.codal.ir/Reports/Decision.aspx?LetterSerial=Pt3woLhnE0DKjWB5giJB0w%3d%3d&amp;rt=5&amp;let=19&amp;ct=0&amp;ft=-1</t>
        </is>
      </c>
      <c r="I319" s="71" t="inlineStr">
        <is>
          <t>زنجیره زمانی</t>
        </is>
      </c>
      <c r="J319" s="71" t="inlineStr">
        <is>
          <t>3e5b373f6f76d61de40b268d6f3ff60238532be6cf7d9ce255f7f22051515b0e</t>
        </is>
      </c>
      <c r="K319" s="71" t="inlineStr">
        <is>
          <t>sources/codal/اخابر/v38_type19/T1052068.html</t>
        </is>
      </c>
    </row>
    <row r="320" ht="58" customHeight="1" s="76">
      <c r="A320" s="70" t="inlineStr">
        <is>
          <t>T19_1261800</t>
        </is>
      </c>
      <c r="B320" s="70" t="inlineStr">
        <is>
          <t>اخابر</t>
        </is>
      </c>
      <c r="C320" s="70" t="inlineStr">
        <is>
          <t>اطلاعیه ن۴۵ (Type19)</t>
        </is>
      </c>
      <c r="D320" s="70" t="n"/>
      <c r="E320" s="70" t="inlineStr">
        <is>
          <t>معرفی /تغییر در ترکیب اعضای هیئت مدیره/مدیر عامل</t>
        </is>
      </c>
      <c r="F320" s="70" t="n">
        <v>1261800</v>
      </c>
      <c r="G320" s="70" t="inlineStr">
        <is>
          <t>1403/08/06 10:55</t>
        </is>
      </c>
      <c r="H320" s="70" t="inlineStr">
        <is>
          <t>https://www.codal.ir/Reports/Decision.aspx?LetterSerial=ujGa6aIIvCRVkAl71X3OOObOOOeg%3d%3d&amp;rt=5&amp;let=19&amp;ct=0&amp;ft=-1</t>
        </is>
      </c>
      <c r="I320" s="70" t="inlineStr">
        <is>
          <t>زنجیره زمانی</t>
        </is>
      </c>
      <c r="J320" s="70" t="inlineStr">
        <is>
          <t>9d7c708f0544e874398cf14062fd8d5d88fdc8e001301e4f9e9d746d331b1695</t>
        </is>
      </c>
      <c r="K320" s="70" t="inlineStr">
        <is>
          <t>sources/codal/اخابر/v38_type19/T1261800.html</t>
        </is>
      </c>
    </row>
    <row r="321" ht="58" customHeight="1" s="76">
      <c r="A321" s="71" t="inlineStr">
        <is>
          <t>T19_1266583</t>
        </is>
      </c>
      <c r="B321" s="71" t="inlineStr">
        <is>
          <t>اخابر</t>
        </is>
      </c>
      <c r="C321" s="71" t="inlineStr">
        <is>
          <t>اطلاعیه ن۴۵ (Type19)</t>
        </is>
      </c>
      <c r="D321" s="71" t="n"/>
      <c r="E321" s="71" t="inlineStr">
        <is>
          <t>معرفی /تغییر در ترکیب اعضای هیئت مدیره/مدیر عامل</t>
        </is>
      </c>
      <c r="F321" s="71" t="n">
        <v>1266583</v>
      </c>
      <c r="G321" s="71" t="inlineStr">
        <is>
          <t>1403/08/15 19:29</t>
        </is>
      </c>
      <c r="H321" s="71" t="inlineStr">
        <is>
          <t>https://www.codal.ir/Reports/Decision.aspx?LetterSerial=DChbP0284SDzUHTP7siUEA%3d%3d&amp;rt=5&amp;let=19&amp;ct=0&amp;ft=-1</t>
        </is>
      </c>
      <c r="I321" s="71" t="inlineStr">
        <is>
          <t>زنجیره زمانی</t>
        </is>
      </c>
      <c r="J321" s="71" t="inlineStr">
        <is>
          <t>6faa268d7f6f73fa1571ba9acc9107f49b10b9ed809bd8c31532781cc6f31bcc</t>
        </is>
      </c>
      <c r="K321" s="71" t="inlineStr">
        <is>
          <t>sources/codal/اخابر/v38_type19/T1266583.html</t>
        </is>
      </c>
    </row>
    <row r="322" ht="58" customHeight="1" s="76">
      <c r="A322" s="70" t="inlineStr">
        <is>
          <t>T19_1286343</t>
        </is>
      </c>
      <c r="B322" s="70" t="inlineStr">
        <is>
          <t>اخابر</t>
        </is>
      </c>
      <c r="C322" s="70" t="inlineStr">
        <is>
          <t>اطلاعیه ن۴۵ (Type19)</t>
        </is>
      </c>
      <c r="D322" s="70" t="n"/>
      <c r="E322" s="70" t="inlineStr">
        <is>
          <t>معرفی /تغییر در ترکیب اعضای هیئت مدیره/مدیر عامل</t>
        </is>
      </c>
      <c r="F322" s="70" t="n">
        <v>1286343</v>
      </c>
      <c r="G322" s="70" t="inlineStr">
        <is>
          <t>1403/10/02 17:15</t>
        </is>
      </c>
      <c r="H322" s="70" t="inlineStr">
        <is>
          <t>https://www.codal.ir/Reports/Decision.aspx?LetterSerial=SRkC9lGCpeB41OA99IWMKQ%3d%3d&amp;rt=5&amp;let=19&amp;ct=0&amp;ft=-1</t>
        </is>
      </c>
      <c r="I322" s="70" t="inlineStr">
        <is>
          <t>زنجیره زمانی</t>
        </is>
      </c>
      <c r="J322" s="70" t="inlineStr">
        <is>
          <t>6bd301aaa6b2bdb654ca7ce3cf0bac2c48f172efd46163619483f51ea898e508</t>
        </is>
      </c>
      <c r="K322" s="70" t="inlineStr">
        <is>
          <t>sources/codal/اخابر/v38_type19/T1286343.html</t>
        </is>
      </c>
    </row>
    <row r="323" ht="58" customHeight="1" s="76">
      <c r="A323" s="71" t="inlineStr">
        <is>
          <t>T19_1405147</t>
        </is>
      </c>
      <c r="B323" s="71" t="inlineStr">
        <is>
          <t>اخابر</t>
        </is>
      </c>
      <c r="C323" s="71" t="inlineStr">
        <is>
          <t>اطلاعیه ن۴۵ (Type19)</t>
        </is>
      </c>
      <c r="D323" s="71" t="n"/>
      <c r="E323" s="71" t="inlineStr">
        <is>
          <t>معرفی /تغییر در ترکیب اعضای هیئت مدیره/مدیر عامل</t>
        </is>
      </c>
      <c r="F323" s="71" t="n">
        <v>1405147</v>
      </c>
      <c r="G323" s="71" t="inlineStr">
        <is>
          <t>1404/06/23 12:31</t>
        </is>
      </c>
      <c r="H323" s="71" t="inlineStr">
        <is>
          <t>https://www.codal.ir/Reports/Decision.aspx?LetterSerial=iXcFNxwCjn4aV4ptXi6QQQaQQQjA%3d%3d&amp;rt=5&amp;let=19&amp;ct=0&amp;ft=-1</t>
        </is>
      </c>
      <c r="I323" s="71" t="inlineStr">
        <is>
          <t>زنجیره زمانی</t>
        </is>
      </c>
      <c r="J323" s="71" t="inlineStr">
        <is>
          <t>a58e4fd21d7e57383a9c8c98882f9bed5ccc535cc81ca7178de10802782865af</t>
        </is>
      </c>
      <c r="K323" s="71" t="inlineStr">
        <is>
          <t>sources/codal/اخابر/v38_type19/T1405147.html</t>
        </is>
      </c>
    </row>
    <row r="324" ht="58" customHeight="1" s="76">
      <c r="A324" s="70" t="inlineStr">
        <is>
          <t>T19_1418346</t>
        </is>
      </c>
      <c r="B324" s="70" t="inlineStr">
        <is>
          <t>اخابر</t>
        </is>
      </c>
      <c r="C324" s="70" t="inlineStr">
        <is>
          <t>اطلاعیه ن۴۵ (Type19)</t>
        </is>
      </c>
      <c r="D324" s="70" t="n"/>
      <c r="E324" s="70" t="inlineStr">
        <is>
          <t>معرفی /تغییر در ترکیب اعضای هیئت مدیره/مدیر عامل</t>
        </is>
      </c>
      <c r="F324" s="70" t="n">
        <v>1418346</v>
      </c>
      <c r="G324" s="70" t="inlineStr">
        <is>
          <t>1404/07/22 17:39</t>
        </is>
      </c>
      <c r="H324" s="70" t="inlineStr">
        <is>
          <t>https://www.codal.ir/Reports/Decision.aspx?LetterSerial=JQ9AnXgyHlxVlK43XAngQQQaQQQw%3d%3d&amp;rt=5&amp;let=19&amp;ct=0&amp;ft=-1</t>
        </is>
      </c>
      <c r="I324" s="70" t="inlineStr">
        <is>
          <t>زنجیره زمانی</t>
        </is>
      </c>
      <c r="J324" s="70" t="inlineStr">
        <is>
          <t>545e912aa925c8ee70a0dbfb6aa11ffb9760494a30bbc9ba4c99638e1e7d84ab</t>
        </is>
      </c>
      <c r="K324" s="70" t="inlineStr">
        <is>
          <t>sources/codal/اخابر/v38_type19/T1418346.html</t>
        </is>
      </c>
    </row>
    <row r="325" ht="58" customHeight="1" s="76">
      <c r="A325" s="71" t="inlineStr">
        <is>
          <t>T19_1432680</t>
        </is>
      </c>
      <c r="B325" s="71" t="inlineStr">
        <is>
          <t>اخابر</t>
        </is>
      </c>
      <c r="C325" s="71" t="inlineStr">
        <is>
          <t>اطلاعیه ن۴۵ (Type19)</t>
        </is>
      </c>
      <c r="D325" s="71" t="n"/>
      <c r="E325" s="71" t="inlineStr">
        <is>
          <t>معرفی /تغییر در ترکیب اعضای هیئت مدیره/مدیر عامل</t>
        </is>
      </c>
      <c r="F325" s="71" t="n">
        <v>1432680</v>
      </c>
      <c r="G325" s="71" t="inlineStr">
        <is>
          <t>1404/08/14 14:18</t>
        </is>
      </c>
      <c r="H325" s="71" t="inlineStr">
        <is>
          <t>https://www.codal.ir/Reports/Decision.aspx?LetterSerial=GSIO5iJOn2Ini6eniOOOObOOOopw%3d%3d&amp;rt=5&amp;let=19&amp;ct=0&amp;ft=-1</t>
        </is>
      </c>
      <c r="I325" s="71" t="inlineStr">
        <is>
          <t>مبنای فهرست اعضا در as-of</t>
        </is>
      </c>
      <c r="J325" s="71" t="inlineStr">
        <is>
          <t>667d4e1e6602c9125e6630f92377eaf7f5c7ceec7b44e9d3cdd744358527bf2a</t>
        </is>
      </c>
      <c r="K325" s="71" t="inlineStr">
        <is>
          <t>sources/codal/اخابر/v38_type19/T1432680.html</t>
        </is>
      </c>
    </row>
    <row r="326" ht="58" customHeight="1" s="76">
      <c r="A326" s="70" t="inlineStr">
        <is>
          <t>T19_866035</t>
        </is>
      </c>
      <c r="B326" s="70" t="inlineStr">
        <is>
          <t>جم</t>
        </is>
      </c>
      <c r="C326" s="70" t="inlineStr">
        <is>
          <t>اطلاعیه ن۴۵ (Type19)</t>
        </is>
      </c>
      <c r="D326" s="70" t="n"/>
      <c r="E326" s="70" t="inlineStr">
        <is>
          <t>معرفی یا تغییر در ترکیب اعضای هیئت مدیره</t>
        </is>
      </c>
      <c r="F326" s="70" t="n">
        <v>866035</v>
      </c>
      <c r="G326" s="70" t="inlineStr">
        <is>
          <t>1401/01/10 18:58</t>
        </is>
      </c>
      <c r="H326" s="70" t="inlineStr">
        <is>
          <t>https://www.codal.ir/Reports/Decision.aspx?LetterSerial=QQQaQQQwecAuYp6rFNmk7nTAZQQQaQQQLw%3D%3D&amp;rt=0&amp;let=19&amp;ct=0&amp;ft=-1</t>
        </is>
      </c>
      <c r="I326" s="70" t="inlineStr">
        <is>
          <t>زنجیره زمانی</t>
        </is>
      </c>
      <c r="J326" s="70" t="inlineStr">
        <is>
          <t>d1a7ad6b25d3aa92dd528e1199c8841e294869f8373ba6be5c739dc76b06ff74</t>
        </is>
      </c>
      <c r="K326" s="70" t="inlineStr">
        <is>
          <t>sources/codal/جم/v38_type19/T866035.html</t>
        </is>
      </c>
    </row>
    <row r="327" ht="58" customHeight="1" s="76">
      <c r="A327" s="71" t="inlineStr">
        <is>
          <t>T19_904251</t>
        </is>
      </c>
      <c r="B327" s="71" t="inlineStr">
        <is>
          <t>جم</t>
        </is>
      </c>
      <c r="C327" s="71" t="inlineStr">
        <is>
          <t>اطلاعیه ن۴۵ (Type19)</t>
        </is>
      </c>
      <c r="D327" s="71" t="n"/>
      <c r="E327" s="71" t="inlineStr">
        <is>
          <t>معرفی یا تغییر در ترکیب اعضای هیئت مدیره</t>
        </is>
      </c>
      <c r="F327" s="71" t="n">
        <v>904251</v>
      </c>
      <c r="G327" s="71" t="inlineStr">
        <is>
          <t>1401/04/08 13:03</t>
        </is>
      </c>
      <c r="H327" s="71" t="inlineStr">
        <is>
          <t>https://www.codal.ir/Reports/Decision.aspx?LetterSerial=wBoscN6JX42lVB5PEmQOag%3d%3d&amp;rt=0&amp;let=19&amp;ct=0&amp;ft=-1</t>
        </is>
      </c>
      <c r="I327" s="71" t="inlineStr">
        <is>
          <t>زنجیره زمانی</t>
        </is>
      </c>
      <c r="J327" s="71" t="inlineStr">
        <is>
          <t>472ea9a0565608f630149d219be7ec6f668684b58cbbc4f52cdefb8fa8bb3461</t>
        </is>
      </c>
      <c r="K327" s="71" t="inlineStr">
        <is>
          <t>sources/codal/جم/v38_type19/T904251.html</t>
        </is>
      </c>
    </row>
    <row r="328" ht="58" customHeight="1" s="76">
      <c r="A328" s="70" t="inlineStr">
        <is>
          <t>T19_937186</t>
        </is>
      </c>
      <c r="B328" s="70" t="inlineStr">
        <is>
          <t>جم</t>
        </is>
      </c>
      <c r="C328" s="70" t="inlineStr">
        <is>
          <t>اطلاعیه ن۴۵ (Type19)</t>
        </is>
      </c>
      <c r="D328" s="70" t="n"/>
      <c r="E328" s="70" t="inlineStr">
        <is>
          <t>معرفی /تغییر در ترکیب اعضای هیئت مدیره/مدیر عامل</t>
        </is>
      </c>
      <c r="F328" s="70" t="n">
        <v>937186</v>
      </c>
      <c r="G328" s="70" t="inlineStr">
        <is>
          <t>1401/06/21 11:39</t>
        </is>
      </c>
      <c r="H328" s="70" t="inlineStr">
        <is>
          <t>https://www.codal.ir/Reports/Decision.aspx?LetterSerial=jfMgBstaHwHrE4XIEMjtQA%3d%3d&amp;rt=0&amp;let=19&amp;ct=0&amp;ft=-1</t>
        </is>
      </c>
      <c r="I328" s="70" t="inlineStr">
        <is>
          <t>زنجیره زمانی</t>
        </is>
      </c>
      <c r="J328" s="70" t="inlineStr">
        <is>
          <t>b91974171456e258d6c8e8c2727e4454b1db4de5ca849f7806ac5cbce8588081</t>
        </is>
      </c>
      <c r="K328" s="70" t="inlineStr">
        <is>
          <t>sources/codal/جم/v38_type19/T937186.html</t>
        </is>
      </c>
    </row>
    <row r="329" ht="58" customHeight="1" s="76">
      <c r="A329" s="71" t="inlineStr">
        <is>
          <t>T19_1000543</t>
        </is>
      </c>
      <c r="B329" s="71" t="inlineStr">
        <is>
          <t>جم</t>
        </is>
      </c>
      <c r="C329" s="71" t="inlineStr">
        <is>
          <t>اطلاعیه ن۴۵ (Type19)</t>
        </is>
      </c>
      <c r="D329" s="71" t="n"/>
      <c r="E329" s="71" t="inlineStr">
        <is>
          <t>معرفی /تغییر در ترکیب اعضای هیئت مدیره/مدیر عامل</t>
        </is>
      </c>
      <c r="F329" s="71" t="n">
        <v>1000543</v>
      </c>
      <c r="G329" s="71" t="inlineStr">
        <is>
          <t>1401/12/15 12:29</t>
        </is>
      </c>
      <c r="H329" s="71" t="inlineStr">
        <is>
          <t>https://www.codal.ir/Reports/Decision.aspx?LetterSerial=BVPjhsUQQQaQQQmDwFn6BMsydnbw%3d%3d&amp;rt=0&amp;let=19&amp;ct=0&amp;ft=-1</t>
        </is>
      </c>
      <c r="I329" s="71" t="inlineStr">
        <is>
          <t>زنجیره زمانی</t>
        </is>
      </c>
      <c r="J329" s="71" t="inlineStr">
        <is>
          <t>a58420c4fc2db40a967a76f8a23768308ae47c9d53fa80b0e06abe0f4e7183d6</t>
        </is>
      </c>
      <c r="K329" s="71" t="inlineStr">
        <is>
          <t>sources/codal/جم/v38_type19/T1000543.html</t>
        </is>
      </c>
    </row>
    <row r="330" ht="58" customHeight="1" s="76">
      <c r="A330" s="70" t="inlineStr">
        <is>
          <t>T19_1083618</t>
        </is>
      </c>
      <c r="B330" s="70" t="inlineStr">
        <is>
          <t>جم</t>
        </is>
      </c>
      <c r="C330" s="70" t="inlineStr">
        <is>
          <t>اطلاعیه ن۴۵ (Type19)</t>
        </is>
      </c>
      <c r="D330" s="70" t="n"/>
      <c r="E330" s="70" t="inlineStr">
        <is>
          <t>معرفی /تغییر در ترکیب اعضای هیئت مدیره/مدیر عامل</t>
        </is>
      </c>
      <c r="F330" s="70" t="n">
        <v>1083618</v>
      </c>
      <c r="G330" s="70" t="inlineStr">
        <is>
          <t>1402/07/03 11:20</t>
        </is>
      </c>
      <c r="H330" s="70" t="inlineStr">
        <is>
          <t>https://www.codal.ir/Reports/Decision.aspx?LetterSerial=BywFRk%2bVmOyfbAbGlVOzow%3d%3d&amp;rt=0&amp;let=19&amp;ct=0&amp;ft=-1</t>
        </is>
      </c>
      <c r="I330" s="70" t="inlineStr">
        <is>
          <t>زنجیره زمانی</t>
        </is>
      </c>
      <c r="J330" s="70" t="inlineStr">
        <is>
          <t>1418b3bbd9d0e9c1aba0f977f156bc1f84e93b58408eb30a25ba168a8208d0d6</t>
        </is>
      </c>
      <c r="K330" s="70" t="inlineStr">
        <is>
          <t>sources/codal/جم/v38_type19/T1083618.html</t>
        </is>
      </c>
    </row>
    <row r="331" ht="58" customHeight="1" s="76">
      <c r="A331" s="71" t="inlineStr">
        <is>
          <t>T19_1103264</t>
        </is>
      </c>
      <c r="B331" s="71" t="inlineStr">
        <is>
          <t>جم</t>
        </is>
      </c>
      <c r="C331" s="71" t="inlineStr">
        <is>
          <t>اطلاعیه ن۴۵ (Type19)</t>
        </is>
      </c>
      <c r="D331" s="71" t="n"/>
      <c r="E331" s="71" t="inlineStr">
        <is>
          <t>معرفی /تغییر در ترکیب اعضای هیئت مدیره/مدیر عامل</t>
        </is>
      </c>
      <c r="F331" s="71" t="n">
        <v>1103264</v>
      </c>
      <c r="G331" s="71" t="inlineStr">
        <is>
          <t>1402/08/17 14:46</t>
        </is>
      </c>
      <c r="H331" s="71" t="inlineStr">
        <is>
          <t>https://www.codal.ir/Reports/Decision.aspx?LetterSerial=%2bSVPuGQIFtXn%2bFnGBEF7mg%3d%3d&amp;rt=0&amp;let=19&amp;ct=0&amp;ft=-1</t>
        </is>
      </c>
      <c r="I331" s="71" t="inlineStr">
        <is>
          <t>زنجیره زمانی</t>
        </is>
      </c>
      <c r="J331" s="71" t="inlineStr">
        <is>
          <t>b05ada3ef9db508203dded7cd5dd1b33c14739097b49946e380cb0cc62d00c91</t>
        </is>
      </c>
      <c r="K331" s="71" t="inlineStr">
        <is>
          <t>sources/codal/جم/v38_type19/T1103264.html</t>
        </is>
      </c>
    </row>
    <row r="332" ht="58" customHeight="1" s="76">
      <c r="A332" s="70" t="inlineStr">
        <is>
          <t>T19_1103307</t>
        </is>
      </c>
      <c r="B332" s="70" t="inlineStr">
        <is>
          <t>جم</t>
        </is>
      </c>
      <c r="C332" s="70" t="inlineStr">
        <is>
          <t>اطلاعیه ن۴۵ (Type19)</t>
        </is>
      </c>
      <c r="D332" s="70" t="n"/>
      <c r="E332" s="70" t="inlineStr">
        <is>
          <t>معرفی /تغییر در ترکیب اعضای هیئت مدیره/مدیر عامل</t>
        </is>
      </c>
      <c r="F332" s="70" t="n">
        <v>1103307</v>
      </c>
      <c r="G332" s="70" t="inlineStr">
        <is>
          <t>1402/08/17 15:04</t>
        </is>
      </c>
      <c r="H332" s="70" t="inlineStr">
        <is>
          <t>https://www.codal.ir/Reports/Decision.aspx?LetterSerial=QYOVdzTfmj02j3R4V71xfw%3d%3d&amp;rt=0&amp;let=19&amp;ct=0&amp;ft=-1</t>
        </is>
      </c>
      <c r="I332" s="70" t="inlineStr">
        <is>
          <t>زنجیره زمانی</t>
        </is>
      </c>
      <c r="J332" s="70" t="inlineStr">
        <is>
          <t>708a2bf9721749b726050a48a5cf914d0e9224ef068387dafae6e116aef9da06</t>
        </is>
      </c>
      <c r="K332" s="70" t="inlineStr">
        <is>
          <t>sources/codal/جم/v38_type19/T1103307.html</t>
        </is>
      </c>
    </row>
    <row r="333" ht="58" customHeight="1" s="76">
      <c r="A333" s="71" t="inlineStr">
        <is>
          <t>T19_1140272</t>
        </is>
      </c>
      <c r="B333" s="71" t="inlineStr">
        <is>
          <t>جم</t>
        </is>
      </c>
      <c r="C333" s="71" t="inlineStr">
        <is>
          <t>اطلاعیه ن۴۵ (Type19)</t>
        </is>
      </c>
      <c r="D333" s="71" t="n"/>
      <c r="E333" s="71" t="inlineStr">
        <is>
          <t>معرفی /تغییر در ترکیب اعضای هیئت مدیره/مدیر عامل</t>
        </is>
      </c>
      <c r="F333" s="71" t="n">
        <v>1140272</v>
      </c>
      <c r="G333" s="71" t="inlineStr">
        <is>
          <t>1402/10/24 12:05</t>
        </is>
      </c>
      <c r="H333" s="71" t="inlineStr">
        <is>
          <t>https://www.codal.ir/Reports/Decision.aspx?LetterSerial=j5SxwOHbIXL4A05XR3rRow%3d%3d&amp;rt=0&amp;let=19&amp;ct=0&amp;ft=-1</t>
        </is>
      </c>
      <c r="I333" s="71" t="inlineStr">
        <is>
          <t>زنجیره زمانی</t>
        </is>
      </c>
      <c r="J333" s="71" t="inlineStr">
        <is>
          <t>4cd8f07976cb01f00f6056b3a1727f9ea18738213aef980b0db1e4317b4b85cc</t>
        </is>
      </c>
      <c r="K333" s="71" t="inlineStr">
        <is>
          <t>sources/codal/جم/v38_type19/T1140272.html</t>
        </is>
      </c>
    </row>
    <row r="334" ht="58" customHeight="1" s="76">
      <c r="A334" s="70" t="inlineStr">
        <is>
          <t>T19_1151060</t>
        </is>
      </c>
      <c r="B334" s="70" t="inlineStr">
        <is>
          <t>جم</t>
        </is>
      </c>
      <c r="C334" s="70" t="inlineStr">
        <is>
          <t>اطلاعیه ن۴۵ (Type19)</t>
        </is>
      </c>
      <c r="D334" s="70" t="n"/>
      <c r="E334" s="70" t="inlineStr">
        <is>
          <t>معرفی /تغییر در ترکیب اعضای هیئت مدیره/مدیر عامل</t>
        </is>
      </c>
      <c r="F334" s="70" t="n">
        <v>1151060</v>
      </c>
      <c r="G334" s="70" t="inlineStr">
        <is>
          <t>1402/11/16 15:52</t>
        </is>
      </c>
      <c r="H334" s="70" t="inlineStr">
        <is>
          <t>https://www.codal.ir/Reports/Decision.aspx?LetterSerial=BY8YXlJLNgWdHoQQQaQQQN2kMTZQ%3d%3d&amp;rt=0&amp;let=19&amp;ct=0&amp;ft=-1</t>
        </is>
      </c>
      <c r="I334" s="70" t="inlineStr">
        <is>
          <t>زنجیره زمانی</t>
        </is>
      </c>
      <c r="J334" s="70" t="inlineStr">
        <is>
          <t>32693081dd79442ec16197ba50675286e13c319809ab01852849e9d18d11fbf0</t>
        </is>
      </c>
      <c r="K334" s="70" t="inlineStr">
        <is>
          <t>sources/codal/جم/v38_type19/T1151060.html</t>
        </is>
      </c>
    </row>
    <row r="335" ht="58" customHeight="1" s="76">
      <c r="A335" s="71" t="inlineStr">
        <is>
          <t>T19_1171265</t>
        </is>
      </c>
      <c r="B335" s="71" t="inlineStr">
        <is>
          <t>جم</t>
        </is>
      </c>
      <c r="C335" s="71" t="inlineStr">
        <is>
          <t>اطلاعیه ن۴۵ (Type19)</t>
        </is>
      </c>
      <c r="D335" s="71" t="n"/>
      <c r="E335" s="71" t="inlineStr">
        <is>
          <t>معرفی /تغییر در ترکیب اعضای هیئت مدیره/مدیر عامل</t>
        </is>
      </c>
      <c r="F335" s="71" t="n">
        <v>1171265</v>
      </c>
      <c r="G335" s="71" t="inlineStr">
        <is>
          <t>1402/12/28 15:00</t>
        </is>
      </c>
      <c r="H335" s="71" t="inlineStr">
        <is>
          <t>https://www.codal.ir/Reports/Decision.aspx?LetterSerial=SZoueUaBHVA%2bs%2bgcP%2bwj4A%3d%3d&amp;rt=0&amp;let=19&amp;ct=0&amp;ft=-1</t>
        </is>
      </c>
      <c r="I335" s="71" t="inlineStr">
        <is>
          <t>زنجیره زمانی</t>
        </is>
      </c>
      <c r="J335" s="71" t="inlineStr">
        <is>
          <t>507537ac1b92d9d67091ff68af1f13359e1162a9d141974db27fbf69618bf863</t>
        </is>
      </c>
      <c r="K335" s="71" t="inlineStr">
        <is>
          <t>sources/codal/جم/v38_type19/T1171265.html</t>
        </is>
      </c>
    </row>
    <row r="336" ht="58" customHeight="1" s="76">
      <c r="A336" s="70" t="inlineStr">
        <is>
          <t>T19_1398534</t>
        </is>
      </c>
      <c r="B336" s="70" t="inlineStr">
        <is>
          <t>جم</t>
        </is>
      </c>
      <c r="C336" s="70" t="inlineStr">
        <is>
          <t>اطلاعیه ن۴۵ (Type19)</t>
        </is>
      </c>
      <c r="D336" s="70" t="n"/>
      <c r="E336" s="70" t="inlineStr">
        <is>
          <t>معرفی /تغییر در ترکیب اعضای هیئت مدیره/مدیر عامل</t>
        </is>
      </c>
      <c r="F336" s="70" t="n">
        <v>1398534</v>
      </c>
      <c r="G336" s="70" t="inlineStr">
        <is>
          <t>1404/06/05 17:45</t>
        </is>
      </c>
      <c r="H336" s="70" t="inlineStr">
        <is>
          <t>https://www.codal.ir/Reports/Decision.aspx?LetterSerial=BpLLXiooiLziZroLI2hLPQ%3d%3d&amp;rt=0&amp;let=19&amp;ct=0&amp;ft=-1</t>
        </is>
      </c>
      <c r="I336" s="70" t="inlineStr">
        <is>
          <t>زنجیره زمانی</t>
        </is>
      </c>
      <c r="J336" s="70" t="inlineStr">
        <is>
          <t>ba284b4d8c2b8d47198022851357a9a5007efc2910fb3055c9d62460f344d789</t>
        </is>
      </c>
      <c r="K336" s="70" t="inlineStr">
        <is>
          <t>sources/codal/جم/v38_type19/T1398534.html</t>
        </is>
      </c>
    </row>
    <row r="337" ht="58" customHeight="1" s="76">
      <c r="A337" s="71" t="inlineStr">
        <is>
          <t>T19_1399215</t>
        </is>
      </c>
      <c r="B337" s="71" t="inlineStr">
        <is>
          <t>جم</t>
        </is>
      </c>
      <c r="C337" s="71" t="inlineStr">
        <is>
          <t>اطلاعیه ن۴۵ (Type19)</t>
        </is>
      </c>
      <c r="D337" s="71" t="n"/>
      <c r="E337" s="71" t="inlineStr">
        <is>
          <t>معرفی /تغییر در ترکیب اعضای هیئت مدیره/مدیر عامل</t>
        </is>
      </c>
      <c r="F337" s="71" t="n">
        <v>1399215</v>
      </c>
      <c r="G337" s="71" t="inlineStr">
        <is>
          <t>1404/06/08 11:40</t>
        </is>
      </c>
      <c r="H337" s="71" t="inlineStr">
        <is>
          <t>https://www.codal.ir/Reports/Decision.aspx?LetterSerial=JuXheakfAUNbArDkIAq59w%3d%3d&amp;rt=0&amp;let=19&amp;ct=0&amp;ft=-1</t>
        </is>
      </c>
      <c r="I337" s="71" t="inlineStr">
        <is>
          <t>زنجیره زمانی</t>
        </is>
      </c>
      <c r="J337" s="71" t="inlineStr">
        <is>
          <t>9e8e6a827c9838a17641c1a693287c321b375e3f50efb9d3622492dc9ce10e8c</t>
        </is>
      </c>
      <c r="K337" s="71" t="inlineStr">
        <is>
          <t>sources/codal/جم/v38_type19/T1399215.html</t>
        </is>
      </c>
    </row>
    <row r="338" ht="58" customHeight="1" s="76">
      <c r="A338" s="70" t="inlineStr">
        <is>
          <t>T19_1407198</t>
        </is>
      </c>
      <c r="B338" s="70" t="inlineStr">
        <is>
          <t>جم</t>
        </is>
      </c>
      <c r="C338" s="70" t="inlineStr">
        <is>
          <t>اطلاعیه ن۴۵ (Type19)</t>
        </is>
      </c>
      <c r="D338" s="70" t="n"/>
      <c r="E338" s="70" t="inlineStr">
        <is>
          <t>معرفی /تغییر در ترکیب اعضای هیئت مدیره/مدیر عامل</t>
        </is>
      </c>
      <c r="F338" s="70" t="n">
        <v>1407198</v>
      </c>
      <c r="G338" s="70" t="inlineStr">
        <is>
          <t>1404/06/29 14:50</t>
        </is>
      </c>
      <c r="H338" s="70" t="inlineStr">
        <is>
          <t>https://www.codal.ir/Reports/Decision.aspx?LetterSerial=zrRXQNzllX2hozqxWf2Nng%3d%3d&amp;rt=0&amp;let=19&amp;ct=0&amp;ft=-1</t>
        </is>
      </c>
      <c r="I338" s="70" t="inlineStr">
        <is>
          <t>زنجیره زمانی</t>
        </is>
      </c>
      <c r="J338" s="70" t="inlineStr">
        <is>
          <t>af838ab8e6448858723531c90acbf823dada7504f9a1f5d0df980f4fb4b03ca5</t>
        </is>
      </c>
      <c r="K338" s="70" t="inlineStr">
        <is>
          <t>sources/codal/جم/v38_type19/T1407198.html</t>
        </is>
      </c>
    </row>
    <row r="339" ht="58" customHeight="1" s="76">
      <c r="A339" s="71" t="inlineStr">
        <is>
          <t>T19_1527389</t>
        </is>
      </c>
      <c r="B339" s="71" t="inlineStr">
        <is>
          <t>جم</t>
        </is>
      </c>
      <c r="C339" s="71" t="inlineStr">
        <is>
          <t>اطلاعیه ن۴۵ (Type19)</t>
        </is>
      </c>
      <c r="D339" s="71" t="n"/>
      <c r="E339" s="71" t="inlineStr">
        <is>
          <t>معرفی /تغییر در ترکیب اعضای هیئت مدیره/مدیر عامل</t>
        </is>
      </c>
      <c r="F339" s="71" t="n">
        <v>1527389</v>
      </c>
      <c r="G339" s="71" t="inlineStr">
        <is>
          <t>1405/02/29 10:18</t>
        </is>
      </c>
      <c r="H339" s="71" t="inlineStr">
        <is>
          <t>https://www.codal.ir/Reports/Decision.aspx?LetterSerial=QQQaQQQtpQVpIOOObOOOPhcgQQQaQQQA5ahYjCjA%3d%3d&amp;rt=0&amp;let=19&amp;ct=0&amp;ft=-1</t>
        </is>
      </c>
      <c r="I339" s="71" t="inlineStr">
        <is>
          <t>مبنای فهرست اعضا در as-of</t>
        </is>
      </c>
      <c r="J339" s="71" t="inlineStr">
        <is>
          <t>90c0962ce8680c8714c00223e4870a4e56e20125f3b721b3616e48234c299ea4</t>
        </is>
      </c>
      <c r="K339" s="71" t="inlineStr">
        <is>
          <t>sources/codal/جم/v38_type19/T1527389.html</t>
        </is>
      </c>
    </row>
    <row r="340" ht="58" customHeight="1" s="76">
      <c r="A340" s="70" t="inlineStr">
        <is>
          <t>T19_1557936</t>
        </is>
      </c>
      <c r="B340" s="70" t="inlineStr">
        <is>
          <t>جم</t>
        </is>
      </c>
      <c r="C340" s="70" t="inlineStr">
        <is>
          <t>اطلاعیه ن۴۵ (Type19)</t>
        </is>
      </c>
      <c r="D340" s="70" t="n"/>
      <c r="E340" s="70" t="inlineStr">
        <is>
          <t>معرفی /تغییر در ترکیب اعضای هیئت مدیره/مدیر عامل</t>
        </is>
      </c>
      <c r="F340" s="70" t="n">
        <v>1557936</v>
      </c>
      <c r="G340" s="70" t="inlineStr">
        <is>
          <t>1405/04/07 14:58</t>
        </is>
      </c>
      <c r="H340" s="70" t="inlineStr">
        <is>
          <t>https://www.codal.ir/Reports/Decision.aspx?LetterSerial=QQQaQQQWCUm2M5CmxUrMMEL8WDbw%3d%3d&amp;rt=0&amp;let=19&amp;ct=0&amp;ft=-1</t>
        </is>
      </c>
      <c r="I340" s="70" t="inlineStr">
        <is>
          <t>زنجیره زمانی</t>
        </is>
      </c>
      <c r="J340" s="70" t="inlineStr">
        <is>
          <t>9919c0a8958767b08d8ddd0bf3919f6389c7190cce28bb6bd200d445dfe114ac</t>
        </is>
      </c>
      <c r="K340" s="70" t="inlineStr">
        <is>
          <t>sources/codal/جم/v38_type19/T1557936.html</t>
        </is>
      </c>
    </row>
    <row r="341" ht="58" customHeight="1" s="76">
      <c r="A341" s="71" t="inlineStr">
        <is>
          <t>T19_1605684</t>
        </is>
      </c>
      <c r="B341" s="71" t="inlineStr">
        <is>
          <t>جم</t>
        </is>
      </c>
      <c r="C341" s="71" t="inlineStr">
        <is>
          <t>اطلاعیه ن۴۵ (Type19)</t>
        </is>
      </c>
      <c r="D341" s="71" t="n"/>
      <c r="E341" s="71" t="inlineStr">
        <is>
          <t>معرفی /تغییر در ترکیب اعضای هیئت مدیره/مدیر عامل</t>
        </is>
      </c>
      <c r="F341" s="71" t="n">
        <v>1605684</v>
      </c>
      <c r="G341" s="71" t="inlineStr">
        <is>
          <t>1405/07/07 11:30</t>
        </is>
      </c>
      <c r="H341" s="71" t="inlineStr">
        <is>
          <t>https://www.codal.ir/Reports/Decision.aspx?LetterSerial=SaKM6Mdx6kOLXsfgkfl8EA%3d%3d&amp;rt=0&amp;let=19&amp;ct=0&amp;ft=-1</t>
        </is>
      </c>
      <c r="I341" s="71" t="inlineStr">
        <is>
          <t>زنجیره زمانی</t>
        </is>
      </c>
      <c r="J341" s="71" t="inlineStr">
        <is>
          <t>25a830835d1000f973901c0e00941fdef4d1fe084267d0cdcd3a6adf69adc79a</t>
        </is>
      </c>
      <c r="K341" s="71" t="inlineStr">
        <is>
          <t>sources/codal/جم/v38_type19/T1605684.html</t>
        </is>
      </c>
    </row>
    <row r="342" ht="58" customHeight="1" s="76">
      <c r="A342" s="70" t="inlineStr">
        <is>
          <t>T19_947347</t>
        </is>
      </c>
      <c r="B342" s="70" t="inlineStr">
        <is>
          <t>ومعادن</t>
        </is>
      </c>
      <c r="C342" s="70" t="inlineStr">
        <is>
          <t>اطلاعیه ن۴۵ (Type19)</t>
        </is>
      </c>
      <c r="D342" s="70" t="n"/>
      <c r="E342" s="70" t="inlineStr">
        <is>
          <t>معرفی /تغییر در ترکیب اعضای هیئت مدیره/مدیر عامل</t>
        </is>
      </c>
      <c r="F342" s="70" t="n">
        <v>947347</v>
      </c>
      <c r="G342" s="70" t="inlineStr">
        <is>
          <t>1401/07/27 12:11</t>
        </is>
      </c>
      <c r="H342" s="70" t="inlineStr">
        <is>
          <t>https://www.codal.ir/Reports/Decision.aspx?LetterSerial=Svpyapp7T8fHj43RnDozPg%3d%3d&amp;rt=2&amp;let=19&amp;ct=0&amp;ft=-1</t>
        </is>
      </c>
      <c r="I342" s="70" t="inlineStr">
        <is>
          <t>زنجیره زمانی</t>
        </is>
      </c>
      <c r="J342" s="70" t="inlineStr">
        <is>
          <t>32d3961b7dd684647f99dee1c1928990a843c7a757f3c0533c9bed8a2dc02379</t>
        </is>
      </c>
      <c r="K342" s="70" t="inlineStr">
        <is>
          <t>sources/codal/ومعادن/v38_type19/T947347.html</t>
        </is>
      </c>
    </row>
    <row r="343" ht="58" customHeight="1" s="76">
      <c r="A343" s="71" t="inlineStr">
        <is>
          <t>T19_1036301</t>
        </is>
      </c>
      <c r="B343" s="71" t="inlineStr">
        <is>
          <t>ومعادن</t>
        </is>
      </c>
      <c r="C343" s="71" t="inlineStr">
        <is>
          <t>اطلاعیه ن۴۵ (Type19)</t>
        </is>
      </c>
      <c r="D343" s="71" t="n"/>
      <c r="E343" s="71" t="inlineStr">
        <is>
          <t>معرفی /تغییر در ترکیب اعضای هیئت مدیره/مدیر عامل</t>
        </is>
      </c>
      <c r="F343" s="71" t="n">
        <v>1036301</v>
      </c>
      <c r="G343" s="71" t="inlineStr">
        <is>
          <t>1402/03/17 13:17</t>
        </is>
      </c>
      <c r="H343" s="71" t="inlineStr">
        <is>
          <t>https://www.codal.ir/Reports/Decision.aspx?LetterSerial=ToAUWoqETiq8oH92Npkszw%3d%3d&amp;rt=2&amp;let=19&amp;ct=0&amp;ft=-1</t>
        </is>
      </c>
      <c r="I343" s="71" t="inlineStr">
        <is>
          <t>زنجیره زمانی</t>
        </is>
      </c>
      <c r="J343" s="71" t="inlineStr">
        <is>
          <t>5e1e282348577bd601e6d32869875d7b44502fc8b20a7923657ae04ea6a83bdf</t>
        </is>
      </c>
      <c r="K343" s="71" t="inlineStr">
        <is>
          <t>sources/codal/ومعادن/v38_type19/T1036301.html</t>
        </is>
      </c>
    </row>
    <row r="344" ht="58" customHeight="1" s="76">
      <c r="A344" s="70" t="inlineStr">
        <is>
          <t>T19_1083942</t>
        </is>
      </c>
      <c r="B344" s="70" t="inlineStr">
        <is>
          <t>ومعادن</t>
        </is>
      </c>
      <c r="C344" s="70" t="inlineStr">
        <is>
          <t>اطلاعیه ن۴۵ (Type19)</t>
        </is>
      </c>
      <c r="D344" s="70" t="n"/>
      <c r="E344" s="70" t="inlineStr">
        <is>
          <t>معرفی /تغییر در ترکیب اعضای هیئت مدیره/مدیر عامل</t>
        </is>
      </c>
      <c r="F344" s="70" t="n">
        <v>1083942</v>
      </c>
      <c r="G344" s="70" t="inlineStr">
        <is>
          <t>1402/07/10 14:20</t>
        </is>
      </c>
      <c r="H344" s="70" t="inlineStr">
        <is>
          <t>https://www.codal.ir/Reports/Decision.aspx?LetterSerial=5JHei4IcwdcJQQQaQQQCPPOdyYBA%3d%3d&amp;rt=2&amp;let=19&amp;ct=0&amp;ft=-1</t>
        </is>
      </c>
      <c r="I344" s="70" t="inlineStr">
        <is>
          <t>زنجیره زمانی</t>
        </is>
      </c>
      <c r="J344" s="70" t="inlineStr">
        <is>
          <t>e65a58198124467c5e5805e1a9fb43bba50a398675eeabb93604d1f7dc54ee3b</t>
        </is>
      </c>
      <c r="K344" s="70" t="inlineStr">
        <is>
          <t>sources/codal/ومعادن/v38_type19/T1083942.html</t>
        </is>
      </c>
    </row>
    <row r="345" ht="58" customHeight="1" s="76">
      <c r="A345" s="71" t="inlineStr">
        <is>
          <t>T19_1149141</t>
        </is>
      </c>
      <c r="B345" s="71" t="inlineStr">
        <is>
          <t>ومعادن</t>
        </is>
      </c>
      <c r="C345" s="71" t="inlineStr">
        <is>
          <t>اطلاعیه ن۴۵ (Type19)</t>
        </is>
      </c>
      <c r="D345" s="71" t="n"/>
      <c r="E345" s="71" t="inlineStr">
        <is>
          <t>معرفی /تغییر در ترکیب اعضای هیئت مدیره/مدیر عامل</t>
        </is>
      </c>
      <c r="F345" s="71" t="n">
        <v>1149141</v>
      </c>
      <c r="G345" s="71" t="inlineStr">
        <is>
          <t>1402/11/10 13:10</t>
        </is>
      </c>
      <c r="H345" s="71" t="inlineStr">
        <is>
          <t>https://www.codal.ir/Reports/Decision.aspx?LetterSerial=lirJblbUwjK2PBVyn5oKNQ%3d%3d&amp;rt=2&amp;let=19&amp;ct=0&amp;ft=-1</t>
        </is>
      </c>
      <c r="I345" s="71" t="inlineStr">
        <is>
          <t>زنجیره زمانی</t>
        </is>
      </c>
      <c r="J345" s="71" t="inlineStr">
        <is>
          <t>91afe6fd0f0e77d0d8ca9884acfe787c4010536768d55bb09a14f1d5a9a652a0</t>
        </is>
      </c>
      <c r="K345" s="71" t="inlineStr">
        <is>
          <t>sources/codal/ومعادن/v38_type19/T1149141.html</t>
        </is>
      </c>
    </row>
    <row r="346" ht="58" customHeight="1" s="76">
      <c r="A346" s="70" t="inlineStr">
        <is>
          <t>T19_1291765</t>
        </is>
      </c>
      <c r="B346" s="70" t="inlineStr">
        <is>
          <t>ومعادن</t>
        </is>
      </c>
      <c r="C346" s="70" t="inlineStr">
        <is>
          <t>اطلاعیه ن۴۵ (Type19)</t>
        </is>
      </c>
      <c r="D346" s="70" t="n"/>
      <c r="E346" s="70" t="inlineStr">
        <is>
          <t>معرفی /تغییر در ترکیب اعضای هیئت مدیره/مدیر عامل</t>
        </is>
      </c>
      <c r="F346" s="70" t="n">
        <v>1291765</v>
      </c>
      <c r="G346" s="70" t="inlineStr">
        <is>
          <t>1403/10/15 12:27</t>
        </is>
      </c>
      <c r="H346" s="70" t="inlineStr">
        <is>
          <t>https://www.codal.ir/Reports/Decision.aspx?LetterSerial=AWMBMTO6URMxzFl0NF2rSw%3d%3d&amp;rt=2&amp;let=19&amp;ct=0&amp;ft=-1</t>
        </is>
      </c>
      <c r="I346" s="70" t="inlineStr">
        <is>
          <t>زنجیره زمانی</t>
        </is>
      </c>
      <c r="J346" s="70" t="inlineStr">
        <is>
          <t>2a3278fa0c47b11f9965b0ae7fd66ee9c7436cddb78e64573f25d53a8624dbb6</t>
        </is>
      </c>
      <c r="K346" s="70" t="inlineStr">
        <is>
          <t>sources/codal/ومعادن/v38_type19/T1291765.html</t>
        </is>
      </c>
    </row>
    <row r="347" ht="58" customHeight="1" s="76">
      <c r="A347" s="71" t="inlineStr">
        <is>
          <t>T19_1301784</t>
        </is>
      </c>
      <c r="B347" s="71" t="inlineStr">
        <is>
          <t>ومعادن</t>
        </is>
      </c>
      <c r="C347" s="71" t="inlineStr">
        <is>
          <t>اطلاعیه ن۴۵ (Type19)</t>
        </is>
      </c>
      <c r="D347" s="71" t="n"/>
      <c r="E347" s="71" t="inlineStr">
        <is>
          <t>معرفی /تغییر در ترکیب اعضای هیئت مدیره/مدیر عامل</t>
        </is>
      </c>
      <c r="F347" s="71" t="n">
        <v>1301784</v>
      </c>
      <c r="G347" s="71" t="inlineStr">
        <is>
          <t>1403/11/08 12:55</t>
        </is>
      </c>
      <c r="H347" s="71" t="inlineStr">
        <is>
          <t>https://www.codal.ir/Reports/Decision.aspx?LetterSerial=Cgh7KP5gvgdPqph9xxeDsw%3d%3d&amp;rt=2&amp;let=19&amp;ct=0&amp;ft=-1</t>
        </is>
      </c>
      <c r="I347" s="71" t="inlineStr">
        <is>
          <t>زنجیره زمانی</t>
        </is>
      </c>
      <c r="J347" s="71" t="inlineStr">
        <is>
          <t>d97876a1987606d85717fc6324d733de17f4957aaf03c80a7703595ba670d006</t>
        </is>
      </c>
      <c r="K347" s="71" t="inlineStr">
        <is>
          <t>sources/codal/ومعادن/v38_type19/T1301784.html</t>
        </is>
      </c>
    </row>
    <row r="348" ht="58" customHeight="1" s="76">
      <c r="A348" s="70" t="inlineStr">
        <is>
          <t>T19_1316138</t>
        </is>
      </c>
      <c r="B348" s="70" t="inlineStr">
        <is>
          <t>ومعادن</t>
        </is>
      </c>
      <c r="C348" s="70" t="inlineStr">
        <is>
          <t>اطلاعیه ن۴۵ (Type19)</t>
        </is>
      </c>
      <c r="D348" s="70" t="n"/>
      <c r="E348" s="70" t="inlineStr">
        <is>
          <t>معرفی /تغییر در ترکیب اعضای هیئت مدیره/مدیر عامل</t>
        </is>
      </c>
      <c r="F348" s="70" t="n">
        <v>1316138</v>
      </c>
      <c r="G348" s="70" t="inlineStr">
        <is>
          <t>1403/12/13 08:29</t>
        </is>
      </c>
      <c r="H348" s="70" t="inlineStr">
        <is>
          <t>https://www.codal.ir/Reports/Decision.aspx?LetterSerial=r3EGqTwQb2zJG8c0ztUVSg%3d%3d&amp;rt=2&amp;let=19&amp;ct=0&amp;ft=-1</t>
        </is>
      </c>
      <c r="I348" s="70" t="inlineStr">
        <is>
          <t>زنجیره زمانی</t>
        </is>
      </c>
      <c r="J348" s="70" t="inlineStr">
        <is>
          <t>6231744e4c76b6886a630b761c4b11307b30eb1dab9a648a3aa1f52ef235c1b9</t>
        </is>
      </c>
      <c r="K348" s="70" t="inlineStr">
        <is>
          <t>sources/codal/ومعادن/v38_type19/T1316138.html</t>
        </is>
      </c>
    </row>
    <row r="349" ht="58" customHeight="1" s="76">
      <c r="A349" s="71" t="inlineStr">
        <is>
          <t>T19_1395323</t>
        </is>
      </c>
      <c r="B349" s="71" t="inlineStr">
        <is>
          <t>ومعادن</t>
        </is>
      </c>
      <c r="C349" s="71" t="inlineStr">
        <is>
          <t>اطلاعیه ن۴۵ (Type19)</t>
        </is>
      </c>
      <c r="D349" s="71" t="n"/>
      <c r="E349" s="71" t="inlineStr">
        <is>
          <t>معرفی /تغییر در ترکیب اعضای هیئت مدیره/مدیر عامل</t>
        </is>
      </c>
      <c r="F349" s="71" t="n">
        <v>1395323</v>
      </c>
      <c r="G349" s="71" t="inlineStr">
        <is>
          <t>1404/05/29 14:54</t>
        </is>
      </c>
      <c r="H349" s="71" t="inlineStr">
        <is>
          <t>https://www.codal.ir/Reports/Decision.aspx?LetterSerial=GYYJgW0mQQQaQQQdbvnpR6QLaHlA%3d%3d&amp;rt=2&amp;let=19&amp;ct=0&amp;ft=-1</t>
        </is>
      </c>
      <c r="I349" s="71" t="inlineStr">
        <is>
          <t>زنجیره زمانی</t>
        </is>
      </c>
      <c r="J349" s="71" t="inlineStr">
        <is>
          <t>d4ed36d8b05f0f134ac1c1798dfa7ac71fa7a68b9be66b84ecf62f692629823e</t>
        </is>
      </c>
      <c r="K349" s="71" t="inlineStr">
        <is>
          <t>sources/codal/ومعادن/v38_type19/T1395323.html</t>
        </is>
      </c>
    </row>
    <row r="350" ht="58" customHeight="1" s="76">
      <c r="A350" s="70" t="inlineStr">
        <is>
          <t>T19_1426875</t>
        </is>
      </c>
      <c r="B350" s="70" t="inlineStr">
        <is>
          <t>ومعادن</t>
        </is>
      </c>
      <c r="C350" s="70" t="inlineStr">
        <is>
          <t>اطلاعیه ن۴۵ (Type19)</t>
        </is>
      </c>
      <c r="D350" s="70" t="n"/>
      <c r="E350" s="70" t="inlineStr">
        <is>
          <t>معرفی /تغییر در ترکیب اعضای هیئت مدیره/مدیر عامل</t>
        </is>
      </c>
      <c r="F350" s="70" t="n">
        <v>1426875</v>
      </c>
      <c r="G350" s="70" t="inlineStr">
        <is>
          <t>1404/08/05 12:13</t>
        </is>
      </c>
      <c r="H350" s="70" t="inlineStr">
        <is>
          <t>https://www.codal.ir/Reports/Decision.aspx?LetterSerial=AHwQQQaQQQkHcUkc0pfBa2dXOOObOOOE3Q%3d%3d&amp;rt=2&amp;let=19&amp;ct=0&amp;ft=-1</t>
        </is>
      </c>
      <c r="I350" s="70" t="inlineStr">
        <is>
          <t>مبنای فهرست اعضا در as-of</t>
        </is>
      </c>
      <c r="J350" s="70" t="inlineStr">
        <is>
          <t>f4eaba61e1d192d16ccafbf21fd1bc7cca23837f3da295198273c9582b383b54</t>
        </is>
      </c>
      <c r="K350" s="70" t="inlineStr">
        <is>
          <t>sources/codal/ومعادن/v38_type19/T1426875.html</t>
        </is>
      </c>
    </row>
    <row r="351" ht="58" customHeight="1" s="76">
      <c r="A351" s="71" t="inlineStr">
        <is>
          <t>T19_901650</t>
        </is>
      </c>
      <c r="B351" s="71" t="inlineStr">
        <is>
          <t>وامید</t>
        </is>
      </c>
      <c r="C351" s="71" t="inlineStr">
        <is>
          <t>اطلاعیه ن۴۵ (Type19)</t>
        </is>
      </c>
      <c r="D351" s="71" t="n"/>
      <c r="E351" s="71" t="inlineStr">
        <is>
          <t>معرفی یا تغییر در ترکیب اعضای هیئت مدیره</t>
        </is>
      </c>
      <c r="F351" s="71" t="n">
        <v>901650</v>
      </c>
      <c r="G351" s="71" t="inlineStr">
        <is>
          <t>1401/04/04 18:07</t>
        </is>
      </c>
      <c r="H351" s="71" t="inlineStr">
        <is>
          <t>https://www.codal.ir/Reports/Decision.aspx?LetterSerial=35fJuzyL%2bdC3wSvQQQaQQQOQtADQ%3d%3d&amp;rt=2&amp;let=19&amp;ct=0&amp;ft=-1</t>
        </is>
      </c>
      <c r="I351" s="71" t="inlineStr">
        <is>
          <t>زنجیره زمانی</t>
        </is>
      </c>
      <c r="J351" s="71" t="inlineStr">
        <is>
          <t>df3a0d3a9298fda3b11675c7c46b7bfdb508a076dc010be6b487d87d8a23f15f</t>
        </is>
      </c>
      <c r="K351" s="71" t="inlineStr">
        <is>
          <t>sources/codal/وامید/v38_type19/T901650.html</t>
        </is>
      </c>
    </row>
    <row r="352" ht="58" customHeight="1" s="76">
      <c r="A352" s="70" t="inlineStr">
        <is>
          <t>T19_912277</t>
        </is>
      </c>
      <c r="B352" s="70" t="inlineStr">
        <is>
          <t>وامید</t>
        </is>
      </c>
      <c r="C352" s="70" t="inlineStr">
        <is>
          <t>اطلاعیه ن۴۵ (Type19)</t>
        </is>
      </c>
      <c r="D352" s="70" t="n"/>
      <c r="E352" s="70" t="inlineStr">
        <is>
          <t>معرفی یا تغییر در ترکیب اعضای هیئت مدیره(اصلاحیه)</t>
        </is>
      </c>
      <c r="F352" s="70" t="n">
        <v>912277</v>
      </c>
      <c r="G352" s="70" t="inlineStr">
        <is>
          <t>1401/04/22 17:31</t>
        </is>
      </c>
      <c r="H352" s="70" t="inlineStr">
        <is>
          <t>https://www.codal.ir/Reports/Decision.aspx?LetterSerial=mBxSIpr7H06FitAko4Vurw%3d%3d&amp;rt=2&amp;let=19&amp;ct=0&amp;ft=-1</t>
        </is>
      </c>
      <c r="I352" s="70" t="inlineStr">
        <is>
          <t>زنجیره زمانی</t>
        </is>
      </c>
      <c r="J352" s="70" t="inlineStr">
        <is>
          <t>c31e13b53ca1b1f9eba186ff61feba1bca9e441ce0b603c6df6cdc6d6fe51d77</t>
        </is>
      </c>
      <c r="K352" s="70" t="inlineStr">
        <is>
          <t>sources/codal/وامید/v38_type19/T912277.html</t>
        </is>
      </c>
    </row>
    <row r="353" ht="58" customHeight="1" s="76">
      <c r="A353" s="71" t="inlineStr">
        <is>
          <t>T19_917600</t>
        </is>
      </c>
      <c r="B353" s="71" t="inlineStr">
        <is>
          <t>وامید</t>
        </is>
      </c>
      <c r="C353" s="71" t="inlineStr">
        <is>
          <t>اطلاعیه ن۴۵ (Type19)</t>
        </is>
      </c>
      <c r="D353" s="71" t="n"/>
      <c r="E353" s="71" t="inlineStr">
        <is>
          <t>معرفی یا تغییر در ترکیب اعضای هیئت مدیره</t>
        </is>
      </c>
      <c r="F353" s="71" t="n">
        <v>917600</v>
      </c>
      <c r="G353" s="71" t="inlineStr">
        <is>
          <t>1401/05/02 15:00</t>
        </is>
      </c>
      <c r="H353" s="71" t="inlineStr">
        <is>
          <t>https://www.codal.ir/Reports/Decision.aspx?LetterSerial=gsILkSdTnUaQGVw57C4rQQQaQQQQ%3d%3d&amp;rt=2&amp;let=19&amp;ct=0&amp;ft=-1</t>
        </is>
      </c>
      <c r="I353" s="71" t="inlineStr">
        <is>
          <t>زنجیره زمانی</t>
        </is>
      </c>
      <c r="J353" s="71" t="inlineStr">
        <is>
          <t>e9bab68b66e54687a3398fefef99aafeb9608efc6ecffcca1f8ec6de5f2d7c63</t>
        </is>
      </c>
      <c r="K353" s="71" t="inlineStr">
        <is>
          <t>sources/codal/وامید/v38_type19/T917600.html</t>
        </is>
      </c>
    </row>
    <row r="354" ht="58" customHeight="1" s="76">
      <c r="A354" s="70" t="inlineStr">
        <is>
          <t>T19_954323</t>
        </is>
      </c>
      <c r="B354" s="70" t="inlineStr">
        <is>
          <t>وامید</t>
        </is>
      </c>
      <c r="C354" s="70" t="inlineStr">
        <is>
          <t>اطلاعیه ن۴۵ (Type19)</t>
        </is>
      </c>
      <c r="D354" s="70" t="n"/>
      <c r="E354" s="70" t="inlineStr">
        <is>
          <t>معرفی /تغییر در ترکیب اعضای هیئت مدیره/مدیر عامل</t>
        </is>
      </c>
      <c r="F354" s="70" t="n">
        <v>954323</v>
      </c>
      <c r="G354" s="70" t="inlineStr">
        <is>
          <t>1401/08/23 18:20</t>
        </is>
      </c>
      <c r="H354" s="70" t="inlineStr">
        <is>
          <t>https://www.codal.ir/Reports/Decision.aspx?LetterSerial=xuWZmGVYZZDEDiRWiqDijw%3d%3d&amp;rt=2&amp;let=19&amp;ct=0&amp;ft=-1</t>
        </is>
      </c>
      <c r="I354" s="70" t="inlineStr">
        <is>
          <t>زنجیره زمانی</t>
        </is>
      </c>
      <c r="J354" s="70" t="inlineStr">
        <is>
          <t>9ad924f343dd64f54f7458bf8b17585edab1db38ebed60c2dd0b3cd4ca16ad61</t>
        </is>
      </c>
      <c r="K354" s="70" t="inlineStr">
        <is>
          <t>sources/codal/وامید/v38_type19/T954323.html</t>
        </is>
      </c>
    </row>
    <row r="355" ht="58" customHeight="1" s="76">
      <c r="A355" s="71" t="inlineStr">
        <is>
          <t>T19_991910</t>
        </is>
      </c>
      <c r="B355" s="71" t="inlineStr">
        <is>
          <t>وامید</t>
        </is>
      </c>
      <c r="C355" s="71" t="inlineStr">
        <is>
          <t>اطلاعیه ن۴۵ (Type19)</t>
        </is>
      </c>
      <c r="D355" s="71" t="n"/>
      <c r="E355" s="71" t="inlineStr">
        <is>
          <t>معرفی /تغییر در ترکیب اعضای هیئت مدیره/مدیر عامل</t>
        </is>
      </c>
      <c r="F355" s="71" t="n">
        <v>991910</v>
      </c>
      <c r="G355" s="71" t="inlineStr">
        <is>
          <t>1401/11/19 08:36</t>
        </is>
      </c>
      <c r="H355" s="71" t="inlineStr">
        <is>
          <t>https://www.codal.ir/Reports/Decision.aspx?LetterSerial=cVUbvb7Pbu6tcqQaH7TQQQaQQQQA%3d%3d&amp;rt=2&amp;let=19&amp;ct=0&amp;ft=-1</t>
        </is>
      </c>
      <c r="I355" s="71" t="inlineStr">
        <is>
          <t>زنجیره زمانی</t>
        </is>
      </c>
      <c r="J355" s="71" t="inlineStr">
        <is>
          <t>571da96f4099e8b69510ed88d46ff4b72ed4822b53309640f86c3b8e36ca4ea8</t>
        </is>
      </c>
      <c r="K355" s="71" t="inlineStr">
        <is>
          <t>sources/codal/وامید/v38_type19/T991910.html</t>
        </is>
      </c>
    </row>
    <row r="356" ht="58" customHeight="1" s="76">
      <c r="A356" s="70" t="inlineStr">
        <is>
          <t>T19_991948</t>
        </is>
      </c>
      <c r="B356" s="70" t="inlineStr">
        <is>
          <t>وامید</t>
        </is>
      </c>
      <c r="C356" s="70" t="inlineStr">
        <is>
          <t>اطلاعیه ن۴۵ (Type19)</t>
        </is>
      </c>
      <c r="D356" s="70" t="n"/>
      <c r="E356" s="70" t="inlineStr">
        <is>
          <t>معرفی /تغییر در ترکیب اعضای هیئت مدیره/مدیر عامل(اصلاحیه)</t>
        </is>
      </c>
      <c r="F356" s="70" t="n">
        <v>991948</v>
      </c>
      <c r="G356" s="70" t="inlineStr">
        <is>
          <t>1401/11/19 09:36</t>
        </is>
      </c>
      <c r="H356" s="70" t="inlineStr">
        <is>
          <t>https://www.codal.ir/Reports/Decision.aspx?LetterSerial=8pU6keP6zQQQaQQQ4j2oDYe5odnA%3d%3d&amp;rt=2&amp;let=19&amp;ct=0&amp;ft=-1</t>
        </is>
      </c>
      <c r="I356" s="70" t="inlineStr">
        <is>
          <t>زنجیره زمانی</t>
        </is>
      </c>
      <c r="J356" s="70" t="inlineStr">
        <is>
          <t>70e327feeeae1afc541232750f6b095af85ef16d71af6cb9c796c6f2e6934673</t>
        </is>
      </c>
      <c r="K356" s="70" t="inlineStr">
        <is>
          <t>sources/codal/وامید/v38_type19/T991948.html</t>
        </is>
      </c>
    </row>
    <row r="357" ht="58" customHeight="1" s="76">
      <c r="A357" s="71" t="inlineStr">
        <is>
          <t>T19_992048</t>
        </is>
      </c>
      <c r="B357" s="71" t="inlineStr">
        <is>
          <t>وامید</t>
        </is>
      </c>
      <c r="C357" s="71" t="inlineStr">
        <is>
          <t>اطلاعیه ن۴۵ (Type19)</t>
        </is>
      </c>
      <c r="D357" s="71" t="n"/>
      <c r="E357" s="71" t="inlineStr">
        <is>
          <t>معرفی /تغییر در ترکیب اعضای هیئت مدیره/مدیر عامل(اصلاحیه)</t>
        </is>
      </c>
      <c r="F357" s="71" t="n">
        <v>992048</v>
      </c>
      <c r="G357" s="71" t="inlineStr">
        <is>
          <t>1401/11/23 13:51</t>
        </is>
      </c>
      <c r="H357" s="71" t="inlineStr">
        <is>
          <t>https://www.codal.ir/Reports/Decision.aspx?LetterSerial=QUg0MuGYgbHQQQaQQQFzL5D7v4yQ%3d%3d&amp;rt=2&amp;let=19&amp;ct=0&amp;ft=-1</t>
        </is>
      </c>
      <c r="I357" s="71" t="inlineStr">
        <is>
          <t>زنجیره زمانی</t>
        </is>
      </c>
      <c r="J357" s="71" t="inlineStr">
        <is>
          <t>c72ff9e1c6e9d0950531b899411777b8b0047cfd9d92edc562f9994df9da0ca2</t>
        </is>
      </c>
      <c r="K357" s="71" t="inlineStr">
        <is>
          <t>sources/codal/وامید/v38_type19/T992048.html</t>
        </is>
      </c>
    </row>
    <row r="358" ht="58" customHeight="1" s="76">
      <c r="A358" s="70" t="inlineStr">
        <is>
          <t>T19_998198</t>
        </is>
      </c>
      <c r="B358" s="70" t="inlineStr">
        <is>
          <t>وامید</t>
        </is>
      </c>
      <c r="C358" s="70" t="inlineStr">
        <is>
          <t>اطلاعیه ن۴۵ (Type19)</t>
        </is>
      </c>
      <c r="D358" s="70" t="n"/>
      <c r="E358" s="70" t="inlineStr">
        <is>
          <t>معرفی /تغییر در ترکیب اعضای هیئت مدیره/مدیر عامل</t>
        </is>
      </c>
      <c r="F358" s="70" t="n">
        <v>998198</v>
      </c>
      <c r="G358" s="70" t="inlineStr">
        <is>
          <t>1401/12/09 08:42</t>
        </is>
      </c>
      <c r="H358" s="70" t="inlineStr">
        <is>
          <t>https://www.codal.ir/Reports/Decision.aspx?LetterSerial=qP1KVxGUzX5sP9CLUn3xYA%3d%3d&amp;rt=2&amp;let=19&amp;ct=0&amp;ft=-1</t>
        </is>
      </c>
      <c r="I358" s="70" t="inlineStr">
        <is>
          <t>زنجیره زمانی</t>
        </is>
      </c>
      <c r="J358" s="70" t="inlineStr">
        <is>
          <t>94c441535c409a68f9134df53b635f4e11397d0ab18c54b2d96c6ab9d2e2cb64</t>
        </is>
      </c>
      <c r="K358" s="70" t="inlineStr">
        <is>
          <t>sources/codal/وامید/v38_type19/T998198.html</t>
        </is>
      </c>
    </row>
    <row r="359" ht="58" customHeight="1" s="76">
      <c r="A359" s="71" t="inlineStr">
        <is>
          <t>T19_1050125</t>
        </is>
      </c>
      <c r="B359" s="71" t="inlineStr">
        <is>
          <t>وامید</t>
        </is>
      </c>
      <c r="C359" s="71" t="inlineStr">
        <is>
          <t>اطلاعیه ن۴۵ (Type19)</t>
        </is>
      </c>
      <c r="D359" s="71" t="n"/>
      <c r="E359" s="71" t="inlineStr">
        <is>
          <t>معرفی /تغییر در ترکیب اعضای هیئت مدیره/مدیر عامل</t>
        </is>
      </c>
      <c r="F359" s="71" t="n">
        <v>1050125</v>
      </c>
      <c r="G359" s="71" t="inlineStr">
        <is>
          <t>1402/04/12 14:21</t>
        </is>
      </c>
      <c r="H359" s="71" t="inlineStr">
        <is>
          <t>https://www.codal.ir/Reports/Decision.aspx?LetterSerial=BpwNsEpkIaaS4QICOdRyRg%3d%3d&amp;rt=2&amp;let=19&amp;ct=0&amp;ft=-1</t>
        </is>
      </c>
      <c r="I359" s="71" t="inlineStr">
        <is>
          <t>زنجیره زمانی</t>
        </is>
      </c>
      <c r="J359" s="71" t="inlineStr">
        <is>
          <t>32503114b0f9f653ec8dd53eae1913ef9480867d72d30788c984e6e086edd740</t>
        </is>
      </c>
      <c r="K359" s="71" t="inlineStr">
        <is>
          <t>sources/codal/وامید/v38_type19/T1050125.html</t>
        </is>
      </c>
    </row>
    <row r="360" ht="58" customHeight="1" s="76">
      <c r="A360" s="70" t="inlineStr">
        <is>
          <t>T19_1088040</t>
        </is>
      </c>
      <c r="B360" s="70" t="inlineStr">
        <is>
          <t>وامید</t>
        </is>
      </c>
      <c r="C360" s="70" t="inlineStr">
        <is>
          <t>اطلاعیه ن۴۵ (Type19)</t>
        </is>
      </c>
      <c r="D360" s="70" t="n"/>
      <c r="E360" s="70" t="inlineStr">
        <is>
          <t>معرفی /تغییر در ترکیب اعضای هیئت مدیره/مدیر عامل</t>
        </is>
      </c>
      <c r="F360" s="70" t="n">
        <v>1088040</v>
      </c>
      <c r="G360" s="70" t="inlineStr">
        <is>
          <t>1402/07/10 15:06</t>
        </is>
      </c>
      <c r="H360" s="70" t="inlineStr">
        <is>
          <t>https://www.codal.ir/Reports/Decision.aspx?LetterSerial=CNJQQQaQQQXtmDr6WaGfuOACGUHw%3d%3d&amp;rt=2&amp;let=19&amp;ct=0&amp;ft=-1</t>
        </is>
      </c>
      <c r="I360" s="70" t="inlineStr">
        <is>
          <t>زنجیره زمانی</t>
        </is>
      </c>
      <c r="J360" s="70" t="inlineStr">
        <is>
          <t>f185f5690718d6ccac12352b0030e2dc915e122b2cc6b64b68726fe88bbeb389</t>
        </is>
      </c>
      <c r="K360" s="70" t="inlineStr">
        <is>
          <t>sources/codal/وامید/v38_type19/T1088040.html</t>
        </is>
      </c>
    </row>
    <row r="361" ht="58" customHeight="1" s="76">
      <c r="A361" s="71" t="inlineStr">
        <is>
          <t>T19_1089074</t>
        </is>
      </c>
      <c r="B361" s="71" t="inlineStr">
        <is>
          <t>وامید</t>
        </is>
      </c>
      <c r="C361" s="71" t="inlineStr">
        <is>
          <t>اطلاعیه ن۴۵ (Type19)</t>
        </is>
      </c>
      <c r="D361" s="71" t="n"/>
      <c r="E361" s="71" t="inlineStr">
        <is>
          <t>معرفی /تغییر در ترکیب اعضای هیئت مدیره/مدیر عامل(اصلاحیه)</t>
        </is>
      </c>
      <c r="F361" s="71" t="n">
        <v>1089074</v>
      </c>
      <c r="G361" s="71" t="inlineStr">
        <is>
          <t>1402/07/12 11:01</t>
        </is>
      </c>
      <c r="H361" s="71" t="inlineStr">
        <is>
          <t>https://www.codal.ir/Reports/Decision.aspx?LetterSerial=LD1NgC0102xcLHUuIzBJ7Q%3d%3d&amp;rt=2&amp;let=19&amp;ct=0&amp;ft=-1</t>
        </is>
      </c>
      <c r="I361" s="71" t="inlineStr">
        <is>
          <t>زنجیره زمانی</t>
        </is>
      </c>
      <c r="J361" s="71" t="inlineStr">
        <is>
          <t>f9662f197bcbc02e0ff65bf1f6d974d6cda02869bdfd161cfcecaf79a2e95fea</t>
        </is>
      </c>
      <c r="K361" s="71" t="inlineStr">
        <is>
          <t>sources/codal/وامید/v38_type19/T1089074.html</t>
        </is>
      </c>
    </row>
    <row r="362" ht="58" customHeight="1" s="76">
      <c r="A362" s="70" t="inlineStr">
        <is>
          <t>T19_1119176</t>
        </is>
      </c>
      <c r="B362" s="70" t="inlineStr">
        <is>
          <t>وامید</t>
        </is>
      </c>
      <c r="C362" s="70" t="inlineStr">
        <is>
          <t>اطلاعیه ن۴۵ (Type19)</t>
        </is>
      </c>
      <c r="D362" s="70" t="n"/>
      <c r="E362" s="70" t="inlineStr">
        <is>
          <t>معرفی /تغییر در ترکیب اعضای هیئت مدیره/مدیر عامل</t>
        </is>
      </c>
      <c r="F362" s="70" t="n">
        <v>1119176</v>
      </c>
      <c r="G362" s="70" t="inlineStr">
        <is>
          <t>1402/09/19 08:48</t>
        </is>
      </c>
      <c r="H362" s="70" t="inlineStr">
        <is>
          <t>https://www.codal.ir/Reports/Decision.aspx?LetterSerial=FHwYDXwJLf4lcyKjve2%2b3w%3d%3d&amp;rt=2&amp;let=19&amp;ct=0&amp;ft=-1</t>
        </is>
      </c>
      <c r="I362" s="70" t="inlineStr">
        <is>
          <t>زنجیره زمانی</t>
        </is>
      </c>
      <c r="J362" s="70" t="inlineStr">
        <is>
          <t>226a7935bd08055b268ff90b0b72e3bc954cf1a74de3e667a1033157c09ffcd2</t>
        </is>
      </c>
      <c r="K362" s="70" t="inlineStr">
        <is>
          <t>sources/codal/وامید/v38_type19/T1119176.html</t>
        </is>
      </c>
    </row>
    <row r="363" ht="58" customHeight="1" s="76">
      <c r="A363" s="71" t="inlineStr">
        <is>
          <t>T19_1183110</t>
        </is>
      </c>
      <c r="B363" s="71" t="inlineStr">
        <is>
          <t>وامید</t>
        </is>
      </c>
      <c r="C363" s="71" t="inlineStr">
        <is>
          <t>اطلاعیه ن۴۵ (Type19)</t>
        </is>
      </c>
      <c r="D363" s="71" t="n"/>
      <c r="E363" s="71" t="inlineStr">
        <is>
          <t>معرفی /تغییر در ترکیب اعضای هیئت مدیره/مدیر عامل</t>
        </is>
      </c>
      <c r="F363" s="71" t="n">
        <v>1183110</v>
      </c>
      <c r="G363" s="71" t="inlineStr">
        <is>
          <t>1403/02/08 16:59</t>
        </is>
      </c>
      <c r="H363" s="71" t="inlineStr">
        <is>
          <t>https://www.codal.ir/Reports/Decision.aspx?LetterSerial=mp%2bOEURHp8EKP5M3duwehg%3d%3d&amp;rt=2&amp;let=19&amp;ct=0&amp;ft=-1</t>
        </is>
      </c>
      <c r="I363" s="71" t="inlineStr">
        <is>
          <t>زنجیره زمانی</t>
        </is>
      </c>
      <c r="J363" s="71" t="inlineStr">
        <is>
          <t>8677e9a90d4742f90ffd4bc722f68cc134db59f3176cb78f73d8f68ecf5fe7fd</t>
        </is>
      </c>
      <c r="K363" s="71" t="inlineStr">
        <is>
          <t>sources/codal/وامید/v38_type19/T1183110.html</t>
        </is>
      </c>
    </row>
    <row r="364" ht="58" customHeight="1" s="76">
      <c r="A364" s="70" t="inlineStr">
        <is>
          <t>T19_1256347</t>
        </is>
      </c>
      <c r="B364" s="70" t="inlineStr">
        <is>
          <t>وامید</t>
        </is>
      </c>
      <c r="C364" s="70" t="inlineStr">
        <is>
          <t>اطلاعیه ن۴۵ (Type19)</t>
        </is>
      </c>
      <c r="D364" s="70" t="n"/>
      <c r="E364" s="70" t="inlineStr">
        <is>
          <t>معرفی /تغییر در ترکیب اعضای هیئت مدیره/مدیر عامل(اصلاحیه)</t>
        </is>
      </c>
      <c r="F364" s="70" t="n">
        <v>1256347</v>
      </c>
      <c r="G364" s="70" t="inlineStr">
        <is>
          <t>1403/07/23 13:21</t>
        </is>
      </c>
      <c r="H364" s="70" t="inlineStr">
        <is>
          <t>https://www.codal.ir/Reports/Decision.aspx?LetterSerial=xR8trhK0PDqo0GJ08QB6MQ%3d%3d&amp;rt=2&amp;let=19&amp;ct=0&amp;ft=-1</t>
        </is>
      </c>
      <c r="I364" s="70" t="inlineStr">
        <is>
          <t>زنجیره زمانی</t>
        </is>
      </c>
      <c r="J364" s="70" t="inlineStr">
        <is>
          <t>b9c0ed7541341af96171ec2b81d831ce38126e5351f7a322337d82ce58db0b8e</t>
        </is>
      </c>
      <c r="K364" s="70" t="inlineStr">
        <is>
          <t>sources/codal/وامید/v38_type19/T1256347.html</t>
        </is>
      </c>
    </row>
    <row r="365" ht="58" customHeight="1" s="76">
      <c r="A365" s="71" t="inlineStr">
        <is>
          <t>T19_1276460</t>
        </is>
      </c>
      <c r="B365" s="71" t="inlineStr">
        <is>
          <t>وامید</t>
        </is>
      </c>
      <c r="C365" s="71" t="inlineStr">
        <is>
          <t>اطلاعیه ن۴۵ (Type19)</t>
        </is>
      </c>
      <c r="D365" s="71" t="n"/>
      <c r="E365" s="71" t="inlineStr">
        <is>
          <t>معرفی /تغییر در ترکیب اعضای هیئت مدیره/مدیر عامل</t>
        </is>
      </c>
      <c r="F365" s="71" t="n">
        <v>1276460</v>
      </c>
      <c r="G365" s="71" t="inlineStr">
        <is>
          <t>1403/09/06 16:22</t>
        </is>
      </c>
      <c r="H365" s="71" t="inlineStr">
        <is>
          <t>https://www.codal.ir/Reports/Decision.aspx?LetterSerial=WNRwc4sVdbNcxYNwy8D0Rw%3d%3d&amp;rt=2&amp;let=19&amp;ct=0&amp;ft=-1</t>
        </is>
      </c>
      <c r="I365" s="71" t="inlineStr">
        <is>
          <t>زنجیره زمانی</t>
        </is>
      </c>
      <c r="J365" s="71" t="inlineStr">
        <is>
          <t>d1e182c97d6f64f0f5ad98a5ea0cf9616f82991a0fb5c9d21a2993b43e5bad6b</t>
        </is>
      </c>
      <c r="K365" s="71" t="inlineStr">
        <is>
          <t>sources/codal/وامید/v38_type19/T1276460.html</t>
        </is>
      </c>
    </row>
    <row r="366" ht="58" customHeight="1" s="76">
      <c r="A366" s="70" t="inlineStr">
        <is>
          <t>T19_1300282</t>
        </is>
      </c>
      <c r="B366" s="70" t="inlineStr">
        <is>
          <t>وامید</t>
        </is>
      </c>
      <c r="C366" s="70" t="inlineStr">
        <is>
          <t>اطلاعیه ن۴۵ (Type19)</t>
        </is>
      </c>
      <c r="D366" s="70" t="n"/>
      <c r="E366" s="70" t="inlineStr">
        <is>
          <t>معرفی /تغییر در ترکیب اعضای هیئت مدیره/مدیر عامل(اصلاحیه)</t>
        </is>
      </c>
      <c r="F366" s="70" t="n">
        <v>1300282</v>
      </c>
      <c r="G366" s="70" t="inlineStr">
        <is>
          <t>1403/11/03 14:58</t>
        </is>
      </c>
      <c r="H366" s="70" t="inlineStr">
        <is>
          <t>https://www.codal.ir/Reports/Decision.aspx?LetterSerial=OOObOOOivAgwoyM94sPKprUPo4uQ%3d%3d&amp;rt=2&amp;let=19&amp;ct=0&amp;ft=-1</t>
        </is>
      </c>
      <c r="I366" s="70" t="inlineStr">
        <is>
          <t>زنجیره زمانی</t>
        </is>
      </c>
      <c r="J366" s="70" t="inlineStr">
        <is>
          <t>2cfeb34441f0c894e9bf4a2328090eb22a9944eefa1fd937ec3af47dea04e3da</t>
        </is>
      </c>
      <c r="K366" s="70" t="inlineStr">
        <is>
          <t>sources/codal/وامید/v38_type19/T1300282.html</t>
        </is>
      </c>
    </row>
    <row r="367" ht="58" customHeight="1" s="76">
      <c r="A367" s="71" t="inlineStr">
        <is>
          <t>T19_1300475</t>
        </is>
      </c>
      <c r="B367" s="71" t="inlineStr">
        <is>
          <t>وامید</t>
        </is>
      </c>
      <c r="C367" s="71" t="inlineStr">
        <is>
          <t>اطلاعیه ن۴۵ (Type19)</t>
        </is>
      </c>
      <c r="D367" s="71" t="n"/>
      <c r="E367" s="71" t="inlineStr">
        <is>
          <t>معرفی /تغییر در ترکیب اعضای هیئت مدیره/مدیر عامل(اصلاحیه)</t>
        </is>
      </c>
      <c r="F367" s="71" t="n">
        <v>1300475</v>
      </c>
      <c r="G367" s="71" t="inlineStr">
        <is>
          <t>1403/11/03 17:27</t>
        </is>
      </c>
      <c r="H367" s="71" t="inlineStr">
        <is>
          <t>https://www.codal.ir/Reports/Decision.aspx?LetterSerial=bWZQv3QQQaQQQ7D1RaT00eco9vJw%3d%3d&amp;rt=2&amp;let=19&amp;ct=0&amp;ft=-1</t>
        </is>
      </c>
      <c r="I367" s="71" t="inlineStr">
        <is>
          <t>زنجیره زمانی</t>
        </is>
      </c>
      <c r="J367" s="71" t="inlineStr">
        <is>
          <t>9aec241ca6b7e0f09e34245e5e4c349aa308a9c308c5ce5371181624977bd1e1</t>
        </is>
      </c>
      <c r="K367" s="71" t="inlineStr">
        <is>
          <t>sources/codal/وامید/v38_type19/T1300475.html</t>
        </is>
      </c>
    </row>
    <row r="368" ht="58" customHeight="1" s="76">
      <c r="A368" s="70" t="inlineStr">
        <is>
          <t>T19_1401455</t>
        </is>
      </c>
      <c r="B368" s="70" t="inlineStr">
        <is>
          <t>وامید</t>
        </is>
      </c>
      <c r="C368" s="70" t="inlineStr">
        <is>
          <t>اطلاعیه ن۴۵ (Type19)</t>
        </is>
      </c>
      <c r="D368" s="70" t="n"/>
      <c r="E368" s="70" t="inlineStr">
        <is>
          <t>معرفی /تغییر در ترکیب اعضای هیئت مدیره/مدیر عامل</t>
        </is>
      </c>
      <c r="F368" s="70" t="n">
        <v>1401455</v>
      </c>
      <c r="G368" s="70" t="inlineStr">
        <is>
          <t>1404/06/12 17:38</t>
        </is>
      </c>
      <c r="H368" s="70" t="inlineStr">
        <is>
          <t>https://www.codal.ir/Reports/Decision.aspx?LetterSerial=heZfln7kl6v8fiuPpe5P4g%3d%3d&amp;rt=2&amp;let=19&amp;ct=0&amp;ft=-1</t>
        </is>
      </c>
      <c r="I368" s="70" t="inlineStr">
        <is>
          <t>زنجیره زمانی</t>
        </is>
      </c>
      <c r="J368" s="70" t="inlineStr">
        <is>
          <t>3db1c28535af79a953ab4d022c216eaf6a14d0780298ad332b9d62d366316b4d</t>
        </is>
      </c>
      <c r="K368" s="70" t="inlineStr">
        <is>
          <t>sources/codal/وامید/v38_type19/T1401455.html</t>
        </is>
      </c>
    </row>
    <row r="369" ht="58" customHeight="1" s="76">
      <c r="A369" s="71" t="inlineStr">
        <is>
          <t>T19_1401521</t>
        </is>
      </c>
      <c r="B369" s="71" t="inlineStr">
        <is>
          <t>وامید</t>
        </is>
      </c>
      <c r="C369" s="71" t="inlineStr">
        <is>
          <t>اطلاعیه ن۴۵ (Type19)</t>
        </is>
      </c>
      <c r="D369" s="71" t="n"/>
      <c r="E369" s="71" t="inlineStr">
        <is>
          <t>معرفی /تغییر در ترکیب اعضای هیئت مدیره/مدیر عامل(اصلاحیه)</t>
        </is>
      </c>
      <c r="F369" s="71" t="n">
        <v>1401521</v>
      </c>
      <c r="G369" s="71" t="inlineStr">
        <is>
          <t>1404/06/12 19:39</t>
        </is>
      </c>
      <c r="H369" s="71" t="inlineStr">
        <is>
          <t>https://www.codal.ir/Reports/Decision.aspx?LetterSerial=1UEyCQ9gyduKzNiiDDNXUA%3d%3d&amp;rt=2&amp;let=19&amp;ct=0&amp;ft=-1</t>
        </is>
      </c>
      <c r="I369" s="71" t="inlineStr">
        <is>
          <t>مبنای فهرست اعضا در as-of</t>
        </is>
      </c>
      <c r="J369" s="71" t="inlineStr">
        <is>
          <t>2827ea3440531c8e6be45440d99459a784466987f476e4ea501aed2be319cdcc</t>
        </is>
      </c>
      <c r="K369" s="71" t="inlineStr">
        <is>
          <t>sources/codal/وامید/v38_type19/T1401521.html</t>
        </is>
      </c>
    </row>
    <row r="370" ht="58" customHeight="1" s="76">
      <c r="A370" s="70" t="inlineStr">
        <is>
          <t>T19_1565558</t>
        </is>
      </c>
      <c r="B370" s="70" t="inlineStr">
        <is>
          <t>وامید</t>
        </is>
      </c>
      <c r="C370" s="70" t="inlineStr">
        <is>
          <t>اطلاعیه ن۴۵ (Type19)</t>
        </is>
      </c>
      <c r="D370" s="70" t="n"/>
      <c r="E370" s="70" t="inlineStr">
        <is>
          <t>معرفی /تغییر در ترکیب اعضای هیئت مدیره/مدیر عامل</t>
        </is>
      </c>
      <c r="F370" s="70" t="n">
        <v>1565558</v>
      </c>
      <c r="G370" s="70" t="inlineStr">
        <is>
          <t>1405/04/22 13:06</t>
        </is>
      </c>
      <c r="H370" s="70" t="inlineStr">
        <is>
          <t>https://www.codal.ir/Reports/Decision.aspx?LetterSerial=Y9Yfr6jpuMe5uT8NLfUyYQ%3d%3d&amp;rt=2&amp;let=19&amp;ct=0&amp;ft=-1</t>
        </is>
      </c>
      <c r="I370" s="70" t="inlineStr">
        <is>
          <t>زنجیره زمانی</t>
        </is>
      </c>
      <c r="J370" s="70" t="inlineStr">
        <is>
          <t>c71f365daf778233cc91363480f61c49df79915b690a4825688812b5fc0eea20</t>
        </is>
      </c>
      <c r="K370" s="70" t="inlineStr">
        <is>
          <t>sources/codal/وامید/v38_type19/T1565558.html</t>
        </is>
      </c>
    </row>
    <row r="371" ht="58" customHeight="1" s="76">
      <c r="A371" s="71" t="inlineStr">
        <is>
          <t>T19_1598222</t>
        </is>
      </c>
      <c r="B371" s="71" t="inlineStr">
        <is>
          <t>وامید</t>
        </is>
      </c>
      <c r="C371" s="71" t="inlineStr">
        <is>
          <t>اطلاعیه ن۴۵ (Type19)</t>
        </is>
      </c>
      <c r="D371" s="71" t="n"/>
      <c r="E371" s="71" t="inlineStr">
        <is>
          <t>معرفی /تغییر در ترکیب اعضای هیئت مدیره/مدیر عامل</t>
        </is>
      </c>
      <c r="F371" s="71" t="n">
        <v>1598222</v>
      </c>
      <c r="G371" s="71" t="inlineStr">
        <is>
          <t>1405/06/21 16:12</t>
        </is>
      </c>
      <c r="H371" s="71" t="inlineStr">
        <is>
          <t>https://www.codal.ir/Reports/Decision.aspx?LetterSerial=iAEMYxSnMQJudLxX13PAAQ%3d%3d&amp;rt=2&amp;let=19&amp;ct=0&amp;ft=-1</t>
        </is>
      </c>
      <c r="I371" s="71" t="inlineStr">
        <is>
          <t>زنجیره زمانی</t>
        </is>
      </c>
      <c r="J371" s="71" t="inlineStr">
        <is>
          <t>ed76915dca4b2025fee685322214d68fba94166802805d2172ea2f1f8416d846</t>
        </is>
      </c>
      <c r="K371" s="71" t="inlineStr">
        <is>
          <t>sources/codal/وامید/v38_type19/T1598222.html</t>
        </is>
      </c>
    </row>
    <row r="372" ht="58" customHeight="1" s="76">
      <c r="A372" s="70" t="inlineStr">
        <is>
          <t>T19_1000535</t>
        </is>
      </c>
      <c r="B372" s="70" t="inlineStr">
        <is>
          <t>خساپا</t>
        </is>
      </c>
      <c r="C372" s="70" t="inlineStr">
        <is>
          <t>اطلاعیه ن۴۵ (Type19)</t>
        </is>
      </c>
      <c r="D372" s="70" t="n"/>
      <c r="E372" s="70" t="inlineStr">
        <is>
          <t>معرفی /تغییر در ترکیب اعضای هیئت مدیره/مدیر عامل</t>
        </is>
      </c>
      <c r="F372" s="70" t="n">
        <v>1000535</v>
      </c>
      <c r="G372" s="70" t="inlineStr">
        <is>
          <t>1401/12/15 16:53</t>
        </is>
      </c>
      <c r="H372" s="70" t="inlineStr">
        <is>
          <t>https://www.codal.ir/Reports/Decision.aspx?LetterSerial=Mh9XqHSZdi98MMXRlbm0Jw%3d%3d&amp;rt=0&amp;let=19&amp;ct=0&amp;ft=-1</t>
        </is>
      </c>
      <c r="I372" s="70" t="inlineStr">
        <is>
          <t>زنجیره زمانی</t>
        </is>
      </c>
      <c r="J372" s="70" t="inlineStr">
        <is>
          <t>475a6a4e86cb2c0ebde2a598bf8618c5aed511c16048d9317b960b5ddc4674c2</t>
        </is>
      </c>
      <c r="K372" s="70" t="inlineStr">
        <is>
          <t>sources/codal/خساپا/v38_type19/T1000535.html</t>
        </is>
      </c>
    </row>
    <row r="373" ht="58" customHeight="1" s="76">
      <c r="A373" s="71" t="inlineStr">
        <is>
          <t>T19_1068166</t>
        </is>
      </c>
      <c r="B373" s="71" t="inlineStr">
        <is>
          <t>خساپا</t>
        </is>
      </c>
      <c r="C373" s="71" t="inlineStr">
        <is>
          <t>اطلاعیه ن۴۵ (Type19)</t>
        </is>
      </c>
      <c r="D373" s="71" t="n"/>
      <c r="E373" s="71" t="inlineStr">
        <is>
          <t>معرفی /تغییر در ترکیب اعضای هیئت مدیره/مدیر عامل</t>
        </is>
      </c>
      <c r="F373" s="71" t="n">
        <v>1068166</v>
      </c>
      <c r="G373" s="71" t="inlineStr">
        <is>
          <t>1402/05/18 15:29</t>
        </is>
      </c>
      <c r="H373" s="71" t="inlineStr">
        <is>
          <t>https://www.codal.ir/Reports/Decision.aspx?LetterSerial=8OgDLp44NrL%2bhy2S6VwQQQaQQQDQ%3d%3d&amp;rt=0&amp;let=19&amp;ct=0&amp;ft=-1</t>
        </is>
      </c>
      <c r="I373" s="71" t="inlineStr">
        <is>
          <t>زنجیره زمانی</t>
        </is>
      </c>
      <c r="J373" s="71" t="inlineStr">
        <is>
          <t>8f023caca6da00839f3e4a7796a4680bd965a51a900e4b6f49d62e31ec83a08d</t>
        </is>
      </c>
      <c r="K373" s="71" t="inlineStr">
        <is>
          <t>sources/codal/خساپا/v38_type19/T1068166.html</t>
        </is>
      </c>
    </row>
    <row r="374" ht="58" customHeight="1" s="76">
      <c r="A374" s="70" t="inlineStr">
        <is>
          <t>T19_1076762</t>
        </is>
      </c>
      <c r="B374" s="70" t="inlineStr">
        <is>
          <t>خساپا</t>
        </is>
      </c>
      <c r="C374" s="70" t="inlineStr">
        <is>
          <t>اطلاعیه ن۴۵ (Type19)</t>
        </is>
      </c>
      <c r="D374" s="70" t="n"/>
      <c r="E374" s="70" t="inlineStr">
        <is>
          <t>معرفی /تغییر در ترکیب اعضای هیئت مدیره/مدیر عامل</t>
        </is>
      </c>
      <c r="F374" s="70" t="n">
        <v>1076762</v>
      </c>
      <c r="G374" s="70" t="inlineStr">
        <is>
          <t>1402/06/07 15:05</t>
        </is>
      </c>
      <c r="H374" s="70" t="inlineStr">
        <is>
          <t>https://www.codal.ir/Reports/Decision.aspx?LetterSerial=1Jom9A%2b0qPiLgMJfbuyndA%3d%3d&amp;rt=0&amp;let=19&amp;ct=0&amp;ft=-1</t>
        </is>
      </c>
      <c r="I374" s="70" t="inlineStr">
        <is>
          <t>زنجیره زمانی</t>
        </is>
      </c>
      <c r="J374" s="70" t="inlineStr">
        <is>
          <t>ad745ade7d5c3c736ccb679504b351c278de070a4290c1ccd272d195ab726eab</t>
        </is>
      </c>
      <c r="K374" s="70" t="inlineStr">
        <is>
          <t>sources/codal/خساپا/v38_type19/T1076762.html</t>
        </is>
      </c>
    </row>
    <row r="375" ht="58" customHeight="1" s="76">
      <c r="A375" s="71" t="inlineStr">
        <is>
          <t>T19_1163057</t>
        </is>
      </c>
      <c r="B375" s="71" t="inlineStr">
        <is>
          <t>خساپا</t>
        </is>
      </c>
      <c r="C375" s="71" t="inlineStr">
        <is>
          <t>اطلاعیه ن۴۵ (Type19)</t>
        </is>
      </c>
      <c r="D375" s="71" t="n"/>
      <c r="E375" s="71" t="inlineStr">
        <is>
          <t>معرفی /تغییر در ترکیب اعضای هیئت مدیره/مدیر عامل</t>
        </is>
      </c>
      <c r="F375" s="71" t="n">
        <v>1163057</v>
      </c>
      <c r="G375" s="71" t="inlineStr">
        <is>
          <t>1402/12/14 18:32</t>
        </is>
      </c>
      <c r="H375" s="71" t="inlineStr">
        <is>
          <t>https://www.codal.ir/Reports/Decision.aspx?LetterSerial=NLOdBfAQQQaQQQ4Nu0a29WcuLvlQ%3d%3d&amp;rt=0&amp;let=19&amp;ct=0&amp;ft=-1</t>
        </is>
      </c>
      <c r="I375" s="71" t="inlineStr">
        <is>
          <t>زنجیره زمانی</t>
        </is>
      </c>
      <c r="J375" s="71" t="inlineStr">
        <is>
          <t>8ad310610748dd4c302f7a24af7dc7adc1ec06599091d125492c2a4e353add0b</t>
        </is>
      </c>
      <c r="K375" s="71" t="inlineStr">
        <is>
          <t>sources/codal/خساپا/v38_type19/T1163057.html</t>
        </is>
      </c>
    </row>
    <row r="376" ht="58" customHeight="1" s="76">
      <c r="A376" s="70" t="inlineStr">
        <is>
          <t>T19_1166937</t>
        </is>
      </c>
      <c r="B376" s="70" t="inlineStr">
        <is>
          <t>خساپا</t>
        </is>
      </c>
      <c r="C376" s="70" t="inlineStr">
        <is>
          <t>اطلاعیه ن۴۵ (Type19)</t>
        </is>
      </c>
      <c r="D376" s="70" t="n"/>
      <c r="E376" s="70" t="inlineStr">
        <is>
          <t>معرفی /تغییر در ترکیب اعضای هیئت مدیره/مدیر عامل</t>
        </is>
      </c>
      <c r="F376" s="70" t="n">
        <v>1166937</v>
      </c>
      <c r="G376" s="70" t="inlineStr">
        <is>
          <t>1402/12/20 08:00</t>
        </is>
      </c>
      <c r="H376" s="70" t="inlineStr">
        <is>
          <t>https://www.codal.ir/Reports/Decision.aspx?LetterSerial=uj4bc6CZiQzRm%2btSsZNWjw%3d%3d&amp;rt=0&amp;let=19&amp;ct=0&amp;ft=-1</t>
        </is>
      </c>
      <c r="I376" s="70" t="inlineStr">
        <is>
          <t>زنجیره زمانی</t>
        </is>
      </c>
      <c r="J376" s="70" t="inlineStr">
        <is>
          <t>c80cc32300b1f7cd66665762a453a5e802aaec54dd7c95ddf26f1004326ad78b</t>
        </is>
      </c>
      <c r="K376" s="70" t="inlineStr">
        <is>
          <t>sources/codal/خساپا/v38_type19/T1166937.html</t>
        </is>
      </c>
    </row>
    <row r="377" ht="58" customHeight="1" s="76">
      <c r="A377" s="71" t="inlineStr">
        <is>
          <t>T19_1172039</t>
        </is>
      </c>
      <c r="B377" s="71" t="inlineStr">
        <is>
          <t>خساپا</t>
        </is>
      </c>
      <c r="C377" s="71" t="inlineStr">
        <is>
          <t>اطلاعیه ن۴۵ (Type19)</t>
        </is>
      </c>
      <c r="D377" s="71" t="n"/>
      <c r="E377" s="71" t="inlineStr">
        <is>
          <t>معرفی /تغییر در ترکیب اعضای هیئت مدیره/مدیر عامل(اصلاحیه)</t>
        </is>
      </c>
      <c r="F377" s="71" t="n">
        <v>1172039</v>
      </c>
      <c r="G377" s="71" t="inlineStr">
        <is>
          <t>1403/01/06 11:33</t>
        </is>
      </c>
      <c r="H377" s="71" t="inlineStr">
        <is>
          <t>https://www.codal.ir/Reports/Decision.aspx?LetterSerial=xrtcZPPisMb6zcpnwbCO3Q%3d%3d&amp;rt=0&amp;let=19&amp;ct=0&amp;ft=-1</t>
        </is>
      </c>
      <c r="I377" s="71" t="inlineStr">
        <is>
          <t>زنجیره زمانی</t>
        </is>
      </c>
      <c r="J377" s="71" t="inlineStr">
        <is>
          <t>1540baa35626af503323a0243e64f2b6fe80e75e6c352863e4d9e9bf24498172</t>
        </is>
      </c>
      <c r="K377" s="71" t="inlineStr">
        <is>
          <t>sources/codal/خساپا/v38_type19/T1172039.html</t>
        </is>
      </c>
    </row>
    <row r="378" ht="58" customHeight="1" s="76">
      <c r="A378" s="70" t="inlineStr">
        <is>
          <t>T19_1177917</t>
        </is>
      </c>
      <c r="B378" s="70" t="inlineStr">
        <is>
          <t>خساپا</t>
        </is>
      </c>
      <c r="C378" s="70" t="inlineStr">
        <is>
          <t>اطلاعیه ن۴۵ (Type19)</t>
        </is>
      </c>
      <c r="D378" s="70" t="n"/>
      <c r="E378" s="70" t="inlineStr">
        <is>
          <t>معرفی /تغییر در ترکیب اعضای هیئت مدیره/مدیر عامل(اصلاحیه)</t>
        </is>
      </c>
      <c r="F378" s="70" t="n">
        <v>1177917</v>
      </c>
      <c r="G378" s="70" t="inlineStr">
        <is>
          <t>1403/01/28 17:32</t>
        </is>
      </c>
      <c r="H378" s="70" t="inlineStr">
        <is>
          <t>https://www.codal.ir/Reports/Decision.aspx?LetterSerial=APHsAvPNRu51AZhIEusaOw%3d%3d&amp;rt=0&amp;let=19&amp;ct=0&amp;ft=-1</t>
        </is>
      </c>
      <c r="I378" s="70" t="inlineStr">
        <is>
          <t>زنجیره زمانی</t>
        </is>
      </c>
      <c r="J378" s="70" t="inlineStr">
        <is>
          <t>e695e8a6d721ffee1db2a7b5149d3f954b84c487974123b81b26f360ce294c0a</t>
        </is>
      </c>
      <c r="K378" s="70" t="inlineStr">
        <is>
          <t>sources/codal/خساپا/v38_type19/T1177917.html</t>
        </is>
      </c>
    </row>
    <row r="379" ht="58" customHeight="1" s="76">
      <c r="A379" s="71" t="inlineStr">
        <is>
          <t>T19_1180154</t>
        </is>
      </c>
      <c r="B379" s="71" t="inlineStr">
        <is>
          <t>خساپا</t>
        </is>
      </c>
      <c r="C379" s="71" t="inlineStr">
        <is>
          <t>اطلاعیه ن۴۵ (Type19)</t>
        </is>
      </c>
      <c r="D379" s="71" t="n"/>
      <c r="E379" s="71" t="inlineStr">
        <is>
          <t>معرفی /تغییر در ترکیب اعضای هیئت مدیره/مدیر عامل(اصلاحیه)</t>
        </is>
      </c>
      <c r="F379" s="71" t="n">
        <v>1180154</v>
      </c>
      <c r="G379" s="71" t="inlineStr">
        <is>
          <t>1403/02/02 16:38</t>
        </is>
      </c>
      <c r="H379" s="71" t="inlineStr">
        <is>
          <t>https://www.codal.ir/Reports/Decision.aspx?LetterSerial=aAIhulRHr16YsZZ2D9pxQQQaQQQA%3d%3d&amp;rt=0&amp;let=19&amp;ct=0&amp;ft=-1</t>
        </is>
      </c>
      <c r="I379" s="71" t="inlineStr">
        <is>
          <t>زنجیره زمانی</t>
        </is>
      </c>
      <c r="J379" s="71" t="inlineStr">
        <is>
          <t>69d28116245a6a0df615dbced8b64961c60341fde467572f8208036e943fc210</t>
        </is>
      </c>
      <c r="K379" s="71" t="inlineStr">
        <is>
          <t>sources/codal/خساپا/v38_type19/T1180154.html</t>
        </is>
      </c>
    </row>
    <row r="380" ht="58" customHeight="1" s="76">
      <c r="A380" s="70" t="inlineStr">
        <is>
          <t>T19_1203739</t>
        </is>
      </c>
      <c r="B380" s="70" t="inlineStr">
        <is>
          <t>خساپا</t>
        </is>
      </c>
      <c r="C380" s="70" t="inlineStr">
        <is>
          <t>اطلاعیه ن۴۵ (Type19)</t>
        </is>
      </c>
      <c r="D380" s="70" t="n"/>
      <c r="E380" s="70" t="inlineStr">
        <is>
          <t>معرفی /تغییر در ترکیب اعضای هیئت مدیره/مدیر عامل</t>
        </is>
      </c>
      <c r="F380" s="70" t="n">
        <v>1203739</v>
      </c>
      <c r="G380" s="70" t="inlineStr">
        <is>
          <t>1403/03/26 16:58</t>
        </is>
      </c>
      <c r="H380" s="70" t="inlineStr">
        <is>
          <t>https://www.codal.ir/Reports/Decision.aspx?LetterSerial=zEauaRCwwZdxYRRaj0z6Kw%3d%3d&amp;rt=0&amp;let=19&amp;ct=0&amp;ft=-1</t>
        </is>
      </c>
      <c r="I380" s="70" t="inlineStr">
        <is>
          <t>زنجیره زمانی</t>
        </is>
      </c>
      <c r="J380" s="70" t="inlineStr">
        <is>
          <t>bf6274f14ee3fbf8f162c3064892500e5bbce427eddd8a9ddb85041b4dcab221</t>
        </is>
      </c>
      <c r="K380" s="70" t="inlineStr">
        <is>
          <t>sources/codal/خساپا/v38_type19/T1203739.html</t>
        </is>
      </c>
    </row>
    <row r="381" ht="58" customHeight="1" s="76">
      <c r="A381" s="71" t="inlineStr">
        <is>
          <t>T19_1255684</t>
        </is>
      </c>
      <c r="B381" s="71" t="inlineStr">
        <is>
          <t>خساپا</t>
        </is>
      </c>
      <c r="C381" s="71" t="inlineStr">
        <is>
          <t>اطلاعیه ن۴۵ (Type19)</t>
        </is>
      </c>
      <c r="D381" s="71" t="n"/>
      <c r="E381" s="71" t="inlineStr">
        <is>
          <t>معرفی /تغییر در ترکیب اعضای هیئت مدیره/مدیر عامل</t>
        </is>
      </c>
      <c r="F381" s="71" t="n">
        <v>1255684</v>
      </c>
      <c r="G381" s="71" t="inlineStr">
        <is>
          <t>1403/07/25 13:55</t>
        </is>
      </c>
      <c r="H381" s="71" t="inlineStr">
        <is>
          <t>https://www.codal.ir/Reports/Decision.aspx?LetterSerial=V684zW6GYpwQUcLgMsdKbw%3d%3d&amp;rt=0&amp;let=19&amp;ct=0&amp;ft=-1</t>
        </is>
      </c>
      <c r="I381" s="71" t="inlineStr">
        <is>
          <t>زنجیره زمانی</t>
        </is>
      </c>
      <c r="J381" s="71" t="inlineStr">
        <is>
          <t>1be686eccc204b31fd573f0a93d4785f5280463e480e763f5f609eb63431c3f6</t>
        </is>
      </c>
      <c r="K381" s="71" t="inlineStr">
        <is>
          <t>sources/codal/خساپا/v38_type19/T1255684.html</t>
        </is>
      </c>
    </row>
    <row r="382" ht="58" customHeight="1" s="76">
      <c r="A382" s="70" t="inlineStr">
        <is>
          <t>T19_1280611</t>
        </is>
      </c>
      <c r="B382" s="70" t="inlineStr">
        <is>
          <t>خساپا</t>
        </is>
      </c>
      <c r="C382" s="70" t="inlineStr">
        <is>
          <t>اطلاعیه ن۴۵ (Type19)</t>
        </is>
      </c>
      <c r="D382" s="70" t="n"/>
      <c r="E382" s="70" t="inlineStr">
        <is>
          <t>معرفی /تغییر در ترکیب اعضای هیئت مدیره/مدیر عامل</t>
        </is>
      </c>
      <c r="F382" s="70" t="n">
        <v>1280611</v>
      </c>
      <c r="G382" s="70" t="inlineStr">
        <is>
          <t>1403/09/14 17:00</t>
        </is>
      </c>
      <c r="H382" s="70" t="inlineStr">
        <is>
          <t>https://www.codal.ir/Reports/Decision.aspx?LetterSerial=zdiWdzLN3P0WX9KVaYLKWA%3d%3d&amp;rt=0&amp;let=19&amp;ct=0&amp;ft=-1</t>
        </is>
      </c>
      <c r="I382" s="70" t="inlineStr">
        <is>
          <t>زنجیره زمانی</t>
        </is>
      </c>
      <c r="J382" s="70" t="inlineStr">
        <is>
          <t>e03a9cb7b3d2d8d6ceada4613ce75987c086121626f697c29150563f3e0d4160</t>
        </is>
      </c>
      <c r="K382" s="70" t="inlineStr">
        <is>
          <t>sources/codal/خساپا/v38_type19/T1280611.html</t>
        </is>
      </c>
    </row>
    <row r="383" ht="58" customHeight="1" s="76">
      <c r="A383" s="71" t="inlineStr">
        <is>
          <t>T19_1283917</t>
        </is>
      </c>
      <c r="B383" s="71" t="inlineStr">
        <is>
          <t>خساپا</t>
        </is>
      </c>
      <c r="C383" s="71" t="inlineStr">
        <is>
          <t>اطلاعیه ن۴۵ (Type19)</t>
        </is>
      </c>
      <c r="D383" s="71" t="n"/>
      <c r="E383" s="71" t="inlineStr">
        <is>
          <t>معرفی /تغییر در ترکیب اعضای هیئت مدیره/مدیر عامل(اصلاحیه)</t>
        </is>
      </c>
      <c r="F383" s="71" t="n">
        <v>1283917</v>
      </c>
      <c r="G383" s="71" t="inlineStr">
        <is>
          <t>1403/09/25 14:14</t>
        </is>
      </c>
      <c r="H383" s="71" t="inlineStr">
        <is>
          <t>https://www.codal.ir/Reports/Decision.aspx?LetterSerial=OOObOOO6zBkIL4BsoUzS6tkD5uEw%3d%3d&amp;rt=0&amp;let=19&amp;ct=0&amp;ft=-1</t>
        </is>
      </c>
      <c r="I383" s="71" t="inlineStr">
        <is>
          <t>زنجیره زمانی</t>
        </is>
      </c>
      <c r="J383" s="71" t="inlineStr">
        <is>
          <t>8c364c8167f70d98497908382e2d66a72d8455b6113f012e9b9690cad56a7b17</t>
        </is>
      </c>
      <c r="K383" s="71" t="inlineStr">
        <is>
          <t>sources/codal/خساپا/v38_type19/T1283917.html</t>
        </is>
      </c>
    </row>
    <row r="384" ht="58" customHeight="1" s="76">
      <c r="A384" s="70" t="inlineStr">
        <is>
          <t>T19_1295938</t>
        </is>
      </c>
      <c r="B384" s="70" t="inlineStr">
        <is>
          <t>خساپا</t>
        </is>
      </c>
      <c r="C384" s="70" t="inlineStr">
        <is>
          <t>اطلاعیه ن۴۵ (Type19)</t>
        </is>
      </c>
      <c r="D384" s="70" t="n"/>
      <c r="E384" s="70" t="inlineStr">
        <is>
          <t>معرفی /تغییر در ترکیب اعضای هیئت مدیره/مدیر عامل</t>
        </is>
      </c>
      <c r="F384" s="70" t="n">
        <v>1295938</v>
      </c>
      <c r="G384" s="70" t="inlineStr">
        <is>
          <t>1403/11/03 19:13</t>
        </is>
      </c>
      <c r="H384" s="70" t="inlineStr">
        <is>
          <t>https://www.codal.ir/Reports/Decision.aspx?LetterSerial=0rlsOOObOOOEFaa9IMoCD90IUbxA%3d%3d&amp;rt=0&amp;let=19&amp;ct=0&amp;ft=-1</t>
        </is>
      </c>
      <c r="I384" s="70" t="inlineStr">
        <is>
          <t>زنجیره زمانی</t>
        </is>
      </c>
      <c r="J384" s="70" t="inlineStr">
        <is>
          <t>538fc688caf84820002f02e236046d638bf0800bc3813d60054f96203f95cbed</t>
        </is>
      </c>
      <c r="K384" s="70" t="inlineStr">
        <is>
          <t>sources/codal/خساپا/v38_type19/T1295938.html</t>
        </is>
      </c>
    </row>
    <row r="385" ht="58" customHeight="1" s="76">
      <c r="A385" s="71" t="inlineStr">
        <is>
          <t>T19_1336974</t>
        </is>
      </c>
      <c r="B385" s="71" t="inlineStr">
        <is>
          <t>خساپا</t>
        </is>
      </c>
      <c r="C385" s="71" t="inlineStr">
        <is>
          <t>اطلاعیه ن۴۵ (Type19)</t>
        </is>
      </c>
      <c r="D385" s="71" t="n"/>
      <c r="E385" s="71" t="inlineStr">
        <is>
          <t>معرفی /تغییر در ترکیب اعضای هیئت مدیره/مدیر عامل</t>
        </is>
      </c>
      <c r="F385" s="71" t="n">
        <v>1336974</v>
      </c>
      <c r="G385" s="71" t="inlineStr">
        <is>
          <t>1404/02/09 12:37</t>
        </is>
      </c>
      <c r="H385" s="71" t="inlineStr">
        <is>
          <t>https://www.codal.ir/Reports/Decision.aspx?LetterSerial=A9EKEshXRCjahGZMnLLylQ%3d%3d&amp;rt=0&amp;let=19&amp;ct=0&amp;ft=-1</t>
        </is>
      </c>
      <c r="I385" s="71" t="inlineStr">
        <is>
          <t>زنجیره زمانی</t>
        </is>
      </c>
      <c r="J385" s="71" t="inlineStr">
        <is>
          <t>9b68affa22416d9cfd388ec3b50a1b814c94eba98db7895ac9923b9d8fefea18</t>
        </is>
      </c>
      <c r="K385" s="71" t="inlineStr">
        <is>
          <t>sources/codal/خساپا/v38_type19/T1336974.html</t>
        </is>
      </c>
    </row>
    <row r="386" ht="58" customHeight="1" s="76">
      <c r="A386" s="70" t="inlineStr">
        <is>
          <t>T19_1386511</t>
        </is>
      </c>
      <c r="B386" s="70" t="inlineStr">
        <is>
          <t>خساپا</t>
        </is>
      </c>
      <c r="C386" s="70" t="inlineStr">
        <is>
          <t>اطلاعیه ن۴۵ (Type19)</t>
        </is>
      </c>
      <c r="D386" s="70" t="n"/>
      <c r="E386" s="70" t="inlineStr">
        <is>
          <t>معرفی /تغییر در ترکیب اعضای هیئت مدیره/مدیر عامل</t>
        </is>
      </c>
      <c r="F386" s="70" t="n">
        <v>1386511</v>
      </c>
      <c r="G386" s="70" t="inlineStr">
        <is>
          <t>1404/05/15 13:10</t>
        </is>
      </c>
      <c r="H386" s="70" t="inlineStr">
        <is>
          <t>https://www.codal.ir/Reports/Decision.aspx?LetterSerial=UJ1so0i61H6WpTMWJ3OsCA%3d%3d&amp;rt=0&amp;let=19&amp;ct=0&amp;ft=-1</t>
        </is>
      </c>
      <c r="I386" s="70" t="inlineStr">
        <is>
          <t>مبنای فهرست اعضا در as-of</t>
        </is>
      </c>
      <c r="J386" s="70" t="inlineStr">
        <is>
          <t>3e249a8fcd4fe1e7aebb012852e457881c3cc4fc9f0e6cabace257323add9520</t>
        </is>
      </c>
      <c r="K386" s="70" t="inlineStr">
        <is>
          <t>sources/codal/خساپا/v38_type19/T1386511.html</t>
        </is>
      </c>
    </row>
    <row r="387" ht="58" customHeight="1" s="76">
      <c r="A387" s="71" t="inlineStr">
        <is>
          <t>T19_1593783</t>
        </is>
      </c>
      <c r="B387" s="71" t="inlineStr">
        <is>
          <t>خساپا</t>
        </is>
      </c>
      <c r="C387" s="71" t="inlineStr">
        <is>
          <t>اطلاعیه ن۴۵ (Type19)</t>
        </is>
      </c>
      <c r="D387" s="71" t="n"/>
      <c r="E387" s="71" t="inlineStr">
        <is>
          <t>معرفی /تغییر در ترکیب اعضای هیئت مدیره/مدیر عامل</t>
        </is>
      </c>
      <c r="F387" s="71" t="n">
        <v>1593783</v>
      </c>
      <c r="G387" s="71" t="inlineStr">
        <is>
          <t>1405/06/18 14:32</t>
        </is>
      </c>
      <c r="H387" s="71" t="inlineStr">
        <is>
          <t>https://www.codal.ir/Reports/Decision.aspx?LetterSerial=KPUrMlANYKd3zdvOOObOOOOOObOOOfxAsA%3d%3d&amp;rt=0&amp;let=19&amp;ct=0&amp;ft=-1</t>
        </is>
      </c>
      <c r="I387" s="71" t="inlineStr">
        <is>
          <t>زنجیره زمانی</t>
        </is>
      </c>
      <c r="J387" s="71" t="inlineStr">
        <is>
          <t>9fd4b8eca6c37c686d1ca35839cac0efcb312fc1db2fe9f0403002238a6d492e</t>
        </is>
      </c>
      <c r="K387" s="71" t="inlineStr">
        <is>
          <t>sources/codal/خساپا/v38_type19/T1593783.html</t>
        </is>
      </c>
    </row>
    <row r="388" ht="58" customHeight="1" s="76">
      <c r="A388" s="70" t="inlineStr">
        <is>
          <t>T19_1604365</t>
        </is>
      </c>
      <c r="B388" s="70" t="inlineStr">
        <is>
          <t>خساپا</t>
        </is>
      </c>
      <c r="C388" s="70" t="inlineStr">
        <is>
          <t>اطلاعیه ن۴۵ (Type19)</t>
        </is>
      </c>
      <c r="D388" s="70" t="n"/>
      <c r="E388" s="70" t="inlineStr">
        <is>
          <t>معرفی /تغییر در ترکیب اعضای هیئت مدیره/مدیر عامل</t>
        </is>
      </c>
      <c r="F388" s="70" t="n">
        <v>1604365</v>
      </c>
      <c r="G388" s="70" t="inlineStr">
        <is>
          <t>1405/07/05 16:04</t>
        </is>
      </c>
      <c r="H388" s="70" t="inlineStr">
        <is>
          <t>https://www.codal.ir/Reports/Decision.aspx?LetterSerial=HQQQaQQQKiSnY6uMzEE1Fl2EiuMg%3d%3d&amp;rt=0&amp;let=19&amp;ct=0&amp;ft=-1</t>
        </is>
      </c>
      <c r="I388" s="70" t="inlineStr">
        <is>
          <t>زنجیره زمانی</t>
        </is>
      </c>
      <c r="J388" s="70" t="inlineStr">
        <is>
          <t>5607dbe825f191e8b34895bb15a93f8a90d093d7a1a0a7401f5efeff0c97d9f1</t>
        </is>
      </c>
      <c r="K388" s="70" t="inlineStr">
        <is>
          <t>sources/codal/خساپا/v38_type19/T1604365.html</t>
        </is>
      </c>
    </row>
    <row r="389" ht="58" customHeight="1" s="76">
      <c r="A389" s="71" t="inlineStr">
        <is>
          <t>T19_865620</t>
        </is>
      </c>
      <c r="B389" s="71" t="inlineStr">
        <is>
          <t>همراه</t>
        </is>
      </c>
      <c r="C389" s="71" t="inlineStr">
        <is>
          <t>اطلاعیه ن۴۵ (Type19)</t>
        </is>
      </c>
      <c r="D389" s="71" t="n"/>
      <c r="E389" s="71" t="inlineStr">
        <is>
          <t>معرفی یا تغییر در ترکیب اعضای هیئت مدیره</t>
        </is>
      </c>
      <c r="F389" s="71" t="n">
        <v>865620</v>
      </c>
      <c r="G389" s="71" t="inlineStr">
        <is>
          <t>1401/01/09 12:29</t>
        </is>
      </c>
      <c r="H389" s="71" t="inlineStr">
        <is>
          <t>https://www.codal.ir/Reports/Decision.aspx?LetterSerial=iVK0JchErgjLKYwisTHpkQ%3D%3D&amp;rt=5&amp;let=19&amp;ct=0&amp;ft=-1</t>
        </is>
      </c>
      <c r="I389" s="71" t="inlineStr">
        <is>
          <t>زنجیره زمانی</t>
        </is>
      </c>
      <c r="J389" s="71" t="inlineStr">
        <is>
          <t>8eaa5fa9f6cd5dba2117b253adb53f2b61aa8da3cd9941398891232e96035027</t>
        </is>
      </c>
      <c r="K389" s="71" t="inlineStr">
        <is>
          <t>sources/codal/همراه/v38_type19/T865620.html</t>
        </is>
      </c>
    </row>
    <row r="390" ht="58" customHeight="1" s="76">
      <c r="A390" s="70" t="inlineStr">
        <is>
          <t>T19_969162</t>
        </is>
      </c>
      <c r="B390" s="70" t="inlineStr">
        <is>
          <t>همراه</t>
        </is>
      </c>
      <c r="C390" s="70" t="inlineStr">
        <is>
          <t>اطلاعیه ن۴۵ (Type19)</t>
        </is>
      </c>
      <c r="D390" s="70" t="n"/>
      <c r="E390" s="70" t="inlineStr">
        <is>
          <t>معرفی /تغییر در ترکیب اعضای هیئت مدیره/مدیر عامل</t>
        </is>
      </c>
      <c r="F390" s="70" t="n">
        <v>969162</v>
      </c>
      <c r="G390" s="70" t="inlineStr">
        <is>
          <t>1401/09/16 15:07</t>
        </is>
      </c>
      <c r="H390" s="70" t="inlineStr">
        <is>
          <t>https://www.codal.ir/Reports/Decision.aspx?LetterSerial=LHNCT%2br0FgbQDF%2bY3UzEEQ%3d%3d&amp;rt=5&amp;let=19&amp;ct=0&amp;ft=-1</t>
        </is>
      </c>
      <c r="I390" s="70" t="inlineStr">
        <is>
          <t>زنجیره زمانی</t>
        </is>
      </c>
      <c r="J390" s="70" t="inlineStr">
        <is>
          <t>fd957a4a89fc903c465c47bcba76f8175e72fc3709304c29d4fe17e0f2029ace</t>
        </is>
      </c>
      <c r="K390" s="70" t="inlineStr">
        <is>
          <t>sources/codal/همراه/v38_type19/T969162.html</t>
        </is>
      </c>
    </row>
    <row r="391" ht="58" customHeight="1" s="76">
      <c r="A391" s="71" t="inlineStr">
        <is>
          <t>T19_1034256</t>
        </is>
      </c>
      <c r="B391" s="71" t="inlineStr">
        <is>
          <t>همراه</t>
        </is>
      </c>
      <c r="C391" s="71" t="inlineStr">
        <is>
          <t>اطلاعیه ن۴۵ (Type19)</t>
        </is>
      </c>
      <c r="D391" s="71" t="n"/>
      <c r="E391" s="71" t="inlineStr">
        <is>
          <t>معرفی /تغییر در ترکیب اعضای هیئت مدیره/مدیر عامل(اصلاحیه)</t>
        </is>
      </c>
      <c r="F391" s="71" t="n">
        <v>1034256</v>
      </c>
      <c r="G391" s="71" t="inlineStr">
        <is>
          <t>1402/03/10 12:37</t>
        </is>
      </c>
      <c r="H391" s="71" t="inlineStr">
        <is>
          <t>https://www.codal.ir/Reports/Decision.aspx?LetterSerial=pKs50fwlesMD31mD2V82fw%3d%3d&amp;rt=5&amp;let=19&amp;ct=0&amp;ft=-1</t>
        </is>
      </c>
      <c r="I391" s="71" t="inlineStr">
        <is>
          <t>زنجیره زمانی</t>
        </is>
      </c>
      <c r="J391" s="71" t="inlineStr">
        <is>
          <t>9d497294e58c66df74081f16cad60aa00f5aedceddb140b4e78e4e984eb5dd17</t>
        </is>
      </c>
      <c r="K391" s="71" t="inlineStr">
        <is>
          <t>sources/codal/همراه/v38_type19/T1034256.html</t>
        </is>
      </c>
    </row>
    <row r="392" ht="58" customHeight="1" s="76">
      <c r="A392" s="70" t="inlineStr">
        <is>
          <t>T19_1093266</t>
        </is>
      </c>
      <c r="B392" s="70" t="inlineStr">
        <is>
          <t>همراه</t>
        </is>
      </c>
      <c r="C392" s="70" t="inlineStr">
        <is>
          <t>اطلاعیه ن۴۵ (Type19)</t>
        </is>
      </c>
      <c r="D392" s="70" t="n"/>
      <c r="E392" s="70" t="inlineStr">
        <is>
          <t>معرفی /تغییر در ترکیب اعضای هیئت مدیره/مدیر عامل</t>
        </is>
      </c>
      <c r="F392" s="70" t="n">
        <v>1093266</v>
      </c>
      <c r="G392" s="70" t="inlineStr">
        <is>
          <t>1402/07/25 10:58</t>
        </is>
      </c>
      <c r="H392" s="70" t="inlineStr">
        <is>
          <t>https://www.codal.ir/Reports/Decision.aspx?LetterSerial=jdCritzo2X2MVfYizOvUSw%3d%3d&amp;rt=5&amp;let=19&amp;ct=0&amp;ft=-1</t>
        </is>
      </c>
      <c r="I392" s="70" t="inlineStr">
        <is>
          <t>زنجیره زمانی</t>
        </is>
      </c>
      <c r="J392" s="70" t="inlineStr">
        <is>
          <t>b33d3709bc1114b21c67cbe0e3cbcf9aae0101cafe4699a2015e182d1212b297</t>
        </is>
      </c>
      <c r="K392" s="70" t="inlineStr">
        <is>
          <t>sources/codal/همراه/v38_type19/T1093266.html</t>
        </is>
      </c>
    </row>
    <row r="393" ht="58" customHeight="1" s="76">
      <c r="A393" s="71" t="inlineStr">
        <is>
          <t>T19_1217070</t>
        </is>
      </c>
      <c r="B393" s="71" t="inlineStr">
        <is>
          <t>همراه</t>
        </is>
      </c>
      <c r="C393" s="71" t="inlineStr">
        <is>
          <t>اطلاعیه ن۴۵ (Type19)</t>
        </is>
      </c>
      <c r="D393" s="71" t="n"/>
      <c r="E393" s="71" t="inlineStr">
        <is>
          <t>معرفی /تغییر در ترکیب اعضای هیئت مدیره/مدیر عامل</t>
        </is>
      </c>
      <c r="F393" s="71" t="n">
        <v>1217070</v>
      </c>
      <c r="G393" s="71" t="inlineStr">
        <is>
          <t>1403/04/20 18:03</t>
        </is>
      </c>
      <c r="H393" s="71" t="inlineStr">
        <is>
          <t>https://www.codal.ir/Reports/Decision.aspx?LetterSerial=Lf0k96fMxkg9MtxaRW8ulQ%3d%3d&amp;rt=5&amp;let=19&amp;ct=0&amp;ft=-1</t>
        </is>
      </c>
      <c r="I393" s="71" t="inlineStr">
        <is>
          <t>زنجیره زمانی</t>
        </is>
      </c>
      <c r="J393" s="71" t="inlineStr">
        <is>
          <t>b97f136693d6b51f0837173fea3692446b3874377bbb7a97c1e97d6c48e7d4d7</t>
        </is>
      </c>
      <c r="K393" s="71" t="inlineStr">
        <is>
          <t>sources/codal/همراه/v38_type19/T1217070.html</t>
        </is>
      </c>
    </row>
    <row r="394" ht="58" customHeight="1" s="76">
      <c r="A394" s="70" t="inlineStr">
        <is>
          <t>T19_1219259</t>
        </is>
      </c>
      <c r="B394" s="70" t="inlineStr">
        <is>
          <t>همراه</t>
        </is>
      </c>
      <c r="C394" s="70" t="inlineStr">
        <is>
          <t>اطلاعیه ن۴۵ (Type19)</t>
        </is>
      </c>
      <c r="D394" s="70" t="n"/>
      <c r="E394" s="70" t="inlineStr">
        <is>
          <t>معرفی /تغییر در ترکیب اعضای هیئت مدیره/مدیر عامل(اصلاحیه)</t>
        </is>
      </c>
      <c r="F394" s="70" t="n">
        <v>1219259</v>
      </c>
      <c r="G394" s="70" t="inlineStr">
        <is>
          <t>1403/04/24 15:14</t>
        </is>
      </c>
      <c r="H394" s="70" t="inlineStr">
        <is>
          <t>https://www.codal.ir/Reports/Decision.aspx?LetterSerial=UAch3GjtiKhPGoqf80sa9Q%3d%3d&amp;rt=5&amp;let=19&amp;ct=0&amp;ft=-1</t>
        </is>
      </c>
      <c r="I394" s="70" t="inlineStr">
        <is>
          <t>زنجیره زمانی</t>
        </is>
      </c>
      <c r="J394" s="70" t="inlineStr">
        <is>
          <t>ec600791b6c65af2e67d2c9da1d4f454683de797b2387f55d19211d47fd42e26</t>
        </is>
      </c>
      <c r="K394" s="70" t="inlineStr">
        <is>
          <t>sources/codal/همراه/v38_type19/T1219259.html</t>
        </is>
      </c>
    </row>
    <row r="395" ht="58" customHeight="1" s="76">
      <c r="A395" s="71" t="inlineStr">
        <is>
          <t>T19_1233276</t>
        </is>
      </c>
      <c r="B395" s="71" t="inlineStr">
        <is>
          <t>همراه</t>
        </is>
      </c>
      <c r="C395" s="71" t="inlineStr">
        <is>
          <t>اطلاعیه ن۴۵ (Type19)</t>
        </is>
      </c>
      <c r="D395" s="71" t="n"/>
      <c r="E395" s="71" t="inlineStr">
        <is>
          <t>معرفی /تغییر در ترکیب اعضای هیئت مدیره/مدیر عامل</t>
        </is>
      </c>
      <c r="F395" s="71" t="n">
        <v>1233276</v>
      </c>
      <c r="G395" s="71" t="inlineStr">
        <is>
          <t>1403/05/22 16:57</t>
        </is>
      </c>
      <c r="H395" s="71" t="inlineStr">
        <is>
          <t>https://www.codal.ir/Reports/Decision.aspx?LetterSerial=DNqueJXC7PYy20KkNnqBZA%3d%3d&amp;rt=5&amp;let=19&amp;ct=0&amp;ft=-1</t>
        </is>
      </c>
      <c r="I395" s="71" t="inlineStr">
        <is>
          <t>زنجیره زمانی</t>
        </is>
      </c>
      <c r="J395" s="71" t="inlineStr">
        <is>
          <t>522efe9e1b1f315fba88dfff85657124b6a3e17ec8515f2e951e62c4a53fe167</t>
        </is>
      </c>
      <c r="K395" s="71" t="inlineStr">
        <is>
          <t>sources/codal/همراه/v38_type19/T1233276.html</t>
        </is>
      </c>
    </row>
    <row r="396" ht="58" customHeight="1" s="76">
      <c r="A396" s="70" t="inlineStr">
        <is>
          <t>T19_1352932</t>
        </is>
      </c>
      <c r="B396" s="70" t="inlineStr">
        <is>
          <t>همراه</t>
        </is>
      </c>
      <c r="C396" s="70" t="inlineStr">
        <is>
          <t>اطلاعیه ن۴۵ (Type19)</t>
        </is>
      </c>
      <c r="D396" s="70" t="n"/>
      <c r="E396" s="70" t="inlineStr">
        <is>
          <t>معرفی /تغییر در ترکیب اعضای هیئت مدیره/مدیر عامل(اصلاحیه)</t>
        </is>
      </c>
      <c r="F396" s="70" t="n">
        <v>1352932</v>
      </c>
      <c r="G396" s="70" t="inlineStr">
        <is>
          <t>1404/03/21 13:07</t>
        </is>
      </c>
      <c r="H396" s="70" t="inlineStr">
        <is>
          <t>https://www.codal.ir/Reports/Decision.aspx?LetterSerial=EkFsjyhmhfXBQoQQQaQQQTg7cqCw%3d%3d&amp;rt=5&amp;let=19&amp;ct=0&amp;ft=-1</t>
        </is>
      </c>
      <c r="I396" s="70" t="inlineStr">
        <is>
          <t>مبنای فهرست اعضا در as-of</t>
        </is>
      </c>
      <c r="J396" s="70" t="inlineStr">
        <is>
          <t>1f0f840ede9f0887a025bae058db5687fc4cbfc66558352836b037fca63c245a</t>
        </is>
      </c>
      <c r="K396" s="70" t="inlineStr">
        <is>
          <t>sources/codal/همراه/v38_type19/T1352932.html</t>
        </is>
      </c>
    </row>
    <row r="397" ht="58" customHeight="1" s="76">
      <c r="A397" s="71" t="inlineStr">
        <is>
          <t>T19_1539929</t>
        </is>
      </c>
      <c r="B397" s="71" t="inlineStr">
        <is>
          <t>همراه</t>
        </is>
      </c>
      <c r="C397" s="71" t="inlineStr">
        <is>
          <t>اطلاعیه ن۴۵ (Type19)</t>
        </is>
      </c>
      <c r="D397" s="71" t="n"/>
      <c r="E397" s="71" t="inlineStr">
        <is>
          <t>معرفی /تغییر در ترکیب اعضای هیئت مدیره/مدیر عامل</t>
        </is>
      </c>
      <c r="F397" s="71" t="n">
        <v>1539929</v>
      </c>
      <c r="G397" s="71" t="inlineStr">
        <is>
          <t>1405/03/16 15:42</t>
        </is>
      </c>
      <c r="H397" s="71" t="inlineStr">
        <is>
          <t>https://www.codal.ir/Reports/Decision.aspx?LetterSerial=4l4w2OOObOOOc74o70doatQcmagw%3d%3d&amp;rt=5&amp;let=19&amp;ct=0&amp;ft=-1</t>
        </is>
      </c>
      <c r="I397" s="71" t="inlineStr">
        <is>
          <t>زنجیره زمانی</t>
        </is>
      </c>
      <c r="J397" s="71" t="inlineStr">
        <is>
          <t>9d0cdae48b6eabc9f2718385ae49ac7a64de1e05dd32206dfd3a4fc646780962</t>
        </is>
      </c>
      <c r="K397" s="71" t="inlineStr">
        <is>
          <t>sources/codal/همراه/v38_type19/T1539929.html</t>
        </is>
      </c>
    </row>
    <row r="398" ht="58" customHeight="1" s="76">
      <c r="A398" s="70" t="inlineStr">
        <is>
          <t>T19_1580907</t>
        </is>
      </c>
      <c r="B398" s="70" t="inlineStr">
        <is>
          <t>همراه</t>
        </is>
      </c>
      <c r="C398" s="70" t="inlineStr">
        <is>
          <t>اطلاعیه ن۴۵ (Type19)</t>
        </is>
      </c>
      <c r="D398" s="70" t="n"/>
      <c r="E398" s="70" t="inlineStr">
        <is>
          <t>معرفی /تغییر در ترکیب اعضای هیئت مدیره/مدیر عامل</t>
        </is>
      </c>
      <c r="F398" s="70" t="n">
        <v>1580907</v>
      </c>
      <c r="G398" s="70" t="inlineStr">
        <is>
          <t>1405/05/12 14:39</t>
        </is>
      </c>
      <c r="H398" s="70" t="inlineStr">
        <is>
          <t>https://www.codal.ir/Reports/Decision.aspx?LetterSerial=Nv7qNcR9ywZB2QQQaQQQj5b9ahJA%3d%3d&amp;rt=5&amp;let=19&amp;ct=0&amp;ft=-1</t>
        </is>
      </c>
      <c r="I398" s="70" t="inlineStr">
        <is>
          <t>زنجیره زمانی</t>
        </is>
      </c>
      <c r="J398" s="70" t="inlineStr">
        <is>
          <t>cd331ce82d1a21657592ffe74060288978ee6ae64432ce92b7c56095a48d8581</t>
        </is>
      </c>
      <c r="K398" s="70" t="inlineStr">
        <is>
          <t>sources/codal/همراه/v38_type19/T1580907.html</t>
        </is>
      </c>
    </row>
    <row r="399" ht="58" customHeight="1" s="76">
      <c r="A399" s="71" t="inlineStr">
        <is>
          <t>T19_861168</t>
        </is>
      </c>
      <c r="B399" s="71" t="inlineStr">
        <is>
          <t>وبملت</t>
        </is>
      </c>
      <c r="C399" s="71" t="inlineStr">
        <is>
          <t>اطلاعیه ن۴۵ (Type19)</t>
        </is>
      </c>
      <c r="D399" s="71" t="n"/>
      <c r="E399" s="71" t="inlineStr">
        <is>
          <t>معرفی یا تغییر در ترکیب اعضای هیئت مدیره</t>
        </is>
      </c>
      <c r="F399" s="71" t="n">
        <v>861168</v>
      </c>
      <c r="G399" s="71" t="inlineStr">
        <is>
          <t>1401/03/01 20:41</t>
        </is>
      </c>
      <c r="H399" s="71" t="inlineStr">
        <is>
          <t>https://www.codal.ir/Reports/Decision.aspx?LetterSerial=ahFNfQhFINp1NgYLyRsH7w%3d%3d&amp;rt=3&amp;let=19&amp;ct=0&amp;ft=-1</t>
        </is>
      </c>
      <c r="I399" s="71" t="inlineStr">
        <is>
          <t>زنجیره زمانی</t>
        </is>
      </c>
      <c r="J399" s="71" t="inlineStr">
        <is>
          <t>d1cde765553133aa809fd7d92476a3383264524398c4d91fd5297ab85d52a67b</t>
        </is>
      </c>
      <c r="K399" s="71" t="inlineStr">
        <is>
          <t>sources/codal/وبملت/v38_type19/T861168.html</t>
        </is>
      </c>
    </row>
    <row r="400" ht="58" customHeight="1" s="76">
      <c r="A400" s="70" t="inlineStr">
        <is>
          <t>T19_888263</t>
        </is>
      </c>
      <c r="B400" s="70" t="inlineStr">
        <is>
          <t>وبملت</t>
        </is>
      </c>
      <c r="C400" s="70" t="inlineStr">
        <is>
          <t>اطلاعیه ن۴۵ (Type19)</t>
        </is>
      </c>
      <c r="D400" s="70" t="n"/>
      <c r="E400" s="70" t="inlineStr">
        <is>
          <t>معرفی یا تغییر در ترکیب اعضای هیئت مدیره(اصلاحیه)</t>
        </is>
      </c>
      <c r="F400" s="70" t="n">
        <v>888263</v>
      </c>
      <c r="G400" s="70" t="inlineStr">
        <is>
          <t>1401/03/05 19:42</t>
        </is>
      </c>
      <c r="H400" s="70" t="inlineStr">
        <is>
          <t>https://www.codal.ir/Reports/Decision.aspx?LetterSerial=VbCBvGlDLvlaMVsaqtfL7w%3d%3d&amp;rt=3&amp;let=19&amp;ct=0&amp;ft=-1</t>
        </is>
      </c>
      <c r="I400" s="70" t="inlineStr">
        <is>
          <t>زنجیره زمانی</t>
        </is>
      </c>
      <c r="J400" s="70" t="inlineStr">
        <is>
          <t>863cb1c2a0418378604b5f353b6eb2f3b86f609b107c2523168b7b19be8ebec4</t>
        </is>
      </c>
      <c r="K400" s="70" t="inlineStr">
        <is>
          <t>sources/codal/وبملت/v38_type19/T888263.html</t>
        </is>
      </c>
    </row>
    <row r="401" ht="58" customHeight="1" s="76">
      <c r="A401" s="71" t="inlineStr">
        <is>
          <t>T19_1050896</t>
        </is>
      </c>
      <c r="B401" s="71" t="inlineStr">
        <is>
          <t>وبملت</t>
        </is>
      </c>
      <c r="C401" s="71" t="inlineStr">
        <is>
          <t>اطلاعیه ن۴۵ (Type19)</t>
        </is>
      </c>
      <c r="D401" s="71" t="n"/>
      <c r="E401" s="71" t="inlineStr">
        <is>
          <t>معرفی /تغییر در ترکیب اعضای هیئت مدیره/مدیر عامل</t>
        </is>
      </c>
      <c r="F401" s="71" t="n">
        <v>1050896</v>
      </c>
      <c r="G401" s="71" t="inlineStr">
        <is>
          <t>1402/04/14 14:48</t>
        </is>
      </c>
      <c r="H401" s="71" t="inlineStr">
        <is>
          <t>https://www.codal.ir/Reports/Decision.aspx?LetterSerial=CAYiCkgdVEEZCYpgQ9D4Qw%3d%3d&amp;rt=3&amp;let=19&amp;ct=0&amp;ft=-1</t>
        </is>
      </c>
      <c r="I401" s="71" t="inlineStr">
        <is>
          <t>زنجیره زمانی</t>
        </is>
      </c>
      <c r="J401" s="71" t="inlineStr">
        <is>
          <t>d628f31fc9ca25ca4bca6c60677dbf597f025327415c9aa65679369d7580a47f</t>
        </is>
      </c>
      <c r="K401" s="71" t="inlineStr">
        <is>
          <t>sources/codal/وبملت/v38_type19/T1050896.html</t>
        </is>
      </c>
    </row>
    <row r="402" ht="58" customHeight="1" s="76">
      <c r="A402" s="70" t="inlineStr">
        <is>
          <t>T19_1169403</t>
        </is>
      </c>
      <c r="B402" s="70" t="inlineStr">
        <is>
          <t>وبملت</t>
        </is>
      </c>
      <c r="C402" s="70" t="inlineStr">
        <is>
          <t>اطلاعیه ن۴۵ (Type19)</t>
        </is>
      </c>
      <c r="D402" s="70" t="n"/>
      <c r="E402" s="70" t="inlineStr">
        <is>
          <t>معرفی /تغییر در ترکیب اعضای هیئت مدیره/مدیر عامل</t>
        </is>
      </c>
      <c r="F402" s="70" t="n">
        <v>1169403</v>
      </c>
      <c r="G402" s="70" t="inlineStr">
        <is>
          <t>1402/12/24 17:31</t>
        </is>
      </c>
      <c r="H402" s="70" t="inlineStr">
        <is>
          <t>https://www.codal.ir/Reports/Decision.aspx?LetterSerial=mb3rj6EXls64khVOmHepOQ%3d%3d&amp;rt=3&amp;let=19&amp;ct=0&amp;ft=-1</t>
        </is>
      </c>
      <c r="I402" s="70" t="inlineStr">
        <is>
          <t>زنجیره زمانی</t>
        </is>
      </c>
      <c r="J402" s="70" t="inlineStr">
        <is>
          <t>185ff513720c2c99721bdf4cc97b251b992e71cc70b58c0801701bfdd4e11fe8</t>
        </is>
      </c>
      <c r="K402" s="70" t="inlineStr">
        <is>
          <t>sources/codal/وبملت/v38_type19/T1169403.html</t>
        </is>
      </c>
    </row>
    <row r="403" ht="58" customHeight="1" s="76">
      <c r="A403" s="71" t="inlineStr">
        <is>
          <t>T19_1169405</t>
        </is>
      </c>
      <c r="B403" s="71" t="inlineStr">
        <is>
          <t>وبملت</t>
        </is>
      </c>
      <c r="C403" s="71" t="inlineStr">
        <is>
          <t>اطلاعیه ن۴۵ (Type19)</t>
        </is>
      </c>
      <c r="D403" s="71" t="n"/>
      <c r="E403" s="71" t="inlineStr">
        <is>
          <t>معرفی /تغییر در ترکیب اعضای هیئت مدیره/مدیر عامل(اصلاحیه)</t>
        </is>
      </c>
      <c r="F403" s="71" t="n">
        <v>1169405</v>
      </c>
      <c r="G403" s="71" t="inlineStr">
        <is>
          <t>1402/12/24 18:01</t>
        </is>
      </c>
      <c r="H403" s="71" t="inlineStr">
        <is>
          <t>https://www.codal.ir/Reports/Decision.aspx?LetterSerial=Kx2pHhvwWjveQQQaQQQQQQaQQQhjHTIY%2bQ%3d%3d&amp;rt=3&amp;let=19&amp;ct=0&amp;ft=-1</t>
        </is>
      </c>
      <c r="I403" s="71" t="inlineStr">
        <is>
          <t>زنجیره زمانی</t>
        </is>
      </c>
      <c r="J403" s="71" t="inlineStr">
        <is>
          <t>0dfef72e755d10423507a33aede8e8818acc75e93df0f36fa043565a8f679925</t>
        </is>
      </c>
      <c r="K403" s="71" t="inlineStr">
        <is>
          <t>sources/codal/وبملت/v38_type19/T1169405.html</t>
        </is>
      </c>
    </row>
    <row r="404" ht="58" customHeight="1" s="76">
      <c r="A404" s="70" t="inlineStr">
        <is>
          <t>T19_1313319</t>
        </is>
      </c>
      <c r="B404" s="70" t="inlineStr">
        <is>
          <t>وبملت</t>
        </is>
      </c>
      <c r="C404" s="70" t="inlineStr">
        <is>
          <t>اطلاعیه ن۴۵ (Type19)</t>
        </is>
      </c>
      <c r="D404" s="70" t="n"/>
      <c r="E404" s="70" t="inlineStr">
        <is>
          <t>معرفی /تغییر در ترکیب اعضای هیئت مدیره/مدیر عامل</t>
        </is>
      </c>
      <c r="F404" s="70" t="n">
        <v>1313319</v>
      </c>
      <c r="G404" s="70" t="inlineStr">
        <is>
          <t>1403/12/06 19:09</t>
        </is>
      </c>
      <c r="H404" s="70" t="inlineStr">
        <is>
          <t>https://www.codal.ir/Reports/Decision.aspx?LetterSerial=pMyRiSQQQaQQQwMIoymmCCqmzwtg%3d%3d&amp;rt=3&amp;let=19&amp;ct=0&amp;ft=-1</t>
        </is>
      </c>
      <c r="I404" s="70" t="inlineStr">
        <is>
          <t>زنجیره زمانی</t>
        </is>
      </c>
      <c r="J404" s="70" t="inlineStr">
        <is>
          <t>5a60157ed2b89a04fc7d421d26e34428a525903b8bb365cbdf916eb5c1b08d9b</t>
        </is>
      </c>
      <c r="K404" s="70" t="inlineStr">
        <is>
          <t>sources/codal/وبملت/v38_type19/T1313319.html</t>
        </is>
      </c>
    </row>
    <row r="405" ht="58" customHeight="1" s="76">
      <c r="A405" s="71" t="inlineStr">
        <is>
          <t>T19_1397174</t>
        </is>
      </c>
      <c r="B405" s="71" t="inlineStr">
        <is>
          <t>وبملت</t>
        </is>
      </c>
      <c r="C405" s="71" t="inlineStr">
        <is>
          <t>اطلاعیه ن۴۵ (Type19)</t>
        </is>
      </c>
      <c r="D405" s="71" t="n"/>
      <c r="E405" s="71" t="inlineStr">
        <is>
          <t>معرفی /تغییر در ترکیب اعضای هیئت مدیره/مدیر عامل(اصلاحیه)</t>
        </is>
      </c>
      <c r="F405" s="71" t="n">
        <v>1397174</v>
      </c>
      <c r="G405" s="71" t="inlineStr">
        <is>
          <t>1404/06/04 10:17</t>
        </is>
      </c>
      <c r="H405" s="71" t="inlineStr">
        <is>
          <t>https://www.codal.ir/Reports/Decision.aspx?LetterSerial=jqQzOOObOOOZ5mOOObOOO0IdbSC6088ERA%3d%3d&amp;rt=3&amp;let=19&amp;ct=0&amp;ft=-1</t>
        </is>
      </c>
      <c r="I405" s="71" t="inlineStr">
        <is>
          <t>مبنای فهرست اعضا در as-of</t>
        </is>
      </c>
      <c r="J405" s="71" t="inlineStr">
        <is>
          <t>bd4f68cdf47571c3b70fa29387b90c2eecc5f93c2180e781cc5cb64aeaaf1fa6</t>
        </is>
      </c>
      <c r="K405" s="71" t="inlineStr">
        <is>
          <t>sources/codal/وبملت/v38_type19/T1397174.html</t>
        </is>
      </c>
    </row>
    <row r="406" ht="58" customHeight="1" s="76">
      <c r="A406" s="70" t="inlineStr">
        <is>
          <t>T19_1599824</t>
        </is>
      </c>
      <c r="B406" s="70" t="inlineStr">
        <is>
          <t>وبملت</t>
        </is>
      </c>
      <c r="C406" s="70" t="inlineStr">
        <is>
          <t>اطلاعیه ن۴۵ (Type19)</t>
        </is>
      </c>
      <c r="D406" s="70" t="n"/>
      <c r="E406" s="70" t="inlineStr">
        <is>
          <t>معرفی /تغییر در ترکیب اعضای هیئت مدیره/مدیر عامل</t>
        </is>
      </c>
      <c r="F406" s="70" t="n">
        <v>1599824</v>
      </c>
      <c r="G406" s="70" t="inlineStr">
        <is>
          <t>1405/06/25 14:42</t>
        </is>
      </c>
      <c r="H406" s="70" t="inlineStr">
        <is>
          <t>https://www.codal.ir/Reports/Decision.aspx?LetterSerial=445QSZ4HEFRsV4wpZuPlOOObOOOA%3d%3d&amp;rt=3&amp;let=19&amp;ct=0&amp;ft=-1</t>
        </is>
      </c>
      <c r="I406" s="70" t="inlineStr">
        <is>
          <t>زنجیره زمانی</t>
        </is>
      </c>
      <c r="J406" s="70" t="inlineStr">
        <is>
          <t>02202873af4c35a9c41d2fbf2379193fc934d0e35947cdf69546a61615396c04</t>
        </is>
      </c>
      <c r="K406" s="70" t="inlineStr">
        <is>
          <t>sources/codal/وبملت/v38_type19/T1599824.html</t>
        </is>
      </c>
    </row>
    <row r="407" ht="58" customHeight="1" s="76">
      <c r="A407" s="71" t="inlineStr">
        <is>
          <t>T19_869717</t>
        </is>
      </c>
      <c r="B407" s="71" t="inlineStr">
        <is>
          <t>وبصادر</t>
        </is>
      </c>
      <c r="C407" s="71" t="inlineStr">
        <is>
          <t>اطلاعیه ن۴۵ (Type19)</t>
        </is>
      </c>
      <c r="D407" s="71" t="n"/>
      <c r="E407" s="71" t="inlineStr">
        <is>
          <t>معرفی یا تغییر در ترکیب اعضای هیئت مدیره</t>
        </is>
      </c>
      <c r="F407" s="71" t="n">
        <v>869717</v>
      </c>
      <c r="G407" s="71" t="inlineStr">
        <is>
          <t>1401/01/31 07:53</t>
        </is>
      </c>
      <c r="H407" s="71" t="inlineStr">
        <is>
          <t>https://www.codal.ir/Reports/Decision.aspx?LetterSerial=VrkQQQaQQQYKV7giQ4PSm4q5P9Gg%3D%3D&amp;rt=3&amp;let=19&amp;ct=0&amp;ft=-1</t>
        </is>
      </c>
      <c r="I407" s="71" t="inlineStr">
        <is>
          <t>زنجیره زمانی</t>
        </is>
      </c>
      <c r="J407" s="71" t="inlineStr">
        <is>
          <t>0702dea3e99415d4ab9550f66f34b93fc7b4153035bd08a467c9fad745fd3d75</t>
        </is>
      </c>
      <c r="K407" s="71" t="inlineStr">
        <is>
          <t>sources/codal/وبصادر/v38_type19/T869717.html</t>
        </is>
      </c>
    </row>
    <row r="408" ht="58" customHeight="1" s="76">
      <c r="A408" s="70" t="inlineStr">
        <is>
          <t>T19_892759</t>
        </is>
      </c>
      <c r="B408" s="70" t="inlineStr">
        <is>
          <t>وبصادر</t>
        </is>
      </c>
      <c r="C408" s="70" t="inlineStr">
        <is>
          <t>اطلاعیه ن۴۵ (Type19)</t>
        </is>
      </c>
      <c r="D408" s="70" t="n"/>
      <c r="E408" s="70" t="inlineStr">
        <is>
          <t>معرفی یا تغییر در ترکیب اعضای هیئت مدیره</t>
        </is>
      </c>
      <c r="F408" s="70" t="n">
        <v>892759</v>
      </c>
      <c r="G408" s="70" t="inlineStr">
        <is>
          <t>1401/03/12 08:39</t>
        </is>
      </c>
      <c r="H408" s="70" t="inlineStr">
        <is>
          <t>https://www.codal.ir/Reports/Decision.aspx?LetterSerial=qcgNHAvmLmY4QQQaQQQN2zAnlUwA%3d%3d&amp;rt=3&amp;let=19&amp;ct=0&amp;ft=-1</t>
        </is>
      </c>
      <c r="I408" s="70" t="inlineStr">
        <is>
          <t>زنجیره زمانی</t>
        </is>
      </c>
      <c r="J408" s="70" t="inlineStr">
        <is>
          <t>2387c92ac9951362ad66ee65fa9171e0027a11d6b9065e3c4e9b82db4fef1972</t>
        </is>
      </c>
      <c r="K408" s="70" t="inlineStr">
        <is>
          <t>sources/codal/وبصادر/v38_type19/T892759.html</t>
        </is>
      </c>
    </row>
    <row r="409" ht="58" customHeight="1" s="76">
      <c r="A409" s="71" t="inlineStr">
        <is>
          <t>T19_920598</t>
        </is>
      </c>
      <c r="B409" s="71" t="inlineStr">
        <is>
          <t>وبصادر</t>
        </is>
      </c>
      <c r="C409" s="71" t="inlineStr">
        <is>
          <t>اطلاعیه ن۴۵ (Type19)</t>
        </is>
      </c>
      <c r="D409" s="71" t="n"/>
      <c r="E409" s="71" t="inlineStr">
        <is>
          <t>معرفی یا تغییر در ترکیب اعضای هیئت مدیره</t>
        </is>
      </c>
      <c r="F409" s="71" t="n">
        <v>920598</v>
      </c>
      <c r="G409" s="71" t="inlineStr">
        <is>
          <t>1401/05/09 13:36</t>
        </is>
      </c>
      <c r="H409" s="71" t="inlineStr">
        <is>
          <t>https://www.codal.ir/Reports/Decision.aspx?LetterSerial=9cLau5SPttX0QF1RLopSEQ%3d%3d&amp;rt=3&amp;let=19&amp;ct=0&amp;ft=-1</t>
        </is>
      </c>
      <c r="I409" s="71" t="inlineStr">
        <is>
          <t>زنجیره زمانی</t>
        </is>
      </c>
      <c r="J409" s="71" t="inlineStr">
        <is>
          <t>f09bfec76952fa574f3ba5d0a3ceda7613b96440b75a8ee401c471f0bd3eb2f6</t>
        </is>
      </c>
      <c r="K409" s="71" t="inlineStr">
        <is>
          <t>sources/codal/وبصادر/v38_type19/T920598.html</t>
        </is>
      </c>
    </row>
    <row r="410" ht="58" customHeight="1" s="76">
      <c r="A410" s="70" t="inlineStr">
        <is>
          <t>T19_1079682</t>
        </is>
      </c>
      <c r="B410" s="70" t="inlineStr">
        <is>
          <t>وبصادر</t>
        </is>
      </c>
      <c r="C410" s="70" t="inlineStr">
        <is>
          <t>اطلاعیه ن۴۵ (Type19)</t>
        </is>
      </c>
      <c r="D410" s="70" t="n"/>
      <c r="E410" s="70" t="inlineStr">
        <is>
          <t>معرفی /تغییر در ترکیب اعضای هیئت مدیره/مدیر عامل</t>
        </is>
      </c>
      <c r="F410" s="70" t="n">
        <v>1079682</v>
      </c>
      <c r="G410" s="70" t="inlineStr">
        <is>
          <t>1402/06/12 13:15</t>
        </is>
      </c>
      <c r="H410" s="70" t="inlineStr">
        <is>
          <t>https://www.codal.ir/Reports/Decision.aspx?LetterSerial=ZOmMNsS9hxERWYMkKMf4Tw%3d%3d&amp;rt=3&amp;let=19&amp;ct=0&amp;ft=-1</t>
        </is>
      </c>
      <c r="I410" s="70" t="inlineStr">
        <is>
          <t>زنجیره زمانی</t>
        </is>
      </c>
      <c r="J410" s="70" t="inlineStr">
        <is>
          <t>067736bf23f1b09e787000def907a545d0a63f2d5c4439aa81c6f9ebce1f45b7</t>
        </is>
      </c>
      <c r="K410" s="70" t="inlineStr">
        <is>
          <t>sources/codal/وبصادر/v38_type19/T1079682.html</t>
        </is>
      </c>
    </row>
    <row r="411" ht="58" customHeight="1" s="76">
      <c r="A411" s="71" t="inlineStr">
        <is>
          <t>T19_1080186</t>
        </is>
      </c>
      <c r="B411" s="71" t="inlineStr">
        <is>
          <t>وبصادر</t>
        </is>
      </c>
      <c r="C411" s="71" t="inlineStr">
        <is>
          <t>اطلاعیه ن۴۵ (Type19)</t>
        </is>
      </c>
      <c r="D411" s="71" t="n"/>
      <c r="E411" s="71" t="inlineStr">
        <is>
          <t>معرفی /تغییر در ترکیب اعضای هیئت مدیره/مدیر عامل(اصلاحیه)</t>
        </is>
      </c>
      <c r="F411" s="71" t="n">
        <v>1080186</v>
      </c>
      <c r="G411" s="71" t="inlineStr">
        <is>
          <t>1402/06/13 16:45</t>
        </is>
      </c>
      <c r="H411" s="71" t="inlineStr">
        <is>
          <t>https://www.codal.ir/Reports/Decision.aspx?LetterSerial=%2bj8bZVdxsRC44TGfj4cV0g%3d%3d&amp;rt=3&amp;let=19&amp;ct=0&amp;ft=-1</t>
        </is>
      </c>
      <c r="I411" s="71" t="inlineStr">
        <is>
          <t>زنجیره زمانی</t>
        </is>
      </c>
      <c r="J411" s="71" t="inlineStr">
        <is>
          <t>1750f2ebd8a4adfd8b9862dfe2b6b79185c709624ee18ca61717e0cfae939a24</t>
        </is>
      </c>
      <c r="K411" s="71" t="inlineStr">
        <is>
          <t>sources/codal/وبصادر/v38_type19/T1080186.html</t>
        </is>
      </c>
    </row>
    <row r="412" ht="58" customHeight="1" s="76">
      <c r="A412" s="70" t="inlineStr">
        <is>
          <t>T19_1106341</t>
        </is>
      </c>
      <c r="B412" s="70" t="inlineStr">
        <is>
          <t>وبصادر</t>
        </is>
      </c>
      <c r="C412" s="70" t="inlineStr">
        <is>
          <t>اطلاعیه ن۴۵ (Type19)</t>
        </is>
      </c>
      <c r="D412" s="70" t="n"/>
      <c r="E412" s="70" t="inlineStr">
        <is>
          <t>معرفی /تغییر در ترکیب اعضای هیئت مدیره/مدیر عامل</t>
        </is>
      </c>
      <c r="F412" s="70" t="n">
        <v>1106341</v>
      </c>
      <c r="G412" s="70" t="inlineStr">
        <is>
          <t>1402/08/22 18:47</t>
        </is>
      </c>
      <c r="H412" s="70" t="inlineStr">
        <is>
          <t>https://www.codal.ir/Reports/Decision.aspx?LetterSerial=giqvzzTxz7cV4ZWb2BWM1g%3d%3d&amp;rt=3&amp;let=19&amp;ct=0&amp;ft=-1</t>
        </is>
      </c>
      <c r="I412" s="70" t="inlineStr">
        <is>
          <t>زنجیره زمانی</t>
        </is>
      </c>
      <c r="J412" s="70" t="inlineStr">
        <is>
          <t>35b8084f52fee61f28ccd10ddac6921affda09b1dd7962cdc6d166d2388c5421</t>
        </is>
      </c>
      <c r="K412" s="70" t="inlineStr">
        <is>
          <t>sources/codal/وبصادر/v38_type19/T1106341.html</t>
        </is>
      </c>
    </row>
    <row r="413" ht="58" customHeight="1" s="76">
      <c r="A413" s="71" t="inlineStr">
        <is>
          <t>T19_1106807</t>
        </is>
      </c>
      <c r="B413" s="71" t="inlineStr">
        <is>
          <t>وبصادر</t>
        </is>
      </c>
      <c r="C413" s="71" t="inlineStr">
        <is>
          <t>اطلاعیه ن۴۵ (Type19)</t>
        </is>
      </c>
      <c r="D413" s="71" t="n"/>
      <c r="E413" s="71" t="inlineStr">
        <is>
          <t>معرفی /تغییر در ترکیب اعضای هیئت مدیره/مدیر عامل</t>
        </is>
      </c>
      <c r="F413" s="71" t="n">
        <v>1106807</v>
      </c>
      <c r="G413" s="71" t="inlineStr">
        <is>
          <t>1402/08/23 17:39</t>
        </is>
      </c>
      <c r="H413" s="71" t="inlineStr">
        <is>
          <t>https://www.codal.ir/Reports/Decision.aspx?LetterSerial=VrGaGQQQaQQQsAoD5HC5xbqsG1AA%3d%3d&amp;rt=3&amp;let=19&amp;ct=0&amp;ft=-1</t>
        </is>
      </c>
      <c r="I413" s="71" t="inlineStr">
        <is>
          <t>زنجیره زمانی</t>
        </is>
      </c>
      <c r="J413" s="71" t="inlineStr">
        <is>
          <t>eb0a01d3ea72233800c37533d404597d600d1ed8e4c56cf1cc704dda18adfb85</t>
        </is>
      </c>
      <c r="K413" s="71" t="inlineStr">
        <is>
          <t>sources/codal/وبصادر/v38_type19/T1106807.html</t>
        </is>
      </c>
    </row>
    <row r="414" ht="58" customHeight="1" s="76">
      <c r="A414" s="70" t="inlineStr">
        <is>
          <t>T19_1321081</t>
        </is>
      </c>
      <c r="B414" s="70" t="inlineStr">
        <is>
          <t>وبصادر</t>
        </is>
      </c>
      <c r="C414" s="70" t="inlineStr">
        <is>
          <t>اطلاعیه ن۴۵ (Type19)</t>
        </is>
      </c>
      <c r="D414" s="70" t="n"/>
      <c r="E414" s="70" t="inlineStr">
        <is>
          <t>معرفی /تغییر در ترکیب اعضای هیئت مدیره/مدیر عامل</t>
        </is>
      </c>
      <c r="F414" s="70" t="n">
        <v>1321081</v>
      </c>
      <c r="G414" s="70" t="inlineStr">
        <is>
          <t>1403/12/22 12:29</t>
        </is>
      </c>
      <c r="H414" s="70" t="inlineStr">
        <is>
          <t>https://www.codal.ir/Reports/Decision.aspx?LetterSerial=v9kkVfLcqmiaouoSTHKAUQ%3d%3d&amp;rt=3&amp;let=19&amp;ct=0&amp;ft=-1</t>
        </is>
      </c>
      <c r="I414" s="70" t="inlineStr">
        <is>
          <t>مبنای فهرست اعضا در as-of</t>
        </is>
      </c>
      <c r="J414" s="70" t="inlineStr">
        <is>
          <t>afc035627226ff03e1d1c003640d80dcc17bd8ca00d2367538d0bef0587b5c69</t>
        </is>
      </c>
      <c r="K414" s="70" t="inlineStr">
        <is>
          <t>sources/codal/وبصادر/v38_type19/T1321081.html</t>
        </is>
      </c>
    </row>
    <row r="415" ht="58" customHeight="1" s="76">
      <c r="A415" s="71" t="inlineStr">
        <is>
          <t>T19_1519012</t>
        </is>
      </c>
      <c r="B415" s="71" t="inlineStr">
        <is>
          <t>وبصادر</t>
        </is>
      </c>
      <c r="C415" s="71" t="inlineStr">
        <is>
          <t>اطلاعیه ن۴۵ (Type19)</t>
        </is>
      </c>
      <c r="D415" s="71" t="n"/>
      <c r="E415" s="71" t="inlineStr">
        <is>
          <t>معرفی /تغییر در ترکیب اعضای هیئت مدیره/مدیر عامل</t>
        </is>
      </c>
      <c r="F415" s="71" t="n">
        <v>1519012</v>
      </c>
      <c r="G415" s="71" t="inlineStr">
        <is>
          <t>1405/02/20 10:02</t>
        </is>
      </c>
      <c r="H415" s="71" t="inlineStr">
        <is>
          <t>https://www.codal.ir/Reports/Decision.aspx?LetterSerial=jizXCcGtvfsXOjQQQaQQQfEfVUVg%3d%3d&amp;rt=3&amp;let=19&amp;ct=0&amp;ft=-1</t>
        </is>
      </c>
      <c r="I415" s="71" t="inlineStr">
        <is>
          <t>زنجیره زمانی</t>
        </is>
      </c>
      <c r="J415" s="71" t="inlineStr">
        <is>
          <t>657e992ee55e6bfaca8daaa08f327ffacbf853b687b4a4e0dd836b3d25a8ba60</t>
        </is>
      </c>
      <c r="K415" s="71" t="inlineStr">
        <is>
          <t>sources/codal/وبصادر/v38_type19/T1519012.html</t>
        </is>
      </c>
    </row>
    <row r="416" ht="58" customHeight="1" s="76">
      <c r="A416" s="70" t="inlineStr">
        <is>
          <t>T19_1523530</t>
        </is>
      </c>
      <c r="B416" s="70" t="inlineStr">
        <is>
          <t>وبصادر</t>
        </is>
      </c>
      <c r="C416" s="70" t="inlineStr">
        <is>
          <t>اطلاعیه ن۴۵ (Type19)</t>
        </is>
      </c>
      <c r="D416" s="70" t="n"/>
      <c r="E416" s="70" t="inlineStr">
        <is>
          <t>معرفی /تغییر در ترکیب اعضای هیئت مدیره/مدیر عامل(اصلاحیه)</t>
        </is>
      </c>
      <c r="F416" s="70" t="n">
        <v>1523530</v>
      </c>
      <c r="G416" s="70" t="inlineStr">
        <is>
          <t>1405/02/20 12:07</t>
        </is>
      </c>
      <c r="H416" s="70" t="inlineStr">
        <is>
          <t>https://www.codal.ir/Reports/Decision.aspx?LetterSerial=tnJVG8vmYSkEEhvfB5i9og%3d%3d&amp;rt=3&amp;let=19&amp;ct=0&amp;ft=-1</t>
        </is>
      </c>
      <c r="I416" s="70" t="inlineStr">
        <is>
          <t>زنجیره زمانی</t>
        </is>
      </c>
      <c r="J416" s="70" t="inlineStr">
        <is>
          <t>cdf873489db5f5e97e804e9ebaac5b0f5a3914f7d987d3d2715d29c92ea5b131</t>
        </is>
      </c>
      <c r="K416" s="70" t="inlineStr">
        <is>
          <t>sources/codal/وبصادر/v38_type19/T1523530.html</t>
        </is>
      </c>
    </row>
    <row r="417" ht="58" customHeight="1" s="76">
      <c r="A417" s="71" t="inlineStr">
        <is>
          <t>T19_1561429</t>
        </is>
      </c>
      <c r="B417" s="71" t="inlineStr">
        <is>
          <t>وبصادر</t>
        </is>
      </c>
      <c r="C417" s="71" t="inlineStr">
        <is>
          <t>اطلاعیه ن۴۵ (Type19)</t>
        </is>
      </c>
      <c r="D417" s="71" t="n"/>
      <c r="E417" s="71" t="inlineStr">
        <is>
          <t>معرفی /تغییر در ترکیب اعضای هیئت مدیره/مدیر عامل</t>
        </is>
      </c>
      <c r="F417" s="71" t="n">
        <v>1561429</v>
      </c>
      <c r="G417" s="71" t="inlineStr">
        <is>
          <t>1405/04/10 17:12</t>
        </is>
      </c>
      <c r="H417" s="71" t="inlineStr">
        <is>
          <t>https://www.codal.ir/Reports/Decision.aspx?LetterSerial=ODmFJtxohURtXS1FnGAWIw%3d%3d&amp;rt=3&amp;let=19&amp;ct=0&amp;ft=-1</t>
        </is>
      </c>
      <c r="I417" s="71" t="inlineStr">
        <is>
          <t>زنجیره زمانی</t>
        </is>
      </c>
      <c r="J417" s="71" t="inlineStr">
        <is>
          <t>0ffef93e0c4859e02c58f2d9e06bf9a6af01e0243b53ebd4e284e64fabe4c8a8</t>
        </is>
      </c>
      <c r="K417" s="71" t="inlineStr">
        <is>
          <t>sources/codal/وبصادر/v38_type19/T1561429.html</t>
        </is>
      </c>
    </row>
    <row r="418" ht="58" customHeight="1" s="76">
      <c r="A418" s="70" t="inlineStr">
        <is>
          <t>T19_1039576</t>
        </is>
      </c>
      <c r="B418" s="70" t="inlineStr">
        <is>
          <t>وپاسار</t>
        </is>
      </c>
      <c r="C418" s="70" t="inlineStr">
        <is>
          <t>اطلاعیه ن۴۵ (Type19)</t>
        </is>
      </c>
      <c r="D418" s="70" t="n"/>
      <c r="E418" s="70" t="inlineStr">
        <is>
          <t>معرفی /تغییر در ترکیب اعضای هیئت مدیره/مدیر عامل</t>
        </is>
      </c>
      <c r="F418" s="70" t="n">
        <v>1039576</v>
      </c>
      <c r="G418" s="70" t="inlineStr">
        <is>
          <t>1402/04/05 07:03</t>
        </is>
      </c>
      <c r="H418" s="70" t="inlineStr">
        <is>
          <t>https://www.codal.ir/Reports/Decision.aspx?LetterSerial=7wKzGctGLtZA2PX2J3gTvA%3d%3d&amp;rt=3&amp;let=19&amp;ct=0&amp;ft=-1</t>
        </is>
      </c>
      <c r="I418" s="70" t="inlineStr">
        <is>
          <t>زنجیره زمانی</t>
        </is>
      </c>
      <c r="J418" s="70" t="inlineStr">
        <is>
          <t>5b894750663d6f8a69a6f798a52e168b95efcb33363e9cc77d15c3f238b228a6</t>
        </is>
      </c>
      <c r="K418" s="70" t="inlineStr">
        <is>
          <t>sources/codal/وپاسار/v38_type19/T1039576.html</t>
        </is>
      </c>
    </row>
    <row r="419" ht="58" customHeight="1" s="76">
      <c r="A419" s="71" t="inlineStr">
        <is>
          <t>T19_941760</t>
        </is>
      </c>
      <c r="B419" s="71" t="inlineStr">
        <is>
          <t>حکشتی</t>
        </is>
      </c>
      <c r="C419" s="71" t="inlineStr">
        <is>
          <t>اطلاعیه ن۴۵ (Type19)</t>
        </is>
      </c>
      <c r="D419" s="71" t="n"/>
      <c r="E419" s="71" t="inlineStr">
        <is>
          <t>معرفی /تغییر در ترکیب اعضای هیئت مدیره/مدیر عامل</t>
        </is>
      </c>
      <c r="F419" s="71" t="n">
        <v>941760</v>
      </c>
      <c r="G419" s="71" t="inlineStr">
        <is>
          <t>1401/07/06 14:52</t>
        </is>
      </c>
      <c r="H419" s="71" t="inlineStr">
        <is>
          <t>https://www.codal.ir/Reports/Decision.aspx?LetterSerial=NiZpebQAAVCic2pcki3Pnw%3d%3d&amp;rt=2&amp;let=19&amp;ct=0&amp;ft=-1</t>
        </is>
      </c>
      <c r="I419" s="71" t="inlineStr">
        <is>
          <t>زنجیره زمانی</t>
        </is>
      </c>
      <c r="J419" s="71" t="inlineStr">
        <is>
          <t>cc6052e852c88e65e9d67598e8e04bd075f993988bc80f2b3922ad44c0ebdeca</t>
        </is>
      </c>
      <c r="K419" s="71" t="inlineStr">
        <is>
          <t>sources/codal/حکشتی/v38_type19/T941760.html</t>
        </is>
      </c>
    </row>
    <row r="420" ht="58" customHeight="1" s="76">
      <c r="A420" s="70" t="inlineStr">
        <is>
          <t>T19_970752</t>
        </is>
      </c>
      <c r="B420" s="70" t="inlineStr">
        <is>
          <t>حکشتی</t>
        </is>
      </c>
      <c r="C420" s="70" t="inlineStr">
        <is>
          <t>اطلاعیه ن۴۵ (Type19)</t>
        </is>
      </c>
      <c r="D420" s="70" t="n"/>
      <c r="E420" s="70" t="inlineStr">
        <is>
          <t>معرفی /تغییر در ترکیب اعضای هیئت مدیره/مدیر عامل</t>
        </is>
      </c>
      <c r="F420" s="70" t="n">
        <v>970752</v>
      </c>
      <c r="G420" s="70" t="inlineStr">
        <is>
          <t>1401/09/30 15:10</t>
        </is>
      </c>
      <c r="H420" s="70" t="inlineStr">
        <is>
          <t>https://www.codal.ir/Reports/Decision.aspx?LetterSerial=vE1EOcEA9N9kdxerlW8dJg%3d%3d&amp;rt=2&amp;let=19&amp;ct=0&amp;ft=-1</t>
        </is>
      </c>
      <c r="I420" s="70" t="inlineStr">
        <is>
          <t>زنجیره زمانی</t>
        </is>
      </c>
      <c r="J420" s="70" t="inlineStr">
        <is>
          <t>6a93f5881fc02c9a863747db9c897502cccfba20e6ddb6b71ba80796b0a21ef2</t>
        </is>
      </c>
      <c r="K420" s="70" t="inlineStr">
        <is>
          <t>sources/codal/حکشتی/v38_type19/T970752.html</t>
        </is>
      </c>
    </row>
    <row r="421" ht="58" customHeight="1" s="76">
      <c r="A421" s="71" t="inlineStr">
        <is>
          <t>T19_1154505</t>
        </is>
      </c>
      <c r="B421" s="71" t="inlineStr">
        <is>
          <t>حکشتی</t>
        </is>
      </c>
      <c r="C421" s="71" t="inlineStr">
        <is>
          <t>اطلاعیه ن۴۵ (Type19)</t>
        </is>
      </c>
      <c r="D421" s="71" t="n"/>
      <c r="E421" s="71" t="inlineStr">
        <is>
          <t>معرفی /تغییر در ترکیب اعضای هیئت مدیره/مدیر عامل</t>
        </is>
      </c>
      <c r="F421" s="71" t="n">
        <v>1154505</v>
      </c>
      <c r="G421" s="71" t="inlineStr">
        <is>
          <t>1402/11/29 12:59</t>
        </is>
      </c>
      <c r="H421" s="71" t="inlineStr">
        <is>
          <t>https://www.codal.ir/Reports/Decision.aspx?LetterSerial=jA2RW2fFAdgkJFZbyTQtsQ%3d%3d&amp;rt=2&amp;let=19&amp;ct=0&amp;ft=-1</t>
        </is>
      </c>
      <c r="I421" s="71" t="inlineStr">
        <is>
          <t>زنجیره زمانی</t>
        </is>
      </c>
      <c r="J421" s="71" t="inlineStr">
        <is>
          <t>7b3b9057844c336b421ea16917aa201862a58840630b481f5789efa744063d9d</t>
        </is>
      </c>
      <c r="K421" s="71" t="inlineStr">
        <is>
          <t>sources/codal/حکشتی/v38_type19/T1154505.html</t>
        </is>
      </c>
    </row>
    <row r="422" ht="58" customHeight="1" s="76">
      <c r="A422" s="70" t="inlineStr">
        <is>
          <t>T19_1310210</t>
        </is>
      </c>
      <c r="B422" s="70" t="inlineStr">
        <is>
          <t>حکشتی</t>
        </is>
      </c>
      <c r="C422" s="70" t="inlineStr">
        <is>
          <t>اطلاعیه ن۴۵ (Type19)</t>
        </is>
      </c>
      <c r="D422" s="70" t="n"/>
      <c r="E422" s="70" t="inlineStr">
        <is>
          <t>معرفی /تغییر در ترکیب اعضای هیئت مدیره/مدیر عامل</t>
        </is>
      </c>
      <c r="F422" s="70" t="n">
        <v>1310210</v>
      </c>
      <c r="G422" s="70" t="inlineStr">
        <is>
          <t>1403/12/01 15:17</t>
        </is>
      </c>
      <c r="H422" s="70" t="inlineStr">
        <is>
          <t>https://www.codal.ir/Reports/Decision.aspx?LetterSerial=68FHWjaF1OhFRxKJZ9IbIA%3d%3d&amp;rt=2&amp;let=19&amp;ct=0&amp;ft=-1</t>
        </is>
      </c>
      <c r="I422" s="70" t="inlineStr">
        <is>
          <t>مبنای فهرست اعضا در as-of</t>
        </is>
      </c>
      <c r="J422" s="70" t="inlineStr">
        <is>
          <t>4cbb77c9b8c6cb4ca97e00900bda2aa0888a031c0a09b3beaaf940b9522fef6e</t>
        </is>
      </c>
      <c r="K422" s="70" t="inlineStr">
        <is>
          <t>sources/codal/حکشتی/v38_type19/T1310210.html</t>
        </is>
      </c>
    </row>
    <row r="423" ht="58" customHeight="1" s="76">
      <c r="A423" s="71" t="inlineStr">
        <is>
          <t>T19_1433770</t>
        </is>
      </c>
      <c r="B423" s="71" t="inlineStr">
        <is>
          <t>حکشتی</t>
        </is>
      </c>
      <c r="C423" s="71" t="inlineStr">
        <is>
          <t>اطلاعیه ن۴۵ (Type19)</t>
        </is>
      </c>
      <c r="D423" s="71" t="n"/>
      <c r="E423" s="71" t="inlineStr">
        <is>
          <t>معرفی /تغییر در ترکیب اعضای هیئت مدیره/مدیر عامل</t>
        </is>
      </c>
      <c r="F423" s="71" t="n">
        <v>1433770</v>
      </c>
      <c r="G423" s="71" t="inlineStr">
        <is>
          <t>1404/08/18 13:40</t>
        </is>
      </c>
      <c r="H423" s="71" t="inlineStr">
        <is>
          <t>https://www.codal.ir/Reports/Decision.aspx?LetterSerial=ag9Rd4I5seaRFhQQQaQQQiZlm5lQ%3d%3d&amp;rt=2&amp;let=19&amp;ct=0&amp;ft=-1</t>
        </is>
      </c>
      <c r="I423" s="71" t="inlineStr">
        <is>
          <t>زنجیره زمانی</t>
        </is>
      </c>
      <c r="J423" s="71" t="inlineStr">
        <is>
          <t>00b19f96e5792fb1eb9d3fdb19ecf43a8b3f97857c78c95730661aaf099d4bff</t>
        </is>
      </c>
      <c r="K423" s="71" t="inlineStr">
        <is>
          <t>sources/codal/حکشتی/v38_type19/T1433770.html</t>
        </is>
      </c>
    </row>
    <row r="424" ht="58" customHeight="1" s="76">
      <c r="A424" s="70" t="inlineStr">
        <is>
          <t>T19_921070</t>
        </is>
      </c>
      <c r="B424" s="70" t="inlineStr">
        <is>
          <t>شپدیس</t>
        </is>
      </c>
      <c r="C424" s="70" t="inlineStr">
        <is>
          <t>اطلاعیه ن۴۵ (Type19)</t>
        </is>
      </c>
      <c r="D424" s="70" t="n"/>
      <c r="E424" s="70" t="inlineStr">
        <is>
          <t>معرفی یا تغییر در ترکیب اعضای هیئت مدیره</t>
        </is>
      </c>
      <c r="F424" s="70" t="n">
        <v>921070</v>
      </c>
      <c r="G424" s="70" t="inlineStr">
        <is>
          <t>1401/05/10 11:42</t>
        </is>
      </c>
      <c r="H424" s="70" t="inlineStr">
        <is>
          <t>https://www.codal.ir/Reports/Decision.aspx?LetterSerial=kdxjD4P7d4sSwUbBggN2qg%3d%3d&amp;rt=0&amp;let=19&amp;ct=0&amp;ft=-1</t>
        </is>
      </c>
      <c r="I424" s="70" t="inlineStr">
        <is>
          <t>زنجیره زمانی</t>
        </is>
      </c>
      <c r="J424" s="70" t="inlineStr">
        <is>
          <t>c7fad71d91763fc9f5ee3aadaeccdec7766194420f971719f93e3ad07c89f0a9</t>
        </is>
      </c>
      <c r="K424" s="70" t="inlineStr">
        <is>
          <t>sources/codal/شپدیس/v38_type19/T921070.html</t>
        </is>
      </c>
    </row>
    <row r="425" ht="58" customHeight="1" s="76">
      <c r="A425" s="71" t="inlineStr">
        <is>
          <t>T19_931016</t>
        </is>
      </c>
      <c r="B425" s="71" t="inlineStr">
        <is>
          <t>شپدیس</t>
        </is>
      </c>
      <c r="C425" s="71" t="inlineStr">
        <is>
          <t>اطلاعیه ن۴۵ (Type19)</t>
        </is>
      </c>
      <c r="D425" s="71" t="n"/>
      <c r="E425" s="71" t="inlineStr">
        <is>
          <t>معرفی /تغییر در ترکیب اعضای هیئت مدیره/مدیر عامل</t>
        </is>
      </c>
      <c r="F425" s="71" t="n">
        <v>931016</v>
      </c>
      <c r="G425" s="71" t="inlineStr">
        <is>
          <t>1401/06/06 09:32</t>
        </is>
      </c>
      <c r="H425" s="71" t="inlineStr">
        <is>
          <t>https://www.codal.ir/Reports/Decision.aspx?LetterSerial=I%2bXKhVnA95QgKfVtuOYRWw%3d%3d&amp;rt=0&amp;let=19&amp;ct=0&amp;ft=-1</t>
        </is>
      </c>
      <c r="I425" s="71" t="inlineStr">
        <is>
          <t>زنجیره زمانی</t>
        </is>
      </c>
      <c r="J425" s="71" t="inlineStr">
        <is>
          <t>2fbad7ddda206749aebe85f360381395405e33c9dc35f28a8805bd73c673f7e9</t>
        </is>
      </c>
      <c r="K425" s="71" t="inlineStr">
        <is>
          <t>sources/codal/شپدیس/v38_type19/T931016.html</t>
        </is>
      </c>
    </row>
    <row r="426" ht="58" customHeight="1" s="76">
      <c r="A426" s="70" t="inlineStr">
        <is>
          <t>T19_931173</t>
        </is>
      </c>
      <c r="B426" s="70" t="inlineStr">
        <is>
          <t>شپدیس</t>
        </is>
      </c>
      <c r="C426" s="70" t="inlineStr">
        <is>
          <t>اطلاعیه ن۴۵ (Type19)</t>
        </is>
      </c>
      <c r="D426" s="70" t="n"/>
      <c r="E426" s="70" t="inlineStr">
        <is>
          <t>معرفی /تغییر در ترکیب اعضای هیئت مدیره/مدیر عامل(اصلاحیه)</t>
        </is>
      </c>
      <c r="F426" s="70" t="n">
        <v>931173</v>
      </c>
      <c r="G426" s="70" t="inlineStr">
        <is>
          <t>1401/06/06 12:51</t>
        </is>
      </c>
      <c r="H426" s="70" t="inlineStr">
        <is>
          <t>https://www.codal.ir/Reports/Decision.aspx?LetterSerial=YdTqYbUjgp4ecDGYAkGlUA%3d%3d&amp;rt=0&amp;let=19&amp;ct=0&amp;ft=-1</t>
        </is>
      </c>
      <c r="I426" s="70" t="inlineStr">
        <is>
          <t>زنجیره زمانی</t>
        </is>
      </c>
      <c r="J426" s="70" t="inlineStr">
        <is>
          <t>119eca13cdef261304439e36422aa568ef18a4f202dcf2f5582774006141fa34</t>
        </is>
      </c>
      <c r="K426" s="70" t="inlineStr">
        <is>
          <t>sources/codal/شپدیس/v38_type19/T931173.html</t>
        </is>
      </c>
    </row>
    <row r="427" ht="58" customHeight="1" s="76">
      <c r="A427" s="71" t="inlineStr">
        <is>
          <t>T19_998511</t>
        </is>
      </c>
      <c r="B427" s="71" t="inlineStr">
        <is>
          <t>شپدیس</t>
        </is>
      </c>
      <c r="C427" s="71" t="inlineStr">
        <is>
          <t>اطلاعیه ن۴۵ (Type19)</t>
        </is>
      </c>
      <c r="D427" s="71" t="n"/>
      <c r="E427" s="71" t="inlineStr">
        <is>
          <t>معرفی /تغییر در ترکیب اعضای هیئت مدیره/مدیر عامل</t>
        </is>
      </c>
      <c r="F427" s="71" t="n">
        <v>998511</v>
      </c>
      <c r="G427" s="71" t="inlineStr">
        <is>
          <t>1401/12/09 12:45</t>
        </is>
      </c>
      <c r="H427" s="71" t="inlineStr">
        <is>
          <t>https://www.codal.ir/Reports/Decision.aspx?LetterSerial=wdD6Co7jbhtRfeBIYRqg7w%3d%3d&amp;rt=0&amp;let=19&amp;ct=0&amp;ft=-1</t>
        </is>
      </c>
      <c r="I427" s="71" t="inlineStr">
        <is>
          <t>زنجیره زمانی</t>
        </is>
      </c>
      <c r="J427" s="71" t="inlineStr">
        <is>
          <t>f3e54b34aef3d58d8c734f6506318b522e90d2757d747128003112585c1a1a43</t>
        </is>
      </c>
      <c r="K427" s="71" t="inlineStr">
        <is>
          <t>sources/codal/شپدیس/v38_type19/T998511.html</t>
        </is>
      </c>
    </row>
    <row r="428" ht="58" customHeight="1" s="76">
      <c r="A428" s="70" t="inlineStr">
        <is>
          <t>T19_1015066</t>
        </is>
      </c>
      <c r="B428" s="70" t="inlineStr">
        <is>
          <t>شپدیس</t>
        </is>
      </c>
      <c r="C428" s="70" t="inlineStr">
        <is>
          <t>اطلاعیه ن۴۵ (Type19)</t>
        </is>
      </c>
      <c r="D428" s="70" t="n"/>
      <c r="E428" s="70" t="inlineStr">
        <is>
          <t>معرفی /تغییر در ترکیب اعضای هیئت مدیره/مدیر عامل</t>
        </is>
      </c>
      <c r="F428" s="70" t="n">
        <v>1015066</v>
      </c>
      <c r="G428" s="70" t="inlineStr">
        <is>
          <t>1402/02/06 10:11</t>
        </is>
      </c>
      <c r="H428" s="70" t="inlineStr">
        <is>
          <t>https://www.codal.ir/Reports/Decision.aspx?LetterSerial=3cpRd8HbdQlZrKeL2pvWNw%3d%3d&amp;rt=0&amp;let=19&amp;ct=0&amp;ft=-1</t>
        </is>
      </c>
      <c r="I428" s="70" t="inlineStr">
        <is>
          <t>زنجیره زمانی</t>
        </is>
      </c>
      <c r="J428" s="70" t="inlineStr">
        <is>
          <t>3ace8d538515b5d32d4fec3a3cfd4cf4c61cb734d6872d941ac4c15e84d0995a</t>
        </is>
      </c>
      <c r="K428" s="70" t="inlineStr">
        <is>
          <t>sources/codal/شپدیس/v38_type19/T1015066.html</t>
        </is>
      </c>
    </row>
    <row r="429" ht="58" customHeight="1" s="76">
      <c r="A429" s="71" t="inlineStr">
        <is>
          <t>T19_1061975</t>
        </is>
      </c>
      <c r="B429" s="71" t="inlineStr">
        <is>
          <t>شپدیس</t>
        </is>
      </c>
      <c r="C429" s="71" t="inlineStr">
        <is>
          <t>اطلاعیه ن۴۵ (Type19)</t>
        </is>
      </c>
      <c r="D429" s="71" t="n"/>
      <c r="E429" s="71" t="inlineStr">
        <is>
          <t>معرفی /تغییر در ترکیب اعضای هیئت مدیره/مدیر عامل</t>
        </is>
      </c>
      <c r="F429" s="71" t="n">
        <v>1061975</v>
      </c>
      <c r="G429" s="71" t="inlineStr">
        <is>
          <t>1402/05/01 15:29</t>
        </is>
      </c>
      <c r="H429" s="71" t="inlineStr">
        <is>
          <t>https://www.codal.ir/Reports/Decision.aspx?LetterSerial=0NuI4yJNXLzv9lBZswUHmQ%3d%3d&amp;rt=0&amp;let=19&amp;ct=0&amp;ft=-1</t>
        </is>
      </c>
      <c r="I429" s="71" t="inlineStr">
        <is>
          <t>زنجیره زمانی</t>
        </is>
      </c>
      <c r="J429" s="71" t="inlineStr">
        <is>
          <t>799fbf9dcc086e25aacb2999eb1da380e992ae227d6d93b4d026ff736dcd3448</t>
        </is>
      </c>
      <c r="K429" s="71" t="inlineStr">
        <is>
          <t>sources/codal/شپدیس/v38_type19/T1061975.html</t>
        </is>
      </c>
    </row>
    <row r="430" ht="58" customHeight="1" s="76">
      <c r="A430" s="70" t="inlineStr">
        <is>
          <t>T19_1107562</t>
        </is>
      </c>
      <c r="B430" s="70" t="inlineStr">
        <is>
          <t>شپدیس</t>
        </is>
      </c>
      <c r="C430" s="70" t="inlineStr">
        <is>
          <t>اطلاعیه ن۴۵ (Type19)</t>
        </is>
      </c>
      <c r="D430" s="70" t="n"/>
      <c r="E430" s="70" t="inlineStr">
        <is>
          <t>معرفی /تغییر در ترکیب اعضای هیئت مدیره/مدیر عامل</t>
        </is>
      </c>
      <c r="F430" s="70" t="n">
        <v>1107562</v>
      </c>
      <c r="G430" s="70" t="inlineStr">
        <is>
          <t>1402/08/27 13:17</t>
        </is>
      </c>
      <c r="H430" s="70" t="inlineStr">
        <is>
          <t>https://www.codal.ir/Reports/Decision.aspx?LetterSerial=vRr8NvvRkeS8i15Jd7nOfQ%3d%3d&amp;rt=0&amp;let=19&amp;ct=0&amp;ft=-1</t>
        </is>
      </c>
      <c r="I430" s="70" t="inlineStr">
        <is>
          <t>زنجیره زمانی</t>
        </is>
      </c>
      <c r="J430" s="70" t="inlineStr">
        <is>
          <t>e8785f7942753e85ea642816d68ed2312cfb2b1808e0fc1b0bc3d525026cfe69</t>
        </is>
      </c>
      <c r="K430" s="70" t="inlineStr">
        <is>
          <t>sources/codal/شپدیس/v38_type19/T1107562.html</t>
        </is>
      </c>
    </row>
    <row r="431" ht="58" customHeight="1" s="76">
      <c r="A431" s="71" t="inlineStr">
        <is>
          <t>T19_1111556</t>
        </is>
      </c>
      <c r="B431" s="71" t="inlineStr">
        <is>
          <t>شپدیس</t>
        </is>
      </c>
      <c r="C431" s="71" t="inlineStr">
        <is>
          <t>اطلاعیه ن۴۵ (Type19)</t>
        </is>
      </c>
      <c r="D431" s="71" t="n"/>
      <c r="E431" s="71" t="inlineStr">
        <is>
          <t>معرفی /تغییر در ترکیب اعضای هیئت مدیره/مدیر عامل</t>
        </is>
      </c>
      <c r="F431" s="71" t="n">
        <v>1111556</v>
      </c>
      <c r="G431" s="71" t="inlineStr">
        <is>
          <t>1402/09/04 08:34</t>
        </is>
      </c>
      <c r="H431" s="71" t="inlineStr">
        <is>
          <t>https://www.codal.ir/Reports/Decision.aspx?LetterSerial=nFO1OM9NSjFyvZaLnUXctA%3d%3d&amp;rt=0&amp;let=19&amp;ct=0&amp;ft=-1</t>
        </is>
      </c>
      <c r="I431" s="71" t="inlineStr">
        <is>
          <t>زنجیره زمانی</t>
        </is>
      </c>
      <c r="J431" s="71" t="inlineStr">
        <is>
          <t>bca7cbf1d5623379858a0331323a2941dacb6afdc721e08779acbe901d2a5bb5</t>
        </is>
      </c>
      <c r="K431" s="71" t="inlineStr">
        <is>
          <t>sources/codal/شپدیس/v38_type19/T1111556.html</t>
        </is>
      </c>
    </row>
    <row r="432" ht="58" customHeight="1" s="76">
      <c r="A432" s="70" t="inlineStr">
        <is>
          <t>T19_1119538</t>
        </is>
      </c>
      <c r="B432" s="70" t="inlineStr">
        <is>
          <t>شپدیس</t>
        </is>
      </c>
      <c r="C432" s="70" t="inlineStr">
        <is>
          <t>اطلاعیه ن۴۵ (Type19)</t>
        </is>
      </c>
      <c r="D432" s="70" t="n"/>
      <c r="E432" s="70" t="inlineStr">
        <is>
          <t>معرفی /تغییر در ترکیب اعضای هیئت مدیره/مدیر عامل</t>
        </is>
      </c>
      <c r="F432" s="70" t="n">
        <v>1119538</v>
      </c>
      <c r="G432" s="70" t="inlineStr">
        <is>
          <t>1402/09/19 17:19</t>
        </is>
      </c>
      <c r="H432" s="70" t="inlineStr">
        <is>
          <t>https://www.codal.ir/Reports/Decision.aspx?LetterSerial=5VAHVEB3htZDAF9veEYoZw%3d%3d&amp;rt=0&amp;let=19&amp;ct=0&amp;ft=-1</t>
        </is>
      </c>
      <c r="I432" s="70" t="inlineStr">
        <is>
          <t>زنجیره زمانی</t>
        </is>
      </c>
      <c r="J432" s="70" t="inlineStr">
        <is>
          <t>bfdc20f5785365314bf3ef0c3fb234ee16548885c9a7db5865ccc33149db0ac5</t>
        </is>
      </c>
      <c r="K432" s="70" t="inlineStr">
        <is>
          <t>sources/codal/شپدیس/v38_type19/T1119538.html</t>
        </is>
      </c>
    </row>
    <row r="433" ht="58" customHeight="1" s="76">
      <c r="A433" s="71" t="inlineStr">
        <is>
          <t>T19_1120556</t>
        </is>
      </c>
      <c r="B433" s="71" t="inlineStr">
        <is>
          <t>شپدیس</t>
        </is>
      </c>
      <c r="C433" s="71" t="inlineStr">
        <is>
          <t>اطلاعیه ن۴۵ (Type19)</t>
        </is>
      </c>
      <c r="D433" s="71" t="n"/>
      <c r="E433" s="71" t="inlineStr">
        <is>
          <t>معرفی /تغییر در ترکیب اعضای هیئت مدیره/مدیر عامل(اصلاحیه)</t>
        </is>
      </c>
      <c r="F433" s="71" t="n">
        <v>1120556</v>
      </c>
      <c r="G433" s="71" t="inlineStr">
        <is>
          <t>1402/09/21 18:02</t>
        </is>
      </c>
      <c r="H433" s="71" t="inlineStr">
        <is>
          <t>https://www.codal.ir/Reports/Decision.aspx?LetterSerial=TTbj8mC5mgot9Hqx9ihjVg%3d%3d&amp;rt=0&amp;let=19&amp;ct=0&amp;ft=-1</t>
        </is>
      </c>
      <c r="I433" s="71" t="inlineStr">
        <is>
          <t>زنجیره زمانی</t>
        </is>
      </c>
      <c r="J433" s="71" t="inlineStr">
        <is>
          <t>3c2b95f97bd9876bd0367d584f33f23baa66bff76f1ff9261a02a1379ec8fc00</t>
        </is>
      </c>
      <c r="K433" s="71" t="inlineStr">
        <is>
          <t>sources/codal/شپدیس/v38_type19/T1120556.html</t>
        </is>
      </c>
    </row>
    <row r="434" ht="58" customHeight="1" s="76">
      <c r="A434" s="70" t="inlineStr">
        <is>
          <t>T19_1151347</t>
        </is>
      </c>
      <c r="B434" s="70" t="inlineStr">
        <is>
          <t>شپدیس</t>
        </is>
      </c>
      <c r="C434" s="70" t="inlineStr">
        <is>
          <t>اطلاعیه ن۴۵ (Type19)</t>
        </is>
      </c>
      <c r="D434" s="70" t="n"/>
      <c r="E434" s="70" t="inlineStr">
        <is>
          <t>معرفی /تغییر در ترکیب اعضای هیئت مدیره/مدیر عامل</t>
        </is>
      </c>
      <c r="F434" s="70" t="n">
        <v>1151347</v>
      </c>
      <c r="G434" s="70" t="inlineStr">
        <is>
          <t>1402/11/16 18:45</t>
        </is>
      </c>
      <c r="H434" s="70" t="inlineStr">
        <is>
          <t>https://www.codal.ir/Reports/Decision.aspx?LetterSerial=KVC1bexBTG6phFtNFRpDOA%3d%3d&amp;rt=0&amp;let=19&amp;ct=0&amp;ft=-1</t>
        </is>
      </c>
      <c r="I434" s="70" t="inlineStr">
        <is>
          <t>زنجیره زمانی</t>
        </is>
      </c>
      <c r="J434" s="70" t="inlineStr">
        <is>
          <t>7c60358232088cca1a758dd66cd013ef0193c846a9d97d0b4649060b0ad85410</t>
        </is>
      </c>
      <c r="K434" s="70" t="inlineStr">
        <is>
          <t>sources/codal/شپدیس/v38_type19/T1151347.html</t>
        </is>
      </c>
    </row>
    <row r="435" ht="58" customHeight="1" s="76">
      <c r="A435" s="71" t="inlineStr">
        <is>
          <t>T19_1242233</t>
        </is>
      </c>
      <c r="B435" s="71" t="inlineStr">
        <is>
          <t>شپدیس</t>
        </is>
      </c>
      <c r="C435" s="71" t="inlineStr">
        <is>
          <t>اطلاعیه ن۴۵ (Type19)</t>
        </is>
      </c>
      <c r="D435" s="71" t="n"/>
      <c r="E435" s="71" t="inlineStr">
        <is>
          <t>معرفی /تغییر در ترکیب اعضای هیئت مدیره/مدیر عامل</t>
        </is>
      </c>
      <c r="F435" s="71" t="n">
        <v>1242233</v>
      </c>
      <c r="G435" s="71" t="inlineStr">
        <is>
          <t>1403/06/10 19:13</t>
        </is>
      </c>
      <c r="H435" s="71" t="inlineStr">
        <is>
          <t>https://www.codal.ir/Reports/Decision.aspx?LetterSerial=FQQQaQQQPRMC2U%2bDN%2bEqnJyYk4Ng%3d%3d&amp;rt=0&amp;let=19&amp;ct=0&amp;ft=-1</t>
        </is>
      </c>
      <c r="I435" s="71" t="inlineStr">
        <is>
          <t>زنجیره زمانی</t>
        </is>
      </c>
      <c r="J435" s="71" t="inlineStr">
        <is>
          <t>a9c74c28f5d85ae29a6cab507e895d047054a8faf8b981aa939b9854a43d2664</t>
        </is>
      </c>
      <c r="K435" s="71" t="inlineStr">
        <is>
          <t>sources/codal/شپدیس/v38_type19/T1242233.html</t>
        </is>
      </c>
    </row>
    <row r="436" ht="58" customHeight="1" s="76">
      <c r="A436" s="70" t="inlineStr">
        <is>
          <t>T19_1309386</t>
        </is>
      </c>
      <c r="B436" s="70" t="inlineStr">
        <is>
          <t>شپدیس</t>
        </is>
      </c>
      <c r="C436" s="70" t="inlineStr">
        <is>
          <t>اطلاعیه ن۴۵ (Type19)</t>
        </is>
      </c>
      <c r="D436" s="70" t="n"/>
      <c r="E436" s="70" t="inlineStr">
        <is>
          <t>معرفی /تغییر در ترکیب اعضای هیئت مدیره/مدیر عامل</t>
        </is>
      </c>
      <c r="F436" s="70" t="n">
        <v>1309386</v>
      </c>
      <c r="G436" s="70" t="inlineStr">
        <is>
          <t>1403/11/29 19:34</t>
        </is>
      </c>
      <c r="H436" s="70" t="inlineStr">
        <is>
          <t>https://www.codal.ir/Reports/Decision.aspx?LetterSerial=C4XsKe3dMCJ7F1MqOaUJBw%3d%3d&amp;rt=0&amp;let=19&amp;ct=0&amp;ft=-1</t>
        </is>
      </c>
      <c r="I436" s="70" t="inlineStr">
        <is>
          <t>زنجیره زمانی</t>
        </is>
      </c>
      <c r="J436" s="70" t="inlineStr">
        <is>
          <t>80509669d7a2fe62d0e4e6e6b100c90bfa03ca65fd8cb45a401d53c36a0c9911</t>
        </is>
      </c>
      <c r="K436" s="70" t="inlineStr">
        <is>
          <t>sources/codal/شپدیس/v38_type19/T1309386.html</t>
        </is>
      </c>
    </row>
    <row r="437" ht="58" customHeight="1" s="76">
      <c r="A437" s="71" t="inlineStr">
        <is>
          <t>T19_1354441</t>
        </is>
      </c>
      <c r="B437" s="71" t="inlineStr">
        <is>
          <t>شپدیس</t>
        </is>
      </c>
      <c r="C437" s="71" t="inlineStr">
        <is>
          <t>اطلاعیه ن۴۵ (Type19)</t>
        </is>
      </c>
      <c r="D437" s="71" t="n"/>
      <c r="E437" s="71" t="inlineStr">
        <is>
          <t>معرفی /تغییر در ترکیب اعضای هیئت مدیره/مدیر عامل</t>
        </is>
      </c>
      <c r="F437" s="71" t="n">
        <v>1354441</v>
      </c>
      <c r="G437" s="71" t="inlineStr">
        <is>
          <t>1404/03/11 18:46</t>
        </is>
      </c>
      <c r="H437" s="71" t="inlineStr">
        <is>
          <t>https://www.codal.ir/Reports/Decision.aspx?LetterSerial=BOJZd2gmKjnW2lysdBslwA%3d%3d&amp;rt=0&amp;let=19&amp;ct=0&amp;ft=-1</t>
        </is>
      </c>
      <c r="I437" s="71" t="inlineStr">
        <is>
          <t>مبنای فهرست اعضا در as-of</t>
        </is>
      </c>
      <c r="J437" s="71" t="inlineStr">
        <is>
          <t>a816faa5a108dfe2f81faddcaa998f1729e295398084c0ad1fda8f9353e64511</t>
        </is>
      </c>
      <c r="K437" s="71" t="inlineStr">
        <is>
          <t>sources/codal/شپدیس/v38_type19/T1354441.html</t>
        </is>
      </c>
    </row>
    <row r="438" ht="58" customHeight="1" s="76">
      <c r="A438" s="70" t="inlineStr">
        <is>
          <t>T19_1433411</t>
        </is>
      </c>
      <c r="B438" s="70" t="inlineStr">
        <is>
          <t>شپدیس</t>
        </is>
      </c>
      <c r="C438" s="70" t="inlineStr">
        <is>
          <t>اطلاعیه ن۴۵ (Type19)</t>
        </is>
      </c>
      <c r="D438" s="70" t="n"/>
      <c r="E438" s="70" t="inlineStr">
        <is>
          <t>معرفی /تغییر در ترکیب اعضای هیئت مدیره/مدیر عامل</t>
        </is>
      </c>
      <c r="F438" s="70" t="n">
        <v>1433411</v>
      </c>
      <c r="G438" s="70" t="inlineStr">
        <is>
          <t>1404/08/17 16:54</t>
        </is>
      </c>
      <c r="H438" s="70" t="inlineStr">
        <is>
          <t>https://www.codal.ir/Reports/Decision.aspx?LetterSerial=wdvkPalLR21S83nLTXWEcA%3d%3d&amp;rt=0&amp;let=19&amp;ct=0&amp;ft=-1</t>
        </is>
      </c>
      <c r="I438" s="70" t="inlineStr">
        <is>
          <t>زنجیره زمانی</t>
        </is>
      </c>
      <c r="J438" s="70" t="inlineStr">
        <is>
          <t>ea4a48cdb2f54f6a31483251bfb639e1f78aaededff96ae2433354c19a506092</t>
        </is>
      </c>
      <c r="K438" s="70" t="inlineStr">
        <is>
          <t>sources/codal/شپدیس/v38_type19/T1433411.html</t>
        </is>
      </c>
    </row>
    <row r="439" ht="58" customHeight="1" s="76">
      <c r="A439" s="71" t="inlineStr">
        <is>
          <t>T19_1443721</t>
        </is>
      </c>
      <c r="B439" s="71" t="inlineStr">
        <is>
          <t>شپدیس</t>
        </is>
      </c>
      <c r="C439" s="71" t="inlineStr">
        <is>
          <t>اطلاعیه ن۴۵ (Type19)</t>
        </is>
      </c>
      <c r="D439" s="71" t="n"/>
      <c r="E439" s="71" t="inlineStr">
        <is>
          <t>معرفی /تغییر در ترکیب اعضای هیئت مدیره/مدیر عامل</t>
        </is>
      </c>
      <c r="F439" s="71" t="n">
        <v>1443721</v>
      </c>
      <c r="G439" s="71" t="inlineStr">
        <is>
          <t>1404/09/05 16:18</t>
        </is>
      </c>
      <c r="H439" s="71" t="inlineStr">
        <is>
          <t>https://www.codal.ir/Reports/Decision.aspx?LetterSerial=Lh6dCOOObOOOOOObOOOHmUIfwOOObOOOrvn9DNRQ%3d%3d&amp;rt=0&amp;let=19&amp;ct=0&amp;ft=-1</t>
        </is>
      </c>
      <c r="I439" s="71" t="inlineStr">
        <is>
          <t>زنجیره زمانی</t>
        </is>
      </c>
      <c r="J439" s="71" t="inlineStr">
        <is>
          <t>ef6be4185fc020d0140747c5e750e1b3a48a60005ac34dc55c0c4ea5bccb9fd2</t>
        </is>
      </c>
      <c r="K439" s="71" t="inlineStr">
        <is>
          <t>sources/codal/شپدیس/v38_type19/T1443721.html</t>
        </is>
      </c>
    </row>
    <row r="440" ht="58" customHeight="1" s="76">
      <c r="A440" s="70" t="inlineStr">
        <is>
          <t>T19_1563342</t>
        </is>
      </c>
      <c r="B440" s="70" t="inlineStr">
        <is>
          <t>شپدیس</t>
        </is>
      </c>
      <c r="C440" s="70" t="inlineStr">
        <is>
          <t>اطلاعیه ن۴۵ (Type19)</t>
        </is>
      </c>
      <c r="D440" s="70" t="n"/>
      <c r="E440" s="70" t="inlineStr">
        <is>
          <t>معرفی /تغییر در ترکیب اعضای هیئت مدیره/مدیر عامل</t>
        </is>
      </c>
      <c r="F440" s="70" t="n">
        <v>1563342</v>
      </c>
      <c r="G440" s="70" t="inlineStr">
        <is>
          <t>1405/04/20 12:09</t>
        </is>
      </c>
      <c r="H440" s="70" t="inlineStr">
        <is>
          <t>https://www.codal.ir/Reports/Decision.aspx?LetterSerial=34fGazrVOyOOObOOOq27q9IC7bDA%3d%3d&amp;rt=0&amp;let=19&amp;ct=0&amp;ft=-1</t>
        </is>
      </c>
      <c r="I440" s="70" t="inlineStr">
        <is>
          <t>زنجیره زمانی</t>
        </is>
      </c>
      <c r="J440" s="70" t="inlineStr">
        <is>
          <t>49b814cc02b0e961b6a9f95e8e424e0ede3d31f23bda92e914fa5db267fce778</t>
        </is>
      </c>
      <c r="K440" s="70" t="inlineStr">
        <is>
          <t>sources/codal/شپدیس/v38_type19/T1563342.html</t>
        </is>
      </c>
    </row>
    <row r="441" ht="58" customHeight="1" s="76">
      <c r="A441" s="71" t="inlineStr">
        <is>
          <t>T19_1603909</t>
        </is>
      </c>
      <c r="B441" s="71" t="inlineStr">
        <is>
          <t>شپدیس</t>
        </is>
      </c>
      <c r="C441" s="71" t="inlineStr">
        <is>
          <t>اطلاعیه ن۴۵ (Type19)</t>
        </is>
      </c>
      <c r="D441" s="71" t="n"/>
      <c r="E441" s="71" t="inlineStr">
        <is>
          <t>معرفی /تغییر در ترکیب اعضای هیئت مدیره/مدیر عامل</t>
        </is>
      </c>
      <c r="F441" s="71" t="n">
        <v>1603909</v>
      </c>
      <c r="G441" s="71" t="inlineStr">
        <is>
          <t>1405/07/04 19:14</t>
        </is>
      </c>
      <c r="H441" s="71" t="inlineStr">
        <is>
          <t>https://www.codal.ir/Reports/Decision.aspx?LetterSerial=jnANnJxCSj1xULQc0KAPzg%3d%3d&amp;rt=0&amp;let=19&amp;ct=0&amp;ft=-1</t>
        </is>
      </c>
      <c r="I441" s="71" t="inlineStr">
        <is>
          <t>زنجیره زمانی</t>
        </is>
      </c>
      <c r="J441" s="71" t="inlineStr">
        <is>
          <t>9987dff75ac6129c93dc34151534d74432c23699b609db3da3a078a5748fa342</t>
        </is>
      </c>
      <c r="K441" s="71" t="inlineStr">
        <is>
          <t>sources/codal/شپدیس/v38_type19/T1603909.html</t>
        </is>
      </c>
    </row>
  </sheetData>
  <mergeCells count="2">
    <mergeCell ref="A2:K2"/>
    <mergeCell ref="A1:K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76"/>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8" customWidth="1" style="76" min="1" max="1"/>
    <col width="16" customWidth="1" style="76" min="2" max="2"/>
    <col width="14" customWidth="1" style="76" min="3" max="3"/>
    <col width="30" customWidth="1" style="76" min="4" max="4"/>
    <col width="80" customWidth="1" style="76" min="5" max="5"/>
    <col width="18" customWidth="1" style="76" min="6" max="6"/>
    <col width="26" customWidth="1" style="76" min="7" max="7"/>
  </cols>
  <sheetData>
    <row r="1" ht="30" customHeight="1" s="76">
      <c r="A1" s="88" t="inlineStr">
        <is>
          <t>ممیزی v41</t>
        </is>
      </c>
    </row>
    <row r="2" ht="22" customHeight="1" s="76">
      <c r="A2" s="85" t="inlineStr">
        <is>
          <t>تعارض‌ها، یادداشت‌های انتقالی، صف مرحله سه، اسناد ناقص و دامنه جستجوها.</t>
        </is>
      </c>
    </row>
    <row r="3" ht="30" customHeight="1" s="76">
      <c r="A3" s="69" t="inlineStr">
        <is>
          <t>شناسه</t>
        </is>
      </c>
      <c r="B3" s="69" t="inlineStr">
        <is>
          <t>دسته</t>
        </is>
      </c>
      <c r="C3" s="69" t="inlineStr">
        <is>
          <t>شرکت</t>
        </is>
      </c>
      <c r="D3" s="69" t="inlineStr">
        <is>
          <t>موضوع</t>
        </is>
      </c>
      <c r="E3" s="69" t="inlineStr">
        <is>
          <t>جزئیات</t>
        </is>
      </c>
      <c r="F3" s="69" t="inlineStr">
        <is>
          <t>وضعیت</t>
        </is>
      </c>
      <c r="G3" s="69" t="inlineStr">
        <is>
          <t>مرجع</t>
        </is>
      </c>
    </row>
    <row r="4" ht="29" customHeight="1" s="76">
      <c r="A4" s="70" t="inlineStr">
        <is>
          <t>AU001</t>
        </is>
      </c>
      <c r="B4" s="70" t="inlineStr">
        <is>
          <t>تعارض داده</t>
        </is>
      </c>
      <c r="C4" s="70" t="inlineStr">
        <is>
          <t>فارس</t>
        </is>
      </c>
      <c r="D4" s="70" t="inlineStr">
        <is>
          <t>وضعیت موظف عبدالعلی علی عسکری</t>
        </is>
      </c>
      <c r="E4" s="70" t="inlineStr">
        <is>
          <t>گزارش: موظف؛ اطلاعیه ن۴۵: غیرموظف؛ هر دو ثبت شد و لایه دو CONFLICT_DUTY_STATUS است</t>
        </is>
      </c>
      <c r="F4" s="70" t="inlineStr">
        <is>
          <t>باز</t>
        </is>
      </c>
      <c r="G4" s="70" t="inlineStr">
        <is>
          <t>SRC_FARS_1404_001 p40؛ Type19 1417899</t>
        </is>
      </c>
    </row>
    <row r="5" ht="20" customHeight="1" s="76">
      <c r="A5" s="71" t="inlineStr">
        <is>
          <t>AU002</t>
        </is>
      </c>
      <c r="B5" s="71" t="inlineStr">
        <is>
          <t>تعارض داده</t>
        </is>
      </c>
      <c r="C5" s="71" t="inlineStr">
        <is>
          <t>خودرو</t>
        </is>
      </c>
      <c r="D5" s="71" t="inlineStr">
        <is>
          <t>وضعیت موظف عبداله سلطانی ثانی</t>
        </is>
      </c>
      <c r="E5" s="71" t="inlineStr">
        <is>
          <t>گزارش ص۵۳: موظف؛ ن۴۵: غیرموظف</t>
        </is>
      </c>
      <c r="F5" s="71" t="inlineStr">
        <is>
          <t>باز</t>
        </is>
      </c>
      <c r="G5" s="71" t="inlineStr">
        <is>
          <t>IKCO p53؛ Type19 1417850</t>
        </is>
      </c>
    </row>
    <row r="6" ht="29" customHeight="1" s="76">
      <c r="A6" s="70" t="inlineStr">
        <is>
          <t>AU003</t>
        </is>
      </c>
      <c r="B6" s="70" t="inlineStr">
        <is>
          <t>حل شناسه</t>
        </is>
      </c>
      <c r="C6" s="70" t="inlineStr">
        <is>
          <t>خودرو</t>
        </is>
      </c>
      <c r="D6" s="70" t="inlineStr">
        <is>
          <t>شماره ردیابی گزارش IKCO</t>
        </is>
      </c>
      <c r="E6" s="70" t="inlineStr">
        <is>
          <t>شماره ۱۵۷۳۰۲۲ (انتشار ۱۴۰۵/۰۴/۳۱ ۰۵:۵۹) پیدا و هش فایل محلی با فایل دانلودشده کدال یکسان است (sha256 053459bd...)؛ ناقص بودن Source_ID برطرف شد</t>
        </is>
      </c>
      <c r="F6" s="70" t="inlineStr">
        <is>
          <t>بسته شد</t>
        </is>
      </c>
      <c r="G6" s="70" t="inlineStr">
        <is>
          <t>work/v41/ikco_1573022.pdf</t>
        </is>
      </c>
    </row>
    <row r="7" ht="29" customHeight="1" s="76">
      <c r="A7" s="71" t="inlineStr">
        <is>
          <t>AU004</t>
        </is>
      </c>
      <c r="B7" s="71" t="inlineStr">
        <is>
          <t>تعارض تاریخ</t>
        </is>
      </c>
      <c r="C7" s="71" t="inlineStr">
        <is>
          <t>فملی</t>
        </is>
      </c>
      <c r="D7" s="71" t="inlineStr">
        <is>
          <t>تصدی سمیه خلوصی</t>
        </is>
      </c>
      <c r="E7" s="71" t="inlineStr">
        <is>
          <t>SOURCE_CONFLICT:type19=1404/03/04;report=1403/11/07 | sources disagree by 119d</t>
        </is>
      </c>
      <c r="F7" s="71" t="inlineStr">
        <is>
          <t>باز؛ بازه یا حداقل ثبت شد</t>
        </is>
      </c>
      <c r="G7" s="71" t="inlineStr">
        <is>
          <t>Type19 در برابر گزارش</t>
        </is>
      </c>
    </row>
    <row r="8" ht="29" customHeight="1" s="76">
      <c r="A8" s="70" t="inlineStr">
        <is>
          <t>AU005</t>
        </is>
      </c>
      <c r="B8" s="70" t="inlineStr">
        <is>
          <t>تعارض تاریخ</t>
        </is>
      </c>
      <c r="C8" s="70" t="inlineStr">
        <is>
          <t>فملی</t>
        </is>
      </c>
      <c r="D8" s="70" t="inlineStr">
        <is>
          <t>تصدی شهریار متوکل</t>
        </is>
      </c>
      <c r="E8" s="70" t="inlineStr">
        <is>
          <t>SOURCE_CONFLICT:type19=1402/05/07;report=1402/04/15 | sources disagree by 23d</t>
        </is>
      </c>
      <c r="F8" s="70" t="inlineStr">
        <is>
          <t>باز؛ بازه یا حداقل ثبت شد</t>
        </is>
      </c>
      <c r="G8" s="70" t="inlineStr">
        <is>
          <t>Type19 در برابر گزارش</t>
        </is>
      </c>
    </row>
    <row r="9" ht="29" customHeight="1" s="76">
      <c r="A9" s="71" t="inlineStr">
        <is>
          <t>AU006</t>
        </is>
      </c>
      <c r="B9" s="71" t="inlineStr">
        <is>
          <t>تعارض تاریخ</t>
        </is>
      </c>
      <c r="C9" s="71" t="inlineStr">
        <is>
          <t>فارس</t>
        </is>
      </c>
      <c r="D9" s="71" t="inlineStr">
        <is>
          <t>تصدی حسین قربان زاده</t>
        </is>
      </c>
      <c r="E9" s="71" t="inlineStr">
        <is>
          <t>SOURCE_CONFLICT:type19=1403/04/11;report=1402/11/17 | sources disagree by 146d</t>
        </is>
      </c>
      <c r="F9" s="71" t="inlineStr">
        <is>
          <t>باز؛ بازه یا حداقل ثبت شد</t>
        </is>
      </c>
      <c r="G9" s="71" t="inlineStr">
        <is>
          <t>Type19 در برابر گزارش</t>
        </is>
      </c>
    </row>
    <row r="10" ht="29" customHeight="1" s="76">
      <c r="A10" s="70" t="inlineStr">
        <is>
          <t>AU007</t>
        </is>
      </c>
      <c r="B10" s="70" t="inlineStr">
        <is>
          <t>تعارض تاریخ</t>
        </is>
      </c>
      <c r="C10" s="70" t="inlineStr">
        <is>
          <t>فارس</t>
        </is>
      </c>
      <c r="D10" s="70" t="inlineStr">
        <is>
          <t>تصدی عبدالعلی علی عسکری</t>
        </is>
      </c>
      <c r="E10" s="70" t="inlineStr">
        <is>
          <t>REPORT_DATE_AFTER_TYPE19_FIRST_OBSERVATION | type19 shows person from 1402/01/29 but report states 1402/07/12</t>
        </is>
      </c>
      <c r="F10" s="70" t="inlineStr">
        <is>
          <t>باز؛ بازه یا حداقل ثبت شد</t>
        </is>
      </c>
      <c r="G10" s="70" t="inlineStr">
        <is>
          <t>Type19 در برابر گزارش</t>
        </is>
      </c>
    </row>
    <row r="11" ht="29" customHeight="1" s="76">
      <c r="A11" s="71" t="inlineStr">
        <is>
          <t>AU008</t>
        </is>
      </c>
      <c r="B11" s="71" t="inlineStr">
        <is>
          <t>تعارض تاریخ</t>
        </is>
      </c>
      <c r="C11" s="71" t="inlineStr">
        <is>
          <t>وتجارت</t>
        </is>
      </c>
      <c r="D11" s="71" t="inlineStr">
        <is>
          <t>تصدی مرتضی ترک تبریزی</t>
        </is>
      </c>
      <c r="E11" s="71" t="inlineStr">
        <is>
          <t>REPORT_DATE_AFTER_TYPE19_FIRST_OBSERVATION | type19 shows person from 1401/09/14 but report states 1401/12/25</t>
        </is>
      </c>
      <c r="F11" s="71" t="inlineStr">
        <is>
          <t>باز؛ بازه یا حداقل ثبت شد</t>
        </is>
      </c>
      <c r="G11" s="71" t="inlineStr">
        <is>
          <t>Type19 در برابر گزارش</t>
        </is>
      </c>
    </row>
    <row r="12" ht="29" customHeight="1" s="76">
      <c r="A12" s="70" t="inlineStr">
        <is>
          <t>AU009</t>
        </is>
      </c>
      <c r="B12" s="70" t="inlineStr">
        <is>
          <t>تعارض نسخه اصلاحیه</t>
        </is>
      </c>
      <c r="C12" s="70" t="inlineStr">
        <is>
          <t>رمپنا</t>
        </is>
      </c>
      <c r="D12" s="70" t="inlineStr">
        <is>
          <t>تصدی محمد اولیاء</t>
        </is>
      </c>
      <c r="E12" s="70" t="inlineStr">
        <is>
          <t>تاریخ جلسه هیئت مدیره بین نسخه اصلی و اصلاحیه متفاوت است</t>
        </is>
      </c>
      <c r="F12" s="70" t="inlineStr">
        <is>
          <t>باز؛ بازه ثبت شد</t>
        </is>
      </c>
      <c r="G12" s="70" t="inlineStr">
        <is>
          <t>Type19</t>
        </is>
      </c>
    </row>
    <row r="13" ht="29" customHeight="1" s="76">
      <c r="A13" s="71" t="inlineStr">
        <is>
          <t>AU010</t>
        </is>
      </c>
      <c r="B13" s="71" t="inlineStr">
        <is>
          <t>تعارض نسخه اصلاحیه</t>
        </is>
      </c>
      <c r="C13" s="71" t="inlineStr">
        <is>
          <t>رمپنا</t>
        </is>
      </c>
      <c r="D13" s="71" t="inlineStr">
        <is>
          <t>تصدی محمد اولیاء</t>
        </is>
      </c>
      <c r="E13" s="71" t="inlineStr">
        <is>
          <t>BM_DATE_CONFLICT_BETWEEN_NOTICE_VERSIONS:1402/04/06|1402/04/18</t>
        </is>
      </c>
      <c r="F13" s="71" t="inlineStr">
        <is>
          <t>باز؛ بازه ثبت شد</t>
        </is>
      </c>
      <c r="G13" s="71" t="inlineStr">
        <is>
          <t>Type19 original vs amendment</t>
        </is>
      </c>
    </row>
    <row r="14" ht="29" customHeight="1" s="76">
      <c r="A14" s="70" t="inlineStr">
        <is>
          <t>AU011</t>
        </is>
      </c>
      <c r="B14" s="70" t="inlineStr">
        <is>
          <t>تعارض نسخه اصلاحیه</t>
        </is>
      </c>
      <c r="C14" s="70" t="inlineStr">
        <is>
          <t>رمپنا</t>
        </is>
      </c>
      <c r="D14" s="70" t="inlineStr">
        <is>
          <t>تصدی خلیل بهبهانی</t>
        </is>
      </c>
      <c r="E14" s="70" t="inlineStr">
        <is>
          <t>تاریخ جلسه هیئت مدیره بین نسخه اصلی و اصلاحیه متفاوت است</t>
        </is>
      </c>
      <c r="F14" s="70" t="inlineStr">
        <is>
          <t>باز؛ بازه ثبت شد</t>
        </is>
      </c>
      <c r="G14" s="70" t="inlineStr">
        <is>
          <t>Type19</t>
        </is>
      </c>
    </row>
    <row r="15" ht="29" customHeight="1" s="76">
      <c r="A15" s="71" t="inlineStr">
        <is>
          <t>AU012</t>
        </is>
      </c>
      <c r="B15" s="71" t="inlineStr">
        <is>
          <t>تعارض نسخه اصلاحیه</t>
        </is>
      </c>
      <c r="C15" s="71" t="inlineStr">
        <is>
          <t>رمپنا</t>
        </is>
      </c>
      <c r="D15" s="71" t="inlineStr">
        <is>
          <t>تصدی خلیل بهبهانی</t>
        </is>
      </c>
      <c r="E15" s="71" t="inlineStr">
        <is>
          <t>BM_DATE_CONFLICT_BETWEEN_NOTICE_VERSIONS:1402/04/06|1402/04/18</t>
        </is>
      </c>
      <c r="F15" s="71" t="inlineStr">
        <is>
          <t>باز؛ بازه ثبت شد</t>
        </is>
      </c>
      <c r="G15" s="71" t="inlineStr">
        <is>
          <t>Type19 original vs amendment</t>
        </is>
      </c>
    </row>
    <row r="16" ht="29" customHeight="1" s="76">
      <c r="A16" s="70" t="inlineStr">
        <is>
          <t>AU013</t>
        </is>
      </c>
      <c r="B16" s="70" t="inlineStr">
        <is>
          <t>تعارض نسخه اصلاحیه</t>
        </is>
      </c>
      <c r="C16" s="70" t="inlineStr">
        <is>
          <t>رمپنا</t>
        </is>
      </c>
      <c r="D16" s="70" t="inlineStr">
        <is>
          <t>تصدی امیر هامونی</t>
        </is>
      </c>
      <c r="E16" s="70" t="inlineStr">
        <is>
          <t>تاریخ جلسه هیئت مدیره بین نسخه اصلی و اصلاحیه متفاوت است</t>
        </is>
      </c>
      <c r="F16" s="70" t="inlineStr">
        <is>
          <t>باز؛ بازه ثبت شد</t>
        </is>
      </c>
      <c r="G16" s="70" t="inlineStr">
        <is>
          <t>Type19</t>
        </is>
      </c>
    </row>
    <row r="17" ht="29" customHeight="1" s="76">
      <c r="A17" s="71" t="inlineStr">
        <is>
          <t>AU014</t>
        </is>
      </c>
      <c r="B17" s="71" t="inlineStr">
        <is>
          <t>تعارض نسخه اصلاحیه</t>
        </is>
      </c>
      <c r="C17" s="71" t="inlineStr">
        <is>
          <t>رمپنا</t>
        </is>
      </c>
      <c r="D17" s="71" t="inlineStr">
        <is>
          <t>تصدی امیر هامونی</t>
        </is>
      </c>
      <c r="E17" s="71" t="inlineStr">
        <is>
          <t>BM_DATE_CONFLICT_BETWEEN_NOTICE_VERSIONS:1402/04/06|1402/04/18</t>
        </is>
      </c>
      <c r="F17" s="71" t="inlineStr">
        <is>
          <t>باز؛ بازه ثبت شد</t>
        </is>
      </c>
      <c r="G17" s="71" t="inlineStr">
        <is>
          <t>Type19 original vs amendment</t>
        </is>
      </c>
    </row>
    <row r="18" ht="29" customHeight="1" s="76">
      <c r="A18" s="70" t="inlineStr">
        <is>
          <t>AU015</t>
        </is>
      </c>
      <c r="B18" s="70" t="inlineStr">
        <is>
          <t>تعارض تاریخ</t>
        </is>
      </c>
      <c r="C18" s="70" t="inlineStr">
        <is>
          <t>فخوز</t>
        </is>
      </c>
      <c r="D18" s="70" t="inlineStr">
        <is>
          <t>تصدی عبدالمجید شریفی</t>
        </is>
      </c>
      <c r="E18" s="70" t="inlineStr">
        <is>
          <t>SOURCE_CONFLICT:type19=1404/05/27;report=1404/05/22 | sources disagree by 5d</t>
        </is>
      </c>
      <c r="F18" s="70" t="inlineStr">
        <is>
          <t>باز؛ بازه یا حداقل ثبت شد</t>
        </is>
      </c>
      <c r="G18" s="70" t="inlineStr">
        <is>
          <t>Type19 در برابر گزارش</t>
        </is>
      </c>
    </row>
    <row r="19" ht="29" customHeight="1" s="76">
      <c r="A19" s="71" t="inlineStr">
        <is>
          <t>AU016</t>
        </is>
      </c>
      <c r="B19" s="71" t="inlineStr">
        <is>
          <t>تعارض نسخه اصلاحیه</t>
        </is>
      </c>
      <c r="C19" s="71" t="inlineStr">
        <is>
          <t>شستا</t>
        </is>
      </c>
      <c r="D19" s="71" t="inlineStr">
        <is>
          <t>تصدی غلام رضا رحیمی</t>
        </is>
      </c>
      <c r="E19" s="71" t="inlineStr">
        <is>
          <t>تاریخ جلسه هیئت مدیره بین نسخه اصلی و اصلاحیه متفاوت است</t>
        </is>
      </c>
      <c r="F19" s="71" t="inlineStr">
        <is>
          <t>باز؛ بازه ثبت شد</t>
        </is>
      </c>
      <c r="G19" s="71" t="inlineStr">
        <is>
          <t>Type19</t>
        </is>
      </c>
    </row>
    <row r="20" ht="29" customHeight="1" s="76">
      <c r="A20" s="70" t="inlineStr">
        <is>
          <t>AU017</t>
        </is>
      </c>
      <c r="B20" s="70" t="inlineStr">
        <is>
          <t>تعارض نسخه اصلاحیه</t>
        </is>
      </c>
      <c r="C20" s="70" t="inlineStr">
        <is>
          <t>شستا</t>
        </is>
      </c>
      <c r="D20" s="70" t="inlineStr">
        <is>
          <t>تصدی غلام رضا رحیمی</t>
        </is>
      </c>
      <c r="E20" s="70" t="inlineStr">
        <is>
          <t>BM_DATE_CONFLICT_BETWEEN_NOTICE_VERSIONS:1402/05/17|1402/08/17</t>
        </is>
      </c>
      <c r="F20" s="70" t="inlineStr">
        <is>
          <t>باز؛ بازه ثبت شد</t>
        </is>
      </c>
      <c r="G20" s="70" t="inlineStr">
        <is>
          <t>Type19 original vs amendment</t>
        </is>
      </c>
    </row>
    <row r="21" ht="29" customHeight="1" s="76">
      <c r="A21" s="71" t="inlineStr">
        <is>
          <t>AU018</t>
        </is>
      </c>
      <c r="B21" s="71" t="inlineStr">
        <is>
          <t>تعارض نسخه اصلاحیه</t>
        </is>
      </c>
      <c r="C21" s="71" t="inlineStr">
        <is>
          <t>نوری</t>
        </is>
      </c>
      <c r="D21" s="71" t="inlineStr">
        <is>
          <t>تصدی صالح رحیمی</t>
        </is>
      </c>
      <c r="E21" s="71" t="inlineStr">
        <is>
          <t>تاریخ جلسه هیئت مدیره بین نسخه اصلی و اصلاحیه متفاوت است</t>
        </is>
      </c>
      <c r="F21" s="71" t="inlineStr">
        <is>
          <t>باز؛ بازه ثبت شد</t>
        </is>
      </c>
      <c r="G21" s="71" t="inlineStr">
        <is>
          <t>Type19</t>
        </is>
      </c>
    </row>
    <row r="22" ht="29" customHeight="1" s="76">
      <c r="A22" s="70" t="inlineStr">
        <is>
          <t>AU019</t>
        </is>
      </c>
      <c r="B22" s="70" t="inlineStr">
        <is>
          <t>تعارض نسخه اصلاحیه</t>
        </is>
      </c>
      <c r="C22" s="70" t="inlineStr">
        <is>
          <t>نوری</t>
        </is>
      </c>
      <c r="D22" s="70" t="inlineStr">
        <is>
          <t>تصدی صالح رحیمی</t>
        </is>
      </c>
      <c r="E22" s="70" t="inlineStr">
        <is>
          <t>BM_DATE_CONFLICT_BETWEEN_NOTICE_VERSIONS:1404/11/18|1404/12/03</t>
        </is>
      </c>
      <c r="F22" s="70" t="inlineStr">
        <is>
          <t>باز؛ بازه ثبت شد</t>
        </is>
      </c>
      <c r="G22" s="70" t="inlineStr">
        <is>
          <t>Type19 original vs amendment</t>
        </is>
      </c>
    </row>
    <row r="23" ht="29" customHeight="1" s="76">
      <c r="A23" s="71" t="inlineStr">
        <is>
          <t>AU020</t>
        </is>
      </c>
      <c r="B23" s="71" t="inlineStr">
        <is>
          <t>تعارض تاریخ</t>
        </is>
      </c>
      <c r="C23" s="71" t="inlineStr">
        <is>
          <t>فولاد</t>
        </is>
      </c>
      <c r="D23" s="71" t="inlineStr">
        <is>
          <t>تصدی محسن صالحی نیا</t>
        </is>
      </c>
      <c r="E23" s="71" t="inlineStr">
        <is>
          <t>REPORT_DATE_AFTER_TYPE19_FIRST_OBSERVATION | type19 shows person from 1401/03/29 but report states 1402/07/23</t>
        </is>
      </c>
      <c r="F23" s="71" t="inlineStr">
        <is>
          <t>باز؛ بازه یا حداقل ثبت شد</t>
        </is>
      </c>
      <c r="G23" s="71" t="inlineStr">
        <is>
          <t>Type19 در برابر گزارش</t>
        </is>
      </c>
    </row>
    <row r="24" ht="29" customHeight="1" s="76">
      <c r="A24" s="70" t="inlineStr">
        <is>
          <t>AU021</t>
        </is>
      </c>
      <c r="B24" s="70" t="inlineStr">
        <is>
          <t>تعارض تاریخ</t>
        </is>
      </c>
      <c r="C24" s="70" t="inlineStr">
        <is>
          <t>فولاد</t>
        </is>
      </c>
      <c r="D24" s="70" t="inlineStr">
        <is>
          <t>تصدی محمدحسین مقیمی</t>
        </is>
      </c>
      <c r="E24" s="70" t="inlineStr">
        <is>
          <t>SOURCE_CONFLICT:type19=1404/10/03;report=1404/10/08 | sources disagree by 5d</t>
        </is>
      </c>
      <c r="F24" s="70" t="inlineStr">
        <is>
          <t>باز؛ بازه یا حداقل ثبت شد</t>
        </is>
      </c>
      <c r="G24" s="70" t="inlineStr">
        <is>
          <t>Type19 در برابر گزارش</t>
        </is>
      </c>
    </row>
    <row r="25" ht="29" customHeight="1" s="76">
      <c r="A25" s="71" t="inlineStr">
        <is>
          <t>AU022</t>
        </is>
      </c>
      <c r="B25" s="71" t="inlineStr">
        <is>
          <t>تعارض تاریخ</t>
        </is>
      </c>
      <c r="C25" s="71" t="inlineStr">
        <is>
          <t>فولاد</t>
        </is>
      </c>
      <c r="D25" s="71" t="inlineStr">
        <is>
          <t>تصدی سعید زرندی</t>
        </is>
      </c>
      <c r="E25" s="71" t="inlineStr">
        <is>
          <t>SOURCE_CONFLICT | report 1403/11/30 outside type19 interval 1403/12/16..1404/01/28</t>
        </is>
      </c>
      <c r="F25" s="71" t="inlineStr">
        <is>
          <t>باز؛ بازه یا حداقل ثبت شد</t>
        </is>
      </c>
      <c r="G25" s="71" t="inlineStr">
        <is>
          <t>Type19 در برابر گزارش</t>
        </is>
      </c>
    </row>
    <row r="26" ht="29" customHeight="1" s="76">
      <c r="A26" s="70" t="inlineStr">
        <is>
          <t>AU023</t>
        </is>
      </c>
      <c r="B26" s="70" t="inlineStr">
        <is>
          <t>تعارض تاریخ</t>
        </is>
      </c>
      <c r="C26" s="70" t="inlineStr">
        <is>
          <t>فولاد</t>
        </is>
      </c>
      <c r="D26" s="70" t="inlineStr">
        <is>
          <t>تصدی مهدی زحمت کش</t>
        </is>
      </c>
      <c r="E26" s="70" t="inlineStr">
        <is>
          <t>SOURCE_CONFLICT:type19=1404/08/07;report=1404/06/29 | sources disagree by 39d</t>
        </is>
      </c>
      <c r="F26" s="70" t="inlineStr">
        <is>
          <t>باز؛ بازه یا حداقل ثبت شد</t>
        </is>
      </c>
      <c r="G26" s="70" t="inlineStr">
        <is>
          <t>Type19 در برابر گزارش</t>
        </is>
      </c>
    </row>
    <row r="27" ht="29" customHeight="1" s="76">
      <c r="A27" s="71" t="inlineStr">
        <is>
          <t>AU024</t>
        </is>
      </c>
      <c r="B27" s="71" t="inlineStr">
        <is>
          <t>تعارض تاریخ</t>
        </is>
      </c>
      <c r="C27" s="71" t="inlineStr">
        <is>
          <t>پارسان</t>
        </is>
      </c>
      <c r="D27" s="71" t="inlineStr">
        <is>
          <t>تصدی سیدجعفر هاشمی</t>
        </is>
      </c>
      <c r="E27" s="71" t="inlineStr">
        <is>
          <t>SOURCE_CONFLICT:type19=1403/02/24;report=1402/02/14 | sources disagree by 375d</t>
        </is>
      </c>
      <c r="F27" s="71" t="inlineStr">
        <is>
          <t>باز؛ بازه یا حداقل ثبت شد</t>
        </is>
      </c>
      <c r="G27" s="71" t="inlineStr">
        <is>
          <t>Type19 در برابر گزارش</t>
        </is>
      </c>
    </row>
    <row r="28" ht="29" customHeight="1" s="76">
      <c r="A28" s="70" t="inlineStr">
        <is>
          <t>AU025</t>
        </is>
      </c>
      <c r="B28" s="70" t="inlineStr">
        <is>
          <t>تعارض نسخه اصلاحیه</t>
        </is>
      </c>
      <c r="C28" s="70" t="inlineStr">
        <is>
          <t>خساپا</t>
        </is>
      </c>
      <c r="D28" s="70" t="inlineStr">
        <is>
          <t>تصدی علی شیخ زاده</t>
        </is>
      </c>
      <c r="E28" s="70" t="inlineStr">
        <is>
          <t>تاریخ جلسه هیئت مدیره بین نسخه اصلی و اصلاحیه متفاوت است</t>
        </is>
      </c>
      <c r="F28" s="70" t="inlineStr">
        <is>
          <t>باز؛ بازه ثبت شد</t>
        </is>
      </c>
      <c r="G28" s="70" t="inlineStr">
        <is>
          <t>Type19</t>
        </is>
      </c>
    </row>
    <row r="29" ht="29" customHeight="1" s="76">
      <c r="A29" s="71" t="inlineStr">
        <is>
          <t>AU026</t>
        </is>
      </c>
      <c r="B29" s="71" t="inlineStr">
        <is>
          <t>تعارض نسخه اصلاحیه</t>
        </is>
      </c>
      <c r="C29" s="71" t="inlineStr">
        <is>
          <t>خساپا</t>
        </is>
      </c>
      <c r="D29" s="71" t="inlineStr">
        <is>
          <t>تصدی علی شیخ زاده</t>
        </is>
      </c>
      <c r="E29" s="71" t="inlineStr">
        <is>
          <t>BM_DATE_CONFLICT_BETWEEN_NOTICE_VERSIONS:1403/09/14|1403/09/21</t>
        </is>
      </c>
      <c r="F29" s="71" t="inlineStr">
        <is>
          <t>باز؛ بازه ثبت شد</t>
        </is>
      </c>
      <c r="G29" s="71" t="inlineStr">
        <is>
          <t>Type19 original vs amendment</t>
        </is>
      </c>
    </row>
    <row r="30" ht="29" customHeight="1" s="76">
      <c r="A30" s="70" t="inlineStr">
        <is>
          <t>AU027</t>
        </is>
      </c>
      <c r="B30" s="70" t="inlineStr">
        <is>
          <t>تعارض نسخه اصلاحیه</t>
        </is>
      </c>
      <c r="C30" s="70" t="inlineStr">
        <is>
          <t>خساپا</t>
        </is>
      </c>
      <c r="D30" s="70" t="inlineStr">
        <is>
          <t>تصدی کورش پرویزیان</t>
        </is>
      </c>
      <c r="E30" s="70" t="inlineStr">
        <is>
          <t>تاریخ جلسه هیئت مدیره بین نسخه اصلی و اصلاحیه متفاوت است</t>
        </is>
      </c>
      <c r="F30" s="70" t="inlineStr">
        <is>
          <t>باز؛ بازه ثبت شد</t>
        </is>
      </c>
      <c r="G30" s="70" t="inlineStr">
        <is>
          <t>Type19</t>
        </is>
      </c>
    </row>
    <row r="31" ht="29" customHeight="1" s="76">
      <c r="A31" s="71" t="inlineStr">
        <is>
          <t>AU028</t>
        </is>
      </c>
      <c r="B31" s="71" t="inlineStr">
        <is>
          <t>تعارض نسخه اصلاحیه</t>
        </is>
      </c>
      <c r="C31" s="71" t="inlineStr">
        <is>
          <t>خساپا</t>
        </is>
      </c>
      <c r="D31" s="71" t="inlineStr">
        <is>
          <t>تصدی کورش پرویزیان</t>
        </is>
      </c>
      <c r="E31" s="71" t="inlineStr">
        <is>
          <t>BM_DATE_CONFLICT_BETWEEN_NOTICE_VERSIONS:1403/09/14|1403/09/21</t>
        </is>
      </c>
      <c r="F31" s="71" t="inlineStr">
        <is>
          <t>باز؛ بازه ثبت شد</t>
        </is>
      </c>
      <c r="G31" s="71" t="inlineStr">
        <is>
          <t>Type19 original vs amendment</t>
        </is>
      </c>
    </row>
    <row r="32" ht="29" customHeight="1" s="76">
      <c r="A32" s="70" t="inlineStr">
        <is>
          <t>AU029</t>
        </is>
      </c>
      <c r="B32" s="70" t="inlineStr">
        <is>
          <t>تعارض تاریخ</t>
        </is>
      </c>
      <c r="C32" s="70" t="inlineStr">
        <is>
          <t>وبصادر</t>
        </is>
      </c>
      <c r="D32" s="70" t="inlineStr">
        <is>
          <t>تصدی محسن سیفی کفشگری</t>
        </is>
      </c>
      <c r="E32" s="70" t="inlineStr">
        <is>
          <t>SOURCE_CONFLICT:type19=1401/05/03;report=1402/08/22 | sources disagree by 476d</t>
        </is>
      </c>
      <c r="F32" s="70" t="inlineStr">
        <is>
          <t>باز؛ بازه یا حداقل ثبت شد</t>
        </is>
      </c>
      <c r="G32" s="70" t="inlineStr">
        <is>
          <t>Type19 در برابر گزارش</t>
        </is>
      </c>
    </row>
    <row r="33" ht="29" customHeight="1" s="76">
      <c r="A33" s="71" t="inlineStr">
        <is>
          <t>AU030</t>
        </is>
      </c>
      <c r="B33" s="71" t="inlineStr">
        <is>
          <t>تعارض داده</t>
        </is>
      </c>
      <c r="C33" s="71" t="inlineStr">
        <is>
          <t>فملی</t>
        </is>
      </c>
      <c r="D33" s="71" t="inlineStr">
        <is>
          <t>نام شخص حقوقی شهریار متوکل</t>
        </is>
      </c>
      <c r="E33" s="71" t="inlineStr">
        <is>
          <t>گزارش: فولاد مبارکه اصفهان؛ ن۴۵: سرمایه گذاری استان آذربایجان شرقی؛ تصدی در سطح شخص (کد ملی) محاسبه شد نه شخص حقوقی</t>
        </is>
      </c>
      <c r="F33" s="71" t="inlineStr">
        <is>
          <t>باز</t>
        </is>
      </c>
      <c r="G33" s="71" t="inlineStr">
        <is>
          <t>SRC_FMLI_1404_001 p32</t>
        </is>
      </c>
    </row>
    <row r="34" ht="20" customHeight="1" s="76">
      <c r="A34" s="70" t="inlineStr">
        <is>
          <t>AU031</t>
        </is>
      </c>
      <c r="B34" s="70" t="inlineStr">
        <is>
          <t>تعارض داده</t>
        </is>
      </c>
      <c r="C34" s="70" t="inlineStr">
        <is>
          <t>تاپیکو</t>
        </is>
      </c>
      <c r="D34" s="70" t="inlineStr">
        <is>
          <t>تاریخ عضویت ربیعی</t>
        </is>
      </c>
      <c r="E34" s="70" t="inlineStr">
        <is>
          <t>ص۷۷: 1403/10/18 و ص۱۱: 1403/10/23 در همان گزارش؛ ن۴۵: 1403/10/23</t>
        </is>
      </c>
      <c r="F34" s="70" t="inlineStr">
        <is>
          <t>ثبت شد</t>
        </is>
      </c>
      <c r="G34" s="70" t="inlineStr">
        <is>
          <t>SRC_TPIK_1404_002</t>
        </is>
      </c>
    </row>
    <row r="35" ht="29" customHeight="1" s="76">
      <c r="A35" s="71" t="inlineStr">
        <is>
          <t>AU032</t>
        </is>
      </c>
      <c r="B35" s="71" t="inlineStr">
        <is>
          <t>تعارض داده</t>
        </is>
      </c>
      <c r="C35" s="71" t="inlineStr">
        <is>
          <t>تاپیکو</t>
        </is>
      </c>
      <c r="D35" s="71" t="inlineStr">
        <is>
          <t>ردیف سرمایه گذاری تامین اجتماعی بدون نماینده</t>
        </is>
      </c>
      <c r="E35" s="71" t="inlineStr">
        <is>
          <t>نماینده نام برده نشده؛ تصدی شخص UNKNOWN؛ سرپرست رضا توکلی بنیزی از 1404/01/23 در اطلاعیه</t>
        </is>
      </c>
      <c r="F35" s="71" t="inlineStr">
        <is>
          <t>ثبت شد</t>
        </is>
      </c>
      <c r="G35" s="71" t="inlineStr">
        <is>
          <t>Type19 1333972</t>
        </is>
      </c>
    </row>
    <row r="36" ht="29" customHeight="1" s="76">
      <c r="A36" s="70" t="inlineStr">
        <is>
          <t>AU033</t>
        </is>
      </c>
      <c r="B36" s="70" t="inlineStr">
        <is>
          <t>محدودیت</t>
        </is>
      </c>
      <c r="C36" s="70" t="inlineStr">
        <is>
          <t>پارس</t>
        </is>
      </c>
      <c r="D36" s="70" t="inlineStr">
        <is>
          <t>جدول گزارش قدیمی</t>
        </is>
      </c>
      <c r="E36" s="70" t="inlineStr">
        <is>
          <t>جدول هیئت مدیره پارس به انتخاب دی ۱۴۰۲ اشاره دارد و اعضای متفاوت با ن۴۵ دارد؛ ستون همزمانی خالی؛ ستون تاریخ ندارد؛ استفاده نشد</t>
        </is>
      </c>
      <c r="F36" s="70" t="inlineStr">
        <is>
          <t>ثبت شد</t>
        </is>
      </c>
      <c r="G36" s="70" t="inlineStr">
        <is>
          <t>SRC_PARS_1404_001 p32 (تصویر)</t>
        </is>
      </c>
    </row>
    <row r="37" ht="29" customHeight="1" s="76">
      <c r="A37" s="71" t="inlineStr">
        <is>
          <t>AU034</t>
        </is>
      </c>
      <c r="B37" s="71" t="inlineStr">
        <is>
          <t>محدودیت</t>
        </is>
      </c>
      <c r="C37" s="71" t="inlineStr">
        <is>
          <t>وپاسار</t>
        </is>
      </c>
      <c r="D37" s="71" t="inlineStr">
        <is>
          <t>نبود ترکیب هیئت مدیره FY1404</t>
        </is>
      </c>
      <c r="E37" s="71" t="inlineStr">
        <is>
          <t>فقط ن۴۵ مورخ 1402/04/05 در فهرست؛ گزارش فعالیت FY1404 در آرشیو نیست؛ ICR فقط سرنخ؛ فهرست اعضا در as-of ارزیابی نشد</t>
        </is>
      </c>
      <c r="F37" s="71" t="inlineStr">
        <is>
          <t>باز؛ نامشخص</t>
        </is>
      </c>
      <c r="G37" s="71" t="inlineStr">
        <is>
          <t>ICR 1526305 سرنخ ۷ امضاکننده</t>
        </is>
      </c>
    </row>
    <row r="38" ht="29" customHeight="1" s="76">
      <c r="A38" s="70" t="inlineStr">
        <is>
          <t>AU035</t>
        </is>
      </c>
      <c r="B38" s="70" t="inlineStr">
        <is>
          <t>محدودیت</t>
        </is>
      </c>
      <c r="C38" s="70" t="inlineStr">
        <is>
          <t>حکشتی</t>
        </is>
      </c>
      <c r="D38" s="70" t="inlineStr">
        <is>
          <t>ن۴۵ بدون نماینده</t>
        </is>
      </c>
      <c r="E38" s="70" t="inlineStr">
        <is>
          <t>فهرست فقط اشخاص حقوقی بدون نماینده نام‌برده؛ تصدی سطح شخص حقوقی ثبت شد؛ سطح شخص UNKNOWN</t>
        </is>
      </c>
      <c r="F38" s="70" t="inlineStr">
        <is>
          <t>ثبت شد</t>
        </is>
      </c>
      <c r="G38" s="70" t="inlineStr">
        <is>
          <t>Type19 1310210</t>
        </is>
      </c>
    </row>
    <row r="39" ht="43.5" customHeight="1" s="76">
      <c r="A39" s="71" t="inlineStr">
        <is>
          <t>AU036</t>
        </is>
      </c>
      <c r="B39" s="71" t="inlineStr">
        <is>
          <t>محدودیت</t>
        </is>
      </c>
      <c r="C39" s="71" t="inlineStr">
        <is>
          <t>همه</t>
        </is>
      </c>
      <c r="D39" s="71" t="inlineStr">
        <is>
          <t>لایه ۱ استقلال</t>
        </is>
      </c>
      <c r="E39" s="71" t="inlineStr">
        <is>
          <t>عبارت عضو مستقل هیئت مدیره (به جز کمیته‌ها) در متن FY1404 هر ۳۰ شرکت جستجو شد؛ برای هیچ عضو هیئت مدیره یافت نشد؛ برچسب مستقل فقط برای اعضای کمیته؛ حاکمیت شرکتی ماده‌ای عمومی بدون نام</t>
        </is>
      </c>
      <c r="F39" s="71" t="inlineStr">
        <is>
          <t>ثبت شد</t>
        </is>
      </c>
      <c r="G39" s="71" t="inlineStr">
        <is>
          <t>work/v41/indscan.py</t>
        </is>
      </c>
    </row>
    <row r="40" ht="29" customHeight="1" s="76">
      <c r="A40" s="70" t="inlineStr">
        <is>
          <t>AU037</t>
        </is>
      </c>
      <c r="B40" s="70" t="inlineStr">
        <is>
          <t>محدودیت</t>
        </is>
      </c>
      <c r="C40" s="70" t="inlineStr">
        <is>
          <t>زاگرس</t>
        </is>
      </c>
      <c r="D40" s="70" t="inlineStr">
        <is>
          <t>ستون وابستگی به سهامداران</t>
        </is>
      </c>
      <c r="E40" s="70" t="inlineStr">
        <is>
          <t>برای هر ۵ عضو ستون وضعیت وابستگی به سهامدار نام یک شرکت سهامدار را آورده؛ در لایه یک به عنوان رابطه افشاشده ثبت شد و استقلال از آن استنباط نشد</t>
        </is>
      </c>
      <c r="F40" s="70" t="inlineStr">
        <is>
          <t>ثبت شد</t>
        </is>
      </c>
      <c r="G40" s="70" t="inlineStr">
        <is>
          <t>SRC_ZGRS_1404_001 p26</t>
        </is>
      </c>
    </row>
    <row r="41" ht="29" customHeight="1" s="76">
      <c r="A41" s="71" t="inlineStr">
        <is>
          <t>AU038</t>
        </is>
      </c>
      <c r="B41" s="71" t="inlineStr">
        <is>
          <t>سرنخ یادداشت قبلی</t>
        </is>
      </c>
      <c r="C41" s="71" t="inlineStr">
        <is>
          <t>همه</t>
        </is>
      </c>
      <c r="D41" s="71" t="inlineStr">
        <is>
          <t>ACX01</t>
        </is>
      </c>
      <c r="E41" s="71" t="inlineStr">
        <is>
          <t>حد پایین بودن شمارش AC باقی؛ اعضای کمیته غیرعضو هیئت مدیره جزو جمعیت هیئت مدیره نیستند</t>
        </is>
      </c>
      <c r="F41" s="71" t="inlineStr">
        <is>
          <t>حفظ</t>
        </is>
      </c>
      <c r="G41" s="71" t="inlineStr">
        <is>
          <t>v40</t>
        </is>
      </c>
    </row>
    <row r="42" ht="29" customHeight="1" s="76">
      <c r="A42" s="70" t="inlineStr">
        <is>
          <t>AU039</t>
        </is>
      </c>
      <c r="B42" s="70" t="inlineStr">
        <is>
          <t>سرنخ یادداشت قبلی</t>
        </is>
      </c>
      <c r="C42" s="70" t="inlineStr">
        <is>
          <t>همه</t>
        </is>
      </c>
      <c r="D42" s="70" t="inlineStr">
        <is>
          <t>ACX02</t>
        </is>
      </c>
      <c r="E42" s="70" t="inlineStr">
        <is>
          <t>پوشش کامل و جزئی جدا ماند؛ نامشخص صفر نشد</t>
        </is>
      </c>
      <c r="F42" s="70" t="inlineStr">
        <is>
          <t>حفظ</t>
        </is>
      </c>
      <c r="G42" s="70" t="inlineStr">
        <is>
          <t>v40</t>
        </is>
      </c>
    </row>
    <row r="43" ht="29" customHeight="1" s="76">
      <c r="A43" s="71" t="inlineStr">
        <is>
          <t>AU040</t>
        </is>
      </c>
      <c r="B43" s="71" t="inlineStr">
        <is>
          <t>سرنخ یادداشت قبلی</t>
        </is>
      </c>
      <c r="C43" s="71" t="inlineStr">
        <is>
          <t>تاپیکو، پارس، وبملت</t>
        </is>
      </c>
      <c r="D43" s="71" t="inlineStr">
        <is>
          <t>تعارض‌های باز کمیته حسابرسی</t>
        </is>
      </c>
      <c r="E43" s="71" t="inlineStr">
        <is>
          <t>بسته اعلام نشد</t>
        </is>
      </c>
      <c r="F43" s="71" t="inlineStr">
        <is>
          <t>باز</t>
        </is>
      </c>
      <c r="G43" s="71" t="inlineStr">
        <is>
          <t>v40</t>
        </is>
      </c>
    </row>
    <row r="44" ht="58" customHeight="1" s="76">
      <c r="A44" s="70" t="inlineStr">
        <is>
          <t>AU041</t>
        </is>
      </c>
      <c r="B44" s="70" t="inlineStr">
        <is>
          <t>سرنخ یادداشت قبلی</t>
        </is>
      </c>
      <c r="C44" s="70" t="inlineStr">
        <is>
          <t>زاگرس</t>
        </is>
      </c>
      <c r="D44" s="70" t="inlineStr">
        <is>
          <t>رئیس کمیته حسابرسی محمود مجیب و عضویت در هیئت مدیره</t>
        </is>
      </c>
      <c r="E44" s="70" t="inlineStr">
        <is>
          <t>ن۴۵: نام کامل محمود مجیب نماینده صادرفر از 1404/05/25 رئیس هیئت مدیره و سپس عضو تا 1404/08/28 که جایگزین شد؛ در as-of 1404/12/29 عضو هیئت مدیره نیست در حالی که جدول کمیته او را رئیس نشان می‌دهد؛ هویت فقط با تطبیق نام کامل در یک شرکت (کد ملی در جدول کمیته نیست) پس ادغام قطعی نشد؛ نبود در v22 مدرک غیبت نبود</t>
        </is>
      </c>
      <c r="F44" s="70" t="inlineStr">
        <is>
          <t>باز؛ تعارض زمانی ثبت شد</t>
        </is>
      </c>
      <c r="G44" s="70" t="inlineStr">
        <is>
          <t>Type19 1393291،1441375</t>
        </is>
      </c>
    </row>
    <row r="45" ht="29" customHeight="1" s="76">
      <c r="A45" s="71" t="inlineStr">
        <is>
          <t>AU042</t>
        </is>
      </c>
      <c r="B45" s="71" t="inlineStr">
        <is>
          <t>سرنخ یادداشت قبلی</t>
        </is>
      </c>
      <c r="C45" s="71" t="inlineStr">
        <is>
          <t>وپاسار</t>
        </is>
      </c>
      <c r="D45" s="71" t="inlineStr">
        <is>
          <t>هفت امضاکننده ICR</t>
        </is>
      </c>
      <c r="E45" s="71" t="inlineStr">
        <is>
          <t>فقط سرنخ؛ عضو هیئت مدیره اعلام نشد</t>
        </is>
      </c>
      <c r="F45" s="71" t="inlineStr">
        <is>
          <t>حفظ</t>
        </is>
      </c>
      <c r="G45" s="71" t="inlineStr">
        <is>
          <t>v40</t>
        </is>
      </c>
    </row>
    <row r="46" ht="29" customHeight="1" s="76">
      <c r="A46" s="70" t="inlineStr">
        <is>
          <t>AU043</t>
        </is>
      </c>
      <c r="B46" s="70" t="inlineStr">
        <is>
          <t>صف مرحله ۳</t>
        </is>
      </c>
      <c r="C46" s="70" t="inlineStr">
        <is>
          <t>وتجارت</t>
        </is>
      </c>
      <c r="D46" s="70" t="inlineStr">
        <is>
          <t>پرونده گردش</t>
        </is>
      </c>
      <c r="E46" s="70" t="inlineStr">
        <is>
          <t>موارد گردش برای مرحله ۳: اطلاعیه‌های 1443078 و 1444154 در نزدیکی مبنا؛ بدون بازنویسی REF05، REF08 و CR1A</t>
        </is>
      </c>
      <c r="F46" s="70" t="inlineStr">
        <is>
          <t>ثبت</t>
        </is>
      </c>
      <c r="G46" s="70" t="inlineStr">
        <is>
          <t>v41</t>
        </is>
      </c>
    </row>
    <row r="47" ht="20" customHeight="1" s="76">
      <c r="A47" s="71" t="inlineStr">
        <is>
          <t>AU044</t>
        </is>
      </c>
      <c r="B47" s="71" t="inlineStr">
        <is>
          <t>صف مرحله ۳</t>
        </is>
      </c>
      <c r="C47" s="71" t="inlineStr">
        <is>
          <t>وپاسار</t>
        </is>
      </c>
      <c r="D47" s="71" t="inlineStr">
        <is>
          <t>پرونده گردش</t>
        </is>
      </c>
      <c r="E47" s="71" t="inlineStr">
        <is>
          <t>ن۴۵ تنها 1402/04/05 در فهرست؛ جستجوی بیشتر لازم؛ بدون بازنویسی REF05، REF08 و CR1A</t>
        </is>
      </c>
      <c r="F47" s="71" t="inlineStr">
        <is>
          <t>ثبت</t>
        </is>
      </c>
      <c r="G47" s="71" t="inlineStr">
        <is>
          <t>v41</t>
        </is>
      </c>
    </row>
    <row r="48" ht="20" customHeight="1" s="76">
      <c r="A48" s="70" t="inlineStr">
        <is>
          <t>AU045</t>
        </is>
      </c>
      <c r="B48" s="70" t="inlineStr">
        <is>
          <t>صف مرحله ۳</t>
        </is>
      </c>
      <c r="C48" s="70" t="inlineStr">
        <is>
          <t>حکشتی</t>
        </is>
      </c>
      <c r="D48" s="70" t="inlineStr">
        <is>
          <t>پرونده گردش</t>
        </is>
      </c>
      <c r="E48" s="70" t="inlineStr">
        <is>
          <t>اطلاعیه 1433770 (1404/08/18) پس از as-of؛ بدون بازنویسی REF05، REF08 و CR1A</t>
        </is>
      </c>
      <c r="F48" s="70" t="inlineStr">
        <is>
          <t>ثبت</t>
        </is>
      </c>
      <c r="G48" s="70" t="inlineStr">
        <is>
          <t>v41</t>
        </is>
      </c>
    </row>
    <row r="49" ht="20" customHeight="1" s="76">
      <c r="A49" s="71" t="inlineStr">
        <is>
          <t>AU046</t>
        </is>
      </c>
      <c r="B49" s="71" t="inlineStr">
        <is>
          <t>صف مرحله ۳</t>
        </is>
      </c>
      <c r="C49" s="71" t="inlineStr">
        <is>
          <t>فملی</t>
        </is>
      </c>
      <c r="D49" s="71" t="inlineStr">
        <is>
          <t>پرونده گردش</t>
        </is>
      </c>
      <c r="E49" s="71" t="inlineStr">
        <is>
          <t>اطلاعیه 1388917 و خروج کرمی 1404/05/12؛ بدون بازنویسی REF05، REF08 و CR1A</t>
        </is>
      </c>
      <c r="F49" s="71" t="inlineStr">
        <is>
          <t>ثبت</t>
        </is>
      </c>
      <c r="G49" s="71" t="inlineStr">
        <is>
          <t>v41</t>
        </is>
      </c>
    </row>
    <row r="50" ht="20" customHeight="1" s="76">
      <c r="A50" s="70" t="inlineStr">
        <is>
          <t>AU047</t>
        </is>
      </c>
      <c r="B50" s="70" t="inlineStr">
        <is>
          <t>صف مرحله ۳</t>
        </is>
      </c>
      <c r="C50" s="70" t="inlineStr">
        <is>
          <t>رمپنا</t>
        </is>
      </c>
      <c r="D50" s="70" t="inlineStr">
        <is>
          <t>پرونده گردش</t>
        </is>
      </c>
      <c r="E50" s="70" t="inlineStr">
        <is>
          <t>اصلاحیه اسکن‌شده و اطلاعیه‌های 1482306،1523599؛ بدون بازنویسی REF05، REF08 و CR1A</t>
        </is>
      </c>
      <c r="F50" s="70" t="inlineStr">
        <is>
          <t>ثبت</t>
        </is>
      </c>
      <c r="G50" s="70" t="inlineStr">
        <is>
          <t>v41</t>
        </is>
      </c>
    </row>
    <row r="51" ht="20" customHeight="1" s="76">
      <c r="A51" s="71" t="inlineStr">
        <is>
          <t>AU048</t>
        </is>
      </c>
      <c r="B51" s="71" t="inlineStr">
        <is>
          <t>سند ناقص</t>
        </is>
      </c>
      <c r="C51" s="71" t="inlineStr">
        <is>
          <t>فارس</t>
        </is>
      </c>
      <c r="D51" s="71" t="inlineStr">
        <is>
          <t>اسناد یا فیلدهای ناقص</t>
        </is>
      </c>
      <c r="E51" s="71" t="inlineStr">
        <is>
          <t>ستون همزمانی در جدول وجود ندارد</t>
        </is>
      </c>
      <c r="F51" s="71" t="inlineStr">
        <is>
          <t>باز</t>
        </is>
      </c>
      <c r="G51" s="71" t="n"/>
    </row>
    <row r="52" ht="20" customHeight="1" s="76">
      <c r="A52" s="70" t="inlineStr">
        <is>
          <t>AU049</t>
        </is>
      </c>
      <c r="B52" s="70" t="inlineStr">
        <is>
          <t>سند ناقص</t>
        </is>
      </c>
      <c r="C52" s="70" t="inlineStr">
        <is>
          <t>خودرو</t>
        </is>
      </c>
      <c r="D52" s="70" t="inlineStr">
        <is>
          <t>اسناد یا فیلدهای ناقص</t>
        </is>
      </c>
      <c r="E52" s="70" t="inlineStr">
        <is>
          <t>ستون همزمانی در جدول وجود ندارد</t>
        </is>
      </c>
      <c r="F52" s="70" t="inlineStr">
        <is>
          <t>باز</t>
        </is>
      </c>
      <c r="G52" s="70" t="n"/>
    </row>
    <row r="53" ht="20" customHeight="1" s="76">
      <c r="A53" s="71" t="inlineStr">
        <is>
          <t>AU050</t>
        </is>
      </c>
      <c r="B53" s="71" t="inlineStr">
        <is>
          <t>سند ناقص</t>
        </is>
      </c>
      <c r="C53" s="71" t="inlineStr">
        <is>
          <t>زاگرس</t>
        </is>
      </c>
      <c r="D53" s="71" t="inlineStr">
        <is>
          <t>اسناد یا فیلدهای ناقص</t>
        </is>
      </c>
      <c r="E53" s="71" t="inlineStr">
        <is>
          <t>تاریخ عضویت شروع تصدی در گزارش نیست</t>
        </is>
      </c>
      <c r="F53" s="71" t="inlineStr">
        <is>
          <t>باز</t>
        </is>
      </c>
      <c r="G53" s="71" t="n"/>
    </row>
    <row r="54" ht="29" customHeight="1" s="76">
      <c r="A54" s="70" t="inlineStr">
        <is>
          <t>AU051</t>
        </is>
      </c>
      <c r="B54" s="70" t="inlineStr">
        <is>
          <t>سند ناقص</t>
        </is>
      </c>
      <c r="C54" s="70" t="inlineStr">
        <is>
          <t>شبندر</t>
        </is>
      </c>
      <c r="D54" s="70" t="inlineStr">
        <is>
          <t>اسناد یا فیلدهای ناقص</t>
        </is>
      </c>
      <c r="E54" s="70" t="inlineStr">
        <is>
          <t>جدول هیئت مدیره قابل استفاده در گزارش FY1404 مکان‌یابی یا استخراج نشد؛ تاریخ عضویت شروع تصدی در گزارش نیست</t>
        </is>
      </c>
      <c r="F54" s="70" t="inlineStr">
        <is>
          <t>باز</t>
        </is>
      </c>
      <c r="G54" s="70" t="n"/>
    </row>
    <row r="55" ht="29" customHeight="1" s="76">
      <c r="A55" s="71" t="inlineStr">
        <is>
          <t>AU052</t>
        </is>
      </c>
      <c r="B55" s="71" t="inlineStr">
        <is>
          <t>سند ناقص</t>
        </is>
      </c>
      <c r="C55" s="71" t="inlineStr">
        <is>
          <t>پارس</t>
        </is>
      </c>
      <c r="D55" s="71" t="inlineStr">
        <is>
          <t>اسناد یا فیلدهای ناقص</t>
        </is>
      </c>
      <c r="E55" s="71" t="inlineStr">
        <is>
          <t>جدول هیئت مدیره قابل استفاده در گزارش FY1404 مکان‌یابی یا استخراج نشد؛ تاریخ عضویت شروع تصدی در گزارش نیست</t>
        </is>
      </c>
      <c r="F55" s="71" t="inlineStr">
        <is>
          <t>باز</t>
        </is>
      </c>
      <c r="G55" s="71" t="n"/>
    </row>
    <row r="56" ht="20" customHeight="1" s="76">
      <c r="A56" s="70" t="inlineStr">
        <is>
          <t>AU053</t>
        </is>
      </c>
      <c r="B56" s="70" t="inlineStr">
        <is>
          <t>سند ناقص</t>
        </is>
      </c>
      <c r="C56" s="70" t="inlineStr">
        <is>
          <t>شتران</t>
        </is>
      </c>
      <c r="D56" s="70" t="inlineStr">
        <is>
          <t>اسناد یا فیلدهای ناقص</t>
        </is>
      </c>
      <c r="E56" s="70" t="inlineStr">
        <is>
          <t>تاریخ عضویت شروع تصدی در گزارش نیست</t>
        </is>
      </c>
      <c r="F56" s="70" t="inlineStr">
        <is>
          <t>باز</t>
        </is>
      </c>
      <c r="G56" s="70" t="n"/>
    </row>
    <row r="57" ht="20" customHeight="1" s="76">
      <c r="A57" s="71" t="inlineStr">
        <is>
          <t>AU054</t>
        </is>
      </c>
      <c r="B57" s="71" t="inlineStr">
        <is>
          <t>سند ناقص</t>
        </is>
      </c>
      <c r="C57" s="71" t="inlineStr">
        <is>
          <t>وتجارت</t>
        </is>
      </c>
      <c r="D57" s="71" t="inlineStr">
        <is>
          <t>اسناد یا فیلدهای ناقص</t>
        </is>
      </c>
      <c r="E57" s="71" t="inlineStr">
        <is>
          <t>ستون همزمانی در جدول وجود ندارد</t>
        </is>
      </c>
      <c r="F57" s="71" t="inlineStr">
        <is>
          <t>باز</t>
        </is>
      </c>
      <c r="G57" s="71" t="n"/>
    </row>
    <row r="58" ht="29" customHeight="1" s="76">
      <c r="A58" s="70" t="inlineStr">
        <is>
          <t>AU055</t>
        </is>
      </c>
      <c r="B58" s="70" t="inlineStr">
        <is>
          <t>سند ناقص</t>
        </is>
      </c>
      <c r="C58" s="70" t="inlineStr">
        <is>
          <t>رمپنا</t>
        </is>
      </c>
      <c r="D58" s="70" t="inlineStr">
        <is>
          <t>اسناد یا فیلدهای ناقص</t>
        </is>
      </c>
      <c r="E58" s="70" t="inlineStr">
        <is>
          <t>جدول هیئت مدیره قابل استفاده در گزارش FY1404 مکان‌یابی یا استخراج نشد؛ تاریخ عضویت شروع تصدی در گزارش نیست</t>
        </is>
      </c>
      <c r="F58" s="70" t="inlineStr">
        <is>
          <t>باز</t>
        </is>
      </c>
      <c r="G58" s="70" t="n"/>
    </row>
    <row r="59" ht="20" customHeight="1" s="76">
      <c r="A59" s="71" t="inlineStr">
        <is>
          <t>AU056</t>
        </is>
      </c>
      <c r="B59" s="71" t="inlineStr">
        <is>
          <t>سند ناقص</t>
        </is>
      </c>
      <c r="C59" s="71" t="inlineStr">
        <is>
          <t>فخوز</t>
        </is>
      </c>
      <c r="D59" s="71" t="inlineStr">
        <is>
          <t>اسناد یا فیلدهای ناقص</t>
        </is>
      </c>
      <c r="E59" s="71" t="inlineStr">
        <is>
          <t>ستون همزمانی در جدول وجود ندارد</t>
        </is>
      </c>
      <c r="F59" s="71" t="inlineStr">
        <is>
          <t>باز</t>
        </is>
      </c>
      <c r="G59" s="71" t="n"/>
    </row>
    <row r="60" ht="29" customHeight="1" s="76">
      <c r="A60" s="70" t="inlineStr">
        <is>
          <t>AU057</t>
        </is>
      </c>
      <c r="B60" s="70" t="inlineStr">
        <is>
          <t>سند ناقص</t>
        </is>
      </c>
      <c r="C60" s="70" t="inlineStr">
        <is>
          <t>شپنا</t>
        </is>
      </c>
      <c r="D60" s="70" t="inlineStr">
        <is>
          <t>اسناد یا فیلدهای ناقص</t>
        </is>
      </c>
      <c r="E60" s="70" t="inlineStr">
        <is>
          <t>جدول هیئت مدیره قابل استفاده در گزارش FY1404 مکان‌یابی یا استخراج نشد؛ تاریخ عضویت شروع تصدی در گزارش نیست</t>
        </is>
      </c>
      <c r="F60" s="70" t="inlineStr">
        <is>
          <t>باز</t>
        </is>
      </c>
      <c r="G60" s="70" t="n"/>
    </row>
    <row r="61" ht="20" customHeight="1" s="76">
      <c r="A61" s="71" t="inlineStr">
        <is>
          <t>AU058</t>
        </is>
      </c>
      <c r="B61" s="71" t="inlineStr">
        <is>
          <t>سند ناقص</t>
        </is>
      </c>
      <c r="C61" s="71" t="inlineStr">
        <is>
          <t>وغدیر</t>
        </is>
      </c>
      <c r="D61" s="71" t="inlineStr">
        <is>
          <t>اسناد یا فیلدهای ناقص</t>
        </is>
      </c>
      <c r="E61" s="71" t="inlineStr">
        <is>
          <t>ستون همزمانی در جدول وجود ندارد</t>
        </is>
      </c>
      <c r="F61" s="71" t="inlineStr">
        <is>
          <t>باز</t>
        </is>
      </c>
      <c r="G61" s="71" t="n"/>
    </row>
    <row r="62" ht="29" customHeight="1" s="76">
      <c r="A62" s="70" t="inlineStr">
        <is>
          <t>AU059</t>
        </is>
      </c>
      <c r="B62" s="70" t="inlineStr">
        <is>
          <t>سند ناقص</t>
        </is>
      </c>
      <c r="C62" s="70" t="inlineStr">
        <is>
          <t>نوری</t>
        </is>
      </c>
      <c r="D62" s="70" t="inlineStr">
        <is>
          <t>اسناد یا فیلدهای ناقص</t>
        </is>
      </c>
      <c r="E62" s="70" t="inlineStr">
        <is>
          <t>جدول هیئت مدیره قابل استفاده در گزارش FY1404 مکان‌یابی یا استخراج نشد؛ تاریخ عضویت شروع تصدی در گزارش نیست</t>
        </is>
      </c>
      <c r="F62" s="70" t="inlineStr">
        <is>
          <t>باز</t>
        </is>
      </c>
      <c r="G62" s="70" t="n"/>
    </row>
    <row r="63" ht="20" customHeight="1" s="76">
      <c r="A63" s="71" t="inlineStr">
        <is>
          <t>AU060</t>
        </is>
      </c>
      <c r="B63" s="71" t="inlineStr">
        <is>
          <t>سند ناقص</t>
        </is>
      </c>
      <c r="C63" s="71" t="inlineStr">
        <is>
          <t>کچاد</t>
        </is>
      </c>
      <c r="D63" s="71" t="inlineStr">
        <is>
          <t>اسناد یا فیلدهای ناقص</t>
        </is>
      </c>
      <c r="E63" s="71" t="inlineStr">
        <is>
          <t>تاریخ عضویت شروع تصدی در گزارش نیست</t>
        </is>
      </c>
      <c r="F63" s="71" t="inlineStr">
        <is>
          <t>باز</t>
        </is>
      </c>
      <c r="G63" s="71" t="n"/>
    </row>
    <row r="64" ht="20" customHeight="1" s="76">
      <c r="A64" s="70" t="inlineStr">
        <is>
          <t>AU061</t>
        </is>
      </c>
      <c r="B64" s="70" t="inlineStr">
        <is>
          <t>سند ناقص</t>
        </is>
      </c>
      <c r="C64" s="70" t="inlineStr">
        <is>
          <t>کگل</t>
        </is>
      </c>
      <c r="D64" s="70" t="inlineStr">
        <is>
          <t>اسناد یا فیلدهای ناقص</t>
        </is>
      </c>
      <c r="E64" s="70" t="inlineStr">
        <is>
          <t>ستون همزمانی در جدول وجود ندارد؛ تاریخ عضویت شروع تصدی در گزارش نیست</t>
        </is>
      </c>
      <c r="F64" s="70" t="inlineStr">
        <is>
          <t>باز</t>
        </is>
      </c>
      <c r="G64" s="70" t="n"/>
    </row>
    <row r="65" ht="29" customHeight="1" s="76">
      <c r="A65" s="71" t="inlineStr">
        <is>
          <t>AU062</t>
        </is>
      </c>
      <c r="B65" s="71" t="inlineStr">
        <is>
          <t>سند ناقص</t>
        </is>
      </c>
      <c r="C65" s="71" t="inlineStr">
        <is>
          <t>اخابر</t>
        </is>
      </c>
      <c r="D65" s="71" t="inlineStr">
        <is>
          <t>اسناد یا فیلدهای ناقص</t>
        </is>
      </c>
      <c r="E65" s="71" t="inlineStr">
        <is>
          <t>جدول هیئت مدیره قابل استفاده در گزارش FY1404 مکان‌یابی یا استخراج نشد؛ تاریخ عضویت شروع تصدی در گزارش نیست</t>
        </is>
      </c>
      <c r="F65" s="71" t="inlineStr">
        <is>
          <t>باز</t>
        </is>
      </c>
      <c r="G65" s="71" t="n"/>
    </row>
    <row r="66" ht="29" customHeight="1" s="76">
      <c r="A66" s="70" t="inlineStr">
        <is>
          <t>AU063</t>
        </is>
      </c>
      <c r="B66" s="70" t="inlineStr">
        <is>
          <t>سند ناقص</t>
        </is>
      </c>
      <c r="C66" s="70" t="inlineStr">
        <is>
          <t>جم</t>
        </is>
      </c>
      <c r="D66" s="70" t="inlineStr">
        <is>
          <t>اسناد یا فیلدهای ناقص</t>
        </is>
      </c>
      <c r="E66" s="70" t="inlineStr">
        <is>
          <t>جدول هیئت مدیره قابل استفاده در گزارش FY1404 مکان‌یابی یا استخراج نشد؛ تاریخ عضویت شروع تصدی در گزارش نیست</t>
        </is>
      </c>
      <c r="F66" s="70" t="inlineStr">
        <is>
          <t>باز</t>
        </is>
      </c>
      <c r="G66" s="70" t="n"/>
    </row>
    <row r="67" ht="29" customHeight="1" s="76">
      <c r="A67" s="71" t="inlineStr">
        <is>
          <t>AU064</t>
        </is>
      </c>
      <c r="B67" s="71" t="inlineStr">
        <is>
          <t>سند ناقص</t>
        </is>
      </c>
      <c r="C67" s="71" t="inlineStr">
        <is>
          <t>وامید</t>
        </is>
      </c>
      <c r="D67" s="71" t="inlineStr">
        <is>
          <t>اسناد یا فیلدهای ناقص</t>
        </is>
      </c>
      <c r="E67" s="71" t="inlineStr">
        <is>
          <t>جدول هیئت مدیره قابل استفاده در گزارش FY1404 مکان‌یابی یا استخراج نشد؛ تاریخ عضویت شروع تصدی در گزارش نیست</t>
        </is>
      </c>
      <c r="F67" s="71" t="inlineStr">
        <is>
          <t>باز</t>
        </is>
      </c>
      <c r="G67" s="71" t="n"/>
    </row>
    <row r="68" ht="29" customHeight="1" s="76">
      <c r="A68" s="70" t="inlineStr">
        <is>
          <t>AU065</t>
        </is>
      </c>
      <c r="B68" s="70" t="inlineStr">
        <is>
          <t>سند ناقص</t>
        </is>
      </c>
      <c r="C68" s="70" t="inlineStr">
        <is>
          <t>خساپا</t>
        </is>
      </c>
      <c r="D68" s="70" t="inlineStr">
        <is>
          <t>اسناد یا فیلدهای ناقص</t>
        </is>
      </c>
      <c r="E68" s="70" t="inlineStr">
        <is>
          <t>جدول هیئت مدیره قابل استفاده در گزارش FY1404 مکان‌یابی یا استخراج نشد؛ تاریخ عضویت شروع تصدی در گزارش نیست</t>
        </is>
      </c>
      <c r="F68" s="70" t="inlineStr">
        <is>
          <t>باز</t>
        </is>
      </c>
      <c r="G68" s="70" t="n"/>
    </row>
    <row r="69" ht="29" customHeight="1" s="76">
      <c r="A69" s="71" t="inlineStr">
        <is>
          <t>AU066</t>
        </is>
      </c>
      <c r="B69" s="71" t="inlineStr">
        <is>
          <t>سند ناقص</t>
        </is>
      </c>
      <c r="C69" s="71" t="inlineStr">
        <is>
          <t>وبملت</t>
        </is>
      </c>
      <c r="D69" s="71" t="inlineStr">
        <is>
          <t>اسناد یا فیلدهای ناقص</t>
        </is>
      </c>
      <c r="E69" s="71" t="inlineStr">
        <is>
          <t>جدول هیئت مدیره قابل استفاده در گزارش FY1404 مکان‌یابی یا استخراج نشد؛ تاریخ عضویت شروع تصدی در گزارش نیست</t>
        </is>
      </c>
      <c r="F69" s="71" t="inlineStr">
        <is>
          <t>باز</t>
        </is>
      </c>
      <c r="G69" s="71" t="n"/>
    </row>
    <row r="70" ht="20" customHeight="1" s="76">
      <c r="A70" s="70" t="inlineStr">
        <is>
          <t>AU067</t>
        </is>
      </c>
      <c r="B70" s="70" t="inlineStr">
        <is>
          <t>سند ناقص</t>
        </is>
      </c>
      <c r="C70" s="70" t="inlineStr">
        <is>
          <t>وبصادر</t>
        </is>
      </c>
      <c r="D70" s="70" t="inlineStr">
        <is>
          <t>اسناد یا فیلدهای ناقص</t>
        </is>
      </c>
      <c r="E70" s="70" t="inlineStr">
        <is>
          <t>ستون همزمانی در جدول وجود ندارد</t>
        </is>
      </c>
      <c r="F70" s="70" t="inlineStr">
        <is>
          <t>باز</t>
        </is>
      </c>
      <c r="G70" s="70" t="n"/>
    </row>
    <row r="71" ht="29" customHeight="1" s="76">
      <c r="A71" s="71" t="inlineStr">
        <is>
          <t>AU068</t>
        </is>
      </c>
      <c r="B71" s="71" t="inlineStr">
        <is>
          <t>سند ناقص</t>
        </is>
      </c>
      <c r="C71" s="71" t="inlineStr">
        <is>
          <t>وپاسار</t>
        </is>
      </c>
      <c r="D71" s="71" t="inlineStr">
        <is>
          <t>اسناد یا فیلدهای ناقص</t>
        </is>
      </c>
      <c r="E71" s="71" t="inlineStr">
        <is>
          <t>جدول هیئت مدیره قابل استفاده در گزارش FY1404 مکان‌یابی یا استخراج نشد؛ تاریخ عضویت شروع تصدی در گزارش نیست؛ فهرست ن۴۵ در as-of ناموجود</t>
        </is>
      </c>
      <c r="F71" s="71" t="inlineStr">
        <is>
          <t>باز</t>
        </is>
      </c>
      <c r="G71" s="71" t="n"/>
    </row>
    <row r="72" ht="29" customHeight="1" s="76">
      <c r="A72" s="70" t="inlineStr">
        <is>
          <t>AU069</t>
        </is>
      </c>
      <c r="B72" s="70" t="inlineStr">
        <is>
          <t>سند ناقص</t>
        </is>
      </c>
      <c r="C72" s="70" t="inlineStr">
        <is>
          <t>حکشتی</t>
        </is>
      </c>
      <c r="D72" s="70" t="inlineStr">
        <is>
          <t>اسناد یا فیلدهای ناقص</t>
        </is>
      </c>
      <c r="E72" s="70" t="inlineStr">
        <is>
          <t>جدول هیئت مدیره قابل استفاده در گزارش FY1404 مکان‌یابی یا استخراج نشد؛ تاریخ عضویت شروع تصدی در گزارش نیست</t>
        </is>
      </c>
      <c r="F72" s="70" t="inlineStr">
        <is>
          <t>باز</t>
        </is>
      </c>
      <c r="G72" s="70" t="n"/>
    </row>
    <row r="73" ht="20" customHeight="1" s="76">
      <c r="A73" s="71" t="inlineStr">
        <is>
          <t>AU070</t>
        </is>
      </c>
      <c r="B73" s="71" t="inlineStr">
        <is>
          <t>سند ناقص</t>
        </is>
      </c>
      <c r="C73" s="71" t="inlineStr">
        <is>
          <t>شپدیس</t>
        </is>
      </c>
      <c r="D73" s="71" t="inlineStr">
        <is>
          <t>اسناد یا فیلدهای ناقص</t>
        </is>
      </c>
      <c r="E73" s="71" t="inlineStr">
        <is>
          <t>ستون همزمانی در جدول وجود ندارد</t>
        </is>
      </c>
      <c r="F73" s="71" t="inlineStr">
        <is>
          <t>باز</t>
        </is>
      </c>
      <c r="G73" s="71" t="n"/>
    </row>
    <row r="74" ht="58" customHeight="1" s="76">
      <c r="A74" s="70" t="inlineStr">
        <is>
          <t>AU071</t>
        </is>
      </c>
      <c r="B74" s="70" t="inlineStr">
        <is>
          <t>جستجوی بی‌نتیجه</t>
        </is>
      </c>
      <c r="C74" s="70" t="inlineStr">
        <is>
          <t>همه</t>
        </is>
      </c>
      <c r="D74" s="70" t="inlineStr">
        <is>
          <t>دامنه جستجوی جدول</t>
        </is>
      </c>
      <c r="E74" s="70" t="inlineStr">
        <is>
          <t>جستجوی متنی صفحات FY1404 برای عنوان جدول، ستون‌ها و نام اعضا؛ گزارش‌های دارای لایه متن مخدوش (شبندر، رمپنا، شستا، شپنا، حکشتی، نوری، همراه و ...) با جستجو و تصویر کوچک مکان‌یابی نشد؛ علت توقف: هزینه خواندن تصویر همه صفحات؛ خطای دسترسی به معنی منتشر نشدن نیست</t>
        </is>
      </c>
      <c r="F74" s="70" t="inlineStr">
        <is>
          <t>ثبت</t>
        </is>
      </c>
      <c r="G74" s="70" t="inlineStr">
        <is>
          <t>work/v41/findpg.py</t>
        </is>
      </c>
    </row>
    <row r="75" ht="20" customHeight="1" s="76">
      <c r="A75" s="71" t="inlineStr">
        <is>
          <t>AU072</t>
        </is>
      </c>
      <c r="B75" s="71" t="inlineStr">
        <is>
          <t>بازبینی دوم</t>
        </is>
      </c>
      <c r="C75" s="71" t="inlineStr">
        <is>
          <t>همه</t>
        </is>
      </c>
      <c r="D75" s="71" t="inlineStr">
        <is>
          <t>وضعیت بازبینی</t>
        </is>
      </c>
      <c r="E75" s="71" t="inlineStr">
        <is>
          <t>بازبینی هوش مصنوعی است و بازبینی انسانی مستقل نیست؛ جزئیات در QA v41</t>
        </is>
      </c>
      <c r="F75" s="71" t="inlineStr">
        <is>
          <t>ثبت</t>
        </is>
      </c>
      <c r="G75" s="71" t="n"/>
    </row>
    <row r="76" ht="29" customHeight="1" s="76">
      <c r="A76" s="70" t="inlineStr">
        <is>
          <t>AU073</t>
        </is>
      </c>
      <c r="B76" s="70" t="inlineStr">
        <is>
          <t>اعداد قبلی</t>
        </is>
      </c>
      <c r="C76" s="70" t="inlineStr">
        <is>
          <t>همه</t>
        </is>
      </c>
      <c r="D76" s="70" t="inlineStr">
        <is>
          <t>اعداد برآورد امکان‌سنجی</t>
        </is>
      </c>
      <c r="E76" s="70" t="inlineStr">
        <is>
          <t>هفت عدد پوشش قبلی N23،N25،N26،N27،N28،N29 و N14 فقط برآورد امکان‌سنجی بودند؛ تایید یا جایگزینی با داده واقعی در BR Coverage v41</t>
        </is>
      </c>
      <c r="F76" s="70" t="inlineStr">
        <is>
          <t>ثبت</t>
        </is>
      </c>
      <c r="G76" s="70" t="inlineStr">
        <is>
          <t>Feasibility Test</t>
        </is>
      </c>
    </row>
  </sheetData>
  <mergeCells count="2">
    <mergeCell ref="A2:G2"/>
    <mergeCell ref="A1:G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18"/>
  <sheetViews>
    <sheetView showGridLines="0" rightToLeft="1"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76" min="1" max="1"/>
    <col width="28" customWidth="1" style="76" min="2" max="2"/>
    <col width="22" customWidth="1" style="76" min="3" max="3"/>
    <col width="40" customWidth="1" style="76" min="4" max="4"/>
    <col width="12" customWidth="1" style="76" min="5" max="5"/>
    <col width="30" customWidth="1" style="76" min="6" max="6"/>
    <col width="50" customWidth="1" style="76" min="7" max="7"/>
    <col width="30" customWidth="1" style="76" min="8" max="8"/>
    <col width="26" customWidth="1" style="76" min="9" max="9"/>
    <col width="16" customWidth="1" style="76" min="10" max="10"/>
  </cols>
  <sheetData>
    <row r="1" ht="30" customHeight="1" s="76">
      <c r="A1" s="88" t="inlineStr">
        <is>
          <t>فرهنگ داده v41</t>
        </is>
      </c>
    </row>
    <row r="2" ht="22" customHeight="1" s="76">
      <c r="A2" s="85" t="inlineStr">
        <is>
          <t>کدهای قبلی بدون تغییر تعریف؛ مفاهیم جدید با کد مکمل و بدون هم‌پوشانی کد مرحله کمیته حسابرسی. هیچ جهت نظری فرض نشده و پوشش به‌تنهایی دلیل ارتقا نیست.</t>
        </is>
      </c>
    </row>
    <row r="3" ht="30" customHeight="1" s="76">
      <c r="A3" s="69" t="inlineStr">
        <is>
          <t>کد</t>
        </is>
      </c>
      <c r="B3" s="69" t="inlineStr">
        <is>
          <t>نام</t>
        </is>
      </c>
      <c r="C3" s="69" t="inlineStr">
        <is>
          <t>وضعیت کد</t>
        </is>
      </c>
      <c r="D3" s="69" t="inlineStr">
        <is>
          <t>تعریف</t>
        </is>
      </c>
      <c r="E3" s="69" t="inlineStr">
        <is>
          <t>واحد</t>
        </is>
      </c>
      <c r="F3" s="69" t="inlineStr">
        <is>
          <t>منبع داده خام</t>
        </is>
      </c>
      <c r="G3" s="69" t="inlineStr">
        <is>
          <t>محدودیت و تفاوت با معیار اصلی</t>
        </is>
      </c>
      <c r="H3" s="69" t="inlineStr">
        <is>
          <t>خانواده BSI</t>
        </is>
      </c>
      <c r="I3" s="69" t="inlineStr">
        <is>
          <t>توصیفی یا نامزد اعتبارسنجی</t>
        </is>
      </c>
      <c r="J3" s="69" t="inlineStr">
        <is>
          <t>جهت</t>
        </is>
      </c>
    </row>
    <row r="4" ht="43.5" customHeight="1" s="76">
      <c r="A4" s="70" t="inlineStr">
        <is>
          <t>N23</t>
        </is>
      </c>
      <c r="B4" s="70" t="inlineStr">
        <is>
          <t>سهم اعضای مستقل صریح</t>
        </is>
      </c>
      <c r="C4" s="70" t="inlineStr">
        <is>
          <t>کد قبلی؛ تعریف حفظ شد</t>
        </is>
      </c>
      <c r="D4" s="70" t="inlineStr">
        <is>
          <t>تعداد اعضای با برچسب صریح مستقل هیئت مدیره تقسیم بر N</t>
        </is>
      </c>
      <c r="E4" s="70" t="inlineStr">
        <is>
          <t>نسبت</t>
        </is>
      </c>
      <c r="F4" s="70" t="inlineStr">
        <is>
          <t>برچسب صریح همان عضو در متن منبع؛ دامنه هیئت مدیره</t>
        </is>
      </c>
      <c r="G4" s="70" t="inlineStr">
        <is>
          <t>برای هیچ عضو هیئت مدیره در ۳۰ شرکت برچسب صریح یافت نشد؛ مقدار ثابت صفر یا نامشخص</t>
        </is>
      </c>
      <c r="H4" s="70" t="inlineStr">
        <is>
          <t>خانواده نظارت و استقلال؛ تفاوت با S1A: برچسب صریح در برابر پروکسی ساختاری</t>
        </is>
      </c>
      <c r="I4" s="70" t="inlineStr">
        <is>
          <t>توصیفی؛ نامزد اعتبارسنجی نیست چون بدون تغییرپذیری</t>
        </is>
      </c>
      <c r="J4" s="70" t="inlineStr">
        <is>
          <t>هیچ جهت نظری فرض نشده</t>
        </is>
      </c>
    </row>
    <row r="5" ht="29" customHeight="1" s="76">
      <c r="A5" s="71" t="inlineStr">
        <is>
          <t>N23D</t>
        </is>
      </c>
      <c r="B5" s="71" t="inlineStr">
        <is>
          <t>سهم غیرمستقل مستند (تعریف عملیاتی OD1)</t>
        </is>
      </c>
      <c r="C5" s="71" t="inlineStr">
        <is>
          <t>مکمل جدید؛ بدون هم‌پوشانی کد</t>
        </is>
      </c>
      <c r="D5" s="71" t="inlineStr">
        <is>
          <t>اعضای موظف یا مدیرعامل عضو هیئت مدیره تقسیم بر N</t>
        </is>
      </c>
      <c r="E5" s="71" t="inlineStr">
        <is>
          <t>نسبت</t>
        </is>
      </c>
      <c r="F5" s="71" t="inlineStr">
        <is>
          <t>نوع موظف در ن۴۵ و گزارش</t>
        </is>
      </c>
      <c r="G5" s="71" t="inlineStr">
        <is>
          <t>هم‌پوشانی زیاد با S1A (متمم آن)؛ نامشخص جدا</t>
        </is>
      </c>
      <c r="H5" s="71" t="inlineStr">
        <is>
          <t>نظارت؛ نزدیک به S1A</t>
        </is>
      </c>
      <c r="I5" s="71" t="inlineStr">
        <is>
          <t>توصیفی؛ نامزد اعتبارسنجی فقط با اجازه مرحله بعد</t>
        </is>
      </c>
      <c r="J5" s="71" t="inlineStr">
        <is>
          <t>بدون جهت</t>
        </is>
      </c>
    </row>
    <row r="6" ht="29" customHeight="1" s="76">
      <c r="A6" s="70" t="inlineStr">
        <is>
          <t>N23C</t>
        </is>
      </c>
      <c r="B6" s="70" t="inlineStr">
        <is>
          <t>استقلال مستند رئیس هیئت مدیره</t>
        </is>
      </c>
      <c r="C6" s="70" t="inlineStr">
        <is>
          <t>مکمل جدید</t>
        </is>
      </c>
      <c r="D6" s="70" t="inlineStr">
        <is>
          <t>وضعیت رئیس: غیرمستقل مستند، نامشخص، متعارض</t>
        </is>
      </c>
      <c r="E6" s="70" t="inlineStr">
        <is>
          <t>کلاس</t>
        </is>
      </c>
      <c r="F6" s="70" t="inlineStr">
        <is>
          <t>نوع موظف رئیس</t>
        </is>
      </c>
      <c r="G6" s="70" t="inlineStr">
        <is>
          <t>وابسته به OD1</t>
        </is>
      </c>
      <c r="H6" s="70" t="inlineStr">
        <is>
          <t>رهبری؛ مفهومی جدا از SEP07 و از همزمانی رئیس</t>
        </is>
      </c>
      <c r="I6" s="70" t="inlineStr">
        <is>
          <t>توصیفی</t>
        </is>
      </c>
      <c r="J6" s="70" t="inlineStr">
        <is>
          <t>بدون جهت</t>
        </is>
      </c>
    </row>
    <row r="7" ht="29" customHeight="1" s="76">
      <c r="A7" s="71" t="inlineStr">
        <is>
          <t>N25</t>
        </is>
      </c>
      <c r="B7" s="71" t="inlineStr">
        <is>
          <t>عضویت همزمان</t>
        </is>
      </c>
      <c r="C7" s="71" t="inlineStr">
        <is>
          <t>کد قبلی؛ تعریف حفظ شد</t>
        </is>
      </c>
      <c r="D7" s="71" t="inlineStr">
        <is>
          <t>میانگین تعداد عضویت‌های دیگر</t>
        </is>
      </c>
      <c r="E7" s="71" t="inlineStr">
        <is>
          <t>تعداد</t>
        </is>
      </c>
      <c r="F7" s="71" t="inlineStr">
        <is>
          <t>فقط ستون اختصاصی گزارش (اعلام ناشر) و تطبیق کد ملی در نمونه</t>
        </is>
      </c>
      <c r="G7" s="71" t="inlineStr">
        <is>
          <t>پوشش جزئی؛ خط تیره یعنی اعلام نبودن؛ تعداد شناسایی‌شده حد پایین است</t>
        </is>
      </c>
      <c r="H7" s="71" t="inlineStr">
        <is>
          <t>شبکه؛ مستقل</t>
        </is>
      </c>
      <c r="I7" s="71" t="inlineStr">
        <is>
          <t>توصیفی؛ احتمال غیرخطی</t>
        </is>
      </c>
      <c r="J7" s="71" t="inlineStr">
        <is>
          <t>بدون جهت</t>
        </is>
      </c>
    </row>
    <row r="8" ht="29" customHeight="1" s="76">
      <c r="A8" s="70" t="inlineStr">
        <is>
          <t>N25L</t>
        </is>
      </c>
      <c r="B8" s="70" t="inlineStr">
        <is>
          <t>تعداد همزمانی شناسایی‌شده</t>
        </is>
      </c>
      <c r="C8" s="70" t="inlineStr">
        <is>
          <t>مکمل جدید</t>
        </is>
      </c>
      <c r="D8" s="70" t="inlineStr">
        <is>
          <t>تعداد سازمان‌های متمایز شناسایی‌شده برای هر شخص</t>
        </is>
      </c>
      <c r="E8" s="70" t="inlineStr">
        <is>
          <t>تعداد حد پایین</t>
        </is>
      </c>
      <c r="F8" s="70" t="inlineStr">
        <is>
          <t>اعلام + تطبیق کد ملی؛ ستون ترکیبی فقط سرنخ</t>
        </is>
      </c>
      <c r="G8" s="70" t="inlineStr">
        <is>
          <t>حد پایین؛ صفر قطعی فقط با اعلام صریح</t>
        </is>
      </c>
      <c r="H8" s="70" t="inlineStr">
        <is>
          <t>شبکه</t>
        </is>
      </c>
      <c r="I8" s="70" t="inlineStr">
        <is>
          <t>توصیفی</t>
        </is>
      </c>
      <c r="J8" s="70" t="inlineStr">
        <is>
          <t>بدون جهت</t>
        </is>
      </c>
    </row>
    <row r="9" ht="29" customHeight="1" s="76">
      <c r="A9" s="71" t="inlineStr">
        <is>
          <t>N26</t>
        </is>
      </c>
      <c r="B9" s="71" t="inlineStr">
        <is>
          <t>تصدی اعضا (عنوان قبلی ترکیب سن و تصدی)</t>
        </is>
      </c>
      <c r="C9" s="71" t="inlineStr">
        <is>
          <t>کد قبلی؛ ابهام عنوان ثبت شد</t>
        </is>
      </c>
      <c r="D9" s="71" t="inlineStr">
        <is>
          <t>میانگین مدت عضویت پیوسته؛ سن ساخته نشد</t>
        </is>
      </c>
      <c r="E9" s="71" t="inlineStr">
        <is>
          <t>سال (روز/365.25)</t>
        </is>
      </c>
      <c r="F9" s="71" t="inlineStr">
        <is>
          <t>Type19 + تاریخ عضویت گزارش</t>
        </is>
      </c>
      <c r="G9" s="71" t="inlineStr">
        <is>
          <t>ابهام: عنوان اصلی سن و تصدی را ترکیب می‌کرد؛ این‌جا فقط تصدی؛ سن هیچ‌جا استنباط نشد</t>
        </is>
      </c>
      <c r="H9" s="71" t="inlineStr">
        <is>
          <t>تجربه؛ هم‌پوشانی جزئی با گردش</t>
        </is>
      </c>
      <c r="I9" s="71" t="inlineStr">
        <is>
          <t>توصیفی؛ غیرخطی ممکن</t>
        </is>
      </c>
      <c r="J9" s="71" t="inlineStr">
        <is>
          <t>بدون جهت</t>
        </is>
      </c>
    </row>
    <row r="10" ht="20" customHeight="1" s="76">
      <c r="A10" s="70" t="inlineStr">
        <is>
          <t>N27</t>
        </is>
      </c>
      <c r="B10" s="70" t="inlineStr">
        <is>
          <t>تنوع تصدی</t>
        </is>
      </c>
      <c r="C10" s="70" t="inlineStr">
        <is>
          <t>کد قبلی</t>
        </is>
      </c>
      <c r="D10" s="70" t="inlineStr">
        <is>
          <t>SD تصدی اعضا (فقط EXACT)</t>
        </is>
      </c>
      <c r="E10" s="70" t="inlineStr">
        <is>
          <t>سال</t>
        </is>
      </c>
      <c r="F10" s="70" t="inlineStr">
        <is>
          <t>همان</t>
        </is>
      </c>
      <c r="G10" s="70" t="inlineStr">
        <is>
          <t>فقط وقتی دست‌کم دو EXACT</t>
        </is>
      </c>
      <c r="H10" s="70" t="inlineStr">
        <is>
          <t>تجربه</t>
        </is>
      </c>
      <c r="I10" s="70" t="inlineStr">
        <is>
          <t>توصیفی</t>
        </is>
      </c>
      <c r="J10" s="70" t="inlineStr">
        <is>
          <t>بدون جهت</t>
        </is>
      </c>
    </row>
    <row r="11" ht="29" customHeight="1" s="76">
      <c r="A11" s="71" t="inlineStr">
        <is>
          <t>N28</t>
        </is>
      </c>
      <c r="B11" s="71" t="inlineStr">
        <is>
          <t>تصدی رئیس هیئت مدیره</t>
        </is>
      </c>
      <c r="C11" s="71" t="inlineStr">
        <is>
          <t>کد قبلی</t>
        </is>
      </c>
      <c r="D11" s="71" t="inlineStr">
        <is>
          <t>مدت رئیس بودن شخص فعلی در همان سمت</t>
        </is>
      </c>
      <c r="E11" s="71" t="inlineStr">
        <is>
          <t>سال</t>
        </is>
      </c>
      <c r="F11" s="71" t="inlineStr">
        <is>
          <t>تاریخ جلسه در ن۴۵ که سمت را تعیین کرد</t>
        </is>
      </c>
      <c r="G11" s="71" t="inlineStr">
        <is>
          <t>تصدی با تغییر رئیس v39 یکی نیست؛ تعریف و ورودی v39 تغییر نکرد</t>
        </is>
      </c>
      <c r="H11" s="71" t="inlineStr">
        <is>
          <t>رهبری؛ هم‌پوشانی جزئی با CR1A</t>
        </is>
      </c>
      <c r="I11" s="71" t="inlineStr">
        <is>
          <t>توصیفی؛ نامزد اعتبارسنجی هدفمند</t>
        </is>
      </c>
      <c r="J11" s="71" t="inlineStr">
        <is>
          <t>بدون جهت</t>
        </is>
      </c>
    </row>
    <row r="12" ht="29" customHeight="1" s="76">
      <c r="A12" s="70" t="inlineStr">
        <is>
          <t>N29</t>
        </is>
      </c>
      <c r="B12" s="70" t="inlineStr">
        <is>
          <t>تصدی مدیرعامل</t>
        </is>
      </c>
      <c r="C12" s="70" t="inlineStr">
        <is>
          <t>کد قبلی</t>
        </is>
      </c>
      <c r="D12" s="70" t="inlineStr">
        <is>
          <t>مدت مدیرعامل فعلی</t>
        </is>
      </c>
      <c r="E12" s="70" t="inlineStr">
        <is>
          <t>سال</t>
        </is>
      </c>
      <c r="F12" s="70" t="inlineStr">
        <is>
          <t>بخش مدیرعامل در ن۴۵</t>
        </is>
      </c>
      <c r="G12" s="70" t="inlineStr">
        <is>
          <t>CEO خارج از هیئت مدیره از مخرج هیئت مدیره حذف؛ سرپرست جدا علامت خورد</t>
        </is>
      </c>
      <c r="H12" s="70" t="inlineStr">
        <is>
          <t>رهبری</t>
        </is>
      </c>
      <c r="I12" s="70" t="inlineStr">
        <is>
          <t>توصیفی</t>
        </is>
      </c>
      <c r="J12" s="70" t="inlineStr">
        <is>
          <t>بدون جهت</t>
        </is>
      </c>
    </row>
    <row r="13" ht="20" customHeight="1" s="76">
      <c r="A13" s="71" t="inlineStr">
        <is>
          <t>S1A</t>
        </is>
      </c>
      <c r="B13" s="71" t="inlineStr">
        <is>
          <t>پروکسی استقلال ساختاری</t>
        </is>
      </c>
      <c r="C13" s="71" t="inlineStr">
        <is>
          <t>کد قبلی؛ بدون تغییر</t>
        </is>
      </c>
      <c r="D13" s="71" t="inlineStr">
        <is>
          <t>غیرموظف/اعضا</t>
        </is>
      </c>
      <c r="E13" s="71" t="inlineStr">
        <is>
          <t>نسبت</t>
        </is>
      </c>
      <c r="F13" s="71" t="inlineStr">
        <is>
          <t>موظف در ن۴۵</t>
        </is>
      </c>
      <c r="G13" s="71" t="inlineStr">
        <is>
          <t>استقلال صریح نیست؛ خروجی v39 تغییر نکرد</t>
        </is>
      </c>
      <c r="H13" s="71" t="inlineStr">
        <is>
          <t>ساختاری</t>
        </is>
      </c>
      <c r="I13" s="71" t="inlineStr">
        <is>
          <t>موجود</t>
        </is>
      </c>
      <c r="J13" s="71" t="inlineStr">
        <is>
          <t>بدون تغییر</t>
        </is>
      </c>
    </row>
    <row r="14" ht="20" customHeight="1" s="76">
      <c r="A14" s="70" t="inlineStr">
        <is>
          <t>SEP07</t>
        </is>
      </c>
      <c r="B14" s="70" t="inlineStr">
        <is>
          <t>تفکیک مدیرعامل و رئیس</t>
        </is>
      </c>
      <c r="C14" s="70" t="inlineStr">
        <is>
          <t>کد قبلی؛ بدون تغییر</t>
        </is>
      </c>
      <c r="D14" s="70" t="n"/>
      <c r="E14" s="70" t="n"/>
      <c r="F14" s="70" t="n"/>
      <c r="G14" s="70" t="inlineStr">
        <is>
          <t>مفهوم جدا از استقلال رئیس و همزمانی رئیس</t>
        </is>
      </c>
      <c r="H14" s="70" t="inlineStr">
        <is>
          <t>رهبری</t>
        </is>
      </c>
      <c r="I14" s="70" t="inlineStr">
        <is>
          <t>موجود</t>
        </is>
      </c>
      <c r="J14" s="70" t="inlineStr">
        <is>
          <t>بدون تغییر</t>
        </is>
      </c>
    </row>
    <row r="15" ht="29" customHeight="1" s="76">
      <c r="A15" s="71" t="inlineStr">
        <is>
          <t>N14</t>
        </is>
      </c>
      <c r="B15" s="71" t="inlineStr">
        <is>
          <t>استقلال کمیته حسابرسی</t>
        </is>
      </c>
      <c r="C15" s="71" t="inlineStr">
        <is>
          <t>کد قبلی (v40)؛ تعمیم نشد</t>
        </is>
      </c>
      <c r="D15" s="71" t="n"/>
      <c r="E15" s="71" t="n"/>
      <c r="F15" s="71" t="n"/>
      <c r="G15" s="71" t="inlineStr">
        <is>
          <t>برچسب مستقل کمیته به هیئت مدیره تعمیم داده نشد</t>
        </is>
      </c>
      <c r="H15" s="71" t="n"/>
      <c r="I15" s="71" t="n"/>
      <c r="J15" s="71" t="n"/>
    </row>
    <row r="16" ht="43.5" customHeight="1" s="76">
      <c r="A16" s="70" t="inlineStr">
        <is>
          <t>OD1</t>
        </is>
      </c>
      <c r="B16" s="70" t="inlineStr">
        <is>
          <t>تعریف عملیاتی لایه ۲ استقلال</t>
        </is>
      </c>
      <c r="C16" s="70" t="inlineStr">
        <is>
          <t>قاعده ثابت</t>
        </is>
      </c>
      <c r="D16" s="70" t="inlineStr">
        <is>
          <t>موظف یا مدیرعامل هیئت مدیره: غیرمستقل مستند؛ غیر این: نامشخص</t>
        </is>
      </c>
      <c r="E16" s="70" t="inlineStr">
        <is>
          <t>کلاس</t>
        </is>
      </c>
      <c r="F16" s="70" t="n"/>
      <c r="G16" s="70" t="inlineStr">
        <is>
          <t>متن رسمی دستورالعمل فقط از رونوشت غیررسمی دیده شد و ارجاع داده نشد؛ استاندارد بین‌المللی معادل قوانین ایران نیست</t>
        </is>
      </c>
      <c r="H16" s="70" t="n"/>
      <c r="I16" s="70" t="n"/>
      <c r="J16" s="70" t="n"/>
    </row>
    <row r="17" ht="43.5" customHeight="1" s="76">
      <c r="A17" s="71" t="inlineStr">
        <is>
          <t>TEN</t>
        </is>
      </c>
      <c r="B17" s="71" t="inlineStr">
        <is>
          <t>کلاس‌های تصدی</t>
        </is>
      </c>
      <c r="C17" s="71" t="inlineStr">
        <is>
          <t>قاعده</t>
        </is>
      </c>
      <c r="D17" s="71" t="inlineStr">
        <is>
          <t>EXACT، INTERVAL، MIN_CONTINUOUS، CONFLICT_MIN، UNKNOWN</t>
        </is>
      </c>
      <c r="E17" s="71" t="n"/>
      <c r="F17" s="71" t="n"/>
      <c r="G17" s="71" t="inlineStr">
        <is>
          <t>تاریخ گزارش یا اولین مشاهده شروع تصدی نیست؛ انتخاب مجدد با تداوم شروع جدید نیست؛ خروج و بازگشت ادغام نمی‌شود</t>
        </is>
      </c>
      <c r="H17" s="71" t="n"/>
      <c r="I17" s="71" t="n"/>
      <c r="J17" s="71" t="n"/>
    </row>
    <row r="18" ht="43.5" customHeight="1" s="76">
      <c r="A18" s="70" t="inlineStr">
        <is>
          <t>DATES</t>
        </is>
      </c>
      <c r="B18" s="70" t="inlineStr">
        <is>
          <t>انواع تاریخ</t>
        </is>
      </c>
      <c r="C18" s="70" t="inlineStr">
        <is>
          <t>قاعده</t>
        </is>
      </c>
      <c r="D18" s="70" t="inlineStr">
        <is>
          <t>تاریخ مجمع، جلسه هیئت مدیره، تاریخ عضویت گزارش (START)، آخرین تاریخ عضویت (LAST/TERM)، انتشار، اولین مشاهده</t>
        </is>
      </c>
      <c r="E18" s="70" t="n"/>
      <c r="F18" s="70" t="n"/>
      <c r="G18" s="70" t="inlineStr">
        <is>
          <t>هر نوع جدا ثبت؛ دقت روز؛ تبدیل جلالی با الگوریتم مستقل</t>
        </is>
      </c>
      <c r="H18" s="70" t="n"/>
      <c r="I18" s="70" t="n"/>
      <c r="J18" s="70" t="n"/>
    </row>
  </sheetData>
  <mergeCells count="2">
    <mergeCell ref="A1:J1"/>
    <mergeCell ref="A2:J2"/>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0"/>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4" customWidth="1" style="76" min="1" max="2"/>
    <col width="22" customWidth="1" style="76" min="3" max="3"/>
    <col width="30" customWidth="1" style="76" min="4" max="4"/>
    <col width="40" customWidth="1" style="76" min="5" max="5"/>
    <col width="60" customWidth="1" style="76" min="6" max="6"/>
  </cols>
  <sheetData>
    <row r="1" ht="30" customHeight="1" s="76">
      <c r="A1" s="88" t="inlineStr">
        <is>
          <t>پوشش به تفکیک کامل، جزئی و حد پایین</t>
        </is>
      </c>
    </row>
    <row r="2" ht="22" customHeight="1" s="76">
      <c r="A2" s="85" t="inlineStr">
        <is>
          <t>مقایسه با برآوردهای قبلی فقط اگر تعریف، جمعیت و مقطع یکی باشد؛ در غیر این صورت «coverage under new basis». هیچ عددی برای رسیدن به ۱۰۰٪ حدس زده نشده.</t>
        </is>
      </c>
    </row>
    <row r="3" ht="30" customHeight="1" s="76">
      <c r="A3" s="69" t="inlineStr">
        <is>
          <t>معیار</t>
        </is>
      </c>
      <c r="B3" s="69" t="inlineStr">
        <is>
          <t>برآورد قبلی</t>
        </is>
      </c>
      <c r="C3" s="69" t="inlineStr">
        <is>
          <t>وضعیت مقایسه</t>
        </is>
      </c>
      <c r="D3" s="69" t="inlineStr">
        <is>
          <t>کامل</t>
        </is>
      </c>
      <c r="E3" s="69" t="inlineStr">
        <is>
          <t>جزئی یا حد پایین</t>
        </is>
      </c>
      <c r="F3" s="69" t="inlineStr">
        <is>
          <t>یادداشت</t>
        </is>
      </c>
    </row>
    <row r="4" ht="29" customHeight="1" s="76">
      <c r="A4" s="70" t="inlineStr">
        <is>
          <t>N23 مستقل صریح</t>
        </is>
      </c>
      <c r="B4" s="70" t="inlineStr">
        <is>
          <t>برآورد قبلی 5/30 (Keyword)</t>
        </is>
      </c>
      <c r="C4" s="70" t="inlineStr">
        <is>
          <t>تایید نشد</t>
        </is>
      </c>
      <c r="D4" s="70" t="inlineStr">
        <is>
          <t>0/30</t>
        </is>
      </c>
      <c r="E4" s="70" t="inlineStr">
        <is>
          <t>برچسب صریح پیدا نشد</t>
        </is>
      </c>
      <c r="F4" s="70" t="inlineStr">
        <is>
          <t>coverage under new basis؛ تعریف و مقطع با v40 یکی نیست</t>
        </is>
      </c>
    </row>
    <row r="5" ht="20" customHeight="1" s="76">
      <c r="A5" s="71" t="inlineStr">
        <is>
          <t>N23D غیرمستقل مستند</t>
        </is>
      </c>
      <c r="B5" s="71" t="inlineStr">
        <is>
          <t xml:space="preserve"> </t>
        </is>
      </c>
      <c r="C5" s="71" t="inlineStr">
        <is>
          <t>full</t>
        </is>
      </c>
      <c r="D5" s="71" t="inlineStr">
        <is>
          <t>3/30 (همه اعضا معلوم)</t>
        </is>
      </c>
      <c r="E5" s="71" t="inlineStr">
        <is>
          <t>29 شرکت دارای دست‌کم یک عضو غیرمستقل مستند</t>
        </is>
      </c>
      <c r="F5" s="71" t="inlineStr">
        <is>
          <t>partial: بقیه شرکت‌ها نامشخص دارند؛ وپاسار ارزیابی نشد</t>
        </is>
      </c>
    </row>
    <row r="6" ht="20" customHeight="1" s="76">
      <c r="A6" s="70" t="inlineStr">
        <is>
          <t>N23C استقلال رئیس</t>
        </is>
      </c>
      <c r="B6" s="70" t="n"/>
      <c r="C6" s="70" t="n"/>
      <c r="D6" s="70" t="inlineStr">
        <is>
          <t>3 مستند غیرمستقل</t>
        </is>
      </c>
      <c r="E6" s="70" t="inlineStr">
        <is>
          <t>نامشخص: 26 شرکت؛ متعارض: 0</t>
        </is>
      </c>
      <c r="F6" s="70" t="inlineStr">
        <is>
          <t>رئیس مستقل مستند: صفر</t>
        </is>
      </c>
    </row>
    <row r="7" ht="29" customHeight="1" s="76">
      <c r="A7" s="71" t="inlineStr">
        <is>
          <t>N25 همزمانی</t>
        </is>
      </c>
      <c r="B7" s="71" t="inlineStr">
        <is>
          <t>برآورد قبلی 3/30</t>
        </is>
      </c>
      <c r="C7" s="71" t="inlineStr">
        <is>
          <t>coverage under new basis</t>
        </is>
      </c>
      <c r="D7" s="71" t="inlineStr">
        <is>
          <t>full: 5 شرکت (فملی، شتران، فولاد، ومعادن، همراه)</t>
        </is>
      </c>
      <c r="E7" s="71" t="inlineStr">
        <is>
          <t>partial: 4؛ فقط حد پایین: 4؛ نامشخص: 16</t>
        </is>
      </c>
      <c r="F7" s="71" t="inlineStr">
        <is>
          <t>اشخاص: اعلام یا صفر 34؛ حد پایین 7؛ نامشخص 103 از 144</t>
        </is>
      </c>
    </row>
    <row r="8" ht="29" customHeight="1" s="76">
      <c r="A8" s="70" t="inlineStr">
        <is>
          <t>N26/N27 تصدی اعضا</t>
        </is>
      </c>
      <c r="B8" s="70" t="inlineStr">
        <is>
          <t>برآورد قبلی 1/30</t>
        </is>
      </c>
      <c r="C8" s="70" t="inlineStr">
        <is>
          <t>coverage under new basis</t>
        </is>
      </c>
      <c r="D8" s="70" t="inlineStr">
        <is>
          <t>full EXACT: 7 شرکت</t>
        </is>
      </c>
      <c r="E8" s="70" t="inlineStr">
        <is>
          <t>partial: 21؛ بدون EXACT: 2</t>
        </is>
      </c>
      <c r="F8" s="70" t="inlineStr">
        <is>
          <t>اشخاص: {"EXACT": 101, "INTERVAL": 16, "UNKNOWN": 7, "CONFLICT_MIN": 3, "MIN_CONTINUOUS": 17}</t>
        </is>
      </c>
    </row>
    <row r="9" ht="29" customHeight="1" s="76">
      <c r="A9" s="71" t="inlineStr">
        <is>
          <t>N28 تصدی رئیس</t>
        </is>
      </c>
      <c r="B9" s="71" t="inlineStr">
        <is>
          <t>برآورد قبلی 23/30</t>
        </is>
      </c>
      <c r="C9" s="71" t="inlineStr">
        <is>
          <t>coverage under new basis</t>
        </is>
      </c>
      <c r="D9" s="71" t="inlineStr">
        <is>
          <t>EXACT 23</t>
        </is>
      </c>
      <c r="E9" s="71" t="inlineStr">
        <is>
          <t>MIN 5؛ INTERVAL 1</t>
        </is>
      </c>
      <c r="F9" s="71" t="inlineStr">
        <is>
          <t>وپاسار بدون رئیس مستند</t>
        </is>
      </c>
    </row>
    <row r="10" ht="29" customHeight="1" s="76">
      <c r="A10" s="70" t="inlineStr">
        <is>
          <t>N29 تصدی مدیرعامل</t>
        </is>
      </c>
      <c r="B10" s="70" t="inlineStr">
        <is>
          <t>برآورد قبلی 10/30</t>
        </is>
      </c>
      <c r="C10" s="70" t="inlineStr">
        <is>
          <t>coverage under new basis</t>
        </is>
      </c>
      <c r="D10" s="70" t="inlineStr">
        <is>
          <t>EXACT 17</t>
        </is>
      </c>
      <c r="E10" s="70" t="inlineStr">
        <is>
          <t>MIN 10؛ INTERVAL 1؛ مستند نشده 2</t>
        </is>
      </c>
      <c r="F10" s="70" t="inlineStr">
        <is>
          <t>CEO خارج از هیئت: تاپیکو</t>
        </is>
      </c>
    </row>
  </sheetData>
  <mergeCells count="2">
    <mergeCell ref="A2:F2"/>
    <mergeCell ref="A1:F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7"/>
  <sheetViews>
    <sheetView showGridLines="0" rightToLeft="1" workbookViewId="0">
      <selection activeCell="A1" sqref="A1"/>
    </sheetView>
  </sheetViews>
  <sheetFormatPr baseColWidth="10" defaultColWidth="8.83203125" defaultRowHeight="15"/>
  <cols>
    <col width="8" customWidth="1" style="76" min="1" max="1"/>
    <col width="12" customWidth="1" style="76" min="2" max="2"/>
    <col width="50" customWidth="1" style="76" min="3" max="4"/>
    <col width="20" customWidth="1" style="76" min="5" max="5"/>
  </cols>
  <sheetData>
    <row r="1" ht="30" customHeight="1" s="76">
      <c r="A1" s="88" t="inlineStr">
        <is>
          <t>ثبت تغییرات v41</t>
        </is>
      </c>
    </row>
    <row r="2" ht="22" customHeight="1" s="76">
      <c r="A2" s="85" t="inlineStr">
        <is>
          <t>هیچ مقدار مستر بازنویسی نشد.</t>
        </is>
      </c>
    </row>
    <row r="3" ht="30" customHeight="1" s="76">
      <c r="A3" s="69" t="inlineStr">
        <is>
          <t>شناسه</t>
        </is>
      </c>
      <c r="B3" s="69" t="inlineStr">
        <is>
          <t>نوع</t>
        </is>
      </c>
      <c r="C3" s="69" t="inlineStr">
        <is>
          <t>تغییر</t>
        </is>
      </c>
      <c r="D3" s="69" t="inlineStr">
        <is>
          <t>دلیل</t>
        </is>
      </c>
      <c r="E3" s="69" t="inlineStr">
        <is>
          <t>توضیح</t>
        </is>
      </c>
    </row>
    <row r="4" ht="20" customHeight="1" s="76">
      <c r="A4" s="70" t="inlineStr">
        <is>
          <t>CH01</t>
        </is>
      </c>
      <c r="B4" s="70" t="inlineStr">
        <is>
          <t>افزودن</t>
        </is>
      </c>
      <c r="C4" s="70" t="inlineStr">
        <is>
          <t>۱۱ شیت جدید v41 به انتهای فایل</t>
        </is>
      </c>
      <c r="D4" s="70" t="inlineStr">
        <is>
          <t>شیت‌های v40 دست‌نخورده</t>
        </is>
      </c>
      <c r="E4" s="70" t="n"/>
    </row>
    <row r="5" ht="29" customHeight="1" s="76">
      <c r="A5" s="71" t="inlineStr">
        <is>
          <t>CH02</t>
        </is>
      </c>
      <c r="B5" s="71" t="inlineStr">
        <is>
          <t>عدم تغییر</t>
        </is>
      </c>
      <c r="C5" s="71" t="inlineStr">
        <is>
          <t>مستر (جدول استاد، معماری، Measureها، Turnover، AC) تغییر نکرد</t>
        </is>
      </c>
      <c r="D5" s="71" t="inlineStr">
        <is>
          <t>تعریف و مقطع یکی نیست (v41 بر پایان سال مالی هر شرکت؛ v39 بر cutoff مشترک)</t>
        </is>
      </c>
      <c r="E5" s="71" t="inlineStr">
        <is>
          <t>تعریف</t>
        </is>
      </c>
    </row>
    <row r="6" ht="20" customHeight="1" s="76">
      <c r="A6" s="70" t="inlineStr">
        <is>
          <t>CH03</t>
        </is>
      </c>
      <c r="B6" s="70" t="inlineStr">
        <is>
          <t>عدم تغییر</t>
        </is>
      </c>
      <c r="C6" s="70" t="inlineStr">
        <is>
          <t>ورودی‌های Turnover و تغییر رئیس v39</t>
        </is>
      </c>
      <c r="D6" s="70" t="inlineStr">
        <is>
          <t>دست‌نخورده</t>
        </is>
      </c>
      <c r="E6" s="70" t="n"/>
    </row>
    <row r="7" ht="20" customHeight="1" s="76">
      <c r="A7" s="71" t="inlineStr">
        <is>
          <t>CH04</t>
        </is>
      </c>
      <c r="B7" s="71" t="inlineStr">
        <is>
          <t>حل</t>
        </is>
      </c>
      <c r="C7" s="71" t="inlineStr">
        <is>
          <t>شماره ردیابی IKCO</t>
        </is>
      </c>
      <c r="D7" s="71" t="inlineStr">
        <is>
          <t>1573022</t>
        </is>
      </c>
      <c r="E7" s="71" t="inlineStr">
        <is>
          <t>sha256 یکسان</t>
        </is>
      </c>
    </row>
  </sheetData>
  <mergeCells count="2">
    <mergeCell ref="A2:E2"/>
    <mergeCell ref="A1:E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23"/>
  <sheetViews>
    <sheetView showGridLines="0"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7" customWidth="1" style="76" min="1" max="1"/>
    <col width="60" customWidth="1" style="76" min="2" max="2"/>
    <col width="16" customWidth="1" style="76" min="3" max="3"/>
    <col width="18" customWidth="1" style="76" min="4" max="4"/>
    <col width="10" customWidth="1" style="76" min="5" max="5"/>
    <col width="40" customWidth="1" style="76" min="6" max="6"/>
  </cols>
  <sheetData>
    <row r="1" ht="30" customHeight="1" s="76">
      <c r="A1" s="88" t="inlineStr">
        <is>
          <t>کنترل کیفیت v41</t>
        </is>
      </c>
    </row>
    <row r="2" ht="22" customHeight="1" s="76">
      <c r="A2" s="85" t="inlineStr">
        <is>
          <t>کنترل‌ها پیش از تحویل؛ بازبینی دوم هوش مصنوعی است و جایگزین بازبینی انسانی مستقل نیست.</t>
        </is>
      </c>
    </row>
    <row r="3" ht="30" customHeight="1" s="76">
      <c r="A3" s="69" t="inlineStr">
        <is>
          <t>شناسه</t>
        </is>
      </c>
      <c r="B3" s="69" t="inlineStr">
        <is>
          <t>کنترل</t>
        </is>
      </c>
      <c r="C3" s="69" t="inlineStr">
        <is>
          <t>مورد انتظار</t>
        </is>
      </c>
      <c r="D3" s="69" t="inlineStr">
        <is>
          <t>مشاهده</t>
        </is>
      </c>
      <c r="E3" s="69" t="inlineStr">
        <is>
          <t>وضعیت</t>
        </is>
      </c>
      <c r="F3" s="69" t="inlineStr">
        <is>
          <t>یادداشت</t>
        </is>
      </c>
    </row>
    <row r="4" ht="20" customHeight="1" s="76">
      <c r="A4" s="70" t="inlineStr">
        <is>
          <t>QA01</t>
        </is>
      </c>
      <c r="B4" s="70" t="inlineStr">
        <is>
          <t>تعداد شرکت یکتا در BR Scope</t>
        </is>
      </c>
      <c r="C4" s="70" t="n">
        <v>30</v>
      </c>
      <c r="D4" s="70">
        <f>SUMPRODUCT(1/COUNTIF('BR Scope v41'!B4:B33,'BR Scope v41'!B4:B33))</f>
        <v>30</v>
      </c>
      <c r="E4" s="74" t="inlineStr">
        <is>
          <t>OK</t>
        </is>
      </c>
      <c r="F4" s="70" t="n"/>
    </row>
    <row r="5" ht="20" customHeight="1" s="76">
      <c r="A5" s="71" t="inlineStr">
        <is>
          <t>QA02</t>
        </is>
      </c>
      <c r="B5" s="71" t="inlineStr">
        <is>
          <t>تعداد ردیف BR Scope</t>
        </is>
      </c>
      <c r="C5" s="71" t="n">
        <v>30</v>
      </c>
      <c r="D5" s="71" t="n">
        <v>30</v>
      </c>
      <c r="E5" s="74" t="inlineStr">
        <is>
          <t>OK</t>
        </is>
      </c>
      <c r="F5" s="71" t="n"/>
    </row>
    <row r="6" ht="20" customHeight="1" s="76">
      <c r="A6" s="70" t="inlineStr">
        <is>
          <t>QA03</t>
        </is>
      </c>
      <c r="B6" s="70" t="inlineStr">
        <is>
          <t>ردیف‌های MEMBER در Tenure برابر مجموع N</t>
        </is>
      </c>
      <c r="C6" s="70" t="n">
        <v>145</v>
      </c>
      <c r="D6" s="70" t="n">
        <v>145</v>
      </c>
      <c r="E6" s="74" t="inlineStr">
        <is>
          <t>OK</t>
        </is>
      </c>
      <c r="F6" s="70" t="n"/>
    </row>
    <row r="7" ht="20" customHeight="1" s="76">
      <c r="A7" s="71" t="inlineStr">
        <is>
          <t>QA04</t>
        </is>
      </c>
      <c r="B7" s="71" t="inlineStr">
        <is>
          <t>روز منفی در Tenure</t>
        </is>
      </c>
      <c r="C7" s="71" t="n">
        <v>0</v>
      </c>
      <c r="D7" s="71">
        <f>COUNTIF('BR Tenure v41'!S4:S206,"&lt;0")</f>
        <v>0</v>
      </c>
      <c r="E7" s="74" t="inlineStr">
        <is>
          <t>OK</t>
        </is>
      </c>
      <c r="F7" s="71" t="n"/>
    </row>
    <row r="8" ht="20" customHeight="1" s="76">
      <c r="A8" s="70" t="inlineStr">
        <is>
          <t>QA05</t>
        </is>
      </c>
      <c r="B8" s="70" t="inlineStr">
        <is>
          <t>EXACT با شروع بعد از as-of</t>
        </is>
      </c>
      <c r="C8" s="70" t="n">
        <v>0</v>
      </c>
      <c r="D8" s="70" t="n">
        <v>0</v>
      </c>
      <c r="E8" s="74" t="inlineStr">
        <is>
          <t>OK</t>
        </is>
      </c>
      <c r="F8" s="70" t="n"/>
    </row>
    <row r="9" ht="20" customHeight="1" s="76">
      <c r="A9" s="71" t="inlineStr">
        <is>
          <t>QA06</t>
        </is>
      </c>
      <c r="B9" s="71" t="inlineStr">
        <is>
          <t>اعتبار همه تاریخ‌های جلالی (کبیسه و طول ماه)</t>
        </is>
      </c>
      <c r="C9" s="71" t="n">
        <v>0</v>
      </c>
      <c r="D9" s="71" t="n">
        <v>0</v>
      </c>
      <c r="E9" s="74" t="inlineStr">
        <is>
          <t>OK</t>
        </is>
      </c>
      <c r="F9" s="71" t="n"/>
    </row>
    <row r="10" ht="20" customHeight="1" s="76">
      <c r="A10" s="70" t="inlineStr">
        <is>
          <t>QA07</t>
        </is>
      </c>
      <c r="B10" s="70" t="inlineStr">
        <is>
          <t>تبدیل جلالی: 1403/12/30 معتبر و 1404/12/30 نامعتبر</t>
        </is>
      </c>
      <c r="C10" s="70" t="b">
        <v>1</v>
      </c>
      <c r="D10" s="70" t="b">
        <v>1</v>
      </c>
      <c r="E10" s="74" t="inlineStr">
        <is>
          <t>OK</t>
        </is>
      </c>
      <c r="F10" s="70" t="n"/>
    </row>
    <row r="11" ht="20" customHeight="1" s="76">
      <c r="A11" s="71" t="inlineStr">
        <is>
          <t>QA08</t>
        </is>
      </c>
      <c r="B11" s="71" t="inlineStr">
        <is>
          <t>ردیف سابقه گذشته شمارش شده</t>
        </is>
      </c>
      <c r="C11" s="71" t="n">
        <v>0</v>
      </c>
      <c r="D11" s="71" t="n">
        <v>0</v>
      </c>
      <c r="E11" s="74" t="inlineStr">
        <is>
          <t>OK</t>
        </is>
      </c>
      <c r="F11" s="71" t="n"/>
    </row>
    <row r="12" ht="20" customHeight="1" s="76">
      <c r="A12" s="70" t="inlineStr">
        <is>
          <t>QA09</t>
        </is>
      </c>
      <c r="B12" s="70" t="inlineStr">
        <is>
          <t>ردیف سرنخ ترکیبی شمارش شده</t>
        </is>
      </c>
      <c r="C12" s="70" t="n">
        <v>0</v>
      </c>
      <c r="D12" s="70" t="n">
        <v>0</v>
      </c>
      <c r="E12" s="74" t="inlineStr">
        <is>
          <t>OK</t>
        </is>
      </c>
      <c r="F12" s="70" t="n"/>
    </row>
    <row r="13" ht="20" customHeight="1" s="76">
      <c r="A13" s="71" t="inlineStr">
        <is>
          <t>QA10</t>
        </is>
      </c>
      <c r="B13" s="71" t="inlineStr">
        <is>
          <t>مدیرعامل خارج از هیئت در مخرج</t>
        </is>
      </c>
      <c r="C13" s="71" t="n">
        <v>0</v>
      </c>
      <c r="D13" s="71" t="n">
        <v>0</v>
      </c>
      <c r="E13" s="74" t="inlineStr">
        <is>
          <t>OK</t>
        </is>
      </c>
      <c r="F13" s="71" t="n"/>
    </row>
    <row r="14" ht="20" customHeight="1" s="76">
      <c r="A14" s="70" t="inlineStr">
        <is>
          <t>QA11</t>
        </is>
      </c>
      <c r="B14" s="70" t="inlineStr">
        <is>
          <t>ردیف همزمانی بین‌هیئتی بدون کد ملی (ادغام هویت با شباهت نام)</t>
        </is>
      </c>
      <c r="C14" s="70" t="n">
        <v>0</v>
      </c>
      <c r="D14" s="70" t="n">
        <v>0</v>
      </c>
      <c r="E14" s="74" t="inlineStr">
        <is>
          <t>OK</t>
        </is>
      </c>
      <c r="F14" s="70" t="n"/>
    </row>
    <row r="15" ht="20" customHeight="1" s="76">
      <c r="A15" s="71" t="inlineStr">
        <is>
          <t>QA12</t>
        </is>
      </c>
      <c r="B15" s="71" t="inlineStr">
        <is>
          <t>مقدار صفر برای نامشخص همزمانی</t>
        </is>
      </c>
      <c r="C15" s="71" t="n">
        <v>0</v>
      </c>
      <c r="D15" s="71" t="n">
        <v>0</v>
      </c>
      <c r="E15" s="74" t="inlineStr">
        <is>
          <t>OK</t>
        </is>
      </c>
      <c r="F15" s="71" t="n"/>
    </row>
    <row r="16" ht="20" customHeight="1" s="76">
      <c r="A16" s="70" t="inlineStr">
        <is>
          <t>QA13</t>
        </is>
      </c>
      <c r="B16" s="70" t="inlineStr">
        <is>
          <t>تصدی UNKNOWN دارای روز</t>
        </is>
      </c>
      <c r="C16" s="70" t="n">
        <v>0</v>
      </c>
      <c r="D16" s="70" t="n">
        <v>0</v>
      </c>
      <c r="E16" s="74" t="inlineStr">
        <is>
          <t>OK</t>
        </is>
      </c>
      <c r="F16" s="70" t="n"/>
    </row>
    <row r="17" ht="20" customHeight="1" s="76">
      <c r="A17" s="71" t="inlineStr">
        <is>
          <t>QA14</t>
        </is>
      </c>
      <c r="B17" s="71" t="inlineStr">
        <is>
          <t>ورودی Turnover v39 تغییر نکرد (مقایسه شیت‌های v40)</t>
        </is>
      </c>
      <c r="C17" s="71" t="n">
        <v>0</v>
      </c>
      <c r="D17" s="71" t="n">
        <v>0</v>
      </c>
      <c r="E17" s="74" t="inlineStr">
        <is>
          <t>OK</t>
        </is>
      </c>
      <c r="F17" s="71" t="inlineStr">
        <is>
          <t>مقایسه سلول‌به‌سلول همه ۷۷ شیت v40 با خروجی</t>
        </is>
      </c>
    </row>
    <row r="18" ht="43.5" customHeight="1" s="76">
      <c r="A18" s="70" t="inlineStr">
        <is>
          <t>QA15</t>
        </is>
      </c>
      <c r="B18" s="70" t="inlineStr">
        <is>
          <t>بازبینی دوم تصویری: ومعادن ص۴۳ (۷ ردیف تاریخ و همزمانی)</t>
        </is>
      </c>
      <c r="C18" s="70" t="inlineStr">
        <is>
          <t>مطابق</t>
        </is>
      </c>
      <c r="D18" s="70" t="inlineStr">
        <is>
          <t>مطابق</t>
        </is>
      </c>
      <c r="E18" s="74" t="inlineStr">
        <is>
          <t>OK</t>
        </is>
      </c>
      <c r="F18" s="70" t="inlineStr">
        <is>
          <t>تصویر خوانده شد؛ ستون همزمانی سرمد ابرکوه برای کلانتری و خط تیره برای بقیه تایید شد؛ بازبینی هوش مصنوعی</t>
        </is>
      </c>
    </row>
    <row r="19" ht="20" customHeight="1" s="76">
      <c r="A19" s="71" t="inlineStr">
        <is>
          <t>QA16</t>
        </is>
      </c>
      <c r="B19" s="71" t="inlineStr">
        <is>
          <t>بازبینی دوم تصویری: همراه ص۲۷ (۵ عضو)</t>
        </is>
      </c>
      <c r="C19" s="71" t="inlineStr">
        <is>
          <t>مطابق</t>
        </is>
      </c>
      <c r="D19" s="71" t="inlineStr">
        <is>
          <t>مطابق</t>
        </is>
      </c>
      <c r="E19" s="74" t="inlineStr">
        <is>
          <t>OK</t>
        </is>
      </c>
      <c r="F19" s="71" t="inlineStr">
        <is>
          <t>تفکیک ستون همزمانی و عضویت قبلی تایید شد</t>
        </is>
      </c>
    </row>
    <row r="20" ht="20" customHeight="1" s="76">
      <c r="A20" s="70" t="inlineStr">
        <is>
          <t>QA17</t>
        </is>
      </c>
      <c r="B20" s="70" t="inlineStr">
        <is>
          <t>بازبینی دوم تصویری: فولاد ص۳۲ (۵ عضو)</t>
        </is>
      </c>
      <c r="C20" s="70" t="inlineStr">
        <is>
          <t>مطابق</t>
        </is>
      </c>
      <c r="D20" s="70" t="inlineStr">
        <is>
          <t>مطابق</t>
        </is>
      </c>
      <c r="E20" s="74" t="inlineStr">
        <is>
          <t>OK</t>
        </is>
      </c>
      <c r="F20" s="70" t="inlineStr">
        <is>
          <t>تاریخ انتصاب و همزمانی تایید شد</t>
        </is>
      </c>
    </row>
    <row r="21" ht="43.5" customHeight="1" s="76">
      <c r="A21" s="71" t="inlineStr">
        <is>
          <t>QA18</t>
        </is>
      </c>
      <c r="B21" s="71" t="inlineStr">
        <is>
          <t>بازبینی دوم تصویری: زاگرس ص۲۶ و پارس ص۳۲</t>
        </is>
      </c>
      <c r="C21" s="71" t="inlineStr">
        <is>
          <t>مطابق</t>
        </is>
      </c>
      <c r="D21" s="71" t="inlineStr">
        <is>
          <t>مطابق</t>
        </is>
      </c>
      <c r="E21" s="74" t="inlineStr">
        <is>
          <t>OK</t>
        </is>
      </c>
      <c r="F21" s="71" t="inlineStr">
        <is>
          <t>زاگرس: ستون آخرین تاریخ عضویت و ستون ترکیبی تایید؛ پارس: جدول قدیمی و بدون تاریخ تایید</t>
        </is>
      </c>
    </row>
    <row r="22" ht="58" customHeight="1" s="76">
      <c r="A22" s="70" t="inlineStr">
        <is>
          <t>QA19</t>
        </is>
      </c>
      <c r="B22" s="70" t="inlineStr">
        <is>
          <t>بازبینی مستقل محاسبه میانگین و SD تصدی (۱۰ شرکت) با پایتون</t>
        </is>
      </c>
      <c r="C22" s="70" t="inlineStr">
        <is>
          <t>۰ اختلاف</t>
        </is>
      </c>
      <c r="D22" s="70" t="inlineStr">
        <is>
          <t>۰ اختلاف</t>
        </is>
      </c>
      <c r="E22" s="74" t="inlineStr">
        <is>
          <t>OK</t>
        </is>
      </c>
      <c r="F22" s="70" t="inlineStr">
        <is>
          <t>محاسبه مجدد از همان تاریخ‌ها؛ محدودیت: منبع تاریخ و تبدیل جلالی مشترک است؛ تبدیل جلالی با لنگرهای شناخته‌شده و رفت‌وبرگشت ۶۱ ساله بدون خطا اعتبارسنجی شد</t>
        </is>
      </c>
    </row>
    <row r="23" ht="29" customHeight="1" s="76">
      <c r="A23" s="71" t="inlineStr">
        <is>
          <t>QA20</t>
        </is>
      </c>
      <c r="B23" s="71" t="inlineStr">
        <is>
          <t>نمونه‌گیری موارد عادی: ۱۰ عضو با تایید هم‌زمان ن۴۵ و گزارش</t>
        </is>
      </c>
      <c r="C23" s="71" t="inlineStr">
        <is>
          <t>۱۰ از ۱۰</t>
        </is>
      </c>
      <c r="D23" s="71" t="inlineStr">
        <is>
          <t>۱۰ از ۱۰</t>
        </is>
      </c>
      <c r="E23" s="74" t="inlineStr">
        <is>
          <t>OK</t>
        </is>
      </c>
      <c r="F23" s="71" t="inlineStr">
        <is>
          <t>فارس، فملی، وغدیر، همراه، پارسان: اختلاف تاریخ ۰ تا ۳ روز</t>
        </is>
      </c>
    </row>
  </sheetData>
  <mergeCells count="2">
    <mergeCell ref="A2:F2"/>
    <mergeCell ref="A1:F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X33"/>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76" min="1" max="1"/>
    <col width="10" customWidth="1" style="76" min="2" max="2"/>
    <col width="30" customWidth="1" style="76" min="3" max="3"/>
    <col width="16" customWidth="1" style="76" min="4" max="4"/>
    <col width="16" customWidth="1" style="76" min="5" max="5"/>
    <col width="14" customWidth="1" style="76" min="6" max="6"/>
    <col width="24" customWidth="1" style="76" min="7" max="7"/>
    <col width="28" customWidth="1" style="76" min="8" max="8"/>
    <col width="16" customWidth="1" style="76" min="9" max="9"/>
    <col width="30" customWidth="1" style="76" min="10" max="10"/>
    <col width="16" customWidth="1" style="76" min="11" max="11"/>
    <col width="16" customWidth="1" style="76" min="12" max="12"/>
    <col width="30" customWidth="1" style="76" min="13" max="13"/>
    <col width="16" customWidth="1" style="76" min="14" max="14"/>
    <col width="40" customWidth="1" style="76" min="15" max="15"/>
    <col width="16" customWidth="1" style="76" min="16" max="16"/>
    <col width="16" customWidth="1" style="76" min="17" max="17"/>
    <col width="22" customWidth="1" style="76" min="18" max="18"/>
    <col width="22" customWidth="1" style="76" min="19" max="19"/>
    <col width="26" customWidth="1" style="76" min="20" max="20"/>
    <col width="26" customWidth="1" style="76" min="21" max="21"/>
    <col width="26" customWidth="1" style="76" min="22" max="22"/>
    <col width="14" customWidth="1" style="76" min="23" max="23"/>
    <col width="40" customWidth="1" style="76" min="24" max="24"/>
  </cols>
  <sheetData>
    <row r="1" ht="26" customHeight="1" s="76">
      <c r="A1" s="89" t="inlineStr">
        <is>
          <t>دامنه v42: ۳۰ شرکت و دو مبنای زمانی</t>
        </is>
      </c>
    </row>
    <row r="2" ht="44" customHeight="1" s="76">
      <c r="A2" s="90" t="inlineStr">
        <is>
          <t>نمای اصلی: پنجره مشترک 1403/12/29 تا 1404/12/29 برای مقایسه با اعداد قبلی. نمای مالی جدا: پایان دوره مالی 1403 و 1404 هر شرکت. دو نما در شمارش شرکت یکتا یا پوشش جمع نمی شوند. مقطع قراردادی 1403/12/29 آخرین روز واقعی سال 1403 نیست چون 1403 کبیسه است و روز 1403/12/30 وجود دارد؛ تاریخ قدیمی بی صدا تغییر نکرد.</t>
        </is>
      </c>
    </row>
    <row r="3" ht="42" customHeight="1" s="76">
      <c r="A3" s="91" t="inlineStr">
        <is>
          <t>شناسه</t>
        </is>
      </c>
      <c r="B3" s="91" t="inlineStr">
        <is>
          <t>نماد</t>
        </is>
      </c>
      <c r="C3" s="91" t="inlineStr">
        <is>
          <t>نام حقوقی</t>
        </is>
      </c>
      <c r="D3" s="91" t="inlineStr">
        <is>
          <t>مقطع مبنای محاسبه قدیمی</t>
        </is>
      </c>
      <c r="E3" s="91" t="inlineStr">
        <is>
          <t>مقطع پایان محاسبه قدیمی</t>
        </is>
      </c>
      <c r="F3" s="91" t="inlineStr">
        <is>
          <t>پایان دوره مالی 1403 (تقویم معتبر)</t>
        </is>
      </c>
      <c r="G3" s="91" t="inlineStr">
        <is>
          <t>مبنای تعیین پایان FY1403</t>
        </is>
      </c>
      <c r="H3" s="91" t="inlineStr">
        <is>
          <t>منبع پایان FY1403</t>
        </is>
      </c>
      <c r="I3" s="91" t="inlineStr">
        <is>
          <t>پایان دوره مالی 1404 (v41)</t>
        </is>
      </c>
      <c r="J3" s="91" t="inlineStr">
        <is>
          <t>منبع و وضعیت تایید پایان FY1404</t>
        </is>
      </c>
      <c r="K3" s="91" t="inlineStr">
        <is>
          <t>تفاوت روز: پایان FY1403 منهای مبنای قدیمی</t>
        </is>
      </c>
      <c r="L3" s="91" t="inlineStr">
        <is>
          <t>تفاوت روز: پایان FY1404 منهای پایان قدیمی</t>
        </is>
      </c>
      <c r="M3" s="91" t="inlineStr">
        <is>
          <t>رابطه دو مبنای زمانی</t>
        </is>
      </c>
      <c r="N3" s="91" t="inlineStr">
        <is>
          <t>اعتبار تقویمی همه تاریخ ها</t>
        </is>
      </c>
      <c r="O3" s="91" t="inlineStr">
        <is>
          <t>یادداشت تقویمی</t>
        </is>
      </c>
      <c r="P3" s="91" t="inlineStr">
        <is>
          <t>اطلاعیه ن۴۵ ثبت شده با انتشار بین دو مقطع</t>
        </is>
      </c>
      <c r="Q3" s="91" t="inlineStr">
        <is>
          <t>اطلاعیه ثبت شده با انتشار پس از پایان</t>
        </is>
      </c>
      <c r="R3" s="91" t="inlineStr">
        <is>
          <t>آخرین اطلاعیه ثبت شده تا مبنا (ردیابی و انتشار)</t>
        </is>
      </c>
      <c r="S3" s="91" t="inlineStr">
        <is>
          <t>آخرین اطلاعیه ثبت شده تا پایان (ردیابی و انتشار)</t>
        </is>
      </c>
      <c r="T3" s="91" t="inlineStr">
        <is>
          <t>سطح داده در پنجره مشترک</t>
        </is>
      </c>
      <c r="U3" s="91" t="inlineStr">
        <is>
          <t>نمای مالی: فهرست پایان FY1403</t>
        </is>
      </c>
      <c r="V3" s="91" t="inlineStr">
        <is>
          <t>نمای مالی: فهرست پایان FY1404 (v41)</t>
        </is>
      </c>
      <c r="W3" s="91" t="inlineStr">
        <is>
          <t>نمای مالی قابل محاسبه</t>
        </is>
      </c>
      <c r="X3" s="91" t="inlineStr">
        <is>
          <t>یادداشت</t>
        </is>
      </c>
    </row>
    <row r="4" ht="60" customHeight="1" s="76">
      <c r="A4" s="92" t="inlineStr">
        <is>
          <t>F01</t>
        </is>
      </c>
      <c r="B4" s="92" t="inlineStr">
        <is>
          <t>فملی</t>
        </is>
      </c>
      <c r="C4" s="92" t="inlineStr">
        <is>
          <t>شرکت ملی صنایع مس ایران</t>
        </is>
      </c>
      <c r="D4" s="92" t="inlineStr">
        <is>
          <t>1403/12/29</t>
        </is>
      </c>
      <c r="E4" s="92" t="inlineStr">
        <is>
          <t>1404/12/29</t>
        </is>
      </c>
      <c r="F4" s="92" t="inlineStr">
        <is>
          <t>1403/12/30</t>
        </is>
      </c>
      <c r="G4" s="92" t="inlineStr">
        <is>
          <t>پایان کامل سال تقویمی 1403 (کبیسه)</t>
        </is>
      </c>
      <c r="H4" s="92" t="inlineStr">
        <is>
          <t>استنباط تقویمی؛ سند صریح در این فایل ثبت نشده</t>
        </is>
      </c>
      <c r="I4" s="92" t="inlineStr">
        <is>
          <t>1404/12/29</t>
        </is>
      </c>
      <c r="J4" s="92" t="inlineStr">
        <is>
          <t>تایید شده از سند؛ SRC_FMLI_1404_001</t>
        </is>
      </c>
      <c r="K4" s="92" t="n">
        <v>1</v>
      </c>
      <c r="L4" s="92" t="n">
        <v>0</v>
      </c>
      <c r="M4" s="92" t="inlineStr">
        <is>
          <t>پایان یکسان؛ مبنا با یک روز اختلاف (1403/12/29 در برابر 1403/12/30)</t>
        </is>
      </c>
      <c r="N4" s="92" t="inlineStr">
        <is>
          <t>بله</t>
        </is>
      </c>
      <c r="O4" s="92" t="inlineStr">
        <is>
          <t>ستون شروع سال مالی در v41 برابر 1403/12/30 است ولی شروع سال 1404 روز 1404/01/01 است؛ مقدار v41 دست نخورد</t>
        </is>
      </c>
      <c r="P4" s="92" t="n">
        <v>4</v>
      </c>
      <c r="Q4" s="92" t="n">
        <v>1</v>
      </c>
      <c r="R4" s="92" t="inlineStr">
        <is>
          <t>1317785 (1403/12/15)</t>
        </is>
      </c>
      <c r="S4" s="92" t="inlineStr">
        <is>
          <t>1388917 (1404/05/13)</t>
        </is>
      </c>
      <c r="T4" s="92" t="inlineStr">
        <is>
          <t>عدد تجمیعی ارثی متعارض با شواهد v41</t>
        </is>
      </c>
      <c r="U4" s="92" t="inlineStr">
        <is>
          <t>نامشخص: فهرست اسمی FY1403 در فایل نیست</t>
        </is>
      </c>
      <c r="V4" s="92" t="inlineStr">
        <is>
          <t>5 نام در v41؛ مقطع 1404/12/29</t>
        </is>
      </c>
      <c r="W4" s="92" t="inlineStr">
        <is>
          <t>خیر</t>
        </is>
      </c>
      <c r="X4" s="92" t="inlineStr"/>
    </row>
    <row r="5" ht="60" customHeight="1" s="76">
      <c r="A5" s="92" t="inlineStr">
        <is>
          <t>F02</t>
        </is>
      </c>
      <c r="B5" s="92" t="inlineStr">
        <is>
          <t>تاپیکو</t>
        </is>
      </c>
      <c r="C5" s="92" t="inlineStr">
        <is>
          <t>شرکت سرمایه گذاری نفت و گاز و پتروشیمی تامین</t>
        </is>
      </c>
      <c r="D5" s="92" t="inlineStr">
        <is>
          <t>1403/12/29</t>
        </is>
      </c>
      <c r="E5" s="92" t="inlineStr">
        <is>
          <t>1404/12/29</t>
        </is>
      </c>
      <c r="F5" s="92" t="inlineStr">
        <is>
          <t>1403/02/31</t>
        </is>
      </c>
      <c r="G5" s="92" t="inlineStr">
        <is>
          <t>یک روز پیش از شروع FY1404 در v41</t>
        </is>
      </c>
      <c r="H5" s="92" t="inlineStr">
        <is>
          <t>استنباط تقویمی؛ سند صریح در این فایل ثبت نشده</t>
        </is>
      </c>
      <c r="I5" s="92" t="inlineStr">
        <is>
          <t>1404/02/31</t>
        </is>
      </c>
      <c r="J5" s="92" t="inlineStr">
        <is>
          <t>تایید شده از سند؛ SRC_TPIK_1404_002</t>
        </is>
      </c>
      <c r="K5" s="92" t="n">
        <v>-303</v>
      </c>
      <c r="L5" s="92" t="n">
        <v>-303</v>
      </c>
      <c r="M5" s="92" t="inlineStr">
        <is>
          <t>پایان و مبنا متفاوت</t>
        </is>
      </c>
      <c r="N5" s="92" t="inlineStr">
        <is>
          <t>بله</t>
        </is>
      </c>
      <c r="O5" s="92" t="inlineStr">
        <is>
          <t>تاریخ ها در تقویم معتبرند؛ مقاطع مشترک با پایان دوره مالی این شرکت یکی نیستند</t>
        </is>
      </c>
      <c r="P5" s="92" t="n">
        <v>7</v>
      </c>
      <c r="Q5" s="92" t="n">
        <v>3</v>
      </c>
      <c r="R5" s="92" t="inlineStr">
        <is>
          <t>1311653 (1403/12/04)</t>
        </is>
      </c>
      <c r="S5" s="92" t="inlineStr">
        <is>
          <t>1477918 (1404/11/06)</t>
        </is>
      </c>
      <c r="T5" s="92" t="inlineStr">
        <is>
          <t>دو فهرست اسمی کامل</t>
        </is>
      </c>
      <c r="U5" s="92" t="inlineStr">
        <is>
          <t>نامشخص: فهرست اسمی FY1403 در فایل نیست</t>
        </is>
      </c>
      <c r="V5" s="92" t="inlineStr">
        <is>
          <t>5 نام در v41؛ مقطع 1404/02/31</t>
        </is>
      </c>
      <c r="W5" s="92" t="inlineStr">
        <is>
          <t>خیر</t>
        </is>
      </c>
      <c r="X5" s="92" t="inlineStr"/>
    </row>
    <row r="6" ht="60" customHeight="1" s="76">
      <c r="A6" s="92" t="inlineStr">
        <is>
          <t>F03</t>
        </is>
      </c>
      <c r="B6" s="92" t="inlineStr">
        <is>
          <t>فارس</t>
        </is>
      </c>
      <c r="C6" s="92" t="inlineStr">
        <is>
          <t>شرکت صنایع پتروشیمی خلیج فارس</t>
        </is>
      </c>
      <c r="D6" s="92" t="inlineStr">
        <is>
          <t>1403/12/29</t>
        </is>
      </c>
      <c r="E6" s="92" t="inlineStr">
        <is>
          <t>1404/12/29</t>
        </is>
      </c>
      <c r="F6" s="92" t="inlineStr">
        <is>
          <t>1403/03/31</t>
        </is>
      </c>
      <c r="G6" s="92" t="inlineStr">
        <is>
          <t>یک روز پیش از شروع FY1404 در v41</t>
        </is>
      </c>
      <c r="H6" s="92" t="inlineStr">
        <is>
          <t>استنباط تقویمی؛ سند صریح در این فایل ثبت نشده</t>
        </is>
      </c>
      <c r="I6" s="92" t="inlineStr">
        <is>
          <t>1404/03/31</t>
        </is>
      </c>
      <c r="J6" s="92" t="inlineStr">
        <is>
          <t>تایید شده از سند؛ SRC_FARS_1404_001</t>
        </is>
      </c>
      <c r="K6" s="92" t="n">
        <v>-272</v>
      </c>
      <c r="L6" s="92" t="n">
        <v>-272</v>
      </c>
      <c r="M6" s="92" t="inlineStr">
        <is>
          <t>پایان و مبنا متفاوت</t>
        </is>
      </c>
      <c r="N6" s="92" t="inlineStr">
        <is>
          <t>بله</t>
        </is>
      </c>
      <c r="O6" s="92" t="inlineStr">
        <is>
          <t>تاریخ ها در تقویم معتبرند؛ مقاطع مشترک با پایان دوره مالی این شرکت یکی نیستند</t>
        </is>
      </c>
      <c r="P6" s="92" t="n">
        <v>6</v>
      </c>
      <c r="Q6" s="92" t="n">
        <v>0</v>
      </c>
      <c r="R6" s="92" t="inlineStr">
        <is>
          <t>1279471 (1403/09/13)</t>
        </is>
      </c>
      <c r="S6" s="92" t="inlineStr">
        <is>
          <t>1417899 (1404/07/21)</t>
        </is>
      </c>
      <c r="T6" s="92" t="inlineStr">
        <is>
          <t>فقط اعداد تجمیعی ارثی؛ فهرست اسمی در دسترس نیست</t>
        </is>
      </c>
      <c r="U6" s="92" t="inlineStr">
        <is>
          <t>نامشخص: فهرست اسمی FY1403 در فایل نیست</t>
        </is>
      </c>
      <c r="V6" s="92" t="inlineStr">
        <is>
          <t>5 نام در v41؛ مقطع 1404/03/31</t>
        </is>
      </c>
      <c r="W6" s="92" t="inlineStr">
        <is>
          <t>خیر</t>
        </is>
      </c>
      <c r="X6" s="92" t="inlineStr"/>
    </row>
    <row r="7" ht="60" customHeight="1" s="76">
      <c r="A7" s="92" t="inlineStr">
        <is>
          <t>F04</t>
        </is>
      </c>
      <c r="B7" s="92" t="inlineStr">
        <is>
          <t>خودرو</t>
        </is>
      </c>
      <c r="C7" s="92" t="inlineStr">
        <is>
          <t>شرکت ایران خودرو</t>
        </is>
      </c>
      <c r="D7" s="92" t="inlineStr">
        <is>
          <t>1403/12/29</t>
        </is>
      </c>
      <c r="E7" s="92" t="inlineStr">
        <is>
          <t>1404/12/29</t>
        </is>
      </c>
      <c r="F7" s="92" t="inlineStr">
        <is>
          <t>1403/12/30</t>
        </is>
      </c>
      <c r="G7" s="92" t="inlineStr">
        <is>
          <t>پایان کامل سال تقویمی 1403 (کبیسه)</t>
        </is>
      </c>
      <c r="H7" s="92" t="inlineStr">
        <is>
          <t>استنباط تقویمی؛ سند صریح در این فایل ثبت نشده</t>
        </is>
      </c>
      <c r="I7" s="92" t="inlineStr">
        <is>
          <t>1404/12/29</t>
        </is>
      </c>
      <c r="J7" s="92" t="inlineStr">
        <is>
          <t>تایید شده از سند؛ SRC_IKCO_1404_001</t>
        </is>
      </c>
      <c r="K7" s="92" t="n">
        <v>1</v>
      </c>
      <c r="L7" s="92" t="n">
        <v>0</v>
      </c>
      <c r="M7" s="92" t="inlineStr">
        <is>
          <t>پایان یکسان؛ مبنا با یک روز اختلاف (1403/12/29 در برابر 1403/12/30)</t>
        </is>
      </c>
      <c r="N7" s="92" t="inlineStr">
        <is>
          <t>بله</t>
        </is>
      </c>
      <c r="O7" s="92" t="inlineStr">
        <is>
          <t>ستون شروع سال مالی در v41 برابر 1403/12/30 است ولی شروع سال 1404 روز 1404/01/01 است؛ مقدار v41 دست نخورد</t>
        </is>
      </c>
      <c r="P7" s="92" t="n">
        <v>2</v>
      </c>
      <c r="Q7" s="92" t="n">
        <v>3</v>
      </c>
      <c r="R7" s="92" t="inlineStr">
        <is>
          <t>1308744 (1403/11/28)</t>
        </is>
      </c>
      <c r="S7" s="92" t="inlineStr">
        <is>
          <t>1433580 (1404/08/17)</t>
        </is>
      </c>
      <c r="T7" s="92" t="inlineStr">
        <is>
          <t>دو فهرست اسمی کامل</t>
        </is>
      </c>
      <c r="U7" s="92" t="inlineStr">
        <is>
          <t>نامشخص: فهرست اسمی FY1403 در فایل نیست</t>
        </is>
      </c>
      <c r="V7" s="92" t="inlineStr">
        <is>
          <t>5 نام در v41؛ مقطع 1404/12/29</t>
        </is>
      </c>
      <c r="W7" s="92" t="inlineStr">
        <is>
          <t>خیر</t>
        </is>
      </c>
      <c r="X7" s="92" t="inlineStr"/>
    </row>
    <row r="8" ht="60" customHeight="1" s="76">
      <c r="A8" s="92" t="inlineStr">
        <is>
          <t>F05</t>
        </is>
      </c>
      <c r="B8" s="92" t="inlineStr">
        <is>
          <t>زاگرس</t>
        </is>
      </c>
      <c r="C8" s="92" t="inlineStr">
        <is>
          <t>شرکت پتروشیمی زاگرس</t>
        </is>
      </c>
      <c r="D8" s="92" t="inlineStr">
        <is>
          <t>1403/12/29</t>
        </is>
      </c>
      <c r="E8" s="92" t="inlineStr">
        <is>
          <t>1404/12/29</t>
        </is>
      </c>
      <c r="F8" s="92" t="inlineStr">
        <is>
          <t>1403/12/30</t>
        </is>
      </c>
      <c r="G8" s="92" t="inlineStr">
        <is>
          <t>پایان کامل سال تقویمی 1403 (کبیسه)</t>
        </is>
      </c>
      <c r="H8" s="92" t="inlineStr">
        <is>
          <t>استنباط تقویمی؛ سند صریح در این فایل ثبت نشده</t>
        </is>
      </c>
      <c r="I8" s="92" t="inlineStr">
        <is>
          <t>1404/12/29</t>
        </is>
      </c>
      <c r="J8" s="92" t="inlineStr">
        <is>
          <t>تایید شده از سند؛ SRC_ZGRS_1404_001</t>
        </is>
      </c>
      <c r="K8" s="92" t="n">
        <v>1</v>
      </c>
      <c r="L8" s="92" t="n">
        <v>0</v>
      </c>
      <c r="M8" s="92" t="inlineStr">
        <is>
          <t>پایان یکسان؛ مبنا با یک روز اختلاف (1403/12/29 در برابر 1403/12/30)</t>
        </is>
      </c>
      <c r="N8" s="92" t="inlineStr">
        <is>
          <t>بله</t>
        </is>
      </c>
      <c r="O8" s="92" t="inlineStr">
        <is>
          <t>ستون شروع سال مالی در v41 برابر 1403/12/30 است ولی شروع سال 1404 روز 1404/01/01 است؛ مقدار v41 دست نخورد</t>
        </is>
      </c>
      <c r="P8" s="92" t="n">
        <v>4</v>
      </c>
      <c r="Q8" s="92" t="n">
        <v>1</v>
      </c>
      <c r="R8" s="92" t="inlineStr">
        <is>
          <t>1064112 (1402/05/08)</t>
        </is>
      </c>
      <c r="S8" s="92" t="inlineStr">
        <is>
          <t>1461380 (1404/10/01)</t>
        </is>
      </c>
      <c r="T8" s="92" t="inlineStr">
        <is>
          <t>فقط اعداد تجمیعی ارثی؛ فهرست اسمی در دسترس نیست</t>
        </is>
      </c>
      <c r="U8" s="92" t="inlineStr">
        <is>
          <t>نامشخص: فهرست اسمی FY1403 در فایل نیست</t>
        </is>
      </c>
      <c r="V8" s="92" t="inlineStr">
        <is>
          <t>5 نام در v41؛ مقطع 1404/12/29</t>
        </is>
      </c>
      <c r="W8" s="92" t="inlineStr">
        <is>
          <t>خیر</t>
        </is>
      </c>
      <c r="X8" s="92" t="inlineStr"/>
    </row>
    <row r="9" ht="60" customHeight="1" s="76">
      <c r="A9" s="92" t="inlineStr">
        <is>
          <t>F06</t>
        </is>
      </c>
      <c r="B9" s="92" t="inlineStr">
        <is>
          <t>شبندر</t>
        </is>
      </c>
      <c r="C9" s="92" t="inlineStr">
        <is>
          <t>شرکت پالایش نفت بندرعباس</t>
        </is>
      </c>
      <c r="D9" s="92" t="inlineStr">
        <is>
          <t>1403/12/29</t>
        </is>
      </c>
      <c r="E9" s="92" t="inlineStr">
        <is>
          <t>1404/12/29</t>
        </is>
      </c>
      <c r="F9" s="92" t="inlineStr">
        <is>
          <t>1403/12/30</t>
        </is>
      </c>
      <c r="G9" s="92" t="inlineStr">
        <is>
          <t>پایان کامل سال تقویمی 1403 (کبیسه)</t>
        </is>
      </c>
      <c r="H9" s="92" t="inlineStr">
        <is>
          <t>استنباط تقویمی؛ سند صریح در این فایل ثبت نشده</t>
        </is>
      </c>
      <c r="I9" s="92" t="inlineStr">
        <is>
          <t>1404/12/29</t>
        </is>
      </c>
      <c r="J9" s="92" t="inlineStr">
        <is>
          <t>تایید شده از سند؛ SRC_SHBN_1404_001</t>
        </is>
      </c>
      <c r="K9" s="92" t="n">
        <v>1</v>
      </c>
      <c r="L9" s="92" t="n">
        <v>0</v>
      </c>
      <c r="M9" s="92" t="inlineStr">
        <is>
          <t>پایان یکسان؛ مبنا با یک روز اختلاف (1403/12/29 در برابر 1403/12/30)</t>
        </is>
      </c>
      <c r="N9" s="92" t="inlineStr">
        <is>
          <t>بله</t>
        </is>
      </c>
      <c r="O9" s="92" t="inlineStr">
        <is>
          <t>ستون شروع سال مالی در v41 برابر 1403/12/30 است ولی شروع سال 1404 روز 1404/01/01 است؛ مقدار v41 دست نخورد</t>
        </is>
      </c>
      <c r="P9" s="92" t="n">
        <v>6</v>
      </c>
      <c r="Q9" s="92" t="n">
        <v>0</v>
      </c>
      <c r="R9" s="92" t="inlineStr">
        <is>
          <t>1177443 (1403/01/27)</t>
        </is>
      </c>
      <c r="S9" s="92" t="inlineStr">
        <is>
          <t>1472522 (1404/10/24)</t>
        </is>
      </c>
      <c r="T9" s="92" t="inlineStr">
        <is>
          <t>فقط اعداد تجمیعی ارثی؛ فهرست اسمی در دسترس نیست</t>
        </is>
      </c>
      <c r="U9" s="92" t="inlineStr">
        <is>
          <t>نامشخص: فهرست اسمی FY1403 در فایل نیست</t>
        </is>
      </c>
      <c r="V9" s="92" t="inlineStr">
        <is>
          <t>5 نام در v41؛ مقطع 1404/12/29</t>
        </is>
      </c>
      <c r="W9" s="92" t="inlineStr">
        <is>
          <t>خیر</t>
        </is>
      </c>
      <c r="X9" s="92" t="inlineStr"/>
    </row>
    <row r="10" ht="60" customHeight="1" s="76">
      <c r="A10" s="92" t="inlineStr">
        <is>
          <t>F07</t>
        </is>
      </c>
      <c r="B10" s="92" t="inlineStr">
        <is>
          <t>پارس</t>
        </is>
      </c>
      <c r="C10" s="92" t="inlineStr">
        <is>
          <t>شرکت پتروشیمی پارس</t>
        </is>
      </c>
      <c r="D10" s="92" t="inlineStr">
        <is>
          <t>1403/12/29</t>
        </is>
      </c>
      <c r="E10" s="92" t="inlineStr">
        <is>
          <t>1404/12/29</t>
        </is>
      </c>
      <c r="F10" s="92" t="inlineStr">
        <is>
          <t>1403/12/30</t>
        </is>
      </c>
      <c r="G10" s="92" t="inlineStr">
        <is>
          <t>پایان کامل سال تقویمی 1403 (کبیسه)</t>
        </is>
      </c>
      <c r="H10" s="92" t="inlineStr">
        <is>
          <t>استنباط تقویمی؛ سند صریح در این فایل ثبت نشده</t>
        </is>
      </c>
      <c r="I10" s="92" t="inlineStr">
        <is>
          <t>1404/12/29</t>
        </is>
      </c>
      <c r="J10" s="92" t="inlineStr">
        <is>
          <t>تایید شده از سند؛ SRC_PARS_1404_001</t>
        </is>
      </c>
      <c r="K10" s="92" t="n">
        <v>1</v>
      </c>
      <c r="L10" s="92" t="n">
        <v>0</v>
      </c>
      <c r="M10" s="92" t="inlineStr">
        <is>
          <t>پایان یکسان؛ مبنا با یک روز اختلاف (1403/12/29 در برابر 1403/12/30)</t>
        </is>
      </c>
      <c r="N10" s="92" t="inlineStr">
        <is>
          <t>بله</t>
        </is>
      </c>
      <c r="O10" s="92" t="inlineStr">
        <is>
          <t>ستون شروع سال مالی در v41 برابر 1403/12/30 است ولی شروع سال 1404 روز 1404/01/01 است؛ مقدار v41 دست نخورد</t>
        </is>
      </c>
      <c r="P10" s="92" t="n">
        <v>4</v>
      </c>
      <c r="Q10" s="92" t="n">
        <v>1</v>
      </c>
      <c r="R10" s="92" t="inlineStr">
        <is>
          <t>1312374 (1403/12/11)</t>
        </is>
      </c>
      <c r="S10" s="92" t="inlineStr">
        <is>
          <t>1423115 (1404/07/29)</t>
        </is>
      </c>
      <c r="T10" s="92" t="inlineStr">
        <is>
          <t>فقط اعداد تجمیعی ارثی؛ فهرست اسمی در دسترس نیست</t>
        </is>
      </c>
      <c r="U10" s="92" t="inlineStr">
        <is>
          <t>نامشخص: فهرست اسمی FY1403 در فایل نیست</t>
        </is>
      </c>
      <c r="V10" s="92" t="inlineStr">
        <is>
          <t>5 نام در v41؛ مقطع 1404/12/29</t>
        </is>
      </c>
      <c r="W10" s="92" t="inlineStr">
        <is>
          <t>خیر</t>
        </is>
      </c>
      <c r="X10" s="92" t="inlineStr"/>
    </row>
    <row r="11" ht="60" customHeight="1" s="76">
      <c r="A11" s="92" t="inlineStr">
        <is>
          <t>F08</t>
        </is>
      </c>
      <c r="B11" s="92" t="inlineStr">
        <is>
          <t>شتران</t>
        </is>
      </c>
      <c r="C11" s="92" t="inlineStr">
        <is>
          <t>شرکت پالایش نفت تهران</t>
        </is>
      </c>
      <c r="D11" s="92" t="inlineStr">
        <is>
          <t>1403/12/29</t>
        </is>
      </c>
      <c r="E11" s="92" t="inlineStr">
        <is>
          <t>1404/12/29</t>
        </is>
      </c>
      <c r="F11" s="92" t="inlineStr">
        <is>
          <t>1403/12/30</t>
        </is>
      </c>
      <c r="G11" s="92" t="inlineStr">
        <is>
          <t>پایان کامل سال تقویمی 1403 (کبیسه)</t>
        </is>
      </c>
      <c r="H11" s="92" t="inlineStr">
        <is>
          <t>گزارش SRC_SHTR_1403_001 دوره منتهی به 1403/12/30</t>
        </is>
      </c>
      <c r="I11" s="92" t="inlineStr">
        <is>
          <t>1404/12/29</t>
        </is>
      </c>
      <c r="J11" s="92" t="inlineStr">
        <is>
          <t>تایید شده از سند؛ SRC_SHTR_1404_002</t>
        </is>
      </c>
      <c r="K11" s="92" t="n">
        <v>1</v>
      </c>
      <c r="L11" s="92" t="n">
        <v>0</v>
      </c>
      <c r="M11" s="92" t="inlineStr">
        <is>
          <t>پایان یکسان؛ مبنا با یک روز اختلاف (1403/12/29 در برابر 1403/12/30)</t>
        </is>
      </c>
      <c r="N11" s="92" t="inlineStr">
        <is>
          <t>بله</t>
        </is>
      </c>
      <c r="O11" s="92" t="inlineStr">
        <is>
          <t>ستون شروع سال مالی در v41 برابر 1403/12/30 است ولی شروع سال 1404 روز 1404/01/01 است؛ مقدار v41 دست نخورد</t>
        </is>
      </c>
      <c r="P11" s="92" t="n">
        <v>2</v>
      </c>
      <c r="Q11" s="92" t="n">
        <v>0</v>
      </c>
      <c r="R11" s="92" t="inlineStr">
        <is>
          <t>1315123 (1403/12/11)</t>
        </is>
      </c>
      <c r="S11" s="92" t="inlineStr">
        <is>
          <t>1389607 (1404/05/14)</t>
        </is>
      </c>
      <c r="T11" s="92" t="inlineStr">
        <is>
          <t>فقط اعداد تجمیعی ارثی؛ فهرست اسمی در دسترس نیست</t>
        </is>
      </c>
      <c r="U11" s="92" t="inlineStr">
        <is>
          <t>نامشخص: فهرست اسمی FY1403 در فایل نیست</t>
        </is>
      </c>
      <c r="V11" s="92" t="inlineStr">
        <is>
          <t>5 نام در v41؛ مقطع 1404/12/29</t>
        </is>
      </c>
      <c r="W11" s="92" t="inlineStr">
        <is>
          <t>خیر</t>
        </is>
      </c>
      <c r="X11" s="92" t="inlineStr"/>
    </row>
    <row r="12" ht="60" customHeight="1" s="76">
      <c r="A12" s="92" t="inlineStr">
        <is>
          <t>F09</t>
        </is>
      </c>
      <c r="B12" s="92" t="inlineStr">
        <is>
          <t>وتجارت</t>
        </is>
      </c>
      <c r="C12" s="92" t="inlineStr">
        <is>
          <t>شرکت بانک تجارت</t>
        </is>
      </c>
      <c r="D12" s="92" t="inlineStr">
        <is>
          <t>1403/12/29</t>
        </is>
      </c>
      <c r="E12" s="92" t="inlineStr">
        <is>
          <t>1404/12/29</t>
        </is>
      </c>
      <c r="F12" s="92" t="inlineStr">
        <is>
          <t>1403/12/30</t>
        </is>
      </c>
      <c r="G12" s="92" t="inlineStr">
        <is>
          <t>پایان کامل سال تقویمی 1403 (کبیسه)</t>
        </is>
      </c>
      <c r="H12" s="92" t="inlineStr">
        <is>
          <t>استنباط تقویمی؛ سند صریح در این فایل ثبت نشده</t>
        </is>
      </c>
      <c r="I12" s="92" t="inlineStr">
        <is>
          <t>1404/12/29</t>
        </is>
      </c>
      <c r="J12" s="92" t="inlineStr">
        <is>
          <t>تایید شده از سند؛ SRC_VTEJ_1404_001</t>
        </is>
      </c>
      <c r="K12" s="92" t="n">
        <v>1</v>
      </c>
      <c r="L12" s="92" t="n">
        <v>0</v>
      </c>
      <c r="M12" s="92" t="inlineStr">
        <is>
          <t>پایان یکسان؛ مبنا با یک روز اختلاف (1403/12/29 در برابر 1403/12/30)</t>
        </is>
      </c>
      <c r="N12" s="92" t="inlineStr">
        <is>
          <t>بله</t>
        </is>
      </c>
      <c r="O12" s="92" t="inlineStr">
        <is>
          <t>ستون شروع سال مالی در v41 برابر 1403/12/30 است ولی شروع سال 1404 روز 1404/01/01 است؛ مقدار v41 دست نخورد</t>
        </is>
      </c>
      <c r="P12" s="92" t="n">
        <v>2</v>
      </c>
      <c r="Q12" s="92" t="n">
        <v>0</v>
      </c>
      <c r="R12" s="92" t="inlineStr">
        <is>
          <t>1159936 (1402/12/08)</t>
        </is>
      </c>
      <c r="S12" s="92" t="inlineStr">
        <is>
          <t>1444154 (1404/09/15)</t>
        </is>
      </c>
      <c r="T12" s="92" t="inlineStr">
        <is>
          <t>فهرست پایان مشروط</t>
        </is>
      </c>
      <c r="U12" s="92" t="inlineStr">
        <is>
          <t>نامشخص: فهرست اسمی FY1403 در فایل نیست</t>
        </is>
      </c>
      <c r="V12" s="92" t="inlineStr">
        <is>
          <t>4 نام در v41؛ مقطع 1404/12/29</t>
        </is>
      </c>
      <c r="W12" s="92" t="inlineStr">
        <is>
          <t>خیر</t>
        </is>
      </c>
      <c r="X12" s="92" t="inlineStr"/>
    </row>
    <row r="13" ht="60" customHeight="1" s="76">
      <c r="A13" s="92" t="inlineStr">
        <is>
          <t>F10</t>
        </is>
      </c>
      <c r="B13" s="92" t="inlineStr">
        <is>
          <t>رمپنا</t>
        </is>
      </c>
      <c r="C13" s="92" t="inlineStr">
        <is>
          <t>شرکت گروه مپنا</t>
        </is>
      </c>
      <c r="D13" s="92" t="inlineStr">
        <is>
          <t>1403/12/29</t>
        </is>
      </c>
      <c r="E13" s="92" t="inlineStr">
        <is>
          <t>1404/12/29</t>
        </is>
      </c>
      <c r="F13" s="92" t="inlineStr">
        <is>
          <t>1403/12/30</t>
        </is>
      </c>
      <c r="G13" s="92" t="inlineStr">
        <is>
          <t>پایان کامل سال تقویمی 1403 (کبیسه)</t>
        </is>
      </c>
      <c r="H13" s="92" t="inlineStr">
        <is>
          <t>استنباط تقویمی؛ سند صریح در این فایل ثبت نشده</t>
        </is>
      </c>
      <c r="I13" s="92" t="inlineStr">
        <is>
          <t>1404/12/29</t>
        </is>
      </c>
      <c r="J13" s="92" t="inlineStr">
        <is>
          <t>تایید شده از سند؛ SRC_RMPN_1404_002</t>
        </is>
      </c>
      <c r="K13" s="92" t="n">
        <v>1</v>
      </c>
      <c r="L13" s="92" t="n">
        <v>0</v>
      </c>
      <c r="M13" s="92" t="inlineStr">
        <is>
          <t>پایان یکسان؛ مبنا با یک روز اختلاف (1403/12/29 در برابر 1403/12/30)</t>
        </is>
      </c>
      <c r="N13" s="92" t="inlineStr">
        <is>
          <t>بله</t>
        </is>
      </c>
      <c r="O13" s="92" t="inlineStr">
        <is>
          <t>ستون شروع سال مالی در v41 برابر 1403/12/30 است ولی شروع سال 1404 روز 1404/01/01 است؛ مقدار v41 دست نخورد</t>
        </is>
      </c>
      <c r="P13" s="92" t="n">
        <v>5</v>
      </c>
      <c r="Q13" s="92" t="n">
        <v>3</v>
      </c>
      <c r="R13" s="92" t="inlineStr">
        <is>
          <t>1203308 (1403/03/26)</t>
        </is>
      </c>
      <c r="S13" s="92" t="inlineStr">
        <is>
          <t>1482306 (1404/11/12)</t>
        </is>
      </c>
      <c r="T13" s="92" t="inlineStr">
        <is>
          <t>فقط اعداد تجمیعی ارثی؛ فهرست اسمی در دسترس نیست</t>
        </is>
      </c>
      <c r="U13" s="92" t="inlineStr">
        <is>
          <t>نامشخص: فهرست اسمی FY1403 در فایل نیست</t>
        </is>
      </c>
      <c r="V13" s="92" t="inlineStr">
        <is>
          <t>5 نام در v41؛ مقطع 1404/12/29</t>
        </is>
      </c>
      <c r="W13" s="92" t="inlineStr">
        <is>
          <t>خیر</t>
        </is>
      </c>
      <c r="X13" s="92" t="inlineStr"/>
    </row>
    <row r="14" ht="60" customHeight="1" s="76">
      <c r="A14" s="92" t="inlineStr">
        <is>
          <t>F11</t>
        </is>
      </c>
      <c r="B14" s="92" t="inlineStr">
        <is>
          <t>فخوز</t>
        </is>
      </c>
      <c r="C14" s="92" t="inlineStr">
        <is>
          <t>شرکت فولاد خوزستان</t>
        </is>
      </c>
      <c r="D14" s="92" t="inlineStr">
        <is>
          <t>1403/12/29</t>
        </is>
      </c>
      <c r="E14" s="92" t="inlineStr">
        <is>
          <t>1404/12/29</t>
        </is>
      </c>
      <c r="F14" s="92" t="inlineStr">
        <is>
          <t>1403/12/30</t>
        </is>
      </c>
      <c r="G14" s="92" t="inlineStr">
        <is>
          <t>پایان کامل سال تقویمی 1403 (کبیسه)</t>
        </is>
      </c>
      <c r="H14" s="92" t="inlineStr">
        <is>
          <t>گزارش SRC_FKHZ_1404_002 منتهی به 1403/12/30</t>
        </is>
      </c>
      <c r="I14" s="92" t="inlineStr">
        <is>
          <t>1404/12/29</t>
        </is>
      </c>
      <c r="J14" s="92" t="inlineStr">
        <is>
          <t>تایید شده از سند؛ SRC_FKHZ_1404_001</t>
        </is>
      </c>
      <c r="K14" s="92" t="n">
        <v>1</v>
      </c>
      <c r="L14" s="92" t="n">
        <v>0</v>
      </c>
      <c r="M14" s="92" t="inlineStr">
        <is>
          <t>پایان یکسان؛ مبنا با یک روز اختلاف (1403/12/29 در برابر 1403/12/30)</t>
        </is>
      </c>
      <c r="N14" s="92" t="inlineStr">
        <is>
          <t>بله</t>
        </is>
      </c>
      <c r="O14" s="92" t="inlineStr">
        <is>
          <t>ستون شروع سال مالی در v41 برابر 1403/12/30 است ولی شروع سال 1404 روز 1404/01/01 است؛ مقدار v41 دست نخورد</t>
        </is>
      </c>
      <c r="P14" s="92" t="n">
        <v>3</v>
      </c>
      <c r="Q14" s="92" t="n">
        <v>1</v>
      </c>
      <c r="R14" s="92" t="inlineStr">
        <is>
          <t>1296243 (1403/10/26)</t>
        </is>
      </c>
      <c r="S14" s="92" t="inlineStr">
        <is>
          <t>1393004 (1404/05/27)</t>
        </is>
      </c>
      <c r="T14" s="92" t="inlineStr">
        <is>
          <t>فقط اعداد تجمیعی ارثی؛ فهرست اسمی در دسترس نیست</t>
        </is>
      </c>
      <c r="U14" s="92" t="inlineStr">
        <is>
          <t>نامشخص: فهرست اسمی FY1403 در فایل نیست</t>
        </is>
      </c>
      <c r="V14" s="92" t="inlineStr">
        <is>
          <t>5 نام در v41؛ مقطع 1404/12/29</t>
        </is>
      </c>
      <c r="W14" s="92" t="inlineStr">
        <is>
          <t>خیر</t>
        </is>
      </c>
      <c r="X14" s="92" t="inlineStr"/>
    </row>
    <row r="15" ht="60" customHeight="1" s="76">
      <c r="A15" s="92" t="inlineStr">
        <is>
          <t>F12</t>
        </is>
      </c>
      <c r="B15" s="92" t="inlineStr">
        <is>
          <t>شستا</t>
        </is>
      </c>
      <c r="C15" s="92" t="inlineStr">
        <is>
          <t>شرکت سرمایه گذاری تأمین اجتماعی</t>
        </is>
      </c>
      <c r="D15" s="92" t="inlineStr">
        <is>
          <t>1403/12/29</t>
        </is>
      </c>
      <c r="E15" s="92" t="inlineStr">
        <is>
          <t>1404/12/29</t>
        </is>
      </c>
      <c r="F15" s="92" t="inlineStr">
        <is>
          <t>1403/03/31</t>
        </is>
      </c>
      <c r="G15" s="92" t="inlineStr">
        <is>
          <t>یک روز پیش از شروع FY1404 در v41</t>
        </is>
      </c>
      <c r="H15" s="92" t="inlineStr">
        <is>
          <t>استنباط تقویمی؛ سند صریح در این فایل ثبت نشده</t>
        </is>
      </c>
      <c r="I15" s="92" t="inlineStr">
        <is>
          <t>1404/03/31</t>
        </is>
      </c>
      <c r="J15" s="92" t="inlineStr">
        <is>
          <t>تایید شده از سند؛ SRC_SHST_1404_001</t>
        </is>
      </c>
      <c r="K15" s="92" t="n">
        <v>-272</v>
      </c>
      <c r="L15" s="92" t="n">
        <v>-272</v>
      </c>
      <c r="M15" s="92" t="inlineStr">
        <is>
          <t>پایان و مبنا متفاوت</t>
        </is>
      </c>
      <c r="N15" s="92" t="inlineStr">
        <is>
          <t>بله</t>
        </is>
      </c>
      <c r="O15" s="92" t="inlineStr">
        <is>
          <t>تاریخ ها در تقویم معتبرند؛ مقاطع مشترک با پایان دوره مالی این شرکت یکی نیستند</t>
        </is>
      </c>
      <c r="P15" s="92" t="n">
        <v>4</v>
      </c>
      <c r="Q15" s="92" t="n">
        <v>0</v>
      </c>
      <c r="R15" s="92" t="inlineStr">
        <is>
          <t>1320931 (1403/12/22)</t>
        </is>
      </c>
      <c r="S15" s="92" t="inlineStr">
        <is>
          <t>1403080 (1404/06/15)</t>
        </is>
      </c>
      <c r="T15" s="92" t="inlineStr">
        <is>
          <t>فقط اعداد تجمیعی ارثی؛ فهرست اسمی در دسترس نیست</t>
        </is>
      </c>
      <c r="U15" s="92" t="inlineStr">
        <is>
          <t>نامشخص: فهرست اسمی FY1403 در فایل نیست</t>
        </is>
      </c>
      <c r="V15" s="92" t="inlineStr">
        <is>
          <t>5 نام در v41؛ مقطع 1404/03/31</t>
        </is>
      </c>
      <c r="W15" s="92" t="inlineStr">
        <is>
          <t>خیر</t>
        </is>
      </c>
      <c r="X15" s="92" t="inlineStr"/>
    </row>
    <row r="16" ht="60" customHeight="1" s="76">
      <c r="A16" s="92" t="inlineStr">
        <is>
          <t>F13</t>
        </is>
      </c>
      <c r="B16" s="92" t="inlineStr">
        <is>
          <t>شپنا</t>
        </is>
      </c>
      <c r="C16" s="92" t="inlineStr">
        <is>
          <t>شرکت پالایش نفت اصفهان</t>
        </is>
      </c>
      <c r="D16" s="92" t="inlineStr">
        <is>
          <t>1403/12/29</t>
        </is>
      </c>
      <c r="E16" s="92" t="inlineStr">
        <is>
          <t>1404/12/29</t>
        </is>
      </c>
      <c r="F16" s="92" t="inlineStr">
        <is>
          <t>1403/12/30</t>
        </is>
      </c>
      <c r="G16" s="92" t="inlineStr">
        <is>
          <t>پایان کامل سال تقویمی 1403 (کبیسه)</t>
        </is>
      </c>
      <c r="H16" s="92" t="inlineStr">
        <is>
          <t>استنباط تقویمی؛ سند صریح در این فایل ثبت نشده</t>
        </is>
      </c>
      <c r="I16" s="92" t="inlineStr">
        <is>
          <t>1404/12/29</t>
        </is>
      </c>
      <c r="J16" s="92" t="inlineStr">
        <is>
          <t>تایید شده از سند؛ SRC_SHPN_1404_001</t>
        </is>
      </c>
      <c r="K16" s="92" t="n">
        <v>1</v>
      </c>
      <c r="L16" s="92" t="n">
        <v>0</v>
      </c>
      <c r="M16" s="92" t="inlineStr">
        <is>
          <t>پایان یکسان؛ مبنا با یک روز اختلاف (1403/12/29 در برابر 1403/12/30)</t>
        </is>
      </c>
      <c r="N16" s="92" t="inlineStr">
        <is>
          <t>بله</t>
        </is>
      </c>
      <c r="O16" s="92" t="inlineStr">
        <is>
          <t>ستون شروع سال مالی در v41 برابر 1403/12/30 است ولی شروع سال 1404 روز 1404/01/01 است؛ مقدار v41 دست نخورد</t>
        </is>
      </c>
      <c r="P16" s="92" t="n">
        <v>2</v>
      </c>
      <c r="Q16" s="92" t="n">
        <v>5</v>
      </c>
      <c r="R16" s="92" t="inlineStr">
        <is>
          <t>1294677 (1403/11/03)</t>
        </is>
      </c>
      <c r="S16" s="92" t="inlineStr">
        <is>
          <t>1428503 (1404/08/07)</t>
        </is>
      </c>
      <c r="T16" s="92" t="inlineStr">
        <is>
          <t>فقط اعداد تجمیعی ارثی؛ فهرست اسمی در دسترس نیست</t>
        </is>
      </c>
      <c r="U16" s="92" t="inlineStr">
        <is>
          <t>نامشخص: فهرست اسمی FY1403 در فایل نیست</t>
        </is>
      </c>
      <c r="V16" s="92" t="inlineStr">
        <is>
          <t>5 نام در v41؛ مقطع 1404/12/29</t>
        </is>
      </c>
      <c r="W16" s="92" t="inlineStr">
        <is>
          <t>خیر</t>
        </is>
      </c>
      <c r="X16" s="92" t="inlineStr"/>
    </row>
    <row r="17" ht="60" customHeight="1" s="76">
      <c r="A17" s="92" t="inlineStr">
        <is>
          <t>F14</t>
        </is>
      </c>
      <c r="B17" s="92" t="inlineStr">
        <is>
          <t>وغدیر</t>
        </is>
      </c>
      <c r="C17" s="92" t="inlineStr">
        <is>
          <t>شرکت سرمایه گذاری غدیر</t>
        </is>
      </c>
      <c r="D17" s="92" t="inlineStr">
        <is>
          <t>1403/12/29</t>
        </is>
      </c>
      <c r="E17" s="92" t="inlineStr">
        <is>
          <t>1404/12/29</t>
        </is>
      </c>
      <c r="F17" s="92" t="inlineStr">
        <is>
          <t>1403/09/30</t>
        </is>
      </c>
      <c r="G17" s="92" t="inlineStr">
        <is>
          <t>یک روز پیش از شروع FY1404 در v41</t>
        </is>
      </c>
      <c r="H17" s="92" t="inlineStr">
        <is>
          <t>استنباط تقویمی؛ سند صریح در این فایل ثبت نشده</t>
        </is>
      </c>
      <c r="I17" s="92" t="inlineStr">
        <is>
          <t>1404/09/30</t>
        </is>
      </c>
      <c r="J17" s="92" t="inlineStr">
        <is>
          <t>تایید شده از سند؛ SRC_VGHD_1404_001</t>
        </is>
      </c>
      <c r="K17" s="92" t="n">
        <v>-89</v>
      </c>
      <c r="L17" s="92" t="n">
        <v>-89</v>
      </c>
      <c r="M17" s="92" t="inlineStr">
        <is>
          <t>پایان و مبنا متفاوت</t>
        </is>
      </c>
      <c r="N17" s="92" t="inlineStr">
        <is>
          <t>بله</t>
        </is>
      </c>
      <c r="O17" s="92" t="inlineStr">
        <is>
          <t>تاریخ ها در تقویم معتبرند؛ مقاطع مشترک با پایان دوره مالی این شرکت یکی نیستند</t>
        </is>
      </c>
      <c r="P17" s="92" t="n">
        <v>3</v>
      </c>
      <c r="Q17" s="92" t="n">
        <v>1</v>
      </c>
      <c r="R17" s="92" t="inlineStr">
        <is>
          <t>1307841 (1403/11/27)</t>
        </is>
      </c>
      <c r="S17" s="92" t="inlineStr">
        <is>
          <t>1405584 (1404/06/24)</t>
        </is>
      </c>
      <c r="T17" s="92" t="inlineStr">
        <is>
          <t>فقط اعداد تجمیعی ارثی؛ فهرست اسمی در دسترس نیست</t>
        </is>
      </c>
      <c r="U17" s="92" t="inlineStr">
        <is>
          <t>نامشخص: فهرست اسمی FY1403 در فایل نیست</t>
        </is>
      </c>
      <c r="V17" s="92" t="inlineStr">
        <is>
          <t>5 نام در v41؛ مقطع 1404/09/30</t>
        </is>
      </c>
      <c r="W17" s="92" t="inlineStr">
        <is>
          <t>خیر</t>
        </is>
      </c>
      <c r="X17" s="92" t="inlineStr"/>
    </row>
    <row r="18" ht="60" customHeight="1" s="76">
      <c r="A18" s="92" t="inlineStr">
        <is>
          <t>F15</t>
        </is>
      </c>
      <c r="B18" s="92" t="inlineStr">
        <is>
          <t>نوری</t>
        </is>
      </c>
      <c r="C18" s="92" t="inlineStr">
        <is>
          <t>شرکت پتروشیمی نوری</t>
        </is>
      </c>
      <c r="D18" s="92" t="inlineStr">
        <is>
          <t>1403/12/29</t>
        </is>
      </c>
      <c r="E18" s="92" t="inlineStr">
        <is>
          <t>1404/12/29</t>
        </is>
      </c>
      <c r="F18" s="92" t="inlineStr">
        <is>
          <t>1403/12/30</t>
        </is>
      </c>
      <c r="G18" s="92" t="inlineStr">
        <is>
          <t>پایان کامل سال تقویمی 1403 (کبیسه)</t>
        </is>
      </c>
      <c r="H18" s="92" t="inlineStr">
        <is>
          <t>استنباط تقویمی؛ سند صریح در این فایل ثبت نشده</t>
        </is>
      </c>
      <c r="I18" s="92" t="inlineStr">
        <is>
          <t>1404/12/29</t>
        </is>
      </c>
      <c r="J18" s="92" t="inlineStr">
        <is>
          <t>تایید شده از سند؛ SRC_NOOR_1404_007</t>
        </is>
      </c>
      <c r="K18" s="92" t="n">
        <v>1</v>
      </c>
      <c r="L18" s="92" t="n">
        <v>0</v>
      </c>
      <c r="M18" s="92" t="inlineStr">
        <is>
          <t>پایان یکسان؛ مبنا با یک روز اختلاف (1403/12/29 در برابر 1403/12/30)</t>
        </is>
      </c>
      <c r="N18" s="92" t="inlineStr">
        <is>
          <t>بله</t>
        </is>
      </c>
      <c r="O18" s="92" t="inlineStr">
        <is>
          <t>ستون شروع سال مالی در v41 برابر 1403/12/30 است ولی شروع سال 1404 روز 1404/01/01 است؛ مقدار v41 دست نخورد</t>
        </is>
      </c>
      <c r="P18" s="92" t="n">
        <v>6</v>
      </c>
      <c r="Q18" s="92" t="n">
        <v>1</v>
      </c>
      <c r="R18" s="92" t="inlineStr">
        <is>
          <t>1289837 (1403/10/09)</t>
        </is>
      </c>
      <c r="S18" s="92" t="inlineStr">
        <is>
          <t>1494196 (1404/12/04)</t>
        </is>
      </c>
      <c r="T18" s="92" t="inlineStr">
        <is>
          <t>فقط اعداد تجمیعی ارثی؛ فهرست اسمی در دسترس نیست</t>
        </is>
      </c>
      <c r="U18" s="92" t="inlineStr">
        <is>
          <t>نامشخص: فهرست اسمی FY1403 در فایل نیست</t>
        </is>
      </c>
      <c r="V18" s="92" t="inlineStr">
        <is>
          <t>5 نام در v41؛ مقطع 1404/12/29</t>
        </is>
      </c>
      <c r="W18" s="92" t="inlineStr">
        <is>
          <t>خیر</t>
        </is>
      </c>
      <c r="X18" s="92" t="inlineStr"/>
    </row>
    <row r="19" ht="60" customHeight="1" s="76">
      <c r="A19" s="92" t="inlineStr">
        <is>
          <t>F16</t>
        </is>
      </c>
      <c r="B19" s="92" t="inlineStr">
        <is>
          <t>فولاد</t>
        </is>
      </c>
      <c r="C19" s="92" t="inlineStr">
        <is>
          <t>شرکت فولاد مبارکه اصفهان</t>
        </is>
      </c>
      <c r="D19" s="92" t="inlineStr">
        <is>
          <t>1403/12/29</t>
        </is>
      </c>
      <c r="E19" s="92" t="inlineStr">
        <is>
          <t>1404/12/29</t>
        </is>
      </c>
      <c r="F19" s="92" t="inlineStr">
        <is>
          <t>1403/12/30</t>
        </is>
      </c>
      <c r="G19" s="92" t="inlineStr">
        <is>
          <t>پایان کامل سال تقویمی 1403 (کبیسه)</t>
        </is>
      </c>
      <c r="H19" s="92" t="inlineStr">
        <is>
          <t>استنباط تقویمی؛ سند صریح در این فایل ثبت نشده</t>
        </is>
      </c>
      <c r="I19" s="92" t="inlineStr">
        <is>
          <t>1404/12/29</t>
        </is>
      </c>
      <c r="J19" s="92" t="inlineStr">
        <is>
          <t>تایید شده از سند؛ SRC_FOLD_1404_002</t>
        </is>
      </c>
      <c r="K19" s="92" t="n">
        <v>1</v>
      </c>
      <c r="L19" s="92" t="n">
        <v>0</v>
      </c>
      <c r="M19" s="92" t="inlineStr">
        <is>
          <t>پایان یکسان؛ مبنا با یک روز اختلاف (1403/12/29 در برابر 1403/12/30)</t>
        </is>
      </c>
      <c r="N19" s="92" t="inlineStr">
        <is>
          <t>بله</t>
        </is>
      </c>
      <c r="O19" s="92" t="inlineStr">
        <is>
          <t>ستون شروع سال مالی در v41 برابر 1403/12/30 است ولی شروع سال 1404 روز 1404/01/01 است؛ مقدار v41 دست نخورد</t>
        </is>
      </c>
      <c r="P19" s="92" t="n">
        <v>5</v>
      </c>
      <c r="Q19" s="92" t="n">
        <v>0</v>
      </c>
      <c r="R19" s="92" t="inlineStr">
        <is>
          <t>1310030 (1403/12/01)</t>
        </is>
      </c>
      <c r="S19" s="92" t="inlineStr">
        <is>
          <t>1464295 (1404/10/04)</t>
        </is>
      </c>
      <c r="T19" s="92" t="inlineStr">
        <is>
          <t>فقط اعداد تجمیعی ارثی؛ فهرست اسمی در دسترس نیست</t>
        </is>
      </c>
      <c r="U19" s="92" t="inlineStr">
        <is>
          <t>نامشخص: فهرست اسمی FY1403 در فایل نیست</t>
        </is>
      </c>
      <c r="V19" s="92" t="inlineStr">
        <is>
          <t>5 نام در v41؛ مقطع 1404/12/29</t>
        </is>
      </c>
      <c r="W19" s="92" t="inlineStr">
        <is>
          <t>خیر</t>
        </is>
      </c>
      <c r="X19" s="92" t="inlineStr"/>
    </row>
    <row r="20" ht="60" customHeight="1" s="76">
      <c r="A20" s="92" t="inlineStr">
        <is>
          <t>F17</t>
        </is>
      </c>
      <c r="B20" s="92" t="inlineStr">
        <is>
          <t>کچاد</t>
        </is>
      </c>
      <c r="C20" s="92" t="inlineStr">
        <is>
          <t>شرکت معدنی و صنعتی چادرملو</t>
        </is>
      </c>
      <c r="D20" s="92" t="inlineStr">
        <is>
          <t>1403/12/29</t>
        </is>
      </c>
      <c r="E20" s="92" t="inlineStr">
        <is>
          <t>1404/12/29</t>
        </is>
      </c>
      <c r="F20" s="92" t="inlineStr">
        <is>
          <t>1403/12/30</t>
        </is>
      </c>
      <c r="G20" s="92" t="inlineStr">
        <is>
          <t>یک روز پیش از شروع FY1404 در v41</t>
        </is>
      </c>
      <c r="H20" s="92" t="inlineStr">
        <is>
          <t>استنباط تقویمی؛ سند صریح در این فایل ثبت نشده</t>
        </is>
      </c>
      <c r="I20" s="92" t="inlineStr">
        <is>
          <t>1404/09/30</t>
        </is>
      </c>
      <c r="J20" s="92" t="inlineStr">
        <is>
          <t>تایید شده از سند؛ SRC_KCHD_1404_001</t>
        </is>
      </c>
      <c r="K20" s="92" t="n">
        <v>1</v>
      </c>
      <c r="L20" s="92" t="n">
        <v>-89</v>
      </c>
      <c r="M20" s="92" t="inlineStr">
        <is>
          <t>پایان و مبنا متفاوت</t>
        </is>
      </c>
      <c r="N20" s="92" t="inlineStr">
        <is>
          <t>بله</t>
        </is>
      </c>
      <c r="O20" s="92" t="inlineStr">
        <is>
          <t>تاریخ ها در تقویم معتبرند؛ مقاطع مشترک با پایان دوره مالی این شرکت یکی نیستند</t>
        </is>
      </c>
      <c r="P20" s="92" t="n">
        <v>4</v>
      </c>
      <c r="Q20" s="92" t="n">
        <v>0</v>
      </c>
      <c r="R20" s="92" t="inlineStr">
        <is>
          <t>1287746 (1403/10/05)</t>
        </is>
      </c>
      <c r="S20" s="92" t="inlineStr">
        <is>
          <t>1473973 (1404/10/29)</t>
        </is>
      </c>
      <c r="T20" s="92" t="inlineStr">
        <is>
          <t>دو فهرست اسمی کامل</t>
        </is>
      </c>
      <c r="U20" s="92" t="inlineStr">
        <is>
          <t>نامشخص: فهرست اسمی FY1403 در فایل نیست</t>
        </is>
      </c>
      <c r="V20" s="92" t="inlineStr">
        <is>
          <t>5 نام در v41؛ مقطع 1404/09/30</t>
        </is>
      </c>
      <c r="W20" s="92" t="inlineStr">
        <is>
          <t>خیر</t>
        </is>
      </c>
      <c r="X20" s="92" t="inlineStr">
        <is>
          <t>دوره 9 ماهه به دلیل تغییر سال مالی؛ پایان FY1403 پایان اسفند 1403 است</t>
        </is>
      </c>
    </row>
    <row r="21" ht="60" customHeight="1" s="76">
      <c r="A21" s="92" t="inlineStr">
        <is>
          <t>F18</t>
        </is>
      </c>
      <c r="B21" s="92" t="inlineStr">
        <is>
          <t>کگل</t>
        </is>
      </c>
      <c r="C21" s="92" t="inlineStr">
        <is>
          <t>شرکت معدنی و صنعتی گل گهر</t>
        </is>
      </c>
      <c r="D21" s="92" t="inlineStr">
        <is>
          <t>1403/12/29</t>
        </is>
      </c>
      <c r="E21" s="92" t="inlineStr">
        <is>
          <t>1404/12/29</t>
        </is>
      </c>
      <c r="F21" s="92" t="inlineStr">
        <is>
          <t>1403/12/30</t>
        </is>
      </c>
      <c r="G21" s="92" t="inlineStr">
        <is>
          <t>یک روز پیش از شروع FY1404 در v41</t>
        </is>
      </c>
      <c r="H21" s="92" t="inlineStr">
        <is>
          <t>استنباط تقویمی؛ سند صریح در این فایل ثبت نشده</t>
        </is>
      </c>
      <c r="I21" s="92" t="inlineStr">
        <is>
          <t>1404/09/30</t>
        </is>
      </c>
      <c r="J21" s="92" t="inlineStr">
        <is>
          <t>تایید شده از سند؛ SRC_KGOL_1404_001</t>
        </is>
      </c>
      <c r="K21" s="92" t="n">
        <v>1</v>
      </c>
      <c r="L21" s="92" t="n">
        <v>-89</v>
      </c>
      <c r="M21" s="92" t="inlineStr">
        <is>
          <t>پایان و مبنا متفاوت</t>
        </is>
      </c>
      <c r="N21" s="92" t="inlineStr">
        <is>
          <t>بله</t>
        </is>
      </c>
      <c r="O21" s="92" t="inlineStr">
        <is>
          <t>تاریخ ها در تقویم معتبرند؛ مقاطع مشترک با پایان دوره مالی این شرکت یکی نیستند</t>
        </is>
      </c>
      <c r="P21" s="92" t="n">
        <v>2</v>
      </c>
      <c r="Q21" s="92" t="n">
        <v>0</v>
      </c>
      <c r="R21" s="92" t="inlineStr">
        <is>
          <t>1319449 (1403/12/19)</t>
        </is>
      </c>
      <c r="S21" s="92" t="inlineStr">
        <is>
          <t>1414920 (1404/07/14)</t>
        </is>
      </c>
      <c r="T21" s="92" t="inlineStr">
        <is>
          <t>فقط اعداد تجمیعی ارثی؛ فهرست اسمی در دسترس نیست</t>
        </is>
      </c>
      <c r="U21" s="92" t="inlineStr">
        <is>
          <t>نامشخص: فهرست اسمی FY1403 در فایل نیست</t>
        </is>
      </c>
      <c r="V21" s="92" t="inlineStr">
        <is>
          <t>5 نام در v41؛ مقطع 1404/09/30</t>
        </is>
      </c>
      <c r="W21" s="92" t="inlineStr">
        <is>
          <t>خیر</t>
        </is>
      </c>
      <c r="X21" s="92" t="inlineStr">
        <is>
          <t>دوره 9 ماهه به دلیل تغییر سال مالی؛ پایان FY1403 پایان اسفند 1403 است</t>
        </is>
      </c>
    </row>
    <row r="22" ht="60" customHeight="1" s="76">
      <c r="A22" s="92" t="inlineStr">
        <is>
          <t>F19</t>
        </is>
      </c>
      <c r="B22" s="92" t="inlineStr">
        <is>
          <t>پارسان</t>
        </is>
      </c>
      <c r="C22" s="92" t="inlineStr">
        <is>
          <t>شرکت گروه گسترش نفت و گاز پارسیان</t>
        </is>
      </c>
      <c r="D22" s="92" t="inlineStr">
        <is>
          <t>1403/12/29</t>
        </is>
      </c>
      <c r="E22" s="92" t="inlineStr">
        <is>
          <t>1404/12/29</t>
        </is>
      </c>
      <c r="F22" s="92" t="inlineStr">
        <is>
          <t>1403/06/31</t>
        </is>
      </c>
      <c r="G22" s="92" t="inlineStr">
        <is>
          <t>یک روز پیش از شروع FY1404 در v41</t>
        </is>
      </c>
      <c r="H22" s="92" t="inlineStr">
        <is>
          <t>استنباط تقویمی؛ سند صریح در این فایل ثبت نشده</t>
        </is>
      </c>
      <c r="I22" s="92" t="inlineStr">
        <is>
          <t>1404/06/31</t>
        </is>
      </c>
      <c r="J22" s="92" t="inlineStr">
        <is>
          <t>تایید شده از سند؛ SRC_PRSN_1404_007</t>
        </is>
      </c>
      <c r="K22" s="92" t="n">
        <v>-179</v>
      </c>
      <c r="L22" s="92" t="n">
        <v>-179</v>
      </c>
      <c r="M22" s="92" t="inlineStr">
        <is>
          <t>پایان و مبنا متفاوت</t>
        </is>
      </c>
      <c r="N22" s="92" t="inlineStr">
        <is>
          <t>بله</t>
        </is>
      </c>
      <c r="O22" s="92" t="inlineStr">
        <is>
          <t>تاریخ ها در تقویم معتبرند؛ مقاطع مشترک با پایان دوره مالی این شرکت یکی نیستند</t>
        </is>
      </c>
      <c r="P22" s="92" t="n">
        <v>7</v>
      </c>
      <c r="Q22" s="92" t="n">
        <v>3</v>
      </c>
      <c r="R22" s="92" t="inlineStr">
        <is>
          <t>1288275 (1403/10/05)</t>
        </is>
      </c>
      <c r="S22" s="92" t="inlineStr">
        <is>
          <t>1451719 (1404/09/17)</t>
        </is>
      </c>
      <c r="T22" s="92" t="inlineStr">
        <is>
          <t>دو فهرست اسمی کامل با حساسیت ثبت شده</t>
        </is>
      </c>
      <c r="U22" s="92" t="inlineStr">
        <is>
          <t>نامشخص: فهرست اسمی FY1403 در فایل نیست</t>
        </is>
      </c>
      <c r="V22" s="92" t="inlineStr">
        <is>
          <t>5 نام در v41؛ مقطع 1404/06/31</t>
        </is>
      </c>
      <c r="W22" s="92" t="inlineStr">
        <is>
          <t>خیر</t>
        </is>
      </c>
      <c r="X22" s="92" t="inlineStr"/>
    </row>
    <row r="23" ht="60" customHeight="1" s="76">
      <c r="A23" s="92" t="inlineStr">
        <is>
          <t>F20</t>
        </is>
      </c>
      <c r="B23" s="92" t="inlineStr">
        <is>
          <t>اخابر</t>
        </is>
      </c>
      <c r="C23" s="92" t="inlineStr">
        <is>
          <t>شرکت مخابرات ایران</t>
        </is>
      </c>
      <c r="D23" s="92" t="inlineStr">
        <is>
          <t>1403/12/29</t>
        </is>
      </c>
      <c r="E23" s="92" t="inlineStr">
        <is>
          <t>1404/12/29</t>
        </is>
      </c>
      <c r="F23" s="92" t="inlineStr">
        <is>
          <t>1403/12/30</t>
        </is>
      </c>
      <c r="G23" s="92" t="inlineStr">
        <is>
          <t>پایان کامل سال تقویمی 1403 (کبیسه)</t>
        </is>
      </c>
      <c r="H23" s="92" t="inlineStr">
        <is>
          <t>استنباط تقویمی؛ سند صریح در این فایل ثبت نشده</t>
        </is>
      </c>
      <c r="I23" s="92" t="inlineStr">
        <is>
          <t>1404/12/29</t>
        </is>
      </c>
      <c r="J23" s="92" t="inlineStr">
        <is>
          <t>تایید شده از سند؛ SRC_AKHB_1404_001</t>
        </is>
      </c>
      <c r="K23" s="92" t="n">
        <v>1</v>
      </c>
      <c r="L23" s="92" t="n">
        <v>0</v>
      </c>
      <c r="M23" s="92" t="inlineStr">
        <is>
          <t>پایان یکسان؛ مبنا با یک روز اختلاف (1403/12/29 در برابر 1403/12/30)</t>
        </is>
      </c>
      <c r="N23" s="92" t="inlineStr">
        <is>
          <t>بله</t>
        </is>
      </c>
      <c r="O23" s="92" t="inlineStr">
        <is>
          <t>ستون شروع سال مالی در v41 برابر 1403/12/30 است ولی شروع سال 1404 روز 1404/01/01 است؛ مقدار v41 دست نخورد</t>
        </is>
      </c>
      <c r="P23" s="92" t="n">
        <v>3</v>
      </c>
      <c r="Q23" s="92" t="n">
        <v>0</v>
      </c>
      <c r="R23" s="92" t="inlineStr">
        <is>
          <t>1286343 (1403/10/02)</t>
        </is>
      </c>
      <c r="S23" s="92" t="inlineStr">
        <is>
          <t>1432680 (1404/08/14)</t>
        </is>
      </c>
      <c r="T23" s="92" t="inlineStr">
        <is>
          <t>فقط اعداد تجمیعی ارثی؛ فهرست اسمی در دسترس نیست</t>
        </is>
      </c>
      <c r="U23" s="92" t="inlineStr">
        <is>
          <t>نامشخص: فهرست اسمی FY1403 در فایل نیست</t>
        </is>
      </c>
      <c r="V23" s="92" t="inlineStr">
        <is>
          <t>5 نام در v41؛ مقطع 1404/12/29</t>
        </is>
      </c>
      <c r="W23" s="92" t="inlineStr">
        <is>
          <t>خیر</t>
        </is>
      </c>
      <c r="X23" s="92" t="inlineStr"/>
    </row>
    <row r="24" ht="60" customHeight="1" s="76">
      <c r="A24" s="92" t="inlineStr">
        <is>
          <t>F21</t>
        </is>
      </c>
      <c r="B24" s="92" t="inlineStr">
        <is>
          <t>جم</t>
        </is>
      </c>
      <c r="C24" s="92" t="inlineStr">
        <is>
          <t>شرکت پترو شیمی جم</t>
        </is>
      </c>
      <c r="D24" s="92" t="inlineStr">
        <is>
          <t>1403/12/29</t>
        </is>
      </c>
      <c r="E24" s="92" t="inlineStr">
        <is>
          <t>1404/12/29</t>
        </is>
      </c>
      <c r="F24" s="92" t="inlineStr">
        <is>
          <t>1403/12/30</t>
        </is>
      </c>
      <c r="G24" s="92" t="inlineStr">
        <is>
          <t>پایان کامل سال تقویمی 1403 (کبیسه)</t>
        </is>
      </c>
      <c r="H24" s="92" t="inlineStr">
        <is>
          <t>استنباط تقویمی؛ سند صریح در این فایل ثبت نشده</t>
        </is>
      </c>
      <c r="I24" s="92" t="inlineStr">
        <is>
          <t>1404/12/29</t>
        </is>
      </c>
      <c r="J24" s="92" t="inlineStr">
        <is>
          <t>تایید شده از سند؛ SRC_JAM_1404_001</t>
        </is>
      </c>
      <c r="K24" s="92" t="n">
        <v>1</v>
      </c>
      <c r="L24" s="92" t="n">
        <v>0</v>
      </c>
      <c r="M24" s="92" t="inlineStr">
        <is>
          <t>پایان یکسان؛ مبنا با یک روز اختلاف (1403/12/29 در برابر 1403/12/30)</t>
        </is>
      </c>
      <c r="N24" s="92" t="inlineStr">
        <is>
          <t>بله</t>
        </is>
      </c>
      <c r="O24" s="92" t="inlineStr">
        <is>
          <t>ستون شروع سال مالی در v41 برابر 1403/12/30 است ولی شروع سال 1404 روز 1404/01/01 است؛ مقدار v41 دست نخورد</t>
        </is>
      </c>
      <c r="P24" s="92" t="n">
        <v>3</v>
      </c>
      <c r="Q24" s="92" t="n">
        <v>3</v>
      </c>
      <c r="R24" s="92" t="inlineStr">
        <is>
          <t>1171265 (1402/12/28)</t>
        </is>
      </c>
      <c r="S24" s="92" t="inlineStr">
        <is>
          <t>1407198 (1404/06/29)</t>
        </is>
      </c>
      <c r="T24" s="92" t="inlineStr">
        <is>
          <t>دو فهرست اسمی کامل با حساسیت ثبت شده</t>
        </is>
      </c>
      <c r="U24" s="92" t="inlineStr">
        <is>
          <t>نامشخص: فهرست اسمی FY1403 در فایل نیست</t>
        </is>
      </c>
      <c r="V24" s="92" t="inlineStr">
        <is>
          <t>5 نام در v41؛ مقطع 1404/12/29</t>
        </is>
      </c>
      <c r="W24" s="92" t="inlineStr">
        <is>
          <t>خیر</t>
        </is>
      </c>
      <c r="X24" s="92" t="inlineStr"/>
    </row>
    <row r="25" ht="60" customHeight="1" s="76">
      <c r="A25" s="92" t="inlineStr">
        <is>
          <t>F22</t>
        </is>
      </c>
      <c r="B25" s="92" t="inlineStr">
        <is>
          <t>ومعادن</t>
        </is>
      </c>
      <c r="C25" s="92" t="inlineStr">
        <is>
          <t>شرکت سرمایه گذاری توسعه معادن و فلزات</t>
        </is>
      </c>
      <c r="D25" s="92" t="inlineStr">
        <is>
          <t>1403/12/29</t>
        </is>
      </c>
      <c r="E25" s="92" t="inlineStr">
        <is>
          <t>1404/12/29</t>
        </is>
      </c>
      <c r="F25" s="92" t="inlineStr">
        <is>
          <t>1403/12/30</t>
        </is>
      </c>
      <c r="G25" s="92" t="inlineStr">
        <is>
          <t>پایان کامل سال تقویمی 1403 (کبیسه)</t>
        </is>
      </c>
      <c r="H25" s="92" t="inlineStr">
        <is>
          <t>استنباط تقویمی؛ سند صریح در این فایل ثبت نشده</t>
        </is>
      </c>
      <c r="I25" s="92" t="inlineStr">
        <is>
          <t>1404/12/29</t>
        </is>
      </c>
      <c r="J25" s="92" t="inlineStr">
        <is>
          <t>تایید شده از سند؛ SRC_VMDN_1404_001</t>
        </is>
      </c>
      <c r="K25" s="92" t="n">
        <v>1</v>
      </c>
      <c r="L25" s="92" t="n">
        <v>0</v>
      </c>
      <c r="M25" s="92" t="inlineStr">
        <is>
          <t>پایان یکسان؛ مبنا با یک روز اختلاف (1403/12/29 در برابر 1403/12/30)</t>
        </is>
      </c>
      <c r="N25" s="92" t="inlineStr">
        <is>
          <t>بله</t>
        </is>
      </c>
      <c r="O25" s="92" t="inlineStr">
        <is>
          <t>ستون شروع سال مالی در v41 برابر 1403/12/30 است ولی شروع سال 1404 روز 1404/01/01 است؛ مقدار v41 دست نخورد</t>
        </is>
      </c>
      <c r="P25" s="92" t="n">
        <v>2</v>
      </c>
      <c r="Q25" s="92" t="n">
        <v>0</v>
      </c>
      <c r="R25" s="92" t="inlineStr">
        <is>
          <t>1316138 (1403/12/13)</t>
        </is>
      </c>
      <c r="S25" s="92" t="inlineStr">
        <is>
          <t>1426875 (1404/08/05)</t>
        </is>
      </c>
      <c r="T25" s="92" t="inlineStr">
        <is>
          <t>فقط اعداد تجمیعی ارثی؛ فهرست اسمی در دسترس نیست</t>
        </is>
      </c>
      <c r="U25" s="92" t="inlineStr">
        <is>
          <t>نامشخص: فهرست اسمی FY1403 در فایل نیست</t>
        </is>
      </c>
      <c r="V25" s="92" t="inlineStr">
        <is>
          <t>5 نام در v41؛ مقطع 1404/12/29</t>
        </is>
      </c>
      <c r="W25" s="92" t="inlineStr">
        <is>
          <t>خیر</t>
        </is>
      </c>
      <c r="X25" s="92" t="inlineStr"/>
    </row>
    <row r="26" ht="60" customHeight="1" s="76">
      <c r="A26" s="92" t="inlineStr">
        <is>
          <t>F23</t>
        </is>
      </c>
      <c r="B26" s="92" t="inlineStr">
        <is>
          <t>وامید</t>
        </is>
      </c>
      <c r="C26" s="92" t="inlineStr">
        <is>
          <t>شرکت گروه مدیریت سرمایه گذاری امید</t>
        </is>
      </c>
      <c r="D26" s="92" t="inlineStr">
        <is>
          <t>1403/12/29</t>
        </is>
      </c>
      <c r="E26" s="92" t="inlineStr">
        <is>
          <t>1404/12/29</t>
        </is>
      </c>
      <c r="F26" s="92" t="inlineStr">
        <is>
          <t>1403/10/30</t>
        </is>
      </c>
      <c r="G26" s="92" t="inlineStr">
        <is>
          <t>یک روز پیش از شروع FY1404 در v41</t>
        </is>
      </c>
      <c r="H26" s="92" t="inlineStr">
        <is>
          <t>استنباط تقویمی؛ سند صریح در این فایل ثبت نشده</t>
        </is>
      </c>
      <c r="I26" s="92" t="inlineStr">
        <is>
          <t>1404/10/30</t>
        </is>
      </c>
      <c r="J26" s="92" t="inlineStr">
        <is>
          <t>تایید شده از سند؛ SRC_VAMD_1404_001</t>
        </is>
      </c>
      <c r="K26" s="92" t="n">
        <v>-59</v>
      </c>
      <c r="L26" s="92" t="n">
        <v>-59</v>
      </c>
      <c r="M26" s="92" t="inlineStr">
        <is>
          <t>پایان و مبنا متفاوت</t>
        </is>
      </c>
      <c r="N26" s="92" t="inlineStr">
        <is>
          <t>بله</t>
        </is>
      </c>
      <c r="O26" s="92" t="inlineStr">
        <is>
          <t>تاریخ ها در تقویم معتبرند؛ مقاطع مشترک با پایان دوره مالی این شرکت یکی نیستند</t>
        </is>
      </c>
      <c r="P26" s="92" t="n">
        <v>2</v>
      </c>
      <c r="Q26" s="92" t="n">
        <v>2</v>
      </c>
      <c r="R26" s="92" t="inlineStr">
        <is>
          <t>1300475 (1403/11/03)</t>
        </is>
      </c>
      <c r="S26" s="92" t="inlineStr">
        <is>
          <t>1401521 (1404/06/12)</t>
        </is>
      </c>
      <c r="T26" s="92" t="inlineStr">
        <is>
          <t>فقط اعداد تجمیعی ارثی؛ فهرست اسمی در دسترس نیست</t>
        </is>
      </c>
      <c r="U26" s="92" t="inlineStr">
        <is>
          <t>نامشخص: فهرست اسمی FY1403 در فایل نیست</t>
        </is>
      </c>
      <c r="V26" s="92" t="inlineStr">
        <is>
          <t>5 نام در v41؛ مقطع 1404/10/30</t>
        </is>
      </c>
      <c r="W26" s="92" t="inlineStr">
        <is>
          <t>خیر</t>
        </is>
      </c>
      <c r="X26" s="92" t="inlineStr"/>
    </row>
    <row r="27" ht="60" customHeight="1" s="76">
      <c r="A27" s="92" t="inlineStr">
        <is>
          <t>F24</t>
        </is>
      </c>
      <c r="B27" s="92" t="inlineStr">
        <is>
          <t>خساپا</t>
        </is>
      </c>
      <c r="C27" s="92" t="inlineStr">
        <is>
          <t>شرکت ایرانی تولید اتومبیل سایپا</t>
        </is>
      </c>
      <c r="D27" s="92" t="inlineStr">
        <is>
          <t>1403/12/29</t>
        </is>
      </c>
      <c r="E27" s="92" t="inlineStr">
        <is>
          <t>1404/12/29</t>
        </is>
      </c>
      <c r="F27" s="92" t="inlineStr">
        <is>
          <t>1403/12/30</t>
        </is>
      </c>
      <c r="G27" s="92" t="inlineStr">
        <is>
          <t>پایان کامل سال تقویمی 1403 (کبیسه)</t>
        </is>
      </c>
      <c r="H27" s="92" t="inlineStr">
        <is>
          <t>استنباط تقویمی؛ سند صریح در این فایل ثبت نشده</t>
        </is>
      </c>
      <c r="I27" s="92" t="inlineStr">
        <is>
          <t>1404/12/29</t>
        </is>
      </c>
      <c r="J27" s="92" t="inlineStr">
        <is>
          <t>تایید شده از سند؛ SRC_KHSP_1404_001</t>
        </is>
      </c>
      <c r="K27" s="92" t="n">
        <v>1</v>
      </c>
      <c r="L27" s="92" t="n">
        <v>0</v>
      </c>
      <c r="M27" s="92" t="inlineStr">
        <is>
          <t>پایان یکسان؛ مبنا با یک روز اختلاف (1403/12/29 در برابر 1403/12/30)</t>
        </is>
      </c>
      <c r="N27" s="92" t="inlineStr">
        <is>
          <t>بله</t>
        </is>
      </c>
      <c r="O27" s="92" t="inlineStr">
        <is>
          <t>ستون شروع سال مالی در v41 برابر 1403/12/30 است ولی شروع سال 1404 روز 1404/01/01 است؛ مقدار v41 دست نخورد</t>
        </is>
      </c>
      <c r="P27" s="92" t="n">
        <v>2</v>
      </c>
      <c r="Q27" s="92" t="n">
        <v>2</v>
      </c>
      <c r="R27" s="92" t="inlineStr">
        <is>
          <t>1295938 (1403/11/03)</t>
        </is>
      </c>
      <c r="S27" s="92" t="inlineStr">
        <is>
          <t>1386511 (1404/05/15)</t>
        </is>
      </c>
      <c r="T27" s="92" t="inlineStr">
        <is>
          <t>دو فهرست اسمی کامل</t>
        </is>
      </c>
      <c r="U27" s="92" t="inlineStr">
        <is>
          <t>نامشخص: فهرست اسمی FY1403 در فایل نیست</t>
        </is>
      </c>
      <c r="V27" s="92" t="inlineStr">
        <is>
          <t>5 نام در v41؛ مقطع 1404/12/29</t>
        </is>
      </c>
      <c r="W27" s="92" t="inlineStr">
        <is>
          <t>خیر</t>
        </is>
      </c>
      <c r="X27" s="92" t="inlineStr"/>
    </row>
    <row r="28" ht="60" customHeight="1" s="76">
      <c r="A28" s="92" t="inlineStr">
        <is>
          <t>F25</t>
        </is>
      </c>
      <c r="B28" s="92" t="inlineStr">
        <is>
          <t>همراه</t>
        </is>
      </c>
      <c r="C28" s="92" t="inlineStr">
        <is>
          <t>شرکت ارتباطات سیار ایران</t>
        </is>
      </c>
      <c r="D28" s="92" t="inlineStr">
        <is>
          <t>1403/12/29</t>
        </is>
      </c>
      <c r="E28" s="92" t="inlineStr">
        <is>
          <t>1404/12/29</t>
        </is>
      </c>
      <c r="F28" s="92" t="inlineStr">
        <is>
          <t>1403/12/30</t>
        </is>
      </c>
      <c r="G28" s="92" t="inlineStr">
        <is>
          <t>پایان کامل سال تقویمی 1403 (کبیسه)</t>
        </is>
      </c>
      <c r="H28" s="92" t="inlineStr">
        <is>
          <t>استنباط تقویمی؛ سند صریح در این فایل ثبت نشده</t>
        </is>
      </c>
      <c r="I28" s="92" t="inlineStr">
        <is>
          <t>1404/12/29</t>
        </is>
      </c>
      <c r="J28" s="92" t="inlineStr">
        <is>
          <t>تایید شده از سند؛ SRC_HMRH_1404_001</t>
        </is>
      </c>
      <c r="K28" s="92" t="n">
        <v>1</v>
      </c>
      <c r="L28" s="92" t="n">
        <v>0</v>
      </c>
      <c r="M28" s="92" t="inlineStr">
        <is>
          <t>پایان یکسان؛ مبنا با یک روز اختلاف (1403/12/29 در برابر 1403/12/30)</t>
        </is>
      </c>
      <c r="N28" s="92" t="inlineStr">
        <is>
          <t>بله</t>
        </is>
      </c>
      <c r="O28" s="92" t="inlineStr">
        <is>
          <t>ستون شروع سال مالی در v41 برابر 1403/12/30 است ولی شروع سال 1404 روز 1404/01/01 است؛ مقدار v41 دست نخورد</t>
        </is>
      </c>
      <c r="P28" s="92" t="n">
        <v>1</v>
      </c>
      <c r="Q28" s="92" t="n">
        <v>2</v>
      </c>
      <c r="R28" s="92" t="inlineStr">
        <is>
          <t>1233276 (1403/05/22)</t>
        </is>
      </c>
      <c r="S28" s="92" t="inlineStr">
        <is>
          <t>1352932 (1404/03/21)</t>
        </is>
      </c>
      <c r="T28" s="92" t="inlineStr">
        <is>
          <t>فقط اعداد تجمیعی ارثی؛ فهرست اسمی در دسترس نیست</t>
        </is>
      </c>
      <c r="U28" s="92" t="inlineStr">
        <is>
          <t>نامشخص: فهرست اسمی FY1403 در فایل نیست</t>
        </is>
      </c>
      <c r="V28" s="92" t="inlineStr">
        <is>
          <t>5 نام در v41؛ مقطع 1404/12/29</t>
        </is>
      </c>
      <c r="W28" s="92" t="inlineStr">
        <is>
          <t>خیر</t>
        </is>
      </c>
      <c r="X28" s="92" t="inlineStr"/>
    </row>
    <row r="29" ht="60" customHeight="1" s="76">
      <c r="A29" s="92" t="inlineStr">
        <is>
          <t>F26</t>
        </is>
      </c>
      <c r="B29" s="92" t="inlineStr">
        <is>
          <t>وبملت</t>
        </is>
      </c>
      <c r="C29" s="92" t="inlineStr">
        <is>
          <t>شرکت بانک ملت</t>
        </is>
      </c>
      <c r="D29" s="92" t="inlineStr">
        <is>
          <t>1403/12/29</t>
        </is>
      </c>
      <c r="E29" s="92" t="inlineStr">
        <is>
          <t>1404/12/29</t>
        </is>
      </c>
      <c r="F29" s="92" t="inlineStr">
        <is>
          <t>1403/12/30</t>
        </is>
      </c>
      <c r="G29" s="92" t="inlineStr">
        <is>
          <t>پایان کامل سال تقویمی 1403 (کبیسه)</t>
        </is>
      </c>
      <c r="H29" s="92" t="inlineStr">
        <is>
          <t>استنباط تقویمی؛ سند صریح در این فایل ثبت نشده</t>
        </is>
      </c>
      <c r="I29" s="92" t="inlineStr">
        <is>
          <t>1404/12/29</t>
        </is>
      </c>
      <c r="J29" s="92" t="inlineStr">
        <is>
          <t>تایید شده از سند؛ SRC_MELT_1404_002</t>
        </is>
      </c>
      <c r="K29" s="92" t="n">
        <v>1</v>
      </c>
      <c r="L29" s="92" t="n">
        <v>0</v>
      </c>
      <c r="M29" s="92" t="inlineStr">
        <is>
          <t>پایان یکسان؛ مبنا با یک روز اختلاف (1403/12/29 در برابر 1403/12/30)</t>
        </is>
      </c>
      <c r="N29" s="92" t="inlineStr">
        <is>
          <t>بله</t>
        </is>
      </c>
      <c r="O29" s="92" t="inlineStr">
        <is>
          <t>ستون شروع سال مالی در v41 برابر 1403/12/30 است ولی شروع سال 1404 روز 1404/01/01 است؛ مقدار v41 دست نخورد</t>
        </is>
      </c>
      <c r="P29" s="92" t="n">
        <v>1</v>
      </c>
      <c r="Q29" s="92" t="n">
        <v>1</v>
      </c>
      <c r="R29" s="92" t="inlineStr">
        <is>
          <t>1313319 (1403/12/06)</t>
        </is>
      </c>
      <c r="S29" s="92" t="inlineStr">
        <is>
          <t>1397174 (1404/06/04)</t>
        </is>
      </c>
      <c r="T29" s="92" t="inlineStr">
        <is>
          <t>فقط اعداد تجمیعی ارثی؛ فهرست اسمی در دسترس نیست</t>
        </is>
      </c>
      <c r="U29" s="92" t="inlineStr">
        <is>
          <t>نامشخص: فهرست اسمی FY1403 در فایل نیست</t>
        </is>
      </c>
      <c r="V29" s="92" t="inlineStr">
        <is>
          <t>5 نام در v41؛ مقطع 1404/12/29</t>
        </is>
      </c>
      <c r="W29" s="92" t="inlineStr">
        <is>
          <t>خیر</t>
        </is>
      </c>
      <c r="X29" s="92" t="inlineStr"/>
    </row>
    <row r="30" ht="60" customHeight="1" s="76">
      <c r="A30" s="92" t="inlineStr">
        <is>
          <t>F27</t>
        </is>
      </c>
      <c r="B30" s="92" t="inlineStr">
        <is>
          <t>وبصادر</t>
        </is>
      </c>
      <c r="C30" s="92" t="inlineStr">
        <is>
          <t>شرکت بانک صادرات ایران</t>
        </is>
      </c>
      <c r="D30" s="92" t="inlineStr">
        <is>
          <t>1403/12/29</t>
        </is>
      </c>
      <c r="E30" s="92" t="inlineStr">
        <is>
          <t>1404/12/29</t>
        </is>
      </c>
      <c r="F30" s="92" t="inlineStr">
        <is>
          <t>1403/12/30</t>
        </is>
      </c>
      <c r="G30" s="92" t="inlineStr">
        <is>
          <t>پایان کامل سال تقویمی 1403 (کبیسه)</t>
        </is>
      </c>
      <c r="H30" s="92" t="inlineStr">
        <is>
          <t>استنباط تقویمی؛ سند صریح در این فایل ثبت نشده</t>
        </is>
      </c>
      <c r="I30" s="92" t="inlineStr">
        <is>
          <t>1404/12/29</t>
        </is>
      </c>
      <c r="J30" s="92" t="inlineStr">
        <is>
          <t>تایید شده از سند؛ SRC_VBSD_1404_001</t>
        </is>
      </c>
      <c r="K30" s="92" t="n">
        <v>1</v>
      </c>
      <c r="L30" s="92" t="n">
        <v>0</v>
      </c>
      <c r="M30" s="92" t="inlineStr">
        <is>
          <t>پایان یکسان؛ مبنا با یک روز اختلاف (1403/12/29 در برابر 1403/12/30)</t>
        </is>
      </c>
      <c r="N30" s="92" t="inlineStr">
        <is>
          <t>بله</t>
        </is>
      </c>
      <c r="O30" s="92" t="inlineStr">
        <is>
          <t>ستون شروع سال مالی در v41 برابر 1403/12/30 است ولی شروع سال 1404 روز 1404/01/01 است؛ مقدار v41 دست نخورد</t>
        </is>
      </c>
      <c r="P30" s="92" t="n">
        <v>0</v>
      </c>
      <c r="Q30" s="92" t="n">
        <v>3</v>
      </c>
      <c r="R30" s="92" t="inlineStr">
        <is>
          <t>1321081 (1403/12/22)</t>
        </is>
      </c>
      <c r="S30" s="92" t="inlineStr">
        <is>
          <t>1321081 (1403/12/22)</t>
        </is>
      </c>
      <c r="T30" s="92" t="inlineStr">
        <is>
          <t>فقط اعداد تجمیعی ارثی؛ فهرست اسمی در دسترس نیست</t>
        </is>
      </c>
      <c r="U30" s="92" t="inlineStr">
        <is>
          <t>نامشخص: فهرست اسمی FY1403 در فایل نیست</t>
        </is>
      </c>
      <c r="V30" s="92" t="inlineStr">
        <is>
          <t>5 نام در v41؛ مقطع 1404/12/29</t>
        </is>
      </c>
      <c r="W30" s="92" t="inlineStr">
        <is>
          <t>خیر</t>
        </is>
      </c>
      <c r="X30" s="92" t="inlineStr"/>
    </row>
    <row r="31" ht="60" customHeight="1" s="76">
      <c r="A31" s="92" t="inlineStr">
        <is>
          <t>F28</t>
        </is>
      </c>
      <c r="B31" s="92" t="inlineStr">
        <is>
          <t>وپاسار</t>
        </is>
      </c>
      <c r="C31" s="92" t="inlineStr">
        <is>
          <t>شرکت بانک پاسارگاد</t>
        </is>
      </c>
      <c r="D31" s="92" t="inlineStr">
        <is>
          <t>1403/12/29</t>
        </is>
      </c>
      <c r="E31" s="92" t="inlineStr">
        <is>
          <t>1404/12/29</t>
        </is>
      </c>
      <c r="F31" s="92" t="inlineStr">
        <is>
          <t>1403/12/30</t>
        </is>
      </c>
      <c r="G31" s="92" t="inlineStr">
        <is>
          <t>پایان کامل سال تقویمی 1403 (کبیسه)</t>
        </is>
      </c>
      <c r="H31" s="92" t="inlineStr">
        <is>
          <t>گزارش فعالیت 1396276 منتهی به 1403/12/30</t>
        </is>
      </c>
      <c r="I31" s="92" t="inlineStr">
        <is>
          <t>1404/12/29</t>
        </is>
      </c>
      <c r="J31" s="92" t="inlineStr">
        <is>
          <t>تایید نشده؛ ندارد</t>
        </is>
      </c>
      <c r="K31" s="92" t="n">
        <v>1</v>
      </c>
      <c r="L31" s="92" t="n">
        <v>0</v>
      </c>
      <c r="M31" s="92" t="inlineStr">
        <is>
          <t>پایان یکسان؛ مبنا با یک روز اختلاف (1403/12/29 در برابر 1403/12/30)</t>
        </is>
      </c>
      <c r="N31" s="92" t="inlineStr">
        <is>
          <t>بله</t>
        </is>
      </c>
      <c r="O31" s="92" t="inlineStr">
        <is>
          <t>ستون شروع سال مالی در v41 برابر 1403/12/30 است ولی شروع سال 1404 روز 1404/01/01 است؛ مقدار v41 دست نخورد</t>
        </is>
      </c>
      <c r="P31" s="92" t="n">
        <v>0</v>
      </c>
      <c r="Q31" s="92" t="n">
        <v>0</v>
      </c>
      <c r="R31" s="92" t="inlineStr">
        <is>
          <t>1039576 (1402/04/05)</t>
        </is>
      </c>
      <c r="S31" s="92" t="inlineStr">
        <is>
          <t>1039576 (1402/04/05)</t>
        </is>
      </c>
      <c r="T31" s="92" t="inlineStr">
        <is>
          <t>بدون داده کافی</t>
        </is>
      </c>
      <c r="U31" s="92" t="inlineStr">
        <is>
          <t>نامشخص: فهرست اسمی FY1403 در فایل نیست</t>
        </is>
      </c>
      <c r="V31" s="92" t="inlineStr">
        <is>
          <t>ندارد</t>
        </is>
      </c>
      <c r="W31" s="92" t="inlineStr">
        <is>
          <t>خیر</t>
        </is>
      </c>
      <c r="X31" s="92" t="inlineStr">
        <is>
          <t>پایان FY1404 در v41 تایید نشده است؛ مقطع مالی و مشترک هر دو بدون فهرست</t>
        </is>
      </c>
    </row>
    <row r="32" ht="60" customHeight="1" s="76">
      <c r="A32" s="92" t="inlineStr">
        <is>
          <t>F29</t>
        </is>
      </c>
      <c r="B32" s="92" t="inlineStr">
        <is>
          <t>حکشتی</t>
        </is>
      </c>
      <c r="C32" s="92" t="inlineStr">
        <is>
          <t>شرکت کشتیرانی جمهوری اسلامی ایران</t>
        </is>
      </c>
      <c r="D32" s="92" t="inlineStr">
        <is>
          <t>1403/12/29</t>
        </is>
      </c>
      <c r="E32" s="92" t="inlineStr">
        <is>
          <t>1404/12/29</t>
        </is>
      </c>
      <c r="F32" s="92" t="inlineStr">
        <is>
          <t>1403/03/31</t>
        </is>
      </c>
      <c r="G32" s="92" t="inlineStr">
        <is>
          <t>یک روز پیش از شروع FY1404 در v41</t>
        </is>
      </c>
      <c r="H32" s="92" t="inlineStr">
        <is>
          <t>استنباط تقویمی؛ سند صریح در این فایل ثبت نشده</t>
        </is>
      </c>
      <c r="I32" s="92" t="inlineStr">
        <is>
          <t>1404/03/31</t>
        </is>
      </c>
      <c r="J32" s="92" t="inlineStr">
        <is>
          <t>تایید شده از سند؛ SRC_HKSH_1404_002</t>
        </is>
      </c>
      <c r="K32" s="92" t="n">
        <v>-272</v>
      </c>
      <c r="L32" s="92" t="n">
        <v>-272</v>
      </c>
      <c r="M32" s="92" t="inlineStr">
        <is>
          <t>پایان و مبنا متفاوت</t>
        </is>
      </c>
      <c r="N32" s="92" t="inlineStr">
        <is>
          <t>بله</t>
        </is>
      </c>
      <c r="O32" s="92" t="inlineStr">
        <is>
          <t>تاریخ ها در تقویم معتبرند؛ مقاطع مشترک با پایان دوره مالی این شرکت یکی نیستند</t>
        </is>
      </c>
      <c r="P32" s="92" t="n">
        <v>1</v>
      </c>
      <c r="Q32" s="92" t="n">
        <v>0</v>
      </c>
      <c r="R32" s="92" t="inlineStr">
        <is>
          <t>1310210 (1403/12/01)</t>
        </is>
      </c>
      <c r="S32" s="92" t="inlineStr">
        <is>
          <t>1433770 (1404/08/18)</t>
        </is>
      </c>
      <c r="T32" s="92" t="inlineStr">
        <is>
          <t>فقط سطح شخص حقوقی؛ نماینده ها نامشخص</t>
        </is>
      </c>
      <c r="U32" s="92" t="inlineStr">
        <is>
          <t>نامشخص: فهرست اسمی FY1403 در فایل نیست</t>
        </is>
      </c>
      <c r="V32" s="92" t="inlineStr">
        <is>
          <t>5 نام در v41؛ مقطع 1404/03/31</t>
        </is>
      </c>
      <c r="W32" s="92" t="inlineStr">
        <is>
          <t>خیر</t>
        </is>
      </c>
      <c r="X32" s="92" t="inlineStr"/>
    </row>
    <row r="33" ht="60" customHeight="1" s="76">
      <c r="A33" s="92" t="inlineStr">
        <is>
          <t>F30</t>
        </is>
      </c>
      <c r="B33" s="92" t="inlineStr">
        <is>
          <t>شپدیس</t>
        </is>
      </c>
      <c r="C33" s="92" t="inlineStr">
        <is>
          <t>شرکت پترو شیمی پردیس</t>
        </is>
      </c>
      <c r="D33" s="92" t="inlineStr">
        <is>
          <t>1403/12/29</t>
        </is>
      </c>
      <c r="E33" s="92" t="inlineStr">
        <is>
          <t>1404/12/29</t>
        </is>
      </c>
      <c r="F33" s="92" t="inlineStr">
        <is>
          <t>1403/06/31</t>
        </is>
      </c>
      <c r="G33" s="92" t="inlineStr">
        <is>
          <t>یک روز پیش از شروع FY1404 در v41</t>
        </is>
      </c>
      <c r="H33" s="92" t="inlineStr">
        <is>
          <t>استنباط تقویمی؛ سند صریح در این فایل ثبت نشده</t>
        </is>
      </c>
      <c r="I33" s="92" t="inlineStr">
        <is>
          <t>1404/06/31</t>
        </is>
      </c>
      <c r="J33" s="92" t="inlineStr">
        <is>
          <t>تایید شده از سند؛ SRC_SHPD_1404_001</t>
        </is>
      </c>
      <c r="K33" s="92" t="n">
        <v>-179</v>
      </c>
      <c r="L33" s="92" t="n">
        <v>-179</v>
      </c>
      <c r="M33" s="92" t="inlineStr">
        <is>
          <t>پایان و مبنا متفاوت</t>
        </is>
      </c>
      <c r="N33" s="92" t="inlineStr">
        <is>
          <t>بله</t>
        </is>
      </c>
      <c r="O33" s="92" t="inlineStr">
        <is>
          <t>تاریخ ها در تقویم معتبرند؛ مقاطع مشترک با پایان دوره مالی این شرکت یکی نیستند</t>
        </is>
      </c>
      <c r="P33" s="92" t="n">
        <v>3</v>
      </c>
      <c r="Q33" s="92" t="n">
        <v>2</v>
      </c>
      <c r="R33" s="92" t="inlineStr">
        <is>
          <t>1309386 (1403/11/29)</t>
        </is>
      </c>
      <c r="S33" s="92" t="inlineStr">
        <is>
          <t>1443721 (1404/09/05)</t>
        </is>
      </c>
      <c r="T33" s="92" t="inlineStr">
        <is>
          <t>دو فهرست اسمی کامل</t>
        </is>
      </c>
      <c r="U33" s="92" t="inlineStr">
        <is>
          <t>نامشخص: فهرست اسمی FY1403 در فایل نیست</t>
        </is>
      </c>
      <c r="V33" s="92" t="inlineStr">
        <is>
          <t>5 نام در v41؛ مقطع 1404/06/31</t>
        </is>
      </c>
      <c r="W33" s="92" t="inlineStr">
        <is>
          <t>خیر</t>
        </is>
      </c>
      <c r="X33" s="92" t="inlineStr"/>
    </row>
  </sheetData>
  <autoFilter ref="A3:X33"/>
  <mergeCells count="2">
    <mergeCell ref="A2:X2"/>
    <mergeCell ref="A1:X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A238"/>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9" customWidth="1" style="76" min="1" max="1"/>
    <col width="16" customWidth="1" style="76" min="2" max="2"/>
    <col width="9" customWidth="1" style="76" min="3" max="3"/>
    <col width="12" customWidth="1" style="76" min="4" max="4"/>
    <col width="18" customWidth="1" style="76" min="5" max="5"/>
    <col width="18" customWidth="1" style="76" min="6" max="6"/>
    <col width="12" customWidth="1" style="76" min="7" max="7"/>
    <col width="20" customWidth="1" style="76" min="8" max="8"/>
    <col width="20" customWidth="1" style="76" min="9" max="9"/>
    <col width="24" customWidth="1" style="76" min="10" max="10"/>
    <col width="28" customWidth="1" style="76" min="11" max="11"/>
    <col width="22" customWidth="1" style="76" min="12" max="12"/>
    <col width="16" customWidth="1" style="76" min="13" max="13"/>
    <col width="16" customWidth="1" style="76" min="14" max="14"/>
    <col width="28" customWidth="1" style="76" min="15" max="15"/>
    <col width="16" customWidth="1" style="76" min="16" max="16"/>
    <col width="20" customWidth="1" style="76" min="17" max="17"/>
    <col width="26" customWidth="1" style="76" min="18" max="18"/>
    <col width="26" customWidth="1" style="76" min="19" max="19"/>
    <col width="16" customWidth="1" style="76" min="20" max="20"/>
    <col width="16" customWidth="1" style="76" min="21" max="21"/>
    <col width="16" customWidth="1" style="76" min="22" max="22"/>
    <col width="16" customWidth="1" style="76" min="23" max="23"/>
    <col width="12" customWidth="1" style="76" min="24" max="24"/>
    <col width="20" customWidth="1" style="76" min="25" max="25"/>
    <col width="28" customWidth="1" style="76" min="26" max="26"/>
    <col width="40" customWidth="1" style="76" min="27" max="27"/>
  </cols>
  <sheetData>
    <row r="1" ht="26" customHeight="1" s="76">
      <c r="A1" s="89" t="inlineStr">
        <is>
          <t>فهرست اعضا و کرسی ها در هر مقطع</t>
        </is>
      </c>
    </row>
    <row r="2" ht="44" customHeight="1" s="76">
      <c r="A2" s="90" t="inlineStr">
        <is>
          <t>نمای پنجره مشترک: هشت شرکت با فهرست اسمی دو مقطع (بازسازی سطح کرسی v38) و حکشتی در سطح شخص حقوقی. نمای مالی FYE1404: فهرست v41 با مقطع پایان دوره مالی هر شرکت؛ این نما با پنجره مشترک جمع نمی شود. هیچ مدیرعامل خارج از هیئت، مدعو، دبیر یا عضو کمیته به فهرست اعضا اضافه نشده است. شماره ردیف جدول شناسه کرسی نیست؛ شناسه کرسی فقط از نام دارنده حقوقی یا جایگزینی مستند ساخته شده است.</t>
        </is>
      </c>
    </row>
    <row r="3" ht="42" customHeight="1" s="76">
      <c r="A3" s="91" t="inlineStr">
        <is>
          <t>شناسه ردیف</t>
        </is>
      </c>
      <c r="B3" s="91" t="inlineStr">
        <is>
          <t>شناسه شرکت</t>
        </is>
      </c>
      <c r="C3" s="91" t="inlineStr">
        <is>
          <t>نماد</t>
        </is>
      </c>
      <c r="D3" s="91" t="inlineStr">
        <is>
          <t>مقطع</t>
        </is>
      </c>
      <c r="E3" s="91" t="inlineStr">
        <is>
          <t>مبنای زمانی</t>
        </is>
      </c>
      <c r="F3" s="91" t="inlineStr">
        <is>
          <t>نمای زمانی</t>
        </is>
      </c>
      <c r="G3" s="91" t="inlineStr">
        <is>
          <t>شناسه پژوهشی شخص</t>
        </is>
      </c>
      <c r="H3" s="91" t="inlineStr">
        <is>
          <t>نام خام</t>
        </is>
      </c>
      <c r="I3" s="91" t="inlineStr">
        <is>
          <t>نام یکسان سازی شده</t>
        </is>
      </c>
      <c r="J3" s="91" t="inlineStr">
        <is>
          <t>مبنای هویت</t>
        </is>
      </c>
      <c r="K3" s="91" t="inlineStr">
        <is>
          <t>وضعیت عضو</t>
        </is>
      </c>
      <c r="L3" s="91" t="inlineStr">
        <is>
          <t>سمت</t>
        </is>
      </c>
      <c r="M3" s="91" t="inlineStr">
        <is>
          <t>مدیرعامل</t>
        </is>
      </c>
      <c r="N3" s="91" t="inlineStr">
        <is>
          <t>رئیس</t>
        </is>
      </c>
      <c r="O3" s="91" t="inlineStr">
        <is>
          <t>شخص حقوقی دارنده کرسی (خام)</t>
        </is>
      </c>
      <c r="P3" s="91" t="inlineStr">
        <is>
          <t>شناسه شخص حقوقی</t>
        </is>
      </c>
      <c r="Q3" s="91" t="inlineStr">
        <is>
          <t>نماینده حقیقی</t>
        </is>
      </c>
      <c r="R3" s="91" t="inlineStr">
        <is>
          <t>شناسه کرسی</t>
        </is>
      </c>
      <c r="S3" s="91" t="inlineStr">
        <is>
          <t>مبنای تطبیق کرسی</t>
        </is>
      </c>
      <c r="T3" s="91" t="inlineStr">
        <is>
          <t>تعداد اعضای فعال ثبت شده در مستر</t>
        </is>
      </c>
      <c r="U3" s="91" t="inlineStr">
        <is>
          <t>تعداد اشخاص شناسایی شده</t>
        </is>
      </c>
      <c r="V3" s="91" t="inlineStr">
        <is>
          <t>کامل یا ناقص</t>
        </is>
      </c>
      <c r="W3" s="91" t="inlineStr">
        <is>
          <t>منبع اختصاصی</t>
        </is>
      </c>
      <c r="X3" s="91" t="inlineStr">
        <is>
          <t>تاریخ منبع</t>
        </is>
      </c>
      <c r="Y3" s="91" t="inlineStr">
        <is>
          <t>نشانی منبع</t>
        </is>
      </c>
      <c r="Z3" s="91" t="inlineStr">
        <is>
          <t>اطمینان و تعارض</t>
        </is>
      </c>
      <c r="AA3" s="91" t="inlineStr">
        <is>
          <t>یادداشت</t>
        </is>
      </c>
    </row>
    <row r="4" ht="45" customHeight="1" s="76">
      <c r="A4" s="92" t="inlineStr">
        <is>
          <t>SM0001</t>
        </is>
      </c>
      <c r="B4" s="92" t="inlineStr">
        <is>
          <t>F02</t>
        </is>
      </c>
      <c r="C4" s="92" t="inlineStr">
        <is>
          <t>تاپیکو</t>
        </is>
      </c>
      <c r="D4" s="92" t="inlineStr">
        <is>
          <t>1403/12/29</t>
        </is>
      </c>
      <c r="E4" s="92" t="inlineStr">
        <is>
          <t>1403/12/29 (مبنای قراردادی مشترک)</t>
        </is>
      </c>
      <c r="F4" s="92" t="inlineStr">
        <is>
          <t>پنجره مشترک</t>
        </is>
      </c>
      <c r="G4" s="92" t="inlineStr">
        <is>
          <t>P-40781BFF</t>
        </is>
      </c>
      <c r="H4" s="92" t="inlineStr">
        <is>
          <t>عبدالکریم پهلوانی</t>
        </is>
      </c>
      <c r="I4" s="92" t="inlineStr">
        <is>
          <t>عبدالکریم پهلوانی</t>
        </is>
      </c>
      <c r="J4" s="92" t="inlineStr">
        <is>
          <t>نام یکسان سازی شده در همان شرکت؛ کد ملی در این فایل نیست</t>
        </is>
      </c>
      <c r="K4" s="92" t="inlineStr">
        <is>
          <t>عضو اصلی فعال</t>
        </is>
      </c>
      <c r="L4" s="92" t="inlineStr">
        <is>
          <t>نایب رئیس (موظف)</t>
        </is>
      </c>
      <c r="M4" s="92" t="inlineStr">
        <is>
          <t>خیر</t>
        </is>
      </c>
      <c r="N4" s="92" t="inlineStr">
        <is>
          <t>خیر</t>
        </is>
      </c>
      <c r="O4" s="92" t="inlineStr">
        <is>
          <t>سرمایه‌گذاری تأمین اجتماعی (شستا)</t>
        </is>
      </c>
      <c r="P4" s="92" t="inlineStr">
        <is>
          <t>ندارد (فقط نام)</t>
        </is>
      </c>
      <c r="Q4" s="92" t="inlineStr">
        <is>
          <t>عبدالکریم پهلوانی</t>
        </is>
      </c>
      <c r="R4" s="92" t="inlineStr">
        <is>
          <t>سرمایه گذاری تامین اجتماعی (شستا)</t>
        </is>
      </c>
      <c r="S4" s="92" t="inlineStr">
        <is>
          <t>نام دارنده حقوقی</t>
        </is>
      </c>
      <c r="T4" s="92" t="n">
        <v>5</v>
      </c>
      <c r="U4" s="92" t="n">
        <v>5</v>
      </c>
      <c r="V4" s="92" t="inlineStr">
        <is>
          <t>کامل</t>
        </is>
      </c>
      <c r="W4" s="92" t="inlineStr">
        <is>
          <t>1311653</t>
        </is>
      </c>
      <c r="X4" s="92" t="inlineStr">
        <is>
          <t>1403/12/04</t>
        </is>
      </c>
      <c r="Y4" s="92" t="inlineStr">
        <is>
          <t>https://www.codal.ir/Reports/Decision.aspx?LetterSerial=QijK3OnJnjtoOOObOOOYV1GqeqyQ%3d%3d&amp;rt=2&amp;let=19&amp;ct=0&amp;ft=-1</t>
        </is>
      </c>
      <c r="Z4" s="92" t="inlineStr"/>
      <c r="AA4" s="92" t="inlineStr">
        <is>
          <t>تاریخ گزارش به‌عنوان تاریخ انتصاب فرض نشد؛ نماینده قبلی در ۱۴۰۴/۰۱/۲۳ حذف شد (اطلاعیه ۱۳۳۳۹۷۲) و کرسی تا ۱۴۰۴/۰۶/۲۶ بدون نماینده بود؛ مقایسه Cutoff-to-Cutoff تغییر نماینده است</t>
        </is>
      </c>
    </row>
    <row r="5" ht="45" customHeight="1" s="76">
      <c r="A5" s="92" t="inlineStr">
        <is>
          <t>SM0002</t>
        </is>
      </c>
      <c r="B5" s="92" t="inlineStr">
        <is>
          <t>F02</t>
        </is>
      </c>
      <c r="C5" s="92" t="inlineStr">
        <is>
          <t>تاپیکو</t>
        </is>
      </c>
      <c r="D5" s="92" t="inlineStr">
        <is>
          <t>1403/12/29</t>
        </is>
      </c>
      <c r="E5" s="92" t="inlineStr">
        <is>
          <t>1403/12/29 (مبنای قراردادی مشترک)</t>
        </is>
      </c>
      <c r="F5" s="92" t="inlineStr">
        <is>
          <t>پنجره مشترک</t>
        </is>
      </c>
      <c r="G5" s="92" t="inlineStr">
        <is>
          <t>P-28EE3596</t>
        </is>
      </c>
      <c r="H5" s="92" t="inlineStr">
        <is>
          <t>اکبر محققی</t>
        </is>
      </c>
      <c r="I5" s="92" t="inlineStr">
        <is>
          <t>اکبر محققی</t>
        </is>
      </c>
      <c r="J5" s="92" t="inlineStr">
        <is>
          <t>نام یکسان سازی شده در همان شرکت؛ کد ملی در این فایل نیست</t>
        </is>
      </c>
      <c r="K5" s="92" t="inlineStr">
        <is>
          <t>عضو اصلی فعال</t>
        </is>
      </c>
      <c r="L5" s="92" t="inlineStr">
        <is>
          <t>عضو (غیرموظف)</t>
        </is>
      </c>
      <c r="M5" s="92" t="inlineStr">
        <is>
          <t>خیر</t>
        </is>
      </c>
      <c r="N5" s="92" t="inlineStr">
        <is>
          <t>خیر</t>
        </is>
      </c>
      <c r="O5" s="92" t="inlineStr">
        <is>
          <t>سرمایه‌گذاری صبا تأمین</t>
        </is>
      </c>
      <c r="P5" s="92" t="inlineStr">
        <is>
          <t>ندارد (فقط نام)</t>
        </is>
      </c>
      <c r="Q5" s="92" t="inlineStr">
        <is>
          <t>اکبر محققی</t>
        </is>
      </c>
      <c r="R5" s="92" t="inlineStr">
        <is>
          <t>سرمایه گذاری صبا تامین</t>
        </is>
      </c>
      <c r="S5" s="92" t="inlineStr">
        <is>
          <t>نام دارنده حقوقی</t>
        </is>
      </c>
      <c r="T5" s="92" t="n">
        <v>5</v>
      </c>
      <c r="U5" s="92" t="n">
        <v>5</v>
      </c>
      <c r="V5" s="92" t="inlineStr">
        <is>
          <t>کامل</t>
        </is>
      </c>
      <c r="W5" s="92" t="inlineStr">
        <is>
          <t>1311653</t>
        </is>
      </c>
      <c r="X5" s="92" t="inlineStr">
        <is>
          <t>1403/12/04</t>
        </is>
      </c>
      <c r="Y5" s="92" t="inlineStr">
        <is>
          <t>https://www.codal.ir/Reports/Decision.aspx?LetterSerial=QijK3OnJnjtoOOObOOOYV1GqeqyQ%3d%3d&amp;rt=2&amp;let=19&amp;ct=0&amp;ft=-1</t>
        </is>
      </c>
      <c r="Z5" s="92" t="inlineStr"/>
      <c r="AA5" s="92" t="inlineStr">
        <is>
          <t>تاریخ گزارش به‌عنوان تاریخ انتصاب فرض نشد</t>
        </is>
      </c>
    </row>
    <row r="6" ht="45" customHeight="1" s="76">
      <c r="A6" s="92" t="inlineStr">
        <is>
          <t>SM0003</t>
        </is>
      </c>
      <c r="B6" s="92" t="inlineStr">
        <is>
          <t>F02</t>
        </is>
      </c>
      <c r="C6" s="92" t="inlineStr">
        <is>
          <t>تاپیکو</t>
        </is>
      </c>
      <c r="D6" s="92" t="inlineStr">
        <is>
          <t>1403/12/29</t>
        </is>
      </c>
      <c r="E6" s="92" t="inlineStr">
        <is>
          <t>1403/12/29 (مبنای قراردادی مشترک)</t>
        </is>
      </c>
      <c r="F6" s="92" t="inlineStr">
        <is>
          <t>پنجره مشترک</t>
        </is>
      </c>
      <c r="G6" s="92" t="inlineStr">
        <is>
          <t>P-3F3559B1</t>
        </is>
      </c>
      <c r="H6" s="92" t="inlineStr">
        <is>
          <t>محمدمهدی رحمتی</t>
        </is>
      </c>
      <c r="I6" s="92" t="inlineStr">
        <is>
          <t>محمدمهدی رحمتی</t>
        </is>
      </c>
      <c r="J6" s="92" t="inlineStr">
        <is>
          <t>نام یکسان سازی شده در همان شرکت؛ کد ملی در این فایل نیست</t>
        </is>
      </c>
      <c r="K6" s="92" t="inlineStr">
        <is>
          <t>عضو اصلی فعال</t>
        </is>
      </c>
      <c r="L6" s="92" t="inlineStr">
        <is>
          <t>عضو (غیرموظف)</t>
        </is>
      </c>
      <c r="M6" s="92" t="inlineStr">
        <is>
          <t>خیر</t>
        </is>
      </c>
      <c r="N6" s="92" t="inlineStr">
        <is>
          <t>خیر</t>
        </is>
      </c>
      <c r="O6" s="92" t="inlineStr">
        <is>
          <t>سرمایه‌گذاری صدر تأمین</t>
        </is>
      </c>
      <c r="P6" s="92" t="inlineStr">
        <is>
          <t>ندارد (فقط نام)</t>
        </is>
      </c>
      <c r="Q6" s="92" t="inlineStr">
        <is>
          <t>محمدمهدی رحمتی</t>
        </is>
      </c>
      <c r="R6" s="92" t="inlineStr">
        <is>
          <t>سرمایه گذاری صدر تامین</t>
        </is>
      </c>
      <c r="S6" s="92" t="inlineStr">
        <is>
          <t>نام دارنده حقوقی</t>
        </is>
      </c>
      <c r="T6" s="92" t="n">
        <v>5</v>
      </c>
      <c r="U6" s="92" t="n">
        <v>5</v>
      </c>
      <c r="V6" s="92" t="inlineStr">
        <is>
          <t>کامل</t>
        </is>
      </c>
      <c r="W6" s="92" t="inlineStr">
        <is>
          <t>1311653</t>
        </is>
      </c>
      <c r="X6" s="92" t="inlineStr">
        <is>
          <t>1403/12/04</t>
        </is>
      </c>
      <c r="Y6" s="92" t="inlineStr">
        <is>
          <t>https://www.codal.ir/Reports/Decision.aspx?LetterSerial=QijK3OnJnjtoOOObOOOYV1GqeqyQ%3d%3d&amp;rt=2&amp;let=19&amp;ct=0&amp;ft=-1</t>
        </is>
      </c>
      <c r="Z6" s="92" t="inlineStr"/>
      <c r="AA6" s="92" t="inlineStr">
        <is>
          <t>تاریخ گزارش به‌عنوان تاریخ انتصاب فرض نشد؛ رحمتی از ۱۴۰۳/۱۲/۰۴ نماینده این کرسی است (جایگزین علی سیفیان) یعنی پیش از Cutoff مبنا</t>
        </is>
      </c>
    </row>
    <row r="7" ht="45" customHeight="1" s="76">
      <c r="A7" s="92" t="inlineStr">
        <is>
          <t>SM0004</t>
        </is>
      </c>
      <c r="B7" s="92" t="inlineStr">
        <is>
          <t>F02</t>
        </is>
      </c>
      <c r="C7" s="92" t="inlineStr">
        <is>
          <t>تاپیکو</t>
        </is>
      </c>
      <c r="D7" s="92" t="inlineStr">
        <is>
          <t>1403/12/29</t>
        </is>
      </c>
      <c r="E7" s="92" t="inlineStr">
        <is>
          <t>1403/12/29 (مبنای قراردادی مشترک)</t>
        </is>
      </c>
      <c r="F7" s="92" t="inlineStr">
        <is>
          <t>پنجره مشترک</t>
        </is>
      </c>
      <c r="G7" s="92" t="inlineStr">
        <is>
          <t>P-78DA6F7C</t>
        </is>
      </c>
      <c r="H7" s="92" t="inlineStr">
        <is>
          <t>هوشنگ ایزدی</t>
        </is>
      </c>
      <c r="I7" s="92" t="inlineStr">
        <is>
          <t>هوشنگ ایزدی</t>
        </is>
      </c>
      <c r="J7" s="92" t="inlineStr">
        <is>
          <t>نام یکسان سازی شده در همان شرکت؛ کد ملی در این فایل نیست</t>
        </is>
      </c>
      <c r="K7" s="92" t="inlineStr">
        <is>
          <t>عضو اصلی فعال</t>
        </is>
      </c>
      <c r="L7" s="92" t="inlineStr">
        <is>
          <t>عضو (غیرموظف)</t>
        </is>
      </c>
      <c r="M7" s="92" t="inlineStr">
        <is>
          <t>خیر</t>
        </is>
      </c>
      <c r="N7" s="92" t="inlineStr">
        <is>
          <t>خیر</t>
        </is>
      </c>
      <c r="O7" s="92" t="inlineStr">
        <is>
          <t>سرمایه‌گذاری سیمان تأمین</t>
        </is>
      </c>
      <c r="P7" s="92" t="inlineStr">
        <is>
          <t>ندارد (فقط نام)</t>
        </is>
      </c>
      <c r="Q7" s="92" t="inlineStr">
        <is>
          <t>هوشنگ ایزدی</t>
        </is>
      </c>
      <c r="R7" s="92" t="inlineStr">
        <is>
          <t>سرمایه گذاری سیمان تامین</t>
        </is>
      </c>
      <c r="S7" s="92" t="inlineStr">
        <is>
          <t>نام دارنده حقوقی</t>
        </is>
      </c>
      <c r="T7" s="92" t="n">
        <v>5</v>
      </c>
      <c r="U7" s="92" t="n">
        <v>5</v>
      </c>
      <c r="V7" s="92" t="inlineStr">
        <is>
          <t>کامل</t>
        </is>
      </c>
      <c r="W7" s="92" t="inlineStr">
        <is>
          <t>1311653</t>
        </is>
      </c>
      <c r="X7" s="92" t="inlineStr">
        <is>
          <t>1403/12/04</t>
        </is>
      </c>
      <c r="Y7" s="92" t="inlineStr">
        <is>
          <t>https://www.codal.ir/Reports/Decision.aspx?LetterSerial=QijK3OnJnjtoOOObOOOYV1GqeqyQ%3d%3d&amp;rt=2&amp;let=19&amp;ct=0&amp;ft=-1</t>
        </is>
      </c>
      <c r="Z7" s="92" t="inlineStr"/>
      <c r="AA7" s="92" t="inlineStr">
        <is>
          <t>تاریخ گزارش به‌عنوان تاریخ انتصاب فرض نشد؛ سمت میانی نایب رئیس (۱۴۰۴/۰۵/۰۱ تا ۱۴۰۴/۰۶/۲۶)؛ فقط تغییر سمت</t>
        </is>
      </c>
    </row>
    <row r="8" ht="45" customHeight="1" s="76">
      <c r="A8" s="92" t="inlineStr">
        <is>
          <t>SM0005</t>
        </is>
      </c>
      <c r="B8" s="92" t="inlineStr">
        <is>
          <t>F02</t>
        </is>
      </c>
      <c r="C8" s="92" t="inlineStr">
        <is>
          <t>تاپیکو</t>
        </is>
      </c>
      <c r="D8" s="92" t="inlineStr">
        <is>
          <t>1403/12/29</t>
        </is>
      </c>
      <c r="E8" s="92" t="inlineStr">
        <is>
          <t>1403/12/29 (مبنای قراردادی مشترک)</t>
        </is>
      </c>
      <c r="F8" s="92" t="inlineStr">
        <is>
          <t>پنجره مشترک</t>
        </is>
      </c>
      <c r="G8" s="92" t="inlineStr">
        <is>
          <t>P-D27E084C</t>
        </is>
      </c>
      <c r="H8" s="92" t="inlineStr">
        <is>
          <t>جعفر ربیعی</t>
        </is>
      </c>
      <c r="I8" s="92" t="inlineStr">
        <is>
          <t>جعفر ربیعی</t>
        </is>
      </c>
      <c r="J8" s="92" t="inlineStr">
        <is>
          <t>نام یکسان سازی شده در همان شرکت؛ کد ملی در این فایل نیست</t>
        </is>
      </c>
      <c r="K8" s="92" t="inlineStr">
        <is>
          <t>عضو اصلی فعال</t>
        </is>
      </c>
      <c r="L8" s="92" t="inlineStr">
        <is>
          <t>رئیس هیئت مدیره (غیرموظف)</t>
        </is>
      </c>
      <c r="M8" s="92" t="inlineStr">
        <is>
          <t>خیر</t>
        </is>
      </c>
      <c r="N8" s="92" t="inlineStr">
        <is>
          <t>بله</t>
        </is>
      </c>
      <c r="O8" s="92" t="inlineStr">
        <is>
          <t>سرمایه‌گذاری داروئی تأمین</t>
        </is>
      </c>
      <c r="P8" s="92" t="inlineStr">
        <is>
          <t>ندارد (فقط نام)</t>
        </is>
      </c>
      <c r="Q8" s="92" t="inlineStr">
        <is>
          <t>جعفر ربیعی</t>
        </is>
      </c>
      <c r="R8" s="92" t="inlineStr">
        <is>
          <t>سرمایه گذاری داروئی تامین</t>
        </is>
      </c>
      <c r="S8" s="92" t="inlineStr">
        <is>
          <t>نام دارنده حقوقی</t>
        </is>
      </c>
      <c r="T8" s="92" t="n">
        <v>5</v>
      </c>
      <c r="U8" s="92" t="n">
        <v>5</v>
      </c>
      <c r="V8" s="92" t="inlineStr">
        <is>
          <t>کامل</t>
        </is>
      </c>
      <c r="W8" s="92" t="inlineStr">
        <is>
          <t>1311653</t>
        </is>
      </c>
      <c r="X8" s="92" t="inlineStr">
        <is>
          <t>1403/12/04</t>
        </is>
      </c>
      <c r="Y8" s="92" t="inlineStr">
        <is>
          <t>https://www.codal.ir/Reports/Decision.aspx?LetterSerial=QijK3OnJnjtoOOObOOOYV1GqeqyQ%3d%3d&amp;rt=2&amp;let=19&amp;ct=0&amp;ft=-1</t>
        </is>
      </c>
      <c r="Z8" s="92" t="inlineStr"/>
      <c r="AA8" s="92" t="inlineStr">
        <is>
          <t>تاریخ گزارش به‌عنوان تاریخ انتصاب فرض نشد؛ ربیعی رئیس بود؛ رئیس هیئت مدیره از ربیعی به رحمتی تغییر کرد</t>
        </is>
      </c>
    </row>
    <row r="9" ht="45" customHeight="1" s="76">
      <c r="A9" s="92" t="inlineStr">
        <is>
          <t>SM0006</t>
        </is>
      </c>
      <c r="B9" s="92" t="inlineStr">
        <is>
          <t>F02</t>
        </is>
      </c>
      <c r="C9" s="92" t="inlineStr">
        <is>
          <t>تاپیکو</t>
        </is>
      </c>
      <c r="D9" s="92" t="inlineStr">
        <is>
          <t>1404/12/29</t>
        </is>
      </c>
      <c r="E9" s="92" t="inlineStr">
        <is>
          <t>1404/12/29 (مبنای قراردادی مشترک)</t>
        </is>
      </c>
      <c r="F9" s="92" t="inlineStr">
        <is>
          <t>پنجره مشترک</t>
        </is>
      </c>
      <c r="G9" s="92" t="inlineStr">
        <is>
          <t>P-9D406A60</t>
        </is>
      </c>
      <c r="H9" s="92" t="inlineStr">
        <is>
          <t>روح‌اله شهیدی‌پور</t>
        </is>
      </c>
      <c r="I9" s="92" t="inlineStr">
        <is>
          <t>روح اله شهیدی پور</t>
        </is>
      </c>
      <c r="J9" s="92" t="inlineStr">
        <is>
          <t>نام یکسان سازی شده در همان شرکت؛ کد ملی در این فایل نیست</t>
        </is>
      </c>
      <c r="K9" s="92" t="inlineStr">
        <is>
          <t>عضو اصلی فعال</t>
        </is>
      </c>
      <c r="L9" s="92" t="inlineStr">
        <is>
          <t>نایب رئیس و مدیرعامل (موظف)</t>
        </is>
      </c>
      <c r="M9" s="92" t="inlineStr">
        <is>
          <t>بله</t>
        </is>
      </c>
      <c r="N9" s="92" t="inlineStr">
        <is>
          <t>خیر</t>
        </is>
      </c>
      <c r="O9" s="92" t="inlineStr">
        <is>
          <t>سرمایه‌گذاری تأمین اجتماعی (شستا)</t>
        </is>
      </c>
      <c r="P9" s="92" t="inlineStr">
        <is>
          <t>ندارد (فقط نام)</t>
        </is>
      </c>
      <c r="Q9" s="92" t="inlineStr">
        <is>
          <t>روح‌اله شهیدی‌پور</t>
        </is>
      </c>
      <c r="R9" s="92" t="inlineStr">
        <is>
          <t>سرمایه گذاری تامین اجتماعی (شستا)</t>
        </is>
      </c>
      <c r="S9" s="92" t="inlineStr">
        <is>
          <t>نام دارنده حقوقی</t>
        </is>
      </c>
      <c r="T9" s="92" t="n">
        <v>5</v>
      </c>
      <c r="U9" s="92" t="n">
        <v>5</v>
      </c>
      <c r="V9" s="92" t="inlineStr">
        <is>
          <t>کامل</t>
        </is>
      </c>
      <c r="W9" s="92" t="inlineStr">
        <is>
          <t>1477918</t>
        </is>
      </c>
      <c r="X9" s="92" t="inlineStr">
        <is>
          <t>1404/11/06</t>
        </is>
      </c>
      <c r="Y9" s="92" t="inlineStr">
        <is>
          <t>https://www.codal.ir/Reports/Decision.aspx?LetterSerial=Exef5qCkFaU4GYSKSR3wjg%3d%3d&amp;rt=2&amp;let=19&amp;ct=0&amp;ft=-1</t>
        </is>
      </c>
      <c r="Z9" s="92" t="inlineStr"/>
      <c r="AA9" s="92" t="inlineStr">
        <is>
          <t>تاریخ گزارش به‌عنوان تاریخ انتصاب فرض نشد؛ نماینده قبلی در ۱۴۰۴/۰۱/۲۳ حذف شد (اطلاعیه ۱۳۳۳۹۷۲) و کرسی تا ۱۴۰۴/۰۶/۲۶ بدون نماینده بود؛ مقایسه Cutoff-to-Cutoff تغییر نماینده است</t>
        </is>
      </c>
    </row>
    <row r="10" ht="45" customHeight="1" s="76">
      <c r="A10" s="92" t="inlineStr">
        <is>
          <t>SM0007</t>
        </is>
      </c>
      <c r="B10" s="92" t="inlineStr">
        <is>
          <t>F02</t>
        </is>
      </c>
      <c r="C10" s="92" t="inlineStr">
        <is>
          <t>تاپیکو</t>
        </is>
      </c>
      <c r="D10" s="92" t="inlineStr">
        <is>
          <t>1404/12/29</t>
        </is>
      </c>
      <c r="E10" s="92" t="inlineStr">
        <is>
          <t>1404/12/29 (مبنای قراردادی مشترک)</t>
        </is>
      </c>
      <c r="F10" s="92" t="inlineStr">
        <is>
          <t>پنجره مشترک</t>
        </is>
      </c>
      <c r="G10" s="92" t="inlineStr">
        <is>
          <t>P-D14A417C</t>
        </is>
      </c>
      <c r="H10" s="92" t="inlineStr">
        <is>
          <t>کمیل پورضیائی</t>
        </is>
      </c>
      <c r="I10" s="92" t="inlineStr">
        <is>
          <t>کمیل پورضیائی</t>
        </is>
      </c>
      <c r="J10" s="92" t="inlineStr">
        <is>
          <t>نام یکسان سازی شده در همان شرکت؛ کد ملی در این فایل نیست</t>
        </is>
      </c>
      <c r="K10" s="92" t="inlineStr">
        <is>
          <t>عضو اصلی فعال</t>
        </is>
      </c>
      <c r="L10" s="92" t="inlineStr">
        <is>
          <t>عضو (غیرموظف)</t>
        </is>
      </c>
      <c r="M10" s="92" t="inlineStr">
        <is>
          <t>خیر</t>
        </is>
      </c>
      <c r="N10" s="92" t="inlineStr">
        <is>
          <t>خیر</t>
        </is>
      </c>
      <c r="O10" s="92" t="inlineStr">
        <is>
          <t>سرمایه‌گذاری صبا تأمین</t>
        </is>
      </c>
      <c r="P10" s="92" t="inlineStr">
        <is>
          <t>ندارد (فقط نام)</t>
        </is>
      </c>
      <c r="Q10" s="92" t="inlineStr">
        <is>
          <t>کمیل پورضیائی</t>
        </is>
      </c>
      <c r="R10" s="92" t="inlineStr">
        <is>
          <t>سرمایه گذاری صبا تامین</t>
        </is>
      </c>
      <c r="S10" s="92" t="inlineStr">
        <is>
          <t>نام دارنده حقوقی</t>
        </is>
      </c>
      <c r="T10" s="92" t="n">
        <v>5</v>
      </c>
      <c r="U10" s="92" t="n">
        <v>5</v>
      </c>
      <c r="V10" s="92" t="inlineStr">
        <is>
          <t>کامل</t>
        </is>
      </c>
      <c r="W10" s="92" t="inlineStr">
        <is>
          <t>1477918</t>
        </is>
      </c>
      <c r="X10" s="92" t="inlineStr">
        <is>
          <t>1404/11/06</t>
        </is>
      </c>
      <c r="Y10" s="92" t="inlineStr">
        <is>
          <t>https://www.codal.ir/Reports/Decision.aspx?LetterSerial=Exef5qCkFaU4GYSKSR3wjg%3d%3d&amp;rt=2&amp;let=19&amp;ct=0&amp;ft=-1</t>
        </is>
      </c>
      <c r="Z10" s="92" t="inlineStr"/>
      <c r="AA10" s="92" t="inlineStr">
        <is>
          <t>تاریخ گزارش به‌عنوان تاریخ انتصاب فرض نشد</t>
        </is>
      </c>
    </row>
    <row r="11" ht="45" customHeight="1" s="76">
      <c r="A11" s="92" t="inlineStr">
        <is>
          <t>SM0008</t>
        </is>
      </c>
      <c r="B11" s="92" t="inlineStr">
        <is>
          <t>F02</t>
        </is>
      </c>
      <c r="C11" s="92" t="inlineStr">
        <is>
          <t>تاپیکو</t>
        </is>
      </c>
      <c r="D11" s="92" t="inlineStr">
        <is>
          <t>1404/12/29</t>
        </is>
      </c>
      <c r="E11" s="92" t="inlineStr">
        <is>
          <t>1404/12/29 (مبنای قراردادی مشترک)</t>
        </is>
      </c>
      <c r="F11" s="92" t="inlineStr">
        <is>
          <t>پنجره مشترک</t>
        </is>
      </c>
      <c r="G11" s="92" t="inlineStr">
        <is>
          <t>P-3F3559B1</t>
        </is>
      </c>
      <c r="H11" s="92" t="inlineStr">
        <is>
          <t>محمدمهدی رحمتی</t>
        </is>
      </c>
      <c r="I11" s="92" t="inlineStr">
        <is>
          <t>محمدمهدی رحمتی</t>
        </is>
      </c>
      <c r="J11" s="92" t="inlineStr">
        <is>
          <t>نام یکسان سازی شده در همان شرکت؛ کد ملی در این فایل نیست</t>
        </is>
      </c>
      <c r="K11" s="92" t="inlineStr">
        <is>
          <t>عضو اصلی فعال</t>
        </is>
      </c>
      <c r="L11" s="92" t="inlineStr">
        <is>
          <t>رئیس هیئت مدیره (غیرموظف)</t>
        </is>
      </c>
      <c r="M11" s="92" t="inlineStr">
        <is>
          <t>خیر</t>
        </is>
      </c>
      <c r="N11" s="92" t="inlineStr">
        <is>
          <t>بله</t>
        </is>
      </c>
      <c r="O11" s="92" t="inlineStr">
        <is>
          <t>سرمایه‌گذاری صدر تأمین</t>
        </is>
      </c>
      <c r="P11" s="92" t="inlineStr">
        <is>
          <t>ندارد (فقط نام)</t>
        </is>
      </c>
      <c r="Q11" s="92" t="inlineStr">
        <is>
          <t>محمدمهدی رحمتی</t>
        </is>
      </c>
      <c r="R11" s="92" t="inlineStr">
        <is>
          <t>سرمایه گذاری صدر تامین</t>
        </is>
      </c>
      <c r="S11" s="92" t="inlineStr">
        <is>
          <t>نام دارنده حقوقی</t>
        </is>
      </c>
      <c r="T11" s="92" t="n">
        <v>5</v>
      </c>
      <c r="U11" s="92" t="n">
        <v>5</v>
      </c>
      <c r="V11" s="92" t="inlineStr">
        <is>
          <t>کامل</t>
        </is>
      </c>
      <c r="W11" s="92" t="inlineStr">
        <is>
          <t>1477918</t>
        </is>
      </c>
      <c r="X11" s="92" t="inlineStr">
        <is>
          <t>1404/11/06</t>
        </is>
      </c>
      <c r="Y11" s="92" t="inlineStr">
        <is>
          <t>https://www.codal.ir/Reports/Decision.aspx?LetterSerial=Exef5qCkFaU4GYSKSR3wjg%3d%3d&amp;rt=2&amp;let=19&amp;ct=0&amp;ft=-1</t>
        </is>
      </c>
      <c r="Z11" s="92" t="inlineStr"/>
      <c r="AA11" s="92" t="inlineStr">
        <is>
          <t>تاریخ گزارش به‌عنوان تاریخ انتصاب فرض نشد؛ رحمتی از ۱۴۰۳/۱۲/۰۴ نماینده این کرسی است (جایگزین علی سیفیان) یعنی پیش از Cutoff مبنا</t>
        </is>
      </c>
    </row>
    <row r="12" ht="45" customHeight="1" s="76">
      <c r="A12" s="92" t="inlineStr">
        <is>
          <t>SM0009</t>
        </is>
      </c>
      <c r="B12" s="92" t="inlineStr">
        <is>
          <t>F02</t>
        </is>
      </c>
      <c r="C12" s="92" t="inlineStr">
        <is>
          <t>تاپیکو</t>
        </is>
      </c>
      <c r="D12" s="92" t="inlineStr">
        <is>
          <t>1404/12/29</t>
        </is>
      </c>
      <c r="E12" s="92" t="inlineStr">
        <is>
          <t>1404/12/29 (مبنای قراردادی مشترک)</t>
        </is>
      </c>
      <c r="F12" s="92" t="inlineStr">
        <is>
          <t>پنجره مشترک</t>
        </is>
      </c>
      <c r="G12" s="92" t="inlineStr">
        <is>
          <t>P-78DA6F7C</t>
        </is>
      </c>
      <c r="H12" s="92" t="inlineStr">
        <is>
          <t>هوشنگ ایزدی</t>
        </is>
      </c>
      <c r="I12" s="92" t="inlineStr">
        <is>
          <t>هوشنگ ایزدی</t>
        </is>
      </c>
      <c r="J12" s="92" t="inlineStr">
        <is>
          <t>نام یکسان سازی شده در همان شرکت؛ کد ملی در این فایل نیست</t>
        </is>
      </c>
      <c r="K12" s="92" t="inlineStr">
        <is>
          <t>عضو اصلی فعال</t>
        </is>
      </c>
      <c r="L12" s="92" t="inlineStr">
        <is>
          <t>عضو (غیرموظف)</t>
        </is>
      </c>
      <c r="M12" s="92" t="inlineStr">
        <is>
          <t>خیر</t>
        </is>
      </c>
      <c r="N12" s="92" t="inlineStr">
        <is>
          <t>خیر</t>
        </is>
      </c>
      <c r="O12" s="92" t="inlineStr">
        <is>
          <t>سرمایه‌گذاری سیمان تأمین</t>
        </is>
      </c>
      <c r="P12" s="92" t="inlineStr">
        <is>
          <t>ندارد (فقط نام)</t>
        </is>
      </c>
      <c r="Q12" s="92" t="inlineStr">
        <is>
          <t>هوشنگ ایزدی</t>
        </is>
      </c>
      <c r="R12" s="92" t="inlineStr">
        <is>
          <t>سرمایه گذاری سیمان تامین</t>
        </is>
      </c>
      <c r="S12" s="92" t="inlineStr">
        <is>
          <t>نام دارنده حقوقی</t>
        </is>
      </c>
      <c r="T12" s="92" t="n">
        <v>5</v>
      </c>
      <c r="U12" s="92" t="n">
        <v>5</v>
      </c>
      <c r="V12" s="92" t="inlineStr">
        <is>
          <t>کامل</t>
        </is>
      </c>
      <c r="W12" s="92" t="inlineStr">
        <is>
          <t>1477918</t>
        </is>
      </c>
      <c r="X12" s="92" t="inlineStr">
        <is>
          <t>1404/11/06</t>
        </is>
      </c>
      <c r="Y12" s="92" t="inlineStr">
        <is>
          <t>https://www.codal.ir/Reports/Decision.aspx?LetterSerial=Exef5qCkFaU4GYSKSR3wjg%3d%3d&amp;rt=2&amp;let=19&amp;ct=0&amp;ft=-1</t>
        </is>
      </c>
      <c r="Z12" s="92" t="inlineStr"/>
      <c r="AA12" s="92" t="inlineStr">
        <is>
          <t>تاریخ گزارش به‌عنوان تاریخ انتصاب فرض نشد؛ سمت میانی نایب رئیس (۱۴۰۴/۰۵/۰۱ تا ۱۴۰۴/۰۶/۲۶)؛ فقط تغییر سمت</t>
        </is>
      </c>
    </row>
    <row r="13" ht="45" customHeight="1" s="76">
      <c r="A13" s="92" t="inlineStr">
        <is>
          <t>SM0010</t>
        </is>
      </c>
      <c r="B13" s="92" t="inlineStr">
        <is>
          <t>F02</t>
        </is>
      </c>
      <c r="C13" s="92" t="inlineStr">
        <is>
          <t>تاپیکو</t>
        </is>
      </c>
      <c r="D13" s="92" t="inlineStr">
        <is>
          <t>1404/12/29</t>
        </is>
      </c>
      <c r="E13" s="92" t="inlineStr">
        <is>
          <t>1404/12/29 (مبنای قراردادی مشترک)</t>
        </is>
      </c>
      <c r="F13" s="92" t="inlineStr">
        <is>
          <t>پنجره مشترک</t>
        </is>
      </c>
      <c r="G13" s="92" t="inlineStr">
        <is>
          <t>P-8DF23766</t>
        </is>
      </c>
      <c r="H13" s="92" t="inlineStr">
        <is>
          <t>محمدحسین صابر</t>
        </is>
      </c>
      <c r="I13" s="92" t="inlineStr">
        <is>
          <t>محمدحسین صابر</t>
        </is>
      </c>
      <c r="J13" s="92" t="inlineStr">
        <is>
          <t>نام یکسان سازی شده در همان شرکت؛ کد ملی در این فایل نیست</t>
        </is>
      </c>
      <c r="K13" s="92" t="inlineStr">
        <is>
          <t>عضو اصلی فعال</t>
        </is>
      </c>
      <c r="L13" s="92" t="inlineStr">
        <is>
          <t>عضو (غیرموظف)</t>
        </is>
      </c>
      <c r="M13" s="92" t="inlineStr">
        <is>
          <t>خیر</t>
        </is>
      </c>
      <c r="N13" s="92" t="inlineStr">
        <is>
          <t>خیر</t>
        </is>
      </c>
      <c r="O13" s="92" t="inlineStr">
        <is>
          <t>سرمایه‌گذاری داروئی تأمین</t>
        </is>
      </c>
      <c r="P13" s="92" t="inlineStr">
        <is>
          <t>ندارد (فقط نام)</t>
        </is>
      </c>
      <c r="Q13" s="92" t="inlineStr">
        <is>
          <t>محمدحسین صابر</t>
        </is>
      </c>
      <c r="R13" s="92" t="inlineStr">
        <is>
          <t>سرمایه گذاری داروئی تامین</t>
        </is>
      </c>
      <c r="S13" s="92" t="inlineStr">
        <is>
          <t>نام دارنده حقوقی</t>
        </is>
      </c>
      <c r="T13" s="92" t="n">
        <v>5</v>
      </c>
      <c r="U13" s="92" t="n">
        <v>5</v>
      </c>
      <c r="V13" s="92" t="inlineStr">
        <is>
          <t>کامل</t>
        </is>
      </c>
      <c r="W13" s="92" t="inlineStr">
        <is>
          <t>1477918</t>
        </is>
      </c>
      <c r="X13" s="92" t="inlineStr">
        <is>
          <t>1404/11/06</t>
        </is>
      </c>
      <c r="Y13" s="92" t="inlineStr">
        <is>
          <t>https://www.codal.ir/Reports/Decision.aspx?LetterSerial=Exef5qCkFaU4GYSKSR3wjg%3d%3d&amp;rt=2&amp;let=19&amp;ct=0&amp;ft=-1</t>
        </is>
      </c>
      <c r="Z13" s="92" t="inlineStr"/>
      <c r="AA13" s="92" t="inlineStr">
        <is>
          <t>تاریخ گزارش به‌عنوان تاریخ انتصاب فرض نشد؛ ربیعی رئیس بود؛ رئیس هیئت مدیره از ربیعی به رحمتی تغییر کرد</t>
        </is>
      </c>
    </row>
    <row r="14" ht="45" customHeight="1" s="76">
      <c r="A14" s="92" t="inlineStr">
        <is>
          <t>SM0011</t>
        </is>
      </c>
      <c r="B14" s="92" t="inlineStr">
        <is>
          <t>F17</t>
        </is>
      </c>
      <c r="C14" s="92" t="inlineStr">
        <is>
          <t>کچاد</t>
        </is>
      </c>
      <c r="D14" s="92" t="inlineStr">
        <is>
          <t>1403/12/29</t>
        </is>
      </c>
      <c r="E14" s="92" t="inlineStr">
        <is>
          <t>1403/12/29 (مبنای قراردادی مشترک)</t>
        </is>
      </c>
      <c r="F14" s="92" t="inlineStr">
        <is>
          <t>پنجره مشترک</t>
        </is>
      </c>
      <c r="G14" s="92" t="inlineStr">
        <is>
          <t>P-D9058E08</t>
        </is>
      </c>
      <c r="H14" s="92" t="inlineStr">
        <is>
          <t>محمود صلاحی</t>
        </is>
      </c>
      <c r="I14" s="92" t="inlineStr">
        <is>
          <t>محمود صلاحی</t>
        </is>
      </c>
      <c r="J14" s="92" t="inlineStr">
        <is>
          <t>نام یکسان سازی شده در همان شرکت؛ کد ملی در این فایل نیست</t>
        </is>
      </c>
      <c r="K14" s="92" t="inlineStr">
        <is>
          <t>عضو اصلی فعال</t>
        </is>
      </c>
      <c r="L14" s="92" t="inlineStr">
        <is>
          <t>رئیس هیئت مدیره (غیرموظف)</t>
        </is>
      </c>
      <c r="M14" s="92" t="inlineStr">
        <is>
          <t>خیر</t>
        </is>
      </c>
      <c r="N14" s="92" t="inlineStr">
        <is>
          <t>بله</t>
        </is>
      </c>
      <c r="O14" s="92" t="inlineStr">
        <is>
          <t>گروه مدیریت سرمایه‌گذاری امید</t>
        </is>
      </c>
      <c r="P14" s="92" t="inlineStr">
        <is>
          <t>ندارد (فقط نام)</t>
        </is>
      </c>
      <c r="Q14" s="92" t="inlineStr">
        <is>
          <t>محمود صلاحی</t>
        </is>
      </c>
      <c r="R14" s="92" t="inlineStr">
        <is>
          <t>گروه مدیریت سرمایه گذاری امید</t>
        </is>
      </c>
      <c r="S14" s="92" t="inlineStr">
        <is>
          <t>نام دارنده حقوقی</t>
        </is>
      </c>
      <c r="T14" s="92" t="n">
        <v>4</v>
      </c>
      <c r="U14" s="92" t="n">
        <v>4</v>
      </c>
      <c r="V14" s="92" t="inlineStr">
        <is>
          <t>کامل</t>
        </is>
      </c>
      <c r="W14" s="92" t="inlineStr">
        <is>
          <t>1287746</t>
        </is>
      </c>
      <c r="X14" s="92" t="inlineStr">
        <is>
          <t>1403/10/05</t>
        </is>
      </c>
      <c r="Y14" s="92" t="inlineStr">
        <is>
          <t>https://www.codal.ir/Reports/Decision.aspx?LetterSerial=v9VDr2f0BIJNqKEnWy6Rug%3d%3d&amp;rt=0&amp;let=19&amp;ct=0&amp;ft=-1</t>
        </is>
      </c>
      <c r="Z14" s="92" t="inlineStr">
        <is>
          <t>کرسی خوزستان در مبنا خالی مستند: نماینده قبلی ۱۴۰۳/۰۹/۰۴ حذف و جانشین تا ۱۴۰۴/۰۵/۲۰ نیامد (متن v38)</t>
        </is>
      </c>
      <c r="AA14" s="92" t="inlineStr">
        <is>
          <t>تاریخ گزارش به‌عنوان تاریخ انتصاب فرض نشد؛ تغییر رئیس هیئت مدیره (صلاحی→تابش)</t>
        </is>
      </c>
    </row>
    <row r="15" ht="45" customHeight="1" s="76">
      <c r="A15" s="92" t="inlineStr">
        <is>
          <t>SM0012</t>
        </is>
      </c>
      <c r="B15" s="92" t="inlineStr">
        <is>
          <t>F17</t>
        </is>
      </c>
      <c r="C15" s="92" t="inlineStr">
        <is>
          <t>کچاد</t>
        </is>
      </c>
      <c r="D15" s="92" t="inlineStr">
        <is>
          <t>1403/12/29</t>
        </is>
      </c>
      <c r="E15" s="92" t="inlineStr">
        <is>
          <t>1403/12/29 (مبنای قراردادی مشترک)</t>
        </is>
      </c>
      <c r="F15" s="92" t="inlineStr">
        <is>
          <t>پنجره مشترک</t>
        </is>
      </c>
      <c r="G15" s="92" t="inlineStr">
        <is>
          <t>P-F92AE52D</t>
        </is>
      </c>
      <c r="H15" s="92" t="inlineStr">
        <is>
          <t>فرید دهقانی</t>
        </is>
      </c>
      <c r="I15" s="92" t="inlineStr">
        <is>
          <t>فرید دهقانی</t>
        </is>
      </c>
      <c r="J15" s="92" t="inlineStr">
        <is>
          <t>نام یکسان سازی شده در همان شرکت؛ کد ملی در این فایل نیست</t>
        </is>
      </c>
      <c r="K15" s="92" t="inlineStr">
        <is>
          <t>عضو اصلی فعال</t>
        </is>
      </c>
      <c r="L15" s="92" t="inlineStr">
        <is>
          <t>عضو و مدیرعامل (موظف)</t>
        </is>
      </c>
      <c r="M15" s="92" t="inlineStr">
        <is>
          <t>بله</t>
        </is>
      </c>
      <c r="N15" s="92" t="inlineStr">
        <is>
          <t>خیر</t>
        </is>
      </c>
      <c r="O15" s="92" t="inlineStr">
        <is>
          <t>سرمایه‌گذاری توسعه معادن و فلزات</t>
        </is>
      </c>
      <c r="P15" s="92" t="inlineStr">
        <is>
          <t>ندارد (فقط نام)</t>
        </is>
      </c>
      <c r="Q15" s="92" t="inlineStr">
        <is>
          <t>فرید دهقانی</t>
        </is>
      </c>
      <c r="R15" s="92" t="inlineStr">
        <is>
          <t>سرمایه گذاری توسعه معادن و فلزات</t>
        </is>
      </c>
      <c r="S15" s="92" t="inlineStr">
        <is>
          <t>نام دارنده حقوقی</t>
        </is>
      </c>
      <c r="T15" s="92" t="n">
        <v>4</v>
      </c>
      <c r="U15" s="92" t="n">
        <v>4</v>
      </c>
      <c r="V15" s="92" t="inlineStr">
        <is>
          <t>کامل</t>
        </is>
      </c>
      <c r="W15" s="92" t="inlineStr">
        <is>
          <t>1287746</t>
        </is>
      </c>
      <c r="X15" s="92" t="inlineStr">
        <is>
          <t>1403/10/05</t>
        </is>
      </c>
      <c r="Y15" s="92" t="inlineStr">
        <is>
          <t>https://www.codal.ir/Reports/Decision.aspx?LetterSerial=v9VDr2f0BIJNqKEnWy6Rug%3d%3d&amp;rt=0&amp;let=19&amp;ct=0&amp;ft=-1</t>
        </is>
      </c>
      <c r="Z15" s="92" t="inlineStr">
        <is>
          <t>کرسی خوزستان در مبنا خالی مستند: نماینده قبلی ۱۴۰۳/۰۹/۰۴ حذف و جانشین تا ۱۴۰۴/۰۵/۲۰ نیامد (متن v38)</t>
        </is>
      </c>
      <c r="AA15" s="92" t="inlineStr">
        <is>
          <t>تاریخ گزارش به‌عنوان تاریخ انتصاب فرض نشد؛ نسخه اولیه ۱۳۴۳۲۳۷ به اشتباه «فاقد نماینده» داشت؛ اصلاحیه ۱۳۴۵۷۹۸ نماینده را حفظ کرد</t>
        </is>
      </c>
    </row>
    <row r="16" ht="45" customHeight="1" s="76">
      <c r="A16" s="92" t="inlineStr">
        <is>
          <t>SM0013</t>
        </is>
      </c>
      <c r="B16" s="92" t="inlineStr">
        <is>
          <t>F17</t>
        </is>
      </c>
      <c r="C16" s="92" t="inlineStr">
        <is>
          <t>کچاد</t>
        </is>
      </c>
      <c r="D16" s="92" t="inlineStr">
        <is>
          <t>1403/12/29</t>
        </is>
      </c>
      <c r="E16" s="92" t="inlineStr">
        <is>
          <t>1403/12/29 (مبنای قراردادی مشترک)</t>
        </is>
      </c>
      <c r="F16" s="92" t="inlineStr">
        <is>
          <t>پنجره مشترک</t>
        </is>
      </c>
      <c r="G16" s="92" t="inlineStr">
        <is>
          <t>P-626B4CAE</t>
        </is>
      </c>
      <c r="H16" s="92" t="inlineStr">
        <is>
          <t>سعید مستشار</t>
        </is>
      </c>
      <c r="I16" s="92" t="inlineStr">
        <is>
          <t>سعید مستشار</t>
        </is>
      </c>
      <c r="J16" s="92" t="inlineStr">
        <is>
          <t>نام یکسان سازی شده در همان شرکت؛ کد ملی در این فایل نیست</t>
        </is>
      </c>
      <c r="K16" s="92" t="inlineStr">
        <is>
          <t>عضو اصلی فعال</t>
        </is>
      </c>
      <c r="L16" s="92" t="inlineStr">
        <is>
          <t>نایب رئیس (موظف)</t>
        </is>
      </c>
      <c r="M16" s="92" t="inlineStr">
        <is>
          <t>خیر</t>
        </is>
      </c>
      <c r="N16" s="92" t="inlineStr">
        <is>
          <t>خیر</t>
        </is>
      </c>
      <c r="O16" s="92" t="inlineStr">
        <is>
          <t>سرمایه‌گذاری سپه</t>
        </is>
      </c>
      <c r="P16" s="92" t="inlineStr">
        <is>
          <t>ندارد (فقط نام)</t>
        </is>
      </c>
      <c r="Q16" s="92" t="inlineStr">
        <is>
          <t>سعید مستشار</t>
        </is>
      </c>
      <c r="R16" s="92" t="inlineStr">
        <is>
          <t>سرمایه گذاری سپه</t>
        </is>
      </c>
      <c r="S16" s="92" t="inlineStr">
        <is>
          <t>نام دارنده حقوقی</t>
        </is>
      </c>
      <c r="T16" s="92" t="n">
        <v>4</v>
      </c>
      <c r="U16" s="92" t="n">
        <v>4</v>
      </c>
      <c r="V16" s="92" t="inlineStr">
        <is>
          <t>کامل</t>
        </is>
      </c>
      <c r="W16" s="92" t="inlineStr">
        <is>
          <t>1287746</t>
        </is>
      </c>
      <c r="X16" s="92" t="inlineStr">
        <is>
          <t>1403/10/05</t>
        </is>
      </c>
      <c r="Y16" s="92" t="inlineStr">
        <is>
          <t>https://www.codal.ir/Reports/Decision.aspx?LetterSerial=v9VDr2f0BIJNqKEnWy6Rug%3d%3d&amp;rt=0&amp;let=19&amp;ct=0&amp;ft=-1</t>
        </is>
      </c>
      <c r="Z16" s="92" t="inlineStr">
        <is>
          <t>کرسی خوزستان در مبنا خالی مستند: نماینده قبلی ۱۴۰۳/۰۹/۰۴ حذف و جانشین تا ۱۴۰۴/۰۵/۲۰ نیامد (متن v38)</t>
        </is>
      </c>
      <c r="AA16" s="92" t="inlineStr">
        <is>
          <t>تاریخ گزارش به‌عنوان تاریخ انتصاب فرض نشد؛ دهقانان از ۱۴۰۴/۰۲/۲۴ تا ۱۴۰۴/۱۰/۲۹ نایب رئیس بود و سپس به عضو بازگشت (فقط سمت)؛ انتخاب مجدد اشخاص حقوقی مجمع ۱۴۰۴/۰۵/۰۶ عضو جدید نیست</t>
        </is>
      </c>
    </row>
    <row r="17" ht="45" customHeight="1" s="76">
      <c r="A17" s="92" t="inlineStr">
        <is>
          <t>SM0014</t>
        </is>
      </c>
      <c r="B17" s="92" t="inlineStr">
        <is>
          <t>F17</t>
        </is>
      </c>
      <c r="C17" s="92" t="inlineStr">
        <is>
          <t>کچاد</t>
        </is>
      </c>
      <c r="D17" s="92" t="inlineStr">
        <is>
          <t>1403/12/29</t>
        </is>
      </c>
      <c r="E17" s="92" t="inlineStr">
        <is>
          <t>1403/12/29 (مبنای قراردادی مشترک)</t>
        </is>
      </c>
      <c r="F17" s="92" t="inlineStr">
        <is>
          <t>پنجره مشترک</t>
        </is>
      </c>
      <c r="G17" s="92" t="inlineStr">
        <is>
          <t>P-F29146EF</t>
        </is>
      </c>
      <c r="H17" s="92" t="inlineStr">
        <is>
          <t>مهدی آقاپوربی‌شک</t>
        </is>
      </c>
      <c r="I17" s="92" t="inlineStr">
        <is>
          <t>مهدی آقاپوربی شک</t>
        </is>
      </c>
      <c r="J17" s="92" t="inlineStr">
        <is>
          <t>نام یکسان سازی شده در همان شرکت؛ کد ملی در این فایل نیست</t>
        </is>
      </c>
      <c r="K17" s="92" t="inlineStr">
        <is>
          <t>عضو اصلی فعال</t>
        </is>
      </c>
      <c r="L17" s="92" t="inlineStr">
        <is>
          <t>عضو (غیرموظف)</t>
        </is>
      </c>
      <c r="M17" s="92" t="inlineStr">
        <is>
          <t>خیر</t>
        </is>
      </c>
      <c r="N17" s="92" t="inlineStr">
        <is>
          <t>خیر</t>
        </is>
      </c>
      <c r="O17" s="92" t="inlineStr">
        <is>
          <t>فولاد مبارکه اصفهان</t>
        </is>
      </c>
      <c r="P17" s="92" t="inlineStr">
        <is>
          <t>ندارد (فقط نام)</t>
        </is>
      </c>
      <c r="Q17" s="92" t="inlineStr">
        <is>
          <t>مهدی آقاپوربی‌شک</t>
        </is>
      </c>
      <c r="R17" s="92" t="inlineStr">
        <is>
          <t>فولاد مبارکه اصفهان</t>
        </is>
      </c>
      <c r="S17" s="92" t="inlineStr">
        <is>
          <t>نام دارنده حقوقی</t>
        </is>
      </c>
      <c r="T17" s="92" t="n">
        <v>4</v>
      </c>
      <c r="U17" s="92" t="n">
        <v>4</v>
      </c>
      <c r="V17" s="92" t="inlineStr">
        <is>
          <t>کامل</t>
        </is>
      </c>
      <c r="W17" s="92" t="inlineStr">
        <is>
          <t>1287746</t>
        </is>
      </c>
      <c r="X17" s="92" t="inlineStr">
        <is>
          <t>1403/10/05</t>
        </is>
      </c>
      <c r="Y17" s="92" t="inlineStr">
        <is>
          <t>https://www.codal.ir/Reports/Decision.aspx?LetterSerial=v9VDr2f0BIJNqKEnWy6Rug%3d%3d&amp;rt=0&amp;let=19&amp;ct=0&amp;ft=-1</t>
        </is>
      </c>
      <c r="Z17" s="92" t="inlineStr">
        <is>
          <t>کرسی خوزستان در مبنا خالی مستند: نماینده قبلی ۱۴۰۳/۰۹/۰۴ حذف و جانشین تا ۱۴۰۴/۰۵/۲۰ نیامد (متن v38)</t>
        </is>
      </c>
      <c r="AA17" s="92" t="inlineStr">
        <is>
          <t>تاریخ گزارش به‌عنوان تاریخ انتصاب فرض نشد؛ آقاپور از ۱۴۰۳/۰۹/۲۶ نماینده است (پیش از Cutoff مبنا)</t>
        </is>
      </c>
    </row>
    <row r="18" ht="45" customHeight="1" s="76">
      <c r="A18" s="92" t="inlineStr">
        <is>
          <t>SM0015</t>
        </is>
      </c>
      <c r="B18" s="92" t="inlineStr">
        <is>
          <t>F17</t>
        </is>
      </c>
      <c r="C18" s="92" t="inlineStr">
        <is>
          <t>کچاد</t>
        </is>
      </c>
      <c r="D18" s="92" t="inlineStr">
        <is>
          <t>1403/12/29</t>
        </is>
      </c>
      <c r="E18" s="92" t="inlineStr">
        <is>
          <t>1403/12/29 (مبنای قراردادی مشترک)</t>
        </is>
      </c>
      <c r="F18" s="92" t="inlineStr">
        <is>
          <t>پنجره مشترک</t>
        </is>
      </c>
      <c r="G18" s="92" t="inlineStr"/>
      <c r="H18" s="92" t="inlineStr">
        <is>
          <t>— (کرسی بدون نماینده)</t>
        </is>
      </c>
      <c r="I18" s="92" t="inlineStr"/>
      <c r="J18" s="92" t="inlineStr">
        <is>
          <t>نام یکسان سازی شده در همان شرکت؛ کد ملی در این فایل نیست</t>
        </is>
      </c>
      <c r="K18" s="92" t="inlineStr">
        <is>
          <t>کرسی بدون نماینده؛ خالی بودن مستند (حذف نماینده قبلی و نبود جانشین)</t>
        </is>
      </c>
      <c r="L18" s="92" t="inlineStr">
        <is>
          <t>عضو</t>
        </is>
      </c>
      <c r="M18" s="92" t="inlineStr">
        <is>
          <t>خیر</t>
        </is>
      </c>
      <c r="N18" s="92" t="inlineStr">
        <is>
          <t>خیر</t>
        </is>
      </c>
      <c r="O18" s="92" t="inlineStr">
        <is>
          <t>سرمایه‌گذاری استان خوزستان</t>
        </is>
      </c>
      <c r="P18" s="92" t="inlineStr">
        <is>
          <t>ندارد (فقط نام)</t>
        </is>
      </c>
      <c r="Q18" s="92" t="inlineStr">
        <is>
          <t>— (کرسی بدون نماینده)</t>
        </is>
      </c>
      <c r="R18" s="92" t="inlineStr">
        <is>
          <t>سرمایه گذاری استان خوزستان</t>
        </is>
      </c>
      <c r="S18" s="92" t="inlineStr">
        <is>
          <t>نام دارنده حقوقی</t>
        </is>
      </c>
      <c r="T18" s="92" t="n">
        <v>4</v>
      </c>
      <c r="U18" s="92" t="n">
        <v>4</v>
      </c>
      <c r="V18" s="92" t="inlineStr">
        <is>
          <t>کامل</t>
        </is>
      </c>
      <c r="W18" s="92" t="inlineStr">
        <is>
          <t>1287746</t>
        </is>
      </c>
      <c r="X18" s="92" t="inlineStr">
        <is>
          <t>1403/10/05</t>
        </is>
      </c>
      <c r="Y18" s="92" t="inlineStr">
        <is>
          <t>https://www.codal.ir/Reports/Decision.aspx?LetterSerial=v9VDr2f0BIJNqKEnWy6Rug%3d%3d&amp;rt=0&amp;let=19&amp;ct=0&amp;ft=-1</t>
        </is>
      </c>
      <c r="Z18" s="92" t="inlineStr">
        <is>
          <t>کرسی خوزستان در مبنا خالی مستند: نماینده قبلی ۱۴۰۳/۰۹/۰۴ حذف و جانشین تا ۱۴۰۴/۰۵/۲۰ نیامد (متن v38)</t>
        </is>
      </c>
      <c r="AA18" s="92" t="inlineStr">
        <is>
          <t>تاریخ گزارش به‌عنوان تاریخ انتصاب فرض نشد؛ نماینده قبلی محمدرضا بابائی دره در ۱۴۰۳/۰۹/۰۴ حذف شد؛ کرسی تا ۱۴۰۴/۰۵/۲۰ بدون نماینده؛ خدایار کریم‌نژاد عضو موقت میانی است و در هیچ‌یک از دو Cutoff حضور ندارد</t>
        </is>
      </c>
    </row>
    <row r="19" ht="45" customHeight="1" s="76">
      <c r="A19" s="92" t="inlineStr">
        <is>
          <t>SM0016</t>
        </is>
      </c>
      <c r="B19" s="92" t="inlineStr">
        <is>
          <t>F17</t>
        </is>
      </c>
      <c r="C19" s="92" t="inlineStr">
        <is>
          <t>کچاد</t>
        </is>
      </c>
      <c r="D19" s="92" t="inlineStr">
        <is>
          <t>1404/12/29</t>
        </is>
      </c>
      <c r="E19" s="92" t="inlineStr">
        <is>
          <t>1404/12/29 (مبنای قراردادی مشترک)</t>
        </is>
      </c>
      <c r="F19" s="92" t="inlineStr">
        <is>
          <t>پنجره مشترک</t>
        </is>
      </c>
      <c r="G19" s="92" t="inlineStr">
        <is>
          <t>P-B63B45D6</t>
        </is>
      </c>
      <c r="H19" s="92" t="inlineStr">
        <is>
          <t>محمدرضا تابش</t>
        </is>
      </c>
      <c r="I19" s="92" t="inlineStr">
        <is>
          <t>محمدرضا تابش</t>
        </is>
      </c>
      <c r="J19" s="92" t="inlineStr">
        <is>
          <t>نام یکسان سازی شده در همان شرکت؛ کد ملی در این فایل نیست</t>
        </is>
      </c>
      <c r="K19" s="92" t="inlineStr">
        <is>
          <t>عضو اصلی فعال</t>
        </is>
      </c>
      <c r="L19" s="92" t="inlineStr">
        <is>
          <t>رئیس هیئت مدیره (غیرموظف)</t>
        </is>
      </c>
      <c r="M19" s="92" t="inlineStr">
        <is>
          <t>خیر</t>
        </is>
      </c>
      <c r="N19" s="92" t="inlineStr">
        <is>
          <t>بله</t>
        </is>
      </c>
      <c r="O19" s="92" t="inlineStr">
        <is>
          <t>گروه مدیریت سرمایه‌گذاری امید</t>
        </is>
      </c>
      <c r="P19" s="92" t="inlineStr">
        <is>
          <t>ندارد (فقط نام)</t>
        </is>
      </c>
      <c r="Q19" s="92" t="inlineStr">
        <is>
          <t>محمدرضا تابش</t>
        </is>
      </c>
      <c r="R19" s="92" t="inlineStr">
        <is>
          <t>گروه مدیریت سرمایه گذاری امید</t>
        </is>
      </c>
      <c r="S19" s="92" t="inlineStr">
        <is>
          <t>نام دارنده حقوقی</t>
        </is>
      </c>
      <c r="T19" s="92" t="n">
        <v>5</v>
      </c>
      <c r="U19" s="92" t="n">
        <v>5</v>
      </c>
      <c r="V19" s="92" t="inlineStr">
        <is>
          <t>کامل</t>
        </is>
      </c>
      <c r="W19" s="92" t="inlineStr">
        <is>
          <t>1473973</t>
        </is>
      </c>
      <c r="X19" s="92" t="inlineStr">
        <is>
          <t>1404/10/29</t>
        </is>
      </c>
      <c r="Y19" s="92" t="inlineStr">
        <is>
          <t>https://www.codal.ir/Reports/Decision.aspx?LetterSerial=XPg1kJyBIkadWnCXHnsdKg%3d%3d&amp;rt=0&amp;let=19&amp;ct=0&amp;ft=-1</t>
        </is>
      </c>
      <c r="Z19" s="92" t="inlineStr">
        <is>
          <t>کرسی خوزستان در مبنا خالی مستند: نماینده قبلی ۱۴۰۳/۰۹/۰۴ حذف و جانشین تا ۱۴۰۴/۰۵/۲۰ نیامد (متن v38)</t>
        </is>
      </c>
      <c r="AA19" s="92" t="inlineStr">
        <is>
          <t>تاریخ گزارش به‌عنوان تاریخ انتصاب فرض نشد؛ تغییر رئیس هیئت مدیره (صلاحی→تابش)</t>
        </is>
      </c>
    </row>
    <row r="20" ht="45" customHeight="1" s="76">
      <c r="A20" s="92" t="inlineStr">
        <is>
          <t>SM0017</t>
        </is>
      </c>
      <c r="B20" s="92" t="inlineStr">
        <is>
          <t>F17</t>
        </is>
      </c>
      <c r="C20" s="92" t="inlineStr">
        <is>
          <t>کچاد</t>
        </is>
      </c>
      <c r="D20" s="92" t="inlineStr">
        <is>
          <t>1404/12/29</t>
        </is>
      </c>
      <c r="E20" s="92" t="inlineStr">
        <is>
          <t>1404/12/29 (مبنای قراردادی مشترک)</t>
        </is>
      </c>
      <c r="F20" s="92" t="inlineStr">
        <is>
          <t>پنجره مشترک</t>
        </is>
      </c>
      <c r="G20" s="92" t="inlineStr">
        <is>
          <t>P-F92AE52D</t>
        </is>
      </c>
      <c r="H20" s="92" t="inlineStr">
        <is>
          <t>فرید دهقانی</t>
        </is>
      </c>
      <c r="I20" s="92" t="inlineStr">
        <is>
          <t>فرید دهقانی</t>
        </is>
      </c>
      <c r="J20" s="92" t="inlineStr">
        <is>
          <t>نام یکسان سازی شده در همان شرکت؛ کد ملی در این فایل نیست</t>
        </is>
      </c>
      <c r="K20" s="92" t="inlineStr">
        <is>
          <t>عضو اصلی فعال</t>
        </is>
      </c>
      <c r="L20" s="92" t="inlineStr">
        <is>
          <t>عضو و مدیرعامل (موظف)</t>
        </is>
      </c>
      <c r="M20" s="92" t="inlineStr">
        <is>
          <t>بله</t>
        </is>
      </c>
      <c r="N20" s="92" t="inlineStr">
        <is>
          <t>خیر</t>
        </is>
      </c>
      <c r="O20" s="92" t="inlineStr">
        <is>
          <t>سرمایه‌گذاری توسعه معادن و فلزات</t>
        </is>
      </c>
      <c r="P20" s="92" t="inlineStr">
        <is>
          <t>ندارد (فقط نام)</t>
        </is>
      </c>
      <c r="Q20" s="92" t="inlineStr">
        <is>
          <t>فرید دهقانی</t>
        </is>
      </c>
      <c r="R20" s="92" t="inlineStr">
        <is>
          <t>سرمایه گذاری توسعه معادن و فلزات</t>
        </is>
      </c>
      <c r="S20" s="92" t="inlineStr">
        <is>
          <t>نام دارنده حقوقی</t>
        </is>
      </c>
      <c r="T20" s="92" t="n">
        <v>5</v>
      </c>
      <c r="U20" s="92" t="n">
        <v>5</v>
      </c>
      <c r="V20" s="92" t="inlineStr">
        <is>
          <t>کامل</t>
        </is>
      </c>
      <c r="W20" s="92" t="inlineStr">
        <is>
          <t>1473973</t>
        </is>
      </c>
      <c r="X20" s="92" t="inlineStr">
        <is>
          <t>1404/10/29</t>
        </is>
      </c>
      <c r="Y20" s="92" t="inlineStr">
        <is>
          <t>https://www.codal.ir/Reports/Decision.aspx?LetterSerial=XPg1kJyBIkadWnCXHnsdKg%3d%3d&amp;rt=0&amp;let=19&amp;ct=0&amp;ft=-1</t>
        </is>
      </c>
      <c r="Z20" s="92" t="inlineStr">
        <is>
          <t>کرسی خوزستان در مبنا خالی مستند: نماینده قبلی ۱۴۰۳/۰۹/۰۴ حذف و جانشین تا ۱۴۰۴/۰۵/۲۰ نیامد (متن v38)</t>
        </is>
      </c>
      <c r="AA20" s="92" t="inlineStr">
        <is>
          <t>تاریخ گزارش به‌عنوان تاریخ انتصاب فرض نشد؛ نسخه اولیه ۱۳۴۳۲۳۷ به اشتباه «فاقد نماینده» داشت؛ اصلاحیه ۱۳۴۵۷۹۸ نماینده را حفظ کرد</t>
        </is>
      </c>
    </row>
    <row r="21" ht="45" customHeight="1" s="76">
      <c r="A21" s="92" t="inlineStr">
        <is>
          <t>SM0018</t>
        </is>
      </c>
      <c r="B21" s="92" t="inlineStr">
        <is>
          <t>F17</t>
        </is>
      </c>
      <c r="C21" s="92" t="inlineStr">
        <is>
          <t>کچاد</t>
        </is>
      </c>
      <c r="D21" s="92" t="inlineStr">
        <is>
          <t>1404/12/29</t>
        </is>
      </c>
      <c r="E21" s="92" t="inlineStr">
        <is>
          <t>1404/12/29 (مبنای قراردادی مشترک)</t>
        </is>
      </c>
      <c r="F21" s="92" t="inlineStr">
        <is>
          <t>پنجره مشترک</t>
        </is>
      </c>
      <c r="G21" s="92" t="inlineStr">
        <is>
          <t>P-7C2D49A0</t>
        </is>
      </c>
      <c r="H21" s="92" t="inlineStr">
        <is>
          <t>حامد دهقانان</t>
        </is>
      </c>
      <c r="I21" s="92" t="inlineStr">
        <is>
          <t>حامد دهقانان</t>
        </is>
      </c>
      <c r="J21" s="92" t="inlineStr">
        <is>
          <t>نام یکسان سازی شده در همان شرکت؛ کد ملی در این فایل نیست</t>
        </is>
      </c>
      <c r="K21" s="92" t="inlineStr">
        <is>
          <t>عضو اصلی فعال</t>
        </is>
      </c>
      <c r="L21" s="92" t="inlineStr">
        <is>
          <t>عضو (موظف)</t>
        </is>
      </c>
      <c r="M21" s="92" t="inlineStr">
        <is>
          <t>خیر</t>
        </is>
      </c>
      <c r="N21" s="92" t="inlineStr">
        <is>
          <t>خیر</t>
        </is>
      </c>
      <c r="O21" s="92" t="inlineStr">
        <is>
          <t>سرمایه‌گذاری سپه</t>
        </is>
      </c>
      <c r="P21" s="92" t="inlineStr">
        <is>
          <t>ندارد (فقط نام)</t>
        </is>
      </c>
      <c r="Q21" s="92" t="inlineStr">
        <is>
          <t>حامد دهقانان</t>
        </is>
      </c>
      <c r="R21" s="92" t="inlineStr">
        <is>
          <t>سرمایه گذاری سپه</t>
        </is>
      </c>
      <c r="S21" s="92" t="inlineStr">
        <is>
          <t>نام دارنده حقوقی</t>
        </is>
      </c>
      <c r="T21" s="92" t="n">
        <v>5</v>
      </c>
      <c r="U21" s="92" t="n">
        <v>5</v>
      </c>
      <c r="V21" s="92" t="inlineStr">
        <is>
          <t>کامل</t>
        </is>
      </c>
      <c r="W21" s="92" t="inlineStr">
        <is>
          <t>1473973</t>
        </is>
      </c>
      <c r="X21" s="92" t="inlineStr">
        <is>
          <t>1404/10/29</t>
        </is>
      </c>
      <c r="Y21" s="92" t="inlineStr">
        <is>
          <t>https://www.codal.ir/Reports/Decision.aspx?LetterSerial=XPg1kJyBIkadWnCXHnsdKg%3d%3d&amp;rt=0&amp;let=19&amp;ct=0&amp;ft=-1</t>
        </is>
      </c>
      <c r="Z21" s="92" t="inlineStr">
        <is>
          <t>کرسی خوزستان در مبنا خالی مستند: نماینده قبلی ۱۴۰۳/۰۹/۰۴ حذف و جانشین تا ۱۴۰۴/۰۵/۲۰ نیامد (متن v38)</t>
        </is>
      </c>
      <c r="AA21" s="92" t="inlineStr">
        <is>
          <t>تاریخ گزارش به‌عنوان تاریخ انتصاب فرض نشد؛ دهقانان از ۱۴۰۴/۰۲/۲۴ تا ۱۴۰۴/۱۰/۲۹ نایب رئیس بود و سپس به عضو بازگشت (فقط سمت)؛ انتخاب مجدد اشخاص حقوقی مجمع ۱۴۰۴/۰۵/۰۶ عضو جدید نیست</t>
        </is>
      </c>
    </row>
    <row r="22" ht="45" customHeight="1" s="76">
      <c r="A22" s="92" t="inlineStr">
        <is>
          <t>SM0019</t>
        </is>
      </c>
      <c r="B22" s="92" t="inlineStr">
        <is>
          <t>F17</t>
        </is>
      </c>
      <c r="C22" s="92" t="inlineStr">
        <is>
          <t>کچاد</t>
        </is>
      </c>
      <c r="D22" s="92" t="inlineStr">
        <is>
          <t>1404/12/29</t>
        </is>
      </c>
      <c r="E22" s="92" t="inlineStr">
        <is>
          <t>1404/12/29 (مبنای قراردادی مشترک)</t>
        </is>
      </c>
      <c r="F22" s="92" t="inlineStr">
        <is>
          <t>پنجره مشترک</t>
        </is>
      </c>
      <c r="G22" s="92" t="inlineStr">
        <is>
          <t>P-F29146EF</t>
        </is>
      </c>
      <c r="H22" s="92" t="inlineStr">
        <is>
          <t>مهدی آقاپوربی‌شک</t>
        </is>
      </c>
      <c r="I22" s="92" t="inlineStr">
        <is>
          <t>مهدی آقاپوربی شک</t>
        </is>
      </c>
      <c r="J22" s="92" t="inlineStr">
        <is>
          <t>نام یکسان سازی شده در همان شرکت؛ کد ملی در این فایل نیست</t>
        </is>
      </c>
      <c r="K22" s="92" t="inlineStr">
        <is>
          <t>عضو اصلی فعال</t>
        </is>
      </c>
      <c r="L22" s="92" t="inlineStr">
        <is>
          <t>عضو (غیرموظف)</t>
        </is>
      </c>
      <c r="M22" s="92" t="inlineStr">
        <is>
          <t>خیر</t>
        </is>
      </c>
      <c r="N22" s="92" t="inlineStr">
        <is>
          <t>خیر</t>
        </is>
      </c>
      <c r="O22" s="92" t="inlineStr">
        <is>
          <t>فولاد مبارکه اصفهان</t>
        </is>
      </c>
      <c r="P22" s="92" t="inlineStr">
        <is>
          <t>ندارد (فقط نام)</t>
        </is>
      </c>
      <c r="Q22" s="92" t="inlineStr">
        <is>
          <t>مهدی آقاپوربی‌شک</t>
        </is>
      </c>
      <c r="R22" s="92" t="inlineStr">
        <is>
          <t>فولاد مبارکه اصفهان</t>
        </is>
      </c>
      <c r="S22" s="92" t="inlineStr">
        <is>
          <t>نام دارنده حقوقی</t>
        </is>
      </c>
      <c r="T22" s="92" t="n">
        <v>5</v>
      </c>
      <c r="U22" s="92" t="n">
        <v>5</v>
      </c>
      <c r="V22" s="92" t="inlineStr">
        <is>
          <t>کامل</t>
        </is>
      </c>
      <c r="W22" s="92" t="inlineStr">
        <is>
          <t>1473973</t>
        </is>
      </c>
      <c r="X22" s="92" t="inlineStr">
        <is>
          <t>1404/10/29</t>
        </is>
      </c>
      <c r="Y22" s="92" t="inlineStr">
        <is>
          <t>https://www.codal.ir/Reports/Decision.aspx?LetterSerial=XPg1kJyBIkadWnCXHnsdKg%3d%3d&amp;rt=0&amp;let=19&amp;ct=0&amp;ft=-1</t>
        </is>
      </c>
      <c r="Z22" s="92" t="inlineStr">
        <is>
          <t>کرسی خوزستان در مبنا خالی مستند: نماینده قبلی ۱۴۰۳/۰۹/۰۴ حذف و جانشین تا ۱۴۰۴/۰۵/۲۰ نیامد (متن v38)</t>
        </is>
      </c>
      <c r="AA22" s="92" t="inlineStr">
        <is>
          <t>تاریخ گزارش به‌عنوان تاریخ انتصاب فرض نشد؛ آقاپور از ۱۴۰۳/۰۹/۲۶ نماینده است (پیش از Cutoff مبنا)</t>
        </is>
      </c>
    </row>
    <row r="23" ht="45" customHeight="1" s="76">
      <c r="A23" s="92" t="inlineStr">
        <is>
          <t>SM0020</t>
        </is>
      </c>
      <c r="B23" s="92" t="inlineStr">
        <is>
          <t>F17</t>
        </is>
      </c>
      <c r="C23" s="92" t="inlineStr">
        <is>
          <t>کچاد</t>
        </is>
      </c>
      <c r="D23" s="92" t="inlineStr">
        <is>
          <t>1404/12/29</t>
        </is>
      </c>
      <c r="E23" s="92" t="inlineStr">
        <is>
          <t>1404/12/29 (مبنای قراردادی مشترک)</t>
        </is>
      </c>
      <c r="F23" s="92" t="inlineStr">
        <is>
          <t>پنجره مشترک</t>
        </is>
      </c>
      <c r="G23" s="92" t="inlineStr">
        <is>
          <t>P-CA1E8CE0</t>
        </is>
      </c>
      <c r="H23" s="92" t="inlineStr">
        <is>
          <t>مجتبی شعبانی</t>
        </is>
      </c>
      <c r="I23" s="92" t="inlineStr">
        <is>
          <t>مجتبی شعبانی</t>
        </is>
      </c>
      <c r="J23" s="92" t="inlineStr">
        <is>
          <t>نام یکسان سازی شده در همان شرکت؛ کد ملی در این فایل نیست</t>
        </is>
      </c>
      <c r="K23" s="92" t="inlineStr">
        <is>
          <t>عضو اصلی فعال</t>
        </is>
      </c>
      <c r="L23" s="92" t="inlineStr">
        <is>
          <t>نایب رئیس (غیرموظف)</t>
        </is>
      </c>
      <c r="M23" s="92" t="inlineStr">
        <is>
          <t>خیر</t>
        </is>
      </c>
      <c r="N23" s="92" t="inlineStr">
        <is>
          <t>خیر</t>
        </is>
      </c>
      <c r="O23" s="92" t="inlineStr">
        <is>
          <t>سرمایه‌گذاری استان خوزستان</t>
        </is>
      </c>
      <c r="P23" s="92" t="inlineStr">
        <is>
          <t>ندارد (فقط نام)</t>
        </is>
      </c>
      <c r="Q23" s="92" t="inlineStr">
        <is>
          <t>مجتبی شعبانی</t>
        </is>
      </c>
      <c r="R23" s="92" t="inlineStr">
        <is>
          <t>سرمایه گذاری استان خوزستان</t>
        </is>
      </c>
      <c r="S23" s="92" t="inlineStr">
        <is>
          <t>نام دارنده حقوقی</t>
        </is>
      </c>
      <c r="T23" s="92" t="n">
        <v>5</v>
      </c>
      <c r="U23" s="92" t="n">
        <v>5</v>
      </c>
      <c r="V23" s="92" t="inlineStr">
        <is>
          <t>کامل</t>
        </is>
      </c>
      <c r="W23" s="92" t="inlineStr">
        <is>
          <t>1473973</t>
        </is>
      </c>
      <c r="X23" s="92" t="inlineStr">
        <is>
          <t>1404/10/29</t>
        </is>
      </c>
      <c r="Y23" s="92" t="inlineStr">
        <is>
          <t>https://www.codal.ir/Reports/Decision.aspx?LetterSerial=XPg1kJyBIkadWnCXHnsdKg%3d%3d&amp;rt=0&amp;let=19&amp;ct=0&amp;ft=-1</t>
        </is>
      </c>
      <c r="Z23" s="92" t="inlineStr">
        <is>
          <t>کرسی خوزستان در مبنا خالی مستند: نماینده قبلی ۱۴۰۳/۰۹/۰۴ حذف و جانشین تا ۱۴۰۴/۰۵/۲۰ نیامد (متن v38)</t>
        </is>
      </c>
      <c r="AA23" s="92" t="inlineStr">
        <is>
          <t>تاریخ گزارش به‌عنوان تاریخ انتصاب فرض نشد؛ نماینده قبلی محمدرضا بابائی دره در ۱۴۰۳/۰۹/۰۴ حذف شد؛ کرسی تا ۱۴۰۴/۰۵/۲۰ بدون نماینده؛ خدایار کریم‌نژاد عضو موقت میانی است و در هیچ‌یک از دو Cutoff حضور ندارد</t>
        </is>
      </c>
    </row>
    <row r="24" ht="45" customHeight="1" s="76">
      <c r="A24" s="92" t="inlineStr">
        <is>
          <t>SM0021</t>
        </is>
      </c>
      <c r="B24" s="92" t="inlineStr">
        <is>
          <t>F19</t>
        </is>
      </c>
      <c r="C24" s="92" t="inlineStr">
        <is>
          <t>پارسان</t>
        </is>
      </c>
      <c r="D24" s="92" t="inlineStr">
        <is>
          <t>1403/12/29</t>
        </is>
      </c>
      <c r="E24" s="92" t="inlineStr">
        <is>
          <t>1403/12/29 (مبنای قراردادی مشترک)</t>
        </is>
      </c>
      <c r="F24" s="92" t="inlineStr">
        <is>
          <t>پنجره مشترک</t>
        </is>
      </c>
      <c r="G24" s="92" t="inlineStr">
        <is>
          <t>P-F09275F4</t>
        </is>
      </c>
      <c r="H24" s="92" t="inlineStr">
        <is>
          <t>سیدجعفر هاشمی</t>
        </is>
      </c>
      <c r="I24" s="92" t="inlineStr">
        <is>
          <t>سیدجعفر هاشمی</t>
        </is>
      </c>
      <c r="J24" s="92" t="inlineStr">
        <is>
          <t>نام یکسان سازی شده در همان شرکت؛ کد ملی در این فایل نیست</t>
        </is>
      </c>
      <c r="K24" s="92" t="inlineStr">
        <is>
          <t>عضو اصلی فعال</t>
        </is>
      </c>
      <c r="L24" s="92" t="inlineStr">
        <is>
          <t>عضو و مدیرعامل (موظف)</t>
        </is>
      </c>
      <c r="M24" s="92" t="inlineStr">
        <is>
          <t>بله</t>
        </is>
      </c>
      <c r="N24" s="92" t="inlineStr">
        <is>
          <t>خیر</t>
        </is>
      </c>
      <c r="O24" s="92" t="inlineStr">
        <is>
          <t>سرمایه‌گذاری غدیر</t>
        </is>
      </c>
      <c r="P24" s="92" t="inlineStr">
        <is>
          <t>ندارد (فقط نام)</t>
        </is>
      </c>
      <c r="Q24" s="92" t="inlineStr">
        <is>
          <t>سیدجعفر هاشمی</t>
        </is>
      </c>
      <c r="R24" s="92" t="inlineStr">
        <is>
          <t>سرمایه گذاری غدیر</t>
        </is>
      </c>
      <c r="S24" s="92" t="inlineStr">
        <is>
          <t>نام دارنده حقوقی</t>
        </is>
      </c>
      <c r="T24" s="92" t="n">
        <v>5</v>
      </c>
      <c r="U24" s="92" t="n">
        <v>5</v>
      </c>
      <c r="V24" s="92" t="inlineStr">
        <is>
          <t>کامل</t>
        </is>
      </c>
      <c r="W24" s="92" t="inlineStr">
        <is>
          <t>1288275</t>
        </is>
      </c>
      <c r="X24" s="92" t="inlineStr">
        <is>
          <t>1403/10/05</t>
        </is>
      </c>
      <c r="Y24" s="92" t="inlineStr">
        <is>
          <t>https://www.codal.ir/Reports/Decision.aspx?LetterSerial=DsOgAmOOObOOOXCBilD6gqB1SIaw%3d%3d&amp;rt=2&amp;let=19&amp;ct=0&amp;ft=-1</t>
        </is>
      </c>
      <c r="Z24" s="92" t="inlineStr"/>
      <c r="AA24" s="92" t="inlineStr">
        <is>
          <t>تاریخ گزارش به‌عنوان تاریخ انتصاب فرض نشد؛ جایگزین اسماعیل قنبری از ۱۴۰۳/۰۲/۱۴ (اطلاعیه ۱۱۹۰۰۲۲)؛ پیش از Cutoff مبنا</t>
        </is>
      </c>
    </row>
    <row r="25" ht="45" customHeight="1" s="76">
      <c r="A25" s="92" t="inlineStr">
        <is>
          <t>SM0022</t>
        </is>
      </c>
      <c r="B25" s="92" t="inlineStr">
        <is>
          <t>F19</t>
        </is>
      </c>
      <c r="C25" s="92" t="inlineStr">
        <is>
          <t>پارسان</t>
        </is>
      </c>
      <c r="D25" s="92" t="inlineStr">
        <is>
          <t>1403/12/29</t>
        </is>
      </c>
      <c r="E25" s="92" t="inlineStr">
        <is>
          <t>1403/12/29 (مبنای قراردادی مشترک)</t>
        </is>
      </c>
      <c r="F25" s="92" t="inlineStr">
        <is>
          <t>پنجره مشترک</t>
        </is>
      </c>
      <c r="G25" s="92" t="inlineStr">
        <is>
          <t>P-71B57E34</t>
        </is>
      </c>
      <c r="H25" s="92" t="inlineStr">
        <is>
          <t>رحیم اسماعیلی دانا</t>
        </is>
      </c>
      <c r="I25" s="92" t="inlineStr">
        <is>
          <t>رحیم اسماعیلی دانا</t>
        </is>
      </c>
      <c r="J25" s="92" t="inlineStr">
        <is>
          <t>نام یکسان سازی شده در همان شرکت؛ کد ملی در این فایل نیست</t>
        </is>
      </c>
      <c r="K25" s="92" t="inlineStr">
        <is>
          <t>عضو اصلی فعال</t>
        </is>
      </c>
      <c r="L25" s="92" t="inlineStr">
        <is>
          <t>نایب رئیس (غیرموظف)</t>
        </is>
      </c>
      <c r="M25" s="92" t="inlineStr">
        <is>
          <t>خیر</t>
        </is>
      </c>
      <c r="N25" s="92" t="inlineStr">
        <is>
          <t>خیر</t>
        </is>
      </c>
      <c r="O25" s="92" t="inlineStr">
        <is>
          <t>سرمایه‌گذاری اعتضاد غدیر</t>
        </is>
      </c>
      <c r="P25" s="92" t="inlineStr">
        <is>
          <t>ندارد (فقط نام)</t>
        </is>
      </c>
      <c r="Q25" s="92" t="inlineStr">
        <is>
          <t>رحیم اسماعیلی دانا</t>
        </is>
      </c>
      <c r="R25" s="92" t="inlineStr">
        <is>
          <t>سرمایه گذاری اعتضاد غدیر</t>
        </is>
      </c>
      <c r="S25" s="92" t="inlineStr">
        <is>
          <t>نام دارنده حقوقی</t>
        </is>
      </c>
      <c r="T25" s="92" t="n">
        <v>5</v>
      </c>
      <c r="U25" s="92" t="n">
        <v>5</v>
      </c>
      <c r="V25" s="92" t="inlineStr">
        <is>
          <t>کامل</t>
        </is>
      </c>
      <c r="W25" s="92" t="inlineStr">
        <is>
          <t>1288275</t>
        </is>
      </c>
      <c r="X25" s="92" t="inlineStr">
        <is>
          <t>1403/10/05</t>
        </is>
      </c>
      <c r="Y25" s="92" t="inlineStr">
        <is>
          <t>https://www.codal.ir/Reports/Decision.aspx?LetterSerial=DsOgAmOOObOOOXCBilD6gqB1SIaw%3d%3d&amp;rt=2&amp;let=19&amp;ct=0&amp;ft=-1</t>
        </is>
      </c>
      <c r="Z25" s="92" t="inlineStr"/>
      <c r="AA25" s="92" t="inlineStr">
        <is>
          <t>تاریخ گزارش به‌عنوان تاریخ انتصاب فرض نشد</t>
        </is>
      </c>
    </row>
    <row r="26" ht="45" customHeight="1" s="76">
      <c r="A26" s="92" t="inlineStr">
        <is>
          <t>SM0023</t>
        </is>
      </c>
      <c r="B26" s="92" t="inlineStr">
        <is>
          <t>F19</t>
        </is>
      </c>
      <c r="C26" s="92" t="inlineStr">
        <is>
          <t>پارسان</t>
        </is>
      </c>
      <c r="D26" s="92" t="inlineStr">
        <is>
          <t>1403/12/29</t>
        </is>
      </c>
      <c r="E26" s="92" t="inlineStr">
        <is>
          <t>1403/12/29 (مبنای قراردادی مشترک)</t>
        </is>
      </c>
      <c r="F26" s="92" t="inlineStr">
        <is>
          <t>پنجره مشترک</t>
        </is>
      </c>
      <c r="G26" s="92" t="inlineStr">
        <is>
          <t>P-B692980F</t>
        </is>
      </c>
      <c r="H26" s="92" t="inlineStr">
        <is>
          <t>محمدرضا حیدرزاده</t>
        </is>
      </c>
      <c r="I26" s="92" t="inlineStr">
        <is>
          <t>محمدرضا حیدرزاده</t>
        </is>
      </c>
      <c r="J26" s="92" t="inlineStr">
        <is>
          <t>نام یکسان سازی شده در همان شرکت؛ کد ملی در این فایل نیست</t>
        </is>
      </c>
      <c r="K26" s="92" t="inlineStr">
        <is>
          <t>عضو اصلی فعال</t>
        </is>
      </c>
      <c r="L26" s="92" t="inlineStr">
        <is>
          <t>عضو (غیرموظف)</t>
        </is>
      </c>
      <c r="M26" s="92" t="inlineStr">
        <is>
          <t>خیر</t>
        </is>
      </c>
      <c r="N26" s="92" t="inlineStr">
        <is>
          <t>خیر</t>
        </is>
      </c>
      <c r="O26" s="92" t="inlineStr">
        <is>
          <t>دریابان جنوب ایران کیش</t>
        </is>
      </c>
      <c r="P26" s="92" t="inlineStr">
        <is>
          <t>ندارد (فقط نام)</t>
        </is>
      </c>
      <c r="Q26" s="92" t="inlineStr">
        <is>
          <t>محمدرضا حیدرزاده</t>
        </is>
      </c>
      <c r="R26" s="92" t="inlineStr">
        <is>
          <t>دریابان جنوب ایران کیش</t>
        </is>
      </c>
      <c r="S26" s="92" t="inlineStr">
        <is>
          <t>نام دارنده حقوقی</t>
        </is>
      </c>
      <c r="T26" s="92" t="n">
        <v>5</v>
      </c>
      <c r="U26" s="92" t="n">
        <v>5</v>
      </c>
      <c r="V26" s="92" t="inlineStr">
        <is>
          <t>کامل</t>
        </is>
      </c>
      <c r="W26" s="92" t="inlineStr">
        <is>
          <t>1288275</t>
        </is>
      </c>
      <c r="X26" s="92" t="inlineStr">
        <is>
          <t>1403/10/05</t>
        </is>
      </c>
      <c r="Y26" s="92" t="inlineStr">
        <is>
          <t>https://www.codal.ir/Reports/Decision.aspx?LetterSerial=DsOgAmOOObOOOXCBilD6gqB1SIaw%3d%3d&amp;rt=2&amp;let=19&amp;ct=0&amp;ft=-1</t>
        </is>
      </c>
      <c r="Z26" s="92" t="inlineStr"/>
      <c r="AA26" s="92" t="inlineStr">
        <is>
          <t>تاریخ گزارش به‌عنوان تاریخ انتصاب فرض نشد</t>
        </is>
      </c>
    </row>
    <row r="27" ht="45" customHeight="1" s="76">
      <c r="A27" s="92" t="inlineStr">
        <is>
          <t>SM0024</t>
        </is>
      </c>
      <c r="B27" s="92" t="inlineStr">
        <is>
          <t>F19</t>
        </is>
      </c>
      <c r="C27" s="92" t="inlineStr">
        <is>
          <t>پارسان</t>
        </is>
      </c>
      <c r="D27" s="92" t="inlineStr">
        <is>
          <t>1403/12/29</t>
        </is>
      </c>
      <c r="E27" s="92" t="inlineStr">
        <is>
          <t>1403/12/29 (مبنای قراردادی مشترک)</t>
        </is>
      </c>
      <c r="F27" s="92" t="inlineStr">
        <is>
          <t>پنجره مشترک</t>
        </is>
      </c>
      <c r="G27" s="92" t="inlineStr">
        <is>
          <t>P-F7AC0DD2</t>
        </is>
      </c>
      <c r="H27" s="92" t="inlineStr">
        <is>
          <t>متین دیداری</t>
        </is>
      </c>
      <c r="I27" s="92" t="inlineStr">
        <is>
          <t>متین دیداری</t>
        </is>
      </c>
      <c r="J27" s="92" t="inlineStr">
        <is>
          <t>نام یکسان سازی شده در همان شرکت؛ کد ملی در این فایل نیست</t>
        </is>
      </c>
      <c r="K27" s="92" t="inlineStr">
        <is>
          <t>عضو اصلی فعال</t>
        </is>
      </c>
      <c r="L27" s="92" t="inlineStr">
        <is>
          <t>عضو (غیرموظف)</t>
        </is>
      </c>
      <c r="M27" s="92" t="inlineStr">
        <is>
          <t>خیر</t>
        </is>
      </c>
      <c r="N27" s="92" t="inlineStr">
        <is>
          <t>خیر</t>
        </is>
      </c>
      <c r="O27" s="92" t="inlineStr">
        <is>
          <t>صنعتی و بازرگانی غدیر</t>
        </is>
      </c>
      <c r="P27" s="92" t="inlineStr">
        <is>
          <t>ندارد (فقط نام)</t>
        </is>
      </c>
      <c r="Q27" s="92" t="inlineStr">
        <is>
          <t>متین دیداری</t>
        </is>
      </c>
      <c r="R27" s="92" t="inlineStr">
        <is>
          <t>صنعتی و بازرگانی غدیر</t>
        </is>
      </c>
      <c r="S27" s="92" t="inlineStr">
        <is>
          <t>نام دارنده حقوقی</t>
        </is>
      </c>
      <c r="T27" s="92" t="n">
        <v>5</v>
      </c>
      <c r="U27" s="92" t="n">
        <v>5</v>
      </c>
      <c r="V27" s="92" t="inlineStr">
        <is>
          <t>کامل</t>
        </is>
      </c>
      <c r="W27" s="92" t="inlineStr">
        <is>
          <t>1288275</t>
        </is>
      </c>
      <c r="X27" s="92" t="inlineStr">
        <is>
          <t>1403/10/05</t>
        </is>
      </c>
      <c r="Y27" s="92" t="inlineStr">
        <is>
          <t>https://www.codal.ir/Reports/Decision.aspx?LetterSerial=DsOgAmOOObOOOXCBilD6gqB1SIaw%3d%3d&amp;rt=2&amp;let=19&amp;ct=0&amp;ft=-1</t>
        </is>
      </c>
      <c r="Z27" s="92" t="inlineStr"/>
      <c r="AA27" s="92" t="inlineStr">
        <is>
          <t>تاریخ گزارش به‌عنوان تاریخ انتصاب فرض نشد</t>
        </is>
      </c>
    </row>
    <row r="28" ht="45" customHeight="1" s="76">
      <c r="A28" s="92" t="inlineStr">
        <is>
          <t>SM0025</t>
        </is>
      </c>
      <c r="B28" s="92" t="inlineStr">
        <is>
          <t>F19</t>
        </is>
      </c>
      <c r="C28" s="92" t="inlineStr">
        <is>
          <t>پارسان</t>
        </is>
      </c>
      <c r="D28" s="92" t="inlineStr">
        <is>
          <t>1403/12/29</t>
        </is>
      </c>
      <c r="E28" s="92" t="inlineStr">
        <is>
          <t>1403/12/29 (مبنای قراردادی مشترک)</t>
        </is>
      </c>
      <c r="F28" s="92" t="inlineStr">
        <is>
          <t>پنجره مشترک</t>
        </is>
      </c>
      <c r="G28" s="92" t="inlineStr">
        <is>
          <t>P-EAB6FDB5</t>
        </is>
      </c>
      <c r="H28" s="92" t="inlineStr">
        <is>
          <t>احد امیری</t>
        </is>
      </c>
      <c r="I28" s="92" t="inlineStr">
        <is>
          <t>احد امیری</t>
        </is>
      </c>
      <c r="J28" s="92" t="inlineStr">
        <is>
          <t>نام یکسان سازی شده در همان شرکت؛ کد ملی در این فایل نیست</t>
        </is>
      </c>
      <c r="K28" s="92" t="inlineStr">
        <is>
          <t>عضو اصلی فعال</t>
        </is>
      </c>
      <c r="L28" s="92" t="inlineStr">
        <is>
          <t>رئیس هیئت مدیره (غیرموظف)</t>
        </is>
      </c>
      <c r="M28" s="92" t="inlineStr">
        <is>
          <t>خیر</t>
        </is>
      </c>
      <c r="N28" s="92" t="inlineStr">
        <is>
          <t>بله</t>
        </is>
      </c>
      <c r="O28" s="92" t="inlineStr">
        <is>
          <t>سرمایه‌گذاری مهرگان تأمین پارس</t>
        </is>
      </c>
      <c r="P28" s="92" t="inlineStr">
        <is>
          <t>ندارد (فقط نام)</t>
        </is>
      </c>
      <c r="Q28" s="92" t="inlineStr">
        <is>
          <t>احد امیری</t>
        </is>
      </c>
      <c r="R28" s="92" t="inlineStr">
        <is>
          <t>سرمایه گذاری مهرگان تامین پارس</t>
        </is>
      </c>
      <c r="S28" s="92" t="inlineStr">
        <is>
          <t>نام دارنده حقوقی</t>
        </is>
      </c>
      <c r="T28" s="92" t="n">
        <v>5</v>
      </c>
      <c r="U28" s="92" t="n">
        <v>5</v>
      </c>
      <c r="V28" s="92" t="inlineStr">
        <is>
          <t>کامل</t>
        </is>
      </c>
      <c r="W28" s="92" t="inlineStr">
        <is>
          <t>1288275</t>
        </is>
      </c>
      <c r="X28" s="92" t="inlineStr">
        <is>
          <t>1403/10/05</t>
        </is>
      </c>
      <c r="Y28" s="92" t="inlineStr">
        <is>
          <t>https://www.codal.ir/Reports/Decision.aspx?LetterSerial=DsOgAmOOObOOOXCBilD6gqB1SIaw%3d%3d&amp;rt=2&amp;let=19&amp;ct=0&amp;ft=-1</t>
        </is>
      </c>
      <c r="Z28" s="92" t="inlineStr"/>
      <c r="AA28" s="92" t="inlineStr">
        <is>
          <t>تاریخ گزارش به‌عنوان تاریخ انتصاب فرض نشد؛ 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is>
      </c>
    </row>
    <row r="29" ht="45" customHeight="1" s="76">
      <c r="A29" s="93" t="inlineStr">
        <is>
          <t>SM0026</t>
        </is>
      </c>
      <c r="B29" s="93" t="inlineStr">
        <is>
          <t>F19</t>
        </is>
      </c>
      <c r="C29" s="93" t="inlineStr">
        <is>
          <t>پارسان</t>
        </is>
      </c>
      <c r="D29" s="93" t="inlineStr">
        <is>
          <t>1404/12/29</t>
        </is>
      </c>
      <c r="E29" s="93" t="inlineStr">
        <is>
          <t>1404/12/29 (مبنای قراردادی مشترک)</t>
        </is>
      </c>
      <c r="F29" s="93" t="inlineStr">
        <is>
          <t>پنجره مشترک</t>
        </is>
      </c>
      <c r="G29" s="93" t="inlineStr">
        <is>
          <t>P-F09275F4</t>
        </is>
      </c>
      <c r="H29" s="93" t="inlineStr">
        <is>
          <t>سیدجعفر هاشمی</t>
        </is>
      </c>
      <c r="I29" s="93" t="inlineStr">
        <is>
          <t>سیدجعفر هاشمی</t>
        </is>
      </c>
      <c r="J29" s="93" t="inlineStr">
        <is>
          <t>نام یکسان سازی شده در همان شرکت؛ کد ملی در این فایل نیست</t>
        </is>
      </c>
      <c r="K29" s="93" t="inlineStr">
        <is>
          <t>عضو اصلی فعال</t>
        </is>
      </c>
      <c r="L29" s="93" t="inlineStr">
        <is>
          <t>عضو و مدیرعامل (موظف)</t>
        </is>
      </c>
      <c r="M29" s="93" t="inlineStr">
        <is>
          <t>بله</t>
        </is>
      </c>
      <c r="N29" s="93" t="inlineStr">
        <is>
          <t>خیر</t>
        </is>
      </c>
      <c r="O29" s="93" t="inlineStr">
        <is>
          <t>سرمایه‌گذاری غدیر</t>
        </is>
      </c>
      <c r="P29" s="93" t="inlineStr">
        <is>
          <t>ندارد (فقط نام)</t>
        </is>
      </c>
      <c r="Q29" s="93" t="inlineStr">
        <is>
          <t>سیدجعفر هاشمی</t>
        </is>
      </c>
      <c r="R29" s="93" t="inlineStr">
        <is>
          <t>سرمایه گذاری غدیر</t>
        </is>
      </c>
      <c r="S29" s="93" t="inlineStr">
        <is>
          <t>نام دارنده حقوقی</t>
        </is>
      </c>
      <c r="T29" s="93" t="n">
        <v>5</v>
      </c>
      <c r="U29" s="93" t="n">
        <v>5</v>
      </c>
      <c r="V29" s="93" t="inlineStr">
        <is>
          <t>کامل با حساسیت ثبت شده</t>
        </is>
      </c>
      <c r="W29" s="93" t="inlineStr">
        <is>
          <t>1443940</t>
        </is>
      </c>
      <c r="X29" s="93" t="inlineStr">
        <is>
          <t>1404/09/06</t>
        </is>
      </c>
      <c r="Y29" s="93" t="inlineStr">
        <is>
          <t>https://www.codal.ir/Reports/Decision.aspx?LetterSerial=zNIQQQaQQQIYcl2yMb4DUIPu3s7w%3d%3d&amp;rt=2&amp;let=19&amp;ct=0&amp;ft=-1</t>
        </is>
      </c>
      <c r="Z29"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c r="AA29" s="93" t="inlineStr">
        <is>
          <t>تاریخ گزارش به‌عنوان تاریخ انتصاب فرض نشد؛ جایگزین اسماعیل قنبری از ۱۴۰۳/۰۲/۱۴ (اطلاعیه ۱۱۹۰۰۲۲)؛ پیش از Cutoff مبنا</t>
        </is>
      </c>
    </row>
    <row r="30" ht="45" customHeight="1" s="76">
      <c r="A30" s="93" t="inlineStr">
        <is>
          <t>SM0027</t>
        </is>
      </c>
      <c r="B30" s="93" t="inlineStr">
        <is>
          <t>F19</t>
        </is>
      </c>
      <c r="C30" s="93" t="inlineStr">
        <is>
          <t>پارسان</t>
        </is>
      </c>
      <c r="D30" s="93" t="inlineStr">
        <is>
          <t>1404/12/29</t>
        </is>
      </c>
      <c r="E30" s="93" t="inlineStr">
        <is>
          <t>1404/12/29 (مبنای قراردادی مشترک)</t>
        </is>
      </c>
      <c r="F30" s="93" t="inlineStr">
        <is>
          <t>پنجره مشترک</t>
        </is>
      </c>
      <c r="G30" s="93" t="inlineStr">
        <is>
          <t>P-71B57E34</t>
        </is>
      </c>
      <c r="H30" s="93" t="inlineStr">
        <is>
          <t>رحیم اسماعیلی دانا</t>
        </is>
      </c>
      <c r="I30" s="93" t="inlineStr">
        <is>
          <t>رحیم اسماعیلی دانا</t>
        </is>
      </c>
      <c r="J30" s="93" t="inlineStr">
        <is>
          <t>نام یکسان سازی شده در همان شرکت؛ کد ملی در این فایل نیست</t>
        </is>
      </c>
      <c r="K30" s="93" t="inlineStr">
        <is>
          <t>عضو اصلی فعال</t>
        </is>
      </c>
      <c r="L30" s="93" t="inlineStr">
        <is>
          <t>نایب رئیس (غیرموظف)</t>
        </is>
      </c>
      <c r="M30" s="93" t="inlineStr">
        <is>
          <t>خیر</t>
        </is>
      </c>
      <c r="N30" s="93" t="inlineStr">
        <is>
          <t>خیر</t>
        </is>
      </c>
      <c r="O30" s="93" t="inlineStr">
        <is>
          <t>سرمایه‌گذاری اعتضاد غدیر</t>
        </is>
      </c>
      <c r="P30" s="93" t="inlineStr">
        <is>
          <t>ندارد (فقط نام)</t>
        </is>
      </c>
      <c r="Q30" s="93" t="inlineStr">
        <is>
          <t>رحیم اسماعیلی دانا</t>
        </is>
      </c>
      <c r="R30" s="93" t="inlineStr">
        <is>
          <t>سرمایه گذاری اعتضاد غدیر</t>
        </is>
      </c>
      <c r="S30" s="93" t="inlineStr">
        <is>
          <t>نام دارنده حقوقی</t>
        </is>
      </c>
      <c r="T30" s="93" t="n">
        <v>5</v>
      </c>
      <c r="U30" s="93" t="n">
        <v>5</v>
      </c>
      <c r="V30" s="93" t="inlineStr">
        <is>
          <t>کامل با حساسیت ثبت شده</t>
        </is>
      </c>
      <c r="W30" s="93" t="inlineStr">
        <is>
          <t>1443940</t>
        </is>
      </c>
      <c r="X30" s="93" t="inlineStr">
        <is>
          <t>1404/09/06</t>
        </is>
      </c>
      <c r="Y30" s="93" t="inlineStr">
        <is>
          <t>https://www.codal.ir/Reports/Decision.aspx?LetterSerial=zNIQQQaQQQIYcl2yMb4DUIPu3s7w%3d%3d&amp;rt=2&amp;let=19&amp;ct=0&amp;ft=-1</t>
        </is>
      </c>
      <c r="Z30"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c r="AA30" s="93" t="inlineStr">
        <is>
          <t>تاریخ گزارش به‌عنوان تاریخ انتصاب فرض نشد</t>
        </is>
      </c>
    </row>
    <row r="31" ht="45" customHeight="1" s="76">
      <c r="A31" s="93" t="inlineStr">
        <is>
          <t>SM0028</t>
        </is>
      </c>
      <c r="B31" s="93" t="inlineStr">
        <is>
          <t>F19</t>
        </is>
      </c>
      <c r="C31" s="93" t="inlineStr">
        <is>
          <t>پارسان</t>
        </is>
      </c>
      <c r="D31" s="93" t="inlineStr">
        <is>
          <t>1404/12/29</t>
        </is>
      </c>
      <c r="E31" s="93" t="inlineStr">
        <is>
          <t>1404/12/29 (مبنای قراردادی مشترک)</t>
        </is>
      </c>
      <c r="F31" s="93" t="inlineStr">
        <is>
          <t>پنجره مشترک</t>
        </is>
      </c>
      <c r="G31" s="93" t="inlineStr">
        <is>
          <t>P-669EA9C7</t>
        </is>
      </c>
      <c r="H31" s="93" t="inlineStr">
        <is>
          <t>علی مهری‌پرگو</t>
        </is>
      </c>
      <c r="I31" s="93" t="inlineStr">
        <is>
          <t>علی مهری پرگو</t>
        </is>
      </c>
      <c r="J31" s="93" t="inlineStr">
        <is>
          <t>نام یکسان سازی شده در همان شرکت؛ کد ملی در این فایل نیست</t>
        </is>
      </c>
      <c r="K31" s="93" t="inlineStr">
        <is>
          <t>عضو اصلی فعال</t>
        </is>
      </c>
      <c r="L31" s="93" t="inlineStr">
        <is>
          <t>عضو (غیرموظف)</t>
        </is>
      </c>
      <c r="M31" s="93" t="inlineStr">
        <is>
          <t>خیر</t>
        </is>
      </c>
      <c r="N31" s="93" t="inlineStr">
        <is>
          <t>خیر</t>
        </is>
      </c>
      <c r="O31" s="93" t="inlineStr">
        <is>
          <t>دریابان جنوب ایران کیش</t>
        </is>
      </c>
      <c r="P31" s="93" t="inlineStr">
        <is>
          <t>ندارد (فقط نام)</t>
        </is>
      </c>
      <c r="Q31" s="93" t="inlineStr">
        <is>
          <t>علی مهری‌پرگو</t>
        </is>
      </c>
      <c r="R31" s="93" t="inlineStr">
        <is>
          <t>دریابان جنوب ایران کیش</t>
        </is>
      </c>
      <c r="S31" s="93" t="inlineStr">
        <is>
          <t>نام دارنده حقوقی</t>
        </is>
      </c>
      <c r="T31" s="93" t="n">
        <v>5</v>
      </c>
      <c r="U31" s="93" t="n">
        <v>5</v>
      </c>
      <c r="V31" s="93" t="inlineStr">
        <is>
          <t>کامل با حساسیت ثبت شده</t>
        </is>
      </c>
      <c r="W31" s="93" t="inlineStr">
        <is>
          <t>1443940</t>
        </is>
      </c>
      <c r="X31" s="93" t="inlineStr">
        <is>
          <t>1404/09/06</t>
        </is>
      </c>
      <c r="Y31" s="93" t="inlineStr">
        <is>
          <t>https://www.codal.ir/Reports/Decision.aspx?LetterSerial=zNIQQQaQQQIYcl2yMb4DUIPu3s7w%3d%3d&amp;rt=2&amp;let=19&amp;ct=0&amp;ft=-1</t>
        </is>
      </c>
      <c r="Z31"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c r="AA31" s="93" t="inlineStr">
        <is>
          <t>تاریخ گزارش به‌عنوان تاریخ انتصاب فرض نشد</t>
        </is>
      </c>
    </row>
    <row r="32" ht="45" customHeight="1" s="76">
      <c r="A32" s="93" t="inlineStr">
        <is>
          <t>SM0029</t>
        </is>
      </c>
      <c r="B32" s="93" t="inlineStr">
        <is>
          <t>F19</t>
        </is>
      </c>
      <c r="C32" s="93" t="inlineStr">
        <is>
          <t>پارسان</t>
        </is>
      </c>
      <c r="D32" s="93" t="inlineStr">
        <is>
          <t>1404/12/29</t>
        </is>
      </c>
      <c r="E32" s="93" t="inlineStr">
        <is>
          <t>1404/12/29 (مبنای قراردادی مشترک)</t>
        </is>
      </c>
      <c r="F32" s="93" t="inlineStr">
        <is>
          <t>پنجره مشترک</t>
        </is>
      </c>
      <c r="G32" s="93" t="inlineStr">
        <is>
          <t>P-DFFE11D7</t>
        </is>
      </c>
      <c r="H32" s="93" t="inlineStr">
        <is>
          <t>علیرضا غلامی</t>
        </is>
      </c>
      <c r="I32" s="93" t="inlineStr">
        <is>
          <t>علیرضا غلامی</t>
        </is>
      </c>
      <c r="J32" s="93" t="inlineStr">
        <is>
          <t>نام یکسان سازی شده در همان شرکت؛ کد ملی در این فایل نیست</t>
        </is>
      </c>
      <c r="K32" s="93" t="inlineStr">
        <is>
          <t>عضو اصلی فعال</t>
        </is>
      </c>
      <c r="L32" s="93" t="inlineStr">
        <is>
          <t>عضو (غیرموظف)</t>
        </is>
      </c>
      <c r="M32" s="93" t="inlineStr">
        <is>
          <t>خیر</t>
        </is>
      </c>
      <c r="N32" s="93" t="inlineStr">
        <is>
          <t>خیر</t>
        </is>
      </c>
      <c r="O32" s="93" t="inlineStr">
        <is>
          <t>صنعتی و بازرگانی غدیر</t>
        </is>
      </c>
      <c r="P32" s="93" t="inlineStr">
        <is>
          <t>ندارد (فقط نام)</t>
        </is>
      </c>
      <c r="Q32" s="93" t="inlineStr">
        <is>
          <t>علیرضا غلامی</t>
        </is>
      </c>
      <c r="R32" s="93" t="inlineStr">
        <is>
          <t>صنعتی و بازرگانی غدیر</t>
        </is>
      </c>
      <c r="S32" s="93" t="inlineStr">
        <is>
          <t>نام دارنده حقوقی</t>
        </is>
      </c>
      <c r="T32" s="93" t="n">
        <v>5</v>
      </c>
      <c r="U32" s="93" t="n">
        <v>5</v>
      </c>
      <c r="V32" s="93" t="inlineStr">
        <is>
          <t>کامل با حساسیت ثبت شده</t>
        </is>
      </c>
      <c r="W32" s="93" t="inlineStr">
        <is>
          <t>1443940</t>
        </is>
      </c>
      <c r="X32" s="93" t="inlineStr">
        <is>
          <t>1404/09/06</t>
        </is>
      </c>
      <c r="Y32" s="93" t="inlineStr">
        <is>
          <t>https://www.codal.ir/Reports/Decision.aspx?LetterSerial=zNIQQQaQQQIYcl2yMb4DUIPu3s7w%3d%3d&amp;rt=2&amp;let=19&amp;ct=0&amp;ft=-1</t>
        </is>
      </c>
      <c r="Z32"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c r="AA32" s="93" t="inlineStr">
        <is>
          <t>تاریخ گزارش به‌عنوان تاریخ انتصاب فرض نشد</t>
        </is>
      </c>
    </row>
    <row r="33" ht="45" customHeight="1" s="76">
      <c r="A33" s="93" t="inlineStr">
        <is>
          <t>SM0030</t>
        </is>
      </c>
      <c r="B33" s="93" t="inlineStr">
        <is>
          <t>F19</t>
        </is>
      </c>
      <c r="C33" s="93" t="inlineStr">
        <is>
          <t>پارسان</t>
        </is>
      </c>
      <c r="D33" s="93" t="inlineStr">
        <is>
          <t>1404/12/29</t>
        </is>
      </c>
      <c r="E33" s="93" t="inlineStr">
        <is>
          <t>1404/12/29 (مبنای قراردادی مشترک)</t>
        </is>
      </c>
      <c r="F33" s="93" t="inlineStr">
        <is>
          <t>پنجره مشترک</t>
        </is>
      </c>
      <c r="G33" s="93" t="inlineStr">
        <is>
          <t>P-EAB6FDB5</t>
        </is>
      </c>
      <c r="H33" s="93" t="inlineStr">
        <is>
          <t>احد امیری</t>
        </is>
      </c>
      <c r="I33" s="93" t="inlineStr">
        <is>
          <t>احد امیری</t>
        </is>
      </c>
      <c r="J33" s="93" t="inlineStr">
        <is>
          <t>نام یکسان سازی شده در همان شرکت؛ کد ملی در این فایل نیست</t>
        </is>
      </c>
      <c r="K33" s="93" t="inlineStr">
        <is>
          <t>عضو اصلی فعال</t>
        </is>
      </c>
      <c r="L33" s="93" t="inlineStr">
        <is>
          <t>رئیس هیئت مدیره (غیرموظف)</t>
        </is>
      </c>
      <c r="M33" s="93" t="inlineStr">
        <is>
          <t>خیر</t>
        </is>
      </c>
      <c r="N33" s="93" t="inlineStr">
        <is>
          <t>بله</t>
        </is>
      </c>
      <c r="O33" s="93" t="inlineStr">
        <is>
          <t>سرمایه‌گذاری مهرگان تأمین پارس</t>
        </is>
      </c>
      <c r="P33" s="93" t="inlineStr">
        <is>
          <t>ندارد (فقط نام)</t>
        </is>
      </c>
      <c r="Q33" s="93" t="inlineStr">
        <is>
          <t>احد امیری</t>
        </is>
      </c>
      <c r="R33" s="93" t="inlineStr">
        <is>
          <t>سرمایه گذاری مهرگان تامین پارس</t>
        </is>
      </c>
      <c r="S33" s="93" t="inlineStr">
        <is>
          <t>نام دارنده حقوقی</t>
        </is>
      </c>
      <c r="T33" s="93" t="n">
        <v>5</v>
      </c>
      <c r="U33" s="93" t="n">
        <v>5</v>
      </c>
      <c r="V33" s="93" t="inlineStr">
        <is>
          <t>کامل با حساسیت ثبت شده</t>
        </is>
      </c>
      <c r="W33" s="93" t="inlineStr">
        <is>
          <t>1443940</t>
        </is>
      </c>
      <c r="X33" s="93" t="inlineStr">
        <is>
          <t>1404/09/06</t>
        </is>
      </c>
      <c r="Y33" s="93" t="inlineStr">
        <is>
          <t>https://www.codal.ir/Reports/Decision.aspx?LetterSerial=zNIQQQaQQQIYcl2yMb4DUIPu3s7w%3d%3d&amp;rt=2&amp;let=19&amp;ct=0&amp;ft=-1</t>
        </is>
      </c>
      <c r="Z33"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c r="AA33" s="93" t="inlineStr">
        <is>
          <t>تاریخ گزارش به‌عنوان تاریخ انتصاب فرض نشد؛ مجمع ۱۴۰۴/۱۰/۲۳ این نهاد (و دریابان) را حذف و «سرمایه‌گذاری زرین پرشیا» و «گروه مالی نماد غدیر» را وارد کرد؛ نمایندگان فقط در جلسه ۱۴۰۵/۰۲/۰۸ (پس از Cutoff، اطلاعیه ۱۵۱۵۷۴۴/۱۵۱۵۸۱۳/۱۵۵۱۴۶۳) ثبت شدند</t>
        </is>
      </c>
    </row>
    <row r="34" ht="45" customHeight="1" s="76">
      <c r="A34" s="92" t="inlineStr">
        <is>
          <t>SM0031</t>
        </is>
      </c>
      <c r="B34" s="92" t="inlineStr">
        <is>
          <t>F21</t>
        </is>
      </c>
      <c r="C34" s="92" t="inlineStr">
        <is>
          <t>جم</t>
        </is>
      </c>
      <c r="D34" s="92" t="inlineStr">
        <is>
          <t>1403/12/29</t>
        </is>
      </c>
      <c r="E34" s="92" t="inlineStr">
        <is>
          <t>1403/12/29 (مبنای قراردادی مشترک)</t>
        </is>
      </c>
      <c r="F34" s="92" t="inlineStr">
        <is>
          <t>پنجره مشترک</t>
        </is>
      </c>
      <c r="G34" s="92" t="inlineStr">
        <is>
          <t>P-FF72D32A</t>
        </is>
      </c>
      <c r="H34" s="92" t="inlineStr">
        <is>
          <t>متین دیداری</t>
        </is>
      </c>
      <c r="I34" s="92" t="inlineStr">
        <is>
          <t>متین دیداری</t>
        </is>
      </c>
      <c r="J34" s="92" t="inlineStr">
        <is>
          <t>نام یکسان سازی شده در همان شرکت؛ کد ملی در این فایل نیست</t>
        </is>
      </c>
      <c r="K34" s="92" t="inlineStr">
        <is>
          <t>عضو اصلی فعال</t>
        </is>
      </c>
      <c r="L34" s="92" t="inlineStr">
        <is>
          <t>رئیس هیئت مدیره (غیرموظف)</t>
        </is>
      </c>
      <c r="M34" s="92" t="inlineStr">
        <is>
          <t>خیر</t>
        </is>
      </c>
      <c r="N34" s="92" t="inlineStr">
        <is>
          <t>بله</t>
        </is>
      </c>
      <c r="O34" s="92" t="inlineStr">
        <is>
          <t>سرمایه‌گذاری نفت و گاز و پتروشیمی تأمین → گسترش تجارت هامون</t>
        </is>
      </c>
      <c r="P34" s="92" t="inlineStr">
        <is>
          <t>ندارد (فقط نام)</t>
        </is>
      </c>
      <c r="Q34" s="92" t="inlineStr">
        <is>
          <t>متین دیداری</t>
        </is>
      </c>
      <c r="R34" s="92" t="inlineStr">
        <is>
          <t>سرمایه گذاری نفت و گاز و پتروشیمی تامین → گسترش تجارت هامون</t>
        </is>
      </c>
      <c r="S34" s="92" t="inlineStr">
        <is>
          <t>نام دارنده حقوقی؛ در صورت جایگزینی دارنده طبق اطلاعیه v38</t>
        </is>
      </c>
      <c r="T34" s="92" t="n">
        <v>5</v>
      </c>
      <c r="U34" s="92" t="n">
        <v>5</v>
      </c>
      <c r="V34" s="92" t="inlineStr">
        <is>
          <t>کامل</t>
        </is>
      </c>
      <c r="W34" s="92" t="inlineStr">
        <is>
          <t>1171265</t>
        </is>
      </c>
      <c r="X34" s="92" t="inlineStr">
        <is>
          <t>1402/12/28</t>
        </is>
      </c>
      <c r="Y34" s="92" t="inlineStr">
        <is>
          <t>https://www.codal.ir/Reports/Decision.aspx?LetterSerial=SZoueUaBHVA%2bs%2bgcP%2bwj4A%3d%3d&amp;rt=0&amp;let=19&amp;ct=0&amp;ft=-1</t>
        </is>
      </c>
      <c r="Z34" s="92" t="inlineStr"/>
      <c r="AA34" s="92" t="inlineStr">
        <is>
          <t>تاریخ گزارش به‌عنوان تاریخ انتصاب فرض نشد؛ شخص حقوقی صاحب کرسی تغییر کرد؛ نماینده (دیداری) ثابت ماند؛ رئیس بودن او تا ۱۴۰۴/۱۲/۲۵ ادامه داشت</t>
        </is>
      </c>
    </row>
    <row r="35" ht="45" customHeight="1" s="76">
      <c r="A35" s="92" t="inlineStr">
        <is>
          <t>SM0032</t>
        </is>
      </c>
      <c r="B35" s="92" t="inlineStr">
        <is>
          <t>F21</t>
        </is>
      </c>
      <c r="C35" s="92" t="inlineStr">
        <is>
          <t>جم</t>
        </is>
      </c>
      <c r="D35" s="92" t="inlineStr">
        <is>
          <t>1403/12/29</t>
        </is>
      </c>
      <c r="E35" s="92" t="inlineStr">
        <is>
          <t>1403/12/29 (مبنای قراردادی مشترک)</t>
        </is>
      </c>
      <c r="F35" s="92" t="inlineStr">
        <is>
          <t>پنجره مشترک</t>
        </is>
      </c>
      <c r="G35" s="92" t="inlineStr">
        <is>
          <t>P-A6C54ABF</t>
        </is>
      </c>
      <c r="H35" s="92" t="inlineStr">
        <is>
          <t>محمدهاشم نجفی اردکانی</t>
        </is>
      </c>
      <c r="I35" s="92" t="inlineStr">
        <is>
          <t>محمدهاشم نجفی اردکانی</t>
        </is>
      </c>
      <c r="J35" s="92" t="inlineStr">
        <is>
          <t>نام یکسان سازی شده در همان شرکت؛ کد ملی در این فایل نیست</t>
        </is>
      </c>
      <c r="K35" s="92" t="inlineStr">
        <is>
          <t>عضو اصلی فعال</t>
        </is>
      </c>
      <c r="L35" s="92" t="inlineStr">
        <is>
          <t>نایب رئیس و مدیرعامل (موظف)</t>
        </is>
      </c>
      <c r="M35" s="92" t="inlineStr">
        <is>
          <t>بله</t>
        </is>
      </c>
      <c r="N35" s="92" t="inlineStr">
        <is>
          <t>خیر</t>
        </is>
      </c>
      <c r="O35" s="92" t="inlineStr">
        <is>
          <t>صبا انرژی جهان‌گستر</t>
        </is>
      </c>
      <c r="P35" s="92" t="inlineStr">
        <is>
          <t>ندارد (فقط نام)</t>
        </is>
      </c>
      <c r="Q35" s="92" t="inlineStr">
        <is>
          <t>محمدهاشم نجفی اردکانی</t>
        </is>
      </c>
      <c r="R35" s="92" t="inlineStr">
        <is>
          <t>صبا انرژی جهان گستر</t>
        </is>
      </c>
      <c r="S35" s="92" t="inlineStr">
        <is>
          <t>نام دارنده حقوقی</t>
        </is>
      </c>
      <c r="T35" s="92" t="n">
        <v>5</v>
      </c>
      <c r="U35" s="92" t="n">
        <v>5</v>
      </c>
      <c r="V35" s="92" t="inlineStr">
        <is>
          <t>کامل</t>
        </is>
      </c>
      <c r="W35" s="92" t="inlineStr">
        <is>
          <t>1171265</t>
        </is>
      </c>
      <c r="X35" s="92" t="inlineStr">
        <is>
          <t>1402/12/28</t>
        </is>
      </c>
      <c r="Y35" s="92" t="inlineStr">
        <is>
          <t>https://www.codal.ir/Reports/Decision.aspx?LetterSerial=SZoueUaBHVA%2bs%2bgcP%2bwj4A%3d%3d&amp;rt=0&amp;let=19&amp;ct=0&amp;ft=-1</t>
        </is>
      </c>
      <c r="Z35" s="92" t="inlineStr"/>
      <c r="AA35" s="92" t="inlineStr">
        <is>
          <t>تاریخ گزارش به‌عنوان تاریخ انتصاب فرض نشد؛ جابه‌جایی همان دو فرد بین کرسی‌ها؛ عضو جدید نیست</t>
        </is>
      </c>
    </row>
    <row r="36" ht="45" customHeight="1" s="76">
      <c r="A36" s="92" t="inlineStr">
        <is>
          <t>SM0033</t>
        </is>
      </c>
      <c r="B36" s="92" t="inlineStr">
        <is>
          <t>F21</t>
        </is>
      </c>
      <c r="C36" s="92" t="inlineStr">
        <is>
          <t>جم</t>
        </is>
      </c>
      <c r="D36" s="92" t="inlineStr">
        <is>
          <t>1403/12/29</t>
        </is>
      </c>
      <c r="E36" s="92" t="inlineStr">
        <is>
          <t>1403/12/29 (مبنای قراردادی مشترک)</t>
        </is>
      </c>
      <c r="F36" s="92" t="inlineStr">
        <is>
          <t>پنجره مشترک</t>
        </is>
      </c>
      <c r="G36" s="92" t="inlineStr">
        <is>
          <t>P-381F6276</t>
        </is>
      </c>
      <c r="H36" s="92" t="inlineStr">
        <is>
          <t>محمدسجاد سیاهکارزاده</t>
        </is>
      </c>
      <c r="I36" s="92" t="inlineStr">
        <is>
          <t>محمدسجاد سیاهکارزاده</t>
        </is>
      </c>
      <c r="J36" s="92" t="inlineStr">
        <is>
          <t>نام یکسان سازی شده در همان شرکت؛ کد ملی در این فایل نیست</t>
        </is>
      </c>
      <c r="K36" s="92" t="inlineStr">
        <is>
          <t>عضو اصلی فعال</t>
        </is>
      </c>
      <c r="L36" s="92" t="inlineStr">
        <is>
          <t>عضو (غیرموظف)</t>
        </is>
      </c>
      <c r="M36" s="92" t="inlineStr">
        <is>
          <t>خیر</t>
        </is>
      </c>
      <c r="N36" s="92" t="inlineStr">
        <is>
          <t>خیر</t>
        </is>
      </c>
      <c r="O36" s="92" t="inlineStr">
        <is>
          <t>کاوشگران بازار سرمایه</t>
        </is>
      </c>
      <c r="P36" s="92" t="inlineStr">
        <is>
          <t>ندارد (فقط نام)</t>
        </is>
      </c>
      <c r="Q36" s="92" t="inlineStr">
        <is>
          <t>محمدسجاد سیاهکارزاده</t>
        </is>
      </c>
      <c r="R36" s="92" t="inlineStr">
        <is>
          <t>کاوشگران بازار سرمایه</t>
        </is>
      </c>
      <c r="S36" s="92" t="inlineStr">
        <is>
          <t>نام دارنده حقوقی</t>
        </is>
      </c>
      <c r="T36" s="92" t="n">
        <v>5</v>
      </c>
      <c r="U36" s="92" t="n">
        <v>5</v>
      </c>
      <c r="V36" s="92" t="inlineStr">
        <is>
          <t>کامل</t>
        </is>
      </c>
      <c r="W36" s="92" t="inlineStr">
        <is>
          <t>1171265</t>
        </is>
      </c>
      <c r="X36" s="92" t="inlineStr">
        <is>
          <t>1402/12/28</t>
        </is>
      </c>
      <c r="Y36" s="92" t="inlineStr">
        <is>
          <t>https://www.codal.ir/Reports/Decision.aspx?LetterSerial=SZoueUaBHVA%2bs%2bgcP%2bwj4A%3d%3d&amp;rt=0&amp;let=19&amp;ct=0&amp;ft=-1</t>
        </is>
      </c>
      <c r="Z36" s="92" t="inlineStr"/>
      <c r="AA36" s="92" t="inlineStr">
        <is>
          <t>تاریخ گزارش به‌عنوان تاریخ انتصاب فرض نشد؛ تغییر رئیس هیئت مدیره (دیداری→سیاهکارزاده)</t>
        </is>
      </c>
    </row>
    <row r="37" ht="45" customHeight="1" s="76">
      <c r="A37" s="92" t="inlineStr">
        <is>
          <t>SM0034</t>
        </is>
      </c>
      <c r="B37" s="92" t="inlineStr">
        <is>
          <t>F21</t>
        </is>
      </c>
      <c r="C37" s="92" t="inlineStr">
        <is>
          <t>جم</t>
        </is>
      </c>
      <c r="D37" s="92" t="inlineStr">
        <is>
          <t>1403/12/29</t>
        </is>
      </c>
      <c r="E37" s="92" t="inlineStr">
        <is>
          <t>1403/12/29 (مبنای قراردادی مشترک)</t>
        </is>
      </c>
      <c r="F37" s="92" t="inlineStr">
        <is>
          <t>پنجره مشترک</t>
        </is>
      </c>
      <c r="G37" s="92" t="inlineStr">
        <is>
          <t>P-AC090FE6</t>
        </is>
      </c>
      <c r="H37" s="92" t="inlineStr">
        <is>
          <t>مهدی قربانی</t>
        </is>
      </c>
      <c r="I37" s="92" t="inlineStr">
        <is>
          <t>مهدی قربانی</t>
        </is>
      </c>
      <c r="J37" s="92" t="inlineStr">
        <is>
          <t>نام یکسان سازی شده در همان شرکت؛ کد ملی در این فایل نیست</t>
        </is>
      </c>
      <c r="K37" s="92" t="inlineStr">
        <is>
          <t>عضو اصلی فعال</t>
        </is>
      </c>
      <c r="L37" s="92" t="inlineStr">
        <is>
          <t>عضو (غیرموظف)</t>
        </is>
      </c>
      <c r="M37" s="92" t="inlineStr">
        <is>
          <t>خیر</t>
        </is>
      </c>
      <c r="N37" s="92" t="inlineStr">
        <is>
          <t>خیر</t>
        </is>
      </c>
      <c r="O37" s="92" t="inlineStr">
        <is>
          <t>سرمایه‌گذاری استان اردبیل</t>
        </is>
      </c>
      <c r="P37" s="92" t="inlineStr">
        <is>
          <t>ندارد (فقط نام)</t>
        </is>
      </c>
      <c r="Q37" s="92" t="inlineStr">
        <is>
          <t>مهدی قربانی</t>
        </is>
      </c>
      <c r="R37" s="92" t="inlineStr">
        <is>
          <t>سرمایه گذاری استان اردبیل</t>
        </is>
      </c>
      <c r="S37" s="92" t="inlineStr">
        <is>
          <t>نام دارنده حقوقی</t>
        </is>
      </c>
      <c r="T37" s="92" t="n">
        <v>5</v>
      </c>
      <c r="U37" s="92" t="n">
        <v>5</v>
      </c>
      <c r="V37" s="92" t="inlineStr">
        <is>
          <t>کامل</t>
        </is>
      </c>
      <c r="W37" s="92" t="inlineStr">
        <is>
          <t>1171265</t>
        </is>
      </c>
      <c r="X37" s="92" t="inlineStr">
        <is>
          <t>1402/12/28</t>
        </is>
      </c>
      <c r="Y37" s="92" t="inlineStr">
        <is>
          <t>https://www.codal.ir/Reports/Decision.aspx?LetterSerial=SZoueUaBHVA%2bs%2bgcP%2bwj4A%3d%3d&amp;rt=0&amp;let=19&amp;ct=0&amp;ft=-1</t>
        </is>
      </c>
      <c r="Z37" s="92" t="inlineStr"/>
      <c r="AA37" s="92" t="inlineStr">
        <is>
          <t>تاریخ گزارش به‌عنوان تاریخ انتصاب فرض نشد</t>
        </is>
      </c>
    </row>
    <row r="38" ht="45" customHeight="1" s="76">
      <c r="A38" s="92" t="inlineStr">
        <is>
          <t>SM0035</t>
        </is>
      </c>
      <c r="B38" s="92" t="inlineStr">
        <is>
          <t>F21</t>
        </is>
      </c>
      <c r="C38" s="92" t="inlineStr">
        <is>
          <t>جم</t>
        </is>
      </c>
      <c r="D38" s="92" t="inlineStr">
        <is>
          <t>1403/12/29</t>
        </is>
      </c>
      <c r="E38" s="92" t="inlineStr">
        <is>
          <t>1403/12/29 (مبنای قراردادی مشترک)</t>
        </is>
      </c>
      <c r="F38" s="92" t="inlineStr">
        <is>
          <t>پنجره مشترک</t>
        </is>
      </c>
      <c r="G38" s="92" t="inlineStr">
        <is>
          <t>P-036E3F71</t>
        </is>
      </c>
      <c r="H38" s="92" t="inlineStr">
        <is>
          <t>امیر اکبری</t>
        </is>
      </c>
      <c r="I38" s="92" t="inlineStr">
        <is>
          <t>امیر اکبری</t>
        </is>
      </c>
      <c r="J38" s="92" t="inlineStr">
        <is>
          <t>نام یکسان سازی شده در همان شرکت؛ کد ملی در این فایل نیست</t>
        </is>
      </c>
      <c r="K38" s="92" t="inlineStr">
        <is>
          <t>عضو اصلی فعال</t>
        </is>
      </c>
      <c r="L38" s="92" t="inlineStr">
        <is>
          <t>عضو (موظف)</t>
        </is>
      </c>
      <c r="M38" s="92" t="inlineStr">
        <is>
          <t>خیر</t>
        </is>
      </c>
      <c r="N38" s="92" t="inlineStr">
        <is>
          <t>خیر</t>
        </is>
      </c>
      <c r="O38" s="92" t="inlineStr">
        <is>
          <t>خدمات گستر صبا انرژی</t>
        </is>
      </c>
      <c r="P38" s="92" t="inlineStr">
        <is>
          <t>ندارد (فقط نام)</t>
        </is>
      </c>
      <c r="Q38" s="92" t="inlineStr">
        <is>
          <t>امیر اکبری</t>
        </is>
      </c>
      <c r="R38" s="92" t="inlineStr">
        <is>
          <t>خدمات گستر صبا انرژی</t>
        </is>
      </c>
      <c r="S38" s="92" t="inlineStr">
        <is>
          <t>نام دارنده حقوقی</t>
        </is>
      </c>
      <c r="T38" s="92" t="n">
        <v>5</v>
      </c>
      <c r="U38" s="92" t="n">
        <v>5</v>
      </c>
      <c r="V38" s="92" t="inlineStr">
        <is>
          <t>کامل</t>
        </is>
      </c>
      <c r="W38" s="92" t="inlineStr">
        <is>
          <t>1171265</t>
        </is>
      </c>
      <c r="X38" s="92" t="inlineStr">
        <is>
          <t>1402/12/28</t>
        </is>
      </c>
      <c r="Y38" s="92" t="inlineStr">
        <is>
          <t>https://www.codal.ir/Reports/Decision.aspx?LetterSerial=SZoueUaBHVA%2bs%2bgcP%2bwj4A%3d%3d&amp;rt=0&amp;let=19&amp;ct=0&amp;ft=-1</t>
        </is>
      </c>
      <c r="Z38" s="92" t="inlineStr"/>
      <c r="AA38" s="92" t="inlineStr">
        <is>
          <t>تاریخ گزارش به‌عنوان تاریخ انتصاب فرض نشد؛ زنجیره: اکبری→نجفی (۱۴۰۴/۰۶/۰۴)→معینی (۱۴۰۴/۱۲/۲۵)؛ معینی تنها عضو جدید</t>
        </is>
      </c>
    </row>
    <row r="39" ht="45" customHeight="1" s="76">
      <c r="A39" s="93" t="inlineStr">
        <is>
          <t>SM0036</t>
        </is>
      </c>
      <c r="B39" s="93" t="inlineStr">
        <is>
          <t>F21</t>
        </is>
      </c>
      <c r="C39" s="93" t="inlineStr">
        <is>
          <t>جم</t>
        </is>
      </c>
      <c r="D39" s="93" t="inlineStr">
        <is>
          <t>1404/12/29</t>
        </is>
      </c>
      <c r="E39" s="93" t="inlineStr">
        <is>
          <t>1404/12/29 (مبنای قراردادی مشترک)</t>
        </is>
      </c>
      <c r="F39" s="93" t="inlineStr">
        <is>
          <t>پنجره مشترک</t>
        </is>
      </c>
      <c r="G39" s="93" t="inlineStr">
        <is>
          <t>P-FF72D32A</t>
        </is>
      </c>
      <c r="H39" s="93" t="inlineStr">
        <is>
          <t>متین دیداری</t>
        </is>
      </c>
      <c r="I39" s="93" t="inlineStr">
        <is>
          <t>متین دیداری</t>
        </is>
      </c>
      <c r="J39" s="93" t="inlineStr">
        <is>
          <t>نام یکسان سازی شده در همان شرکت؛ کد ملی در این فایل نیست</t>
        </is>
      </c>
      <c r="K39" s="93" t="inlineStr">
        <is>
          <t>عضو اصلی فعال</t>
        </is>
      </c>
      <c r="L39" s="93" t="inlineStr">
        <is>
          <t>عضو (غیرموظف)</t>
        </is>
      </c>
      <c r="M39" s="93" t="inlineStr">
        <is>
          <t>خیر</t>
        </is>
      </c>
      <c r="N39" s="93" t="inlineStr">
        <is>
          <t>خیر</t>
        </is>
      </c>
      <c r="O39" s="93" t="inlineStr">
        <is>
          <t>سرمایه‌گذاری نفت و گاز و پتروشیمی تأمین → گسترش تجارت هامون</t>
        </is>
      </c>
      <c r="P39" s="93" t="inlineStr">
        <is>
          <t>ندارد (فقط نام)</t>
        </is>
      </c>
      <c r="Q39" s="93" t="inlineStr">
        <is>
          <t>متین دیداری</t>
        </is>
      </c>
      <c r="R39" s="93" t="inlineStr">
        <is>
          <t>سرمایه گذاری نفت و گاز و پتروشیمی تامین → گسترش تجارت هامون</t>
        </is>
      </c>
      <c r="S39" s="93" t="inlineStr">
        <is>
          <t>نام دارنده حقوقی؛ در صورت جایگزینی دارنده طبق اطلاعیه v38</t>
        </is>
      </c>
      <c r="T39" s="93" t="n">
        <v>5</v>
      </c>
      <c r="U39" s="93" t="n">
        <v>5</v>
      </c>
      <c r="V39" s="93" t="inlineStr">
        <is>
          <t>کامل با حساسیت ثبت شده</t>
        </is>
      </c>
      <c r="W39" s="93" t="inlineStr">
        <is>
          <t>1527389</t>
        </is>
      </c>
      <c r="X39" s="93" t="inlineStr">
        <is>
          <t>1405/02/29</t>
        </is>
      </c>
      <c r="Y39" s="93" t="inlineStr">
        <is>
          <t>https://www.codal.ir/Reports/Decision.aspx?LetterSerial=QQQaQQQtpQVpIOOObOOOPhcgQQQaQQQA5ahYjCjA%3d%3d&amp;rt=0&amp;let=19&amp;ct=0&amp;ft=-1</t>
        </is>
      </c>
      <c r="Z39"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c r="AA39" s="93" t="inlineStr">
        <is>
          <t>تاریخ گزارش به‌عنوان تاریخ انتصاب فرض نشد؛ شخص حقوقی صاحب کرسی تغییر کرد؛ نماینده (دیداری) ثابت ماند؛ رئیس بودن او تا ۱۴۰۴/۱۲/۲۵ ادامه داشت</t>
        </is>
      </c>
    </row>
    <row r="40" ht="45" customHeight="1" s="76">
      <c r="A40" s="93" t="inlineStr">
        <is>
          <t>SM0037</t>
        </is>
      </c>
      <c r="B40" s="93" t="inlineStr">
        <is>
          <t>F21</t>
        </is>
      </c>
      <c r="C40" s="93" t="inlineStr">
        <is>
          <t>جم</t>
        </is>
      </c>
      <c r="D40" s="93" t="inlineStr">
        <is>
          <t>1404/12/29</t>
        </is>
      </c>
      <c r="E40" s="93" t="inlineStr">
        <is>
          <t>1404/12/29 (مبنای قراردادی مشترک)</t>
        </is>
      </c>
      <c r="F40" s="93" t="inlineStr">
        <is>
          <t>پنجره مشترک</t>
        </is>
      </c>
      <c r="G40" s="93" t="inlineStr">
        <is>
          <t>P-036E3F71</t>
        </is>
      </c>
      <c r="H40" s="93" t="inlineStr">
        <is>
          <t>امیر اکبری</t>
        </is>
      </c>
      <c r="I40" s="93" t="inlineStr">
        <is>
          <t>امیر اکبری</t>
        </is>
      </c>
      <c r="J40" s="93" t="inlineStr">
        <is>
          <t>نام یکسان سازی شده در همان شرکت؛ کد ملی در این فایل نیست</t>
        </is>
      </c>
      <c r="K40" s="93" t="inlineStr">
        <is>
          <t>عضو اصلی فعال</t>
        </is>
      </c>
      <c r="L40" s="93" t="inlineStr">
        <is>
          <t>نایب رئیس (موظف)</t>
        </is>
      </c>
      <c r="M40" s="93" t="inlineStr">
        <is>
          <t>خیر</t>
        </is>
      </c>
      <c r="N40" s="93" t="inlineStr">
        <is>
          <t>خیر</t>
        </is>
      </c>
      <c r="O40" s="93" t="inlineStr">
        <is>
          <t>صبا انرژی جهان‌گستر</t>
        </is>
      </c>
      <c r="P40" s="93" t="inlineStr">
        <is>
          <t>ندارد (فقط نام)</t>
        </is>
      </c>
      <c r="Q40" s="93" t="inlineStr">
        <is>
          <t>امیر اکبری</t>
        </is>
      </c>
      <c r="R40" s="93" t="inlineStr">
        <is>
          <t>صبا انرژی جهان گستر</t>
        </is>
      </c>
      <c r="S40" s="93" t="inlineStr">
        <is>
          <t>نام دارنده حقوقی</t>
        </is>
      </c>
      <c r="T40" s="93" t="n">
        <v>5</v>
      </c>
      <c r="U40" s="93" t="n">
        <v>5</v>
      </c>
      <c r="V40" s="93" t="inlineStr">
        <is>
          <t>کامل با حساسیت ثبت شده</t>
        </is>
      </c>
      <c r="W40" s="93" t="inlineStr">
        <is>
          <t>1527389</t>
        </is>
      </c>
      <c r="X40" s="93" t="inlineStr">
        <is>
          <t>1405/02/29</t>
        </is>
      </c>
      <c r="Y40" s="93" t="inlineStr">
        <is>
          <t>https://www.codal.ir/Reports/Decision.aspx?LetterSerial=QQQaQQQtpQVpIOOObOOOPhcgQQQaQQQA5ahYjCjA%3d%3d&amp;rt=0&amp;let=19&amp;ct=0&amp;ft=-1</t>
        </is>
      </c>
      <c r="Z40"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c r="AA40" s="93" t="inlineStr">
        <is>
          <t>تاریخ گزارش به‌عنوان تاریخ انتصاب فرض نشد؛ جابه‌جایی همان دو فرد بین کرسی‌ها؛ عضو جدید نیست</t>
        </is>
      </c>
    </row>
    <row r="41" ht="45" customHeight="1" s="76">
      <c r="A41" s="93" t="inlineStr">
        <is>
          <t>SM0038</t>
        </is>
      </c>
      <c r="B41" s="93" t="inlineStr">
        <is>
          <t>F21</t>
        </is>
      </c>
      <c r="C41" s="93" t="inlineStr">
        <is>
          <t>جم</t>
        </is>
      </c>
      <c r="D41" s="93" t="inlineStr">
        <is>
          <t>1404/12/29</t>
        </is>
      </c>
      <c r="E41" s="93" t="inlineStr">
        <is>
          <t>1404/12/29 (مبنای قراردادی مشترک)</t>
        </is>
      </c>
      <c r="F41" s="93" t="inlineStr">
        <is>
          <t>پنجره مشترک</t>
        </is>
      </c>
      <c r="G41" s="93" t="inlineStr">
        <is>
          <t>P-381F6276</t>
        </is>
      </c>
      <c r="H41" s="93" t="inlineStr">
        <is>
          <t>محمدسجاد سیاهکارزاده</t>
        </is>
      </c>
      <c r="I41" s="93" t="inlineStr">
        <is>
          <t>محمدسجاد سیاهکارزاده</t>
        </is>
      </c>
      <c r="J41" s="93" t="inlineStr">
        <is>
          <t>نام یکسان سازی شده در همان شرکت؛ کد ملی در این فایل نیست</t>
        </is>
      </c>
      <c r="K41" s="93" t="inlineStr">
        <is>
          <t>عضو اصلی فعال</t>
        </is>
      </c>
      <c r="L41" s="93" t="inlineStr">
        <is>
          <t>رئیس هیئت مدیره (غیرموظف)</t>
        </is>
      </c>
      <c r="M41" s="93" t="inlineStr">
        <is>
          <t>خیر</t>
        </is>
      </c>
      <c r="N41" s="93" t="inlineStr">
        <is>
          <t>بله</t>
        </is>
      </c>
      <c r="O41" s="93" t="inlineStr">
        <is>
          <t>کاوشگران بازار سرمایه</t>
        </is>
      </c>
      <c r="P41" s="93" t="inlineStr">
        <is>
          <t>ندارد (فقط نام)</t>
        </is>
      </c>
      <c r="Q41" s="93" t="inlineStr">
        <is>
          <t>محمدسجاد سیاهکارزاده</t>
        </is>
      </c>
      <c r="R41" s="93" t="inlineStr">
        <is>
          <t>کاوشگران بازار سرمایه</t>
        </is>
      </c>
      <c r="S41" s="93" t="inlineStr">
        <is>
          <t>نام دارنده حقوقی</t>
        </is>
      </c>
      <c r="T41" s="93" t="n">
        <v>5</v>
      </c>
      <c r="U41" s="93" t="n">
        <v>5</v>
      </c>
      <c r="V41" s="93" t="inlineStr">
        <is>
          <t>کامل با حساسیت ثبت شده</t>
        </is>
      </c>
      <c r="W41" s="93" t="inlineStr">
        <is>
          <t>1527389</t>
        </is>
      </c>
      <c r="X41" s="93" t="inlineStr">
        <is>
          <t>1405/02/29</t>
        </is>
      </c>
      <c r="Y41" s="93" t="inlineStr">
        <is>
          <t>https://www.codal.ir/Reports/Decision.aspx?LetterSerial=QQQaQQQtpQVpIOOObOOOPhcgQQQaQQQA5ahYjCjA%3d%3d&amp;rt=0&amp;let=19&amp;ct=0&amp;ft=-1</t>
        </is>
      </c>
      <c r="Z41"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c r="AA41" s="93" t="inlineStr">
        <is>
          <t>تاریخ گزارش به‌عنوان تاریخ انتصاب فرض نشد؛ تغییر رئیس هیئت مدیره (دیداری→سیاهکارزاده)</t>
        </is>
      </c>
    </row>
    <row r="42" ht="45" customHeight="1" s="76">
      <c r="A42" s="93" t="inlineStr">
        <is>
          <t>SM0039</t>
        </is>
      </c>
      <c r="B42" s="93" t="inlineStr">
        <is>
          <t>F21</t>
        </is>
      </c>
      <c r="C42" s="93" t="inlineStr">
        <is>
          <t>جم</t>
        </is>
      </c>
      <c r="D42" s="93" t="inlineStr">
        <is>
          <t>1404/12/29</t>
        </is>
      </c>
      <c r="E42" s="93" t="inlineStr">
        <is>
          <t>1404/12/29 (مبنای قراردادی مشترک)</t>
        </is>
      </c>
      <c r="F42" s="93" t="inlineStr">
        <is>
          <t>پنجره مشترک</t>
        </is>
      </c>
      <c r="G42" s="93" t="inlineStr">
        <is>
          <t>P-AC090FE6</t>
        </is>
      </c>
      <c r="H42" s="93" t="inlineStr">
        <is>
          <t>مهدی قربانی</t>
        </is>
      </c>
      <c r="I42" s="93" t="inlineStr">
        <is>
          <t>مهدی قربانی</t>
        </is>
      </c>
      <c r="J42" s="93" t="inlineStr">
        <is>
          <t>نام یکسان سازی شده در همان شرکت؛ کد ملی در این فایل نیست</t>
        </is>
      </c>
      <c r="K42" s="93" t="inlineStr">
        <is>
          <t>عضو اصلی فعال</t>
        </is>
      </c>
      <c r="L42" s="93" t="inlineStr">
        <is>
          <t>عضو (غیرموظف)</t>
        </is>
      </c>
      <c r="M42" s="93" t="inlineStr">
        <is>
          <t>خیر</t>
        </is>
      </c>
      <c r="N42" s="93" t="inlineStr">
        <is>
          <t>خیر</t>
        </is>
      </c>
      <c r="O42" s="93" t="inlineStr">
        <is>
          <t>سرمایه‌گذاری استان اردبیل</t>
        </is>
      </c>
      <c r="P42" s="93" t="inlineStr">
        <is>
          <t>ندارد (فقط نام)</t>
        </is>
      </c>
      <c r="Q42" s="93" t="inlineStr">
        <is>
          <t>مهدی قربانی</t>
        </is>
      </c>
      <c r="R42" s="93" t="inlineStr">
        <is>
          <t>سرمایه گذاری استان اردبیل</t>
        </is>
      </c>
      <c r="S42" s="93" t="inlineStr">
        <is>
          <t>نام دارنده حقوقی</t>
        </is>
      </c>
      <c r="T42" s="93" t="n">
        <v>5</v>
      </c>
      <c r="U42" s="93" t="n">
        <v>5</v>
      </c>
      <c r="V42" s="93" t="inlineStr">
        <is>
          <t>کامل با حساسیت ثبت شده</t>
        </is>
      </c>
      <c r="W42" s="93" t="inlineStr">
        <is>
          <t>1527389</t>
        </is>
      </c>
      <c r="X42" s="93" t="inlineStr">
        <is>
          <t>1405/02/29</t>
        </is>
      </c>
      <c r="Y42" s="93" t="inlineStr">
        <is>
          <t>https://www.codal.ir/Reports/Decision.aspx?LetterSerial=QQQaQQQtpQVpIOOObOOOPhcgQQQaQQQA5ahYjCjA%3d%3d&amp;rt=0&amp;let=19&amp;ct=0&amp;ft=-1</t>
        </is>
      </c>
      <c r="Z42"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c r="AA42" s="93" t="inlineStr">
        <is>
          <t>تاریخ گزارش به‌عنوان تاریخ انتصاب فرض نشد</t>
        </is>
      </c>
    </row>
    <row r="43" ht="45" customHeight="1" s="76">
      <c r="A43" s="93" t="inlineStr">
        <is>
          <t>SM0040</t>
        </is>
      </c>
      <c r="B43" s="93" t="inlineStr">
        <is>
          <t>F21</t>
        </is>
      </c>
      <c r="C43" s="93" t="inlineStr">
        <is>
          <t>جم</t>
        </is>
      </c>
      <c r="D43" s="93" t="inlineStr">
        <is>
          <t>1404/12/29</t>
        </is>
      </c>
      <c r="E43" s="93" t="inlineStr">
        <is>
          <t>1404/12/29 (مبنای قراردادی مشترک)</t>
        </is>
      </c>
      <c r="F43" s="93" t="inlineStr">
        <is>
          <t>پنجره مشترک</t>
        </is>
      </c>
      <c r="G43" s="93" t="inlineStr">
        <is>
          <t>P-4CA95D51</t>
        </is>
      </c>
      <c r="H43" s="93" t="inlineStr">
        <is>
          <t>حسن معینی</t>
        </is>
      </c>
      <c r="I43" s="93" t="inlineStr">
        <is>
          <t>حسن معینی</t>
        </is>
      </c>
      <c r="J43" s="93" t="inlineStr">
        <is>
          <t>نام یکسان سازی شده در همان شرکت؛ کد ملی در این فایل نیست</t>
        </is>
      </c>
      <c r="K43" s="93" t="inlineStr">
        <is>
          <t>عضو اصلی فعال</t>
        </is>
      </c>
      <c r="L43" s="93" t="inlineStr">
        <is>
          <t>عضو (موظف)</t>
        </is>
      </c>
      <c r="M43" s="93" t="inlineStr">
        <is>
          <t>خیر</t>
        </is>
      </c>
      <c r="N43" s="93" t="inlineStr">
        <is>
          <t>خیر</t>
        </is>
      </c>
      <c r="O43" s="93" t="inlineStr">
        <is>
          <t>خدمات گستر صبا انرژی</t>
        </is>
      </c>
      <c r="P43" s="93" t="inlineStr">
        <is>
          <t>ندارد (فقط نام)</t>
        </is>
      </c>
      <c r="Q43" s="93" t="inlineStr">
        <is>
          <t>حسن معینی</t>
        </is>
      </c>
      <c r="R43" s="93" t="inlineStr">
        <is>
          <t>خدمات گستر صبا انرژی</t>
        </is>
      </c>
      <c r="S43" s="93" t="inlineStr">
        <is>
          <t>نام دارنده حقوقی</t>
        </is>
      </c>
      <c r="T43" s="93" t="n">
        <v>5</v>
      </c>
      <c r="U43" s="93" t="n">
        <v>5</v>
      </c>
      <c r="V43" s="93" t="inlineStr">
        <is>
          <t>کامل با حساسیت ثبت شده</t>
        </is>
      </c>
      <c r="W43" s="93" t="inlineStr">
        <is>
          <t>1527389</t>
        </is>
      </c>
      <c r="X43" s="93" t="inlineStr">
        <is>
          <t>1405/02/29</t>
        </is>
      </c>
      <c r="Y43" s="93" t="inlineStr">
        <is>
          <t>https://www.codal.ir/Reports/Decision.aspx?LetterSerial=QQQaQQQtpQVpIOOObOOOPhcgQQQaQQQA5ahYjCjA%3d%3d&amp;rt=0&amp;let=19&amp;ct=0&amp;ft=-1</t>
        </is>
      </c>
      <c r="Z43"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c r="AA43" s="93" t="inlineStr">
        <is>
          <t>تاریخ گزارش به‌عنوان تاریخ انتصاب فرض نشد؛ زنجیره: اکبری→نجفی (۱۴۰۴/۰۶/۰۴)→معینی (۱۴۰۴/۱۲/۲۵)؛ معینی تنها عضو جدید</t>
        </is>
      </c>
    </row>
    <row r="44" ht="45" customHeight="1" s="76">
      <c r="A44" s="92" t="inlineStr">
        <is>
          <t>SM0041</t>
        </is>
      </c>
      <c r="B44" s="92" t="inlineStr">
        <is>
          <t>F24</t>
        </is>
      </c>
      <c r="C44" s="92" t="inlineStr">
        <is>
          <t>خساپا</t>
        </is>
      </c>
      <c r="D44" s="92" t="inlineStr">
        <is>
          <t>1403/12/29</t>
        </is>
      </c>
      <c r="E44" s="92" t="inlineStr">
        <is>
          <t>1403/12/29 (مبنای قراردادی مشترک)</t>
        </is>
      </c>
      <c r="F44" s="92" t="inlineStr">
        <is>
          <t>پنجره مشترک</t>
        </is>
      </c>
      <c r="G44" s="92" t="inlineStr">
        <is>
          <t>P-729F47F7</t>
        </is>
      </c>
      <c r="H44" s="92" t="inlineStr">
        <is>
          <t>کورش پرویزیان</t>
        </is>
      </c>
      <c r="I44" s="92" t="inlineStr">
        <is>
          <t>کورش پرویزیان</t>
        </is>
      </c>
      <c r="J44" s="92" t="inlineStr">
        <is>
          <t>نام یکسان سازی شده در همان شرکت؛ کد ملی در این فایل نیست</t>
        </is>
      </c>
      <c r="K44" s="92" t="inlineStr">
        <is>
          <t>عضو اصلی فعال</t>
        </is>
      </c>
      <c r="L44" s="92" t="inlineStr">
        <is>
          <t>رئیس (غیرموظف)</t>
        </is>
      </c>
      <c r="M44" s="92" t="inlineStr">
        <is>
          <t>خیر</t>
        </is>
      </c>
      <c r="N44" s="92" t="inlineStr">
        <is>
          <t>بله</t>
        </is>
      </c>
      <c r="O44" s="92" t="inlineStr">
        <is>
          <t>سرمایه‌گذاری گروه صنعتی رنا</t>
        </is>
      </c>
      <c r="P44" s="92" t="inlineStr">
        <is>
          <t>ندارد (فقط نام)</t>
        </is>
      </c>
      <c r="Q44" s="92" t="inlineStr">
        <is>
          <t>کورش پرویزیان</t>
        </is>
      </c>
      <c r="R44" s="92" t="inlineStr">
        <is>
          <t>سرمایه گذاری گروه صنعتی رنا</t>
        </is>
      </c>
      <c r="S44" s="92" t="inlineStr">
        <is>
          <t>نام دارنده حقوقی</t>
        </is>
      </c>
      <c r="T44" s="92" t="n">
        <v>5</v>
      </c>
      <c r="U44" s="92" t="n">
        <v>5</v>
      </c>
      <c r="V44" s="92" t="inlineStr">
        <is>
          <t>کامل</t>
        </is>
      </c>
      <c r="W44" s="92" t="inlineStr">
        <is>
          <t>1295938</t>
        </is>
      </c>
      <c r="X44" s="92" t="inlineStr">
        <is>
          <t>1403/11/03</t>
        </is>
      </c>
      <c r="Y44" s="92" t="inlineStr">
        <is>
          <t>https://www.codal.ir/Reports/Decision.aspx?LetterSerial=0rlsOOObOOOEFaa9IMoCD90IUbxA%3d%3d&amp;rt=0&amp;let=19&amp;ct=0&amp;ft=-1</t>
        </is>
      </c>
      <c r="Z44" s="92" t="inlineStr"/>
      <c r="AA44" s="92" t="inlineStr">
        <is>
          <t>تاریخ گزارش به‌عنوان تاریخ انتصاب فرض نشد</t>
        </is>
      </c>
    </row>
    <row r="45" ht="45" customHeight="1" s="76">
      <c r="A45" s="92" t="inlineStr">
        <is>
          <t>SM0042</t>
        </is>
      </c>
      <c r="B45" s="92" t="inlineStr">
        <is>
          <t>F24</t>
        </is>
      </c>
      <c r="C45" s="92" t="inlineStr">
        <is>
          <t>خساپا</t>
        </is>
      </c>
      <c r="D45" s="92" t="inlineStr">
        <is>
          <t>1403/12/29</t>
        </is>
      </c>
      <c r="E45" s="92" t="inlineStr">
        <is>
          <t>1403/12/29 (مبنای قراردادی مشترک)</t>
        </is>
      </c>
      <c r="F45" s="92" t="inlineStr">
        <is>
          <t>پنجره مشترک</t>
        </is>
      </c>
      <c r="G45" s="92" t="inlineStr">
        <is>
          <t>P-48E12B91</t>
        </is>
      </c>
      <c r="H45" s="92" t="inlineStr">
        <is>
          <t>علی شیخ‌زاده</t>
        </is>
      </c>
      <c r="I45" s="92" t="inlineStr">
        <is>
          <t>علی شیخ زاده</t>
        </is>
      </c>
      <c r="J45" s="92" t="inlineStr">
        <is>
          <t>نام یکسان سازی شده در همان شرکت؛ کد ملی در این فایل نیست</t>
        </is>
      </c>
      <c r="K45" s="92" t="inlineStr">
        <is>
          <t>عضو اصلی فعال</t>
        </is>
      </c>
      <c r="L45" s="92" t="inlineStr">
        <is>
          <t>عضو و مدیرعامل (موظف)</t>
        </is>
      </c>
      <c r="M45" s="92" t="inlineStr">
        <is>
          <t>بله</t>
        </is>
      </c>
      <c r="N45" s="92" t="inlineStr">
        <is>
          <t>خیر</t>
        </is>
      </c>
      <c r="O45" s="92" t="inlineStr">
        <is>
          <t>گروه سرمایه‌گذاری کارکنان سایپا</t>
        </is>
      </c>
      <c r="P45" s="92" t="inlineStr">
        <is>
          <t>ندارد (فقط نام)</t>
        </is>
      </c>
      <c r="Q45" s="92" t="inlineStr">
        <is>
          <t>علی شیخ‌زاده</t>
        </is>
      </c>
      <c r="R45" s="92" t="inlineStr">
        <is>
          <t>گروه سرمایه گذاری کارکنان سایپا</t>
        </is>
      </c>
      <c r="S45" s="92" t="inlineStr">
        <is>
          <t>نام دارنده حقوقی</t>
        </is>
      </c>
      <c r="T45" s="92" t="n">
        <v>5</v>
      </c>
      <c r="U45" s="92" t="n">
        <v>5</v>
      </c>
      <c r="V45" s="92" t="inlineStr">
        <is>
          <t>کامل</t>
        </is>
      </c>
      <c r="W45" s="92" t="inlineStr">
        <is>
          <t>1295938</t>
        </is>
      </c>
      <c r="X45" s="92" t="inlineStr">
        <is>
          <t>1403/11/03</t>
        </is>
      </c>
      <c r="Y45" s="92" t="inlineStr">
        <is>
          <t>https://www.codal.ir/Reports/Decision.aspx?LetterSerial=0rlsOOObOOOEFaa9IMoCD90IUbxA%3d%3d&amp;rt=0&amp;let=19&amp;ct=0&amp;ft=-1</t>
        </is>
      </c>
      <c r="Z45" s="92" t="inlineStr"/>
      <c r="AA45" s="92" t="inlineStr">
        <is>
          <t>تاریخ گزارش به‌عنوان تاریخ انتصاب فرض نشد</t>
        </is>
      </c>
    </row>
    <row r="46" ht="45" customHeight="1" s="76">
      <c r="A46" s="92" t="inlineStr">
        <is>
          <t>SM0043</t>
        </is>
      </c>
      <c r="B46" s="92" t="inlineStr">
        <is>
          <t>F24</t>
        </is>
      </c>
      <c r="C46" s="92" t="inlineStr">
        <is>
          <t>خساپا</t>
        </is>
      </c>
      <c r="D46" s="92" t="inlineStr">
        <is>
          <t>1403/12/29</t>
        </is>
      </c>
      <c r="E46" s="92" t="inlineStr">
        <is>
          <t>1403/12/29 (مبنای قراردادی مشترک)</t>
        </is>
      </c>
      <c r="F46" s="92" t="inlineStr">
        <is>
          <t>پنجره مشترک</t>
        </is>
      </c>
      <c r="G46" s="92" t="inlineStr">
        <is>
          <t>P-73F3BD4A</t>
        </is>
      </c>
      <c r="H46" s="92" t="inlineStr">
        <is>
          <t>مجید بهرامی</t>
        </is>
      </c>
      <c r="I46" s="92" t="inlineStr">
        <is>
          <t>مجید بهرامی</t>
        </is>
      </c>
      <c r="J46" s="92" t="inlineStr">
        <is>
          <t>نام یکسان سازی شده در همان شرکت؛ کد ملی در این فایل نیست</t>
        </is>
      </c>
      <c r="K46" s="92" t="inlineStr">
        <is>
          <t>عضو اصلی فعال</t>
        </is>
      </c>
      <c r="L46" s="92" t="inlineStr">
        <is>
          <t>عضو (غیرموظف)</t>
        </is>
      </c>
      <c r="M46" s="92" t="inlineStr">
        <is>
          <t>خیر</t>
        </is>
      </c>
      <c r="N46" s="92" t="inlineStr">
        <is>
          <t>خیر</t>
        </is>
      </c>
      <c r="O46" s="92" t="inlineStr">
        <is>
          <t>صندوق حمایت و بازنشستگی کارکنان فولاد</t>
        </is>
      </c>
      <c r="P46" s="92" t="inlineStr">
        <is>
          <t>ندارد (فقط نام)</t>
        </is>
      </c>
      <c r="Q46" s="92" t="inlineStr">
        <is>
          <t>مجید بهرامی</t>
        </is>
      </c>
      <c r="R46" s="92" t="inlineStr">
        <is>
          <t>صندوق حمایت و بازنشستگی کارکنان فولاد</t>
        </is>
      </c>
      <c r="S46" s="92" t="inlineStr">
        <is>
          <t>نام دارنده حقوقی</t>
        </is>
      </c>
      <c r="T46" s="92" t="n">
        <v>5</v>
      </c>
      <c r="U46" s="92" t="n">
        <v>5</v>
      </c>
      <c r="V46" s="92" t="inlineStr">
        <is>
          <t>کامل</t>
        </is>
      </c>
      <c r="W46" s="92" t="inlineStr">
        <is>
          <t>1295938</t>
        </is>
      </c>
      <c r="X46" s="92" t="inlineStr">
        <is>
          <t>1403/11/03</t>
        </is>
      </c>
      <c r="Y46" s="92" t="inlineStr">
        <is>
          <t>https://www.codal.ir/Reports/Decision.aspx?LetterSerial=0rlsOOObOOOEFaa9IMoCD90IUbxA%3d%3d&amp;rt=0&amp;let=19&amp;ct=0&amp;ft=-1</t>
        </is>
      </c>
      <c r="Z46" s="92" t="inlineStr"/>
      <c r="AA46" s="92" t="inlineStr">
        <is>
          <t>تاریخ گزارش به‌عنوان تاریخ انتصاب فرض نشد؛ بهرامی از ۱۴۰۳/۱۱/۰۳ (جایگزین سهیل‌نژاد) پیش از Cutoff</t>
        </is>
      </c>
    </row>
    <row r="47" ht="45" customHeight="1" s="76">
      <c r="A47" s="92" t="inlineStr">
        <is>
          <t>SM0044</t>
        </is>
      </c>
      <c r="B47" s="92" t="inlineStr">
        <is>
          <t>F24</t>
        </is>
      </c>
      <c r="C47" s="92" t="inlineStr">
        <is>
          <t>خساپا</t>
        </is>
      </c>
      <c r="D47" s="92" t="inlineStr">
        <is>
          <t>1403/12/29</t>
        </is>
      </c>
      <c r="E47" s="92" t="inlineStr">
        <is>
          <t>1403/12/29 (مبنای قراردادی مشترک)</t>
        </is>
      </c>
      <c r="F47" s="92" t="inlineStr">
        <is>
          <t>پنجره مشترک</t>
        </is>
      </c>
      <c r="G47" s="92" t="inlineStr">
        <is>
          <t>P-2B79B339</t>
        </is>
      </c>
      <c r="H47" s="92" t="inlineStr">
        <is>
          <t>علی شیدائی نرمیقی</t>
        </is>
      </c>
      <c r="I47" s="92" t="inlineStr">
        <is>
          <t>علی شیدائی نرمیقی</t>
        </is>
      </c>
      <c r="J47" s="92" t="inlineStr">
        <is>
          <t>نام یکسان سازی شده در همان شرکت؛ کد ملی در این فایل نیست</t>
        </is>
      </c>
      <c r="K47" s="92" t="inlineStr">
        <is>
          <t>عضو اصلی فعال</t>
        </is>
      </c>
      <c r="L47" s="92" t="inlineStr">
        <is>
          <t>نایب رئیس (غیرموظف)</t>
        </is>
      </c>
      <c r="M47" s="92" t="inlineStr">
        <is>
          <t>خیر</t>
        </is>
      </c>
      <c r="N47" s="92" t="inlineStr">
        <is>
          <t>خیر</t>
        </is>
      </c>
      <c r="O47" s="92" t="inlineStr">
        <is>
          <t>توسعه سرمایه رادین</t>
        </is>
      </c>
      <c r="P47" s="92" t="inlineStr">
        <is>
          <t>ندارد (فقط نام)</t>
        </is>
      </c>
      <c r="Q47" s="92" t="inlineStr">
        <is>
          <t>علی شیدائی نرمیقی</t>
        </is>
      </c>
      <c r="R47" s="92" t="inlineStr">
        <is>
          <t>توسعه سرمایه رادین</t>
        </is>
      </c>
      <c r="S47" s="92" t="inlineStr">
        <is>
          <t>نام دارنده حقوقی</t>
        </is>
      </c>
      <c r="T47" s="92" t="n">
        <v>5</v>
      </c>
      <c r="U47" s="92" t="n">
        <v>5</v>
      </c>
      <c r="V47" s="92" t="inlineStr">
        <is>
          <t>کامل</t>
        </is>
      </c>
      <c r="W47" s="92" t="inlineStr">
        <is>
          <t>1295938</t>
        </is>
      </c>
      <c r="X47" s="92" t="inlineStr">
        <is>
          <t>1403/11/03</t>
        </is>
      </c>
      <c r="Y47" s="92" t="inlineStr">
        <is>
          <t>https://www.codal.ir/Reports/Decision.aspx?LetterSerial=0rlsOOObOOOEFaa9IMoCD90IUbxA%3d%3d&amp;rt=0&amp;let=19&amp;ct=0&amp;ft=-1</t>
        </is>
      </c>
      <c r="Z47" s="92" t="inlineStr"/>
      <c r="AA47" s="92" t="inlineStr">
        <is>
          <t>تاریخ گزارش به‌عنوان تاریخ انتصاب فرض نشد</t>
        </is>
      </c>
    </row>
    <row r="48" ht="45" customHeight="1" s="76">
      <c r="A48" s="92" t="inlineStr">
        <is>
          <t>SM0045</t>
        </is>
      </c>
      <c r="B48" s="92" t="inlineStr">
        <is>
          <t>F24</t>
        </is>
      </c>
      <c r="C48" s="92" t="inlineStr">
        <is>
          <t>خساپا</t>
        </is>
      </c>
      <c r="D48" s="92" t="inlineStr">
        <is>
          <t>1403/12/29</t>
        </is>
      </c>
      <c r="E48" s="92" t="inlineStr">
        <is>
          <t>1403/12/29 (مبنای قراردادی مشترک)</t>
        </is>
      </c>
      <c r="F48" s="92" t="inlineStr">
        <is>
          <t>پنجره مشترک</t>
        </is>
      </c>
      <c r="G48" s="92" t="inlineStr">
        <is>
          <t>P-77C937BB</t>
        </is>
      </c>
      <c r="H48" s="92" t="inlineStr">
        <is>
          <t>محمدرضا شیخ‌عطار</t>
        </is>
      </c>
      <c r="I48" s="92" t="inlineStr">
        <is>
          <t>محمدرضا شیخ عطار</t>
        </is>
      </c>
      <c r="J48" s="92" t="inlineStr">
        <is>
          <t>نام یکسان سازی شده در همان شرکت؛ کد ملی در این فایل نیست</t>
        </is>
      </c>
      <c r="K48" s="92" t="inlineStr">
        <is>
          <t>عضو اصلی فعال</t>
        </is>
      </c>
      <c r="L48" s="92" t="inlineStr">
        <is>
          <t>عضو (موظف)</t>
        </is>
      </c>
      <c r="M48" s="92" t="inlineStr">
        <is>
          <t>خیر</t>
        </is>
      </c>
      <c r="N48" s="92" t="inlineStr">
        <is>
          <t>خیر</t>
        </is>
      </c>
      <c r="O48" s="92" t="inlineStr">
        <is>
          <t>سازمان مدیریت صنعتی</t>
        </is>
      </c>
      <c r="P48" s="92" t="inlineStr">
        <is>
          <t>ندارد (فقط نام)</t>
        </is>
      </c>
      <c r="Q48" s="92" t="inlineStr">
        <is>
          <t>محمدرضا شیخ‌عطار</t>
        </is>
      </c>
      <c r="R48" s="92" t="inlineStr">
        <is>
          <t>سازمان مدیریت صنعتی</t>
        </is>
      </c>
      <c r="S48" s="92" t="inlineStr">
        <is>
          <t>نام دارنده حقوقی</t>
        </is>
      </c>
      <c r="T48" s="92" t="n">
        <v>5</v>
      </c>
      <c r="U48" s="92" t="n">
        <v>5</v>
      </c>
      <c r="V48" s="92" t="inlineStr">
        <is>
          <t>کامل</t>
        </is>
      </c>
      <c r="W48" s="92" t="inlineStr">
        <is>
          <t>1295938</t>
        </is>
      </c>
      <c r="X48" s="92" t="inlineStr">
        <is>
          <t>1403/11/03</t>
        </is>
      </c>
      <c r="Y48" s="92" t="inlineStr">
        <is>
          <t>https://www.codal.ir/Reports/Decision.aspx?LetterSerial=0rlsOOObOOOEFaa9IMoCD90IUbxA%3d%3d&amp;rt=0&amp;let=19&amp;ct=0&amp;ft=-1</t>
        </is>
      </c>
      <c r="Z48" s="92" t="inlineStr"/>
      <c r="AA48" s="92" t="inlineStr">
        <is>
          <t>تاریخ گزارش به‌عنوان تاریخ انتصاب فرض نشد؛ پرویزیان از کرسی رنا به کرسی سازمان مدیریت صنعتی رفت؛ عضو جدید نیست (P&lt;G مشروع)</t>
        </is>
      </c>
    </row>
    <row r="49" ht="45" customHeight="1" s="76">
      <c r="A49" s="92" t="inlineStr">
        <is>
          <t>SM0046</t>
        </is>
      </c>
      <c r="B49" s="92" t="inlineStr">
        <is>
          <t>F24</t>
        </is>
      </c>
      <c r="C49" s="92" t="inlineStr">
        <is>
          <t>خساپا</t>
        </is>
      </c>
      <c r="D49" s="92" t="inlineStr">
        <is>
          <t>1404/12/29</t>
        </is>
      </c>
      <c r="E49" s="92" t="inlineStr">
        <is>
          <t>1404/12/29 (مبنای قراردادی مشترک)</t>
        </is>
      </c>
      <c r="F49" s="92" t="inlineStr">
        <is>
          <t>پنجره مشترک</t>
        </is>
      </c>
      <c r="G49" s="92" t="inlineStr">
        <is>
          <t>P-EA1F4570</t>
        </is>
      </c>
      <c r="H49" s="92" t="inlineStr">
        <is>
          <t>رحیم علیشاهی</t>
        </is>
      </c>
      <c r="I49" s="92" t="inlineStr">
        <is>
          <t>رحیم علیشاهی</t>
        </is>
      </c>
      <c r="J49" s="92" t="inlineStr">
        <is>
          <t>نام یکسان سازی شده در همان شرکت؛ کد ملی در این فایل نیست</t>
        </is>
      </c>
      <c r="K49" s="92" t="inlineStr">
        <is>
          <t>عضو اصلی فعال</t>
        </is>
      </c>
      <c r="L49" s="92" t="inlineStr">
        <is>
          <t>عضو (غیرموظف)</t>
        </is>
      </c>
      <c r="M49" s="92" t="inlineStr">
        <is>
          <t>خیر</t>
        </is>
      </c>
      <c r="N49" s="92" t="inlineStr">
        <is>
          <t>خیر</t>
        </is>
      </c>
      <c r="O49" s="92" t="inlineStr">
        <is>
          <t>سرمایه‌گذاری گروه صنعتی رنا</t>
        </is>
      </c>
      <c r="P49" s="92" t="inlineStr">
        <is>
          <t>ندارد (فقط نام)</t>
        </is>
      </c>
      <c r="Q49" s="92" t="inlineStr">
        <is>
          <t>رحیم علیشاهی</t>
        </is>
      </c>
      <c r="R49" s="92" t="inlineStr">
        <is>
          <t>سرمایه گذاری گروه صنعتی رنا</t>
        </is>
      </c>
      <c r="S49" s="92" t="inlineStr">
        <is>
          <t>نام دارنده حقوقی</t>
        </is>
      </c>
      <c r="T49" s="92" t="n">
        <v>5</v>
      </c>
      <c r="U49" s="92" t="n">
        <v>5</v>
      </c>
      <c r="V49" s="92" t="inlineStr">
        <is>
          <t>کامل</t>
        </is>
      </c>
      <c r="W49" s="92" t="inlineStr">
        <is>
          <t>1386511</t>
        </is>
      </c>
      <c r="X49" s="92" t="inlineStr">
        <is>
          <t>1404/05/15</t>
        </is>
      </c>
      <c r="Y49" s="92" t="inlineStr">
        <is>
          <t>https://www.codal.ir/Reports/Decision.aspx?LetterSerial=UJ1so0i61H6WpTMWJ3OsCA%3d%3d&amp;rt=0&amp;let=19&amp;ct=0&amp;ft=-1</t>
        </is>
      </c>
      <c r="Z49" s="92" t="inlineStr"/>
      <c r="AA49" s="92" t="inlineStr">
        <is>
          <t>تاریخ گزارش به‌عنوان تاریخ انتصاب فرض نشد</t>
        </is>
      </c>
    </row>
    <row r="50" ht="45" customHeight="1" s="76">
      <c r="A50" s="92" t="inlineStr">
        <is>
          <t>SM0047</t>
        </is>
      </c>
      <c r="B50" s="92" t="inlineStr">
        <is>
          <t>F24</t>
        </is>
      </c>
      <c r="C50" s="92" t="inlineStr">
        <is>
          <t>خساپا</t>
        </is>
      </c>
      <c r="D50" s="92" t="inlineStr">
        <is>
          <t>1404/12/29</t>
        </is>
      </c>
      <c r="E50" s="92" t="inlineStr">
        <is>
          <t>1404/12/29 (مبنای قراردادی مشترک)</t>
        </is>
      </c>
      <c r="F50" s="92" t="inlineStr">
        <is>
          <t>پنجره مشترک</t>
        </is>
      </c>
      <c r="G50" s="92" t="inlineStr">
        <is>
          <t>P-48E12B91</t>
        </is>
      </c>
      <c r="H50" s="92" t="inlineStr">
        <is>
          <t>علی شیخ‌زاده</t>
        </is>
      </c>
      <c r="I50" s="92" t="inlineStr">
        <is>
          <t>علی شیخ زاده</t>
        </is>
      </c>
      <c r="J50" s="92" t="inlineStr">
        <is>
          <t>نام یکسان سازی شده در همان شرکت؛ کد ملی در این فایل نیست</t>
        </is>
      </c>
      <c r="K50" s="92" t="inlineStr">
        <is>
          <t>عضو اصلی فعال</t>
        </is>
      </c>
      <c r="L50" s="92" t="inlineStr">
        <is>
          <t>نایب رئیس (موظف)</t>
        </is>
      </c>
      <c r="M50" s="92" t="inlineStr">
        <is>
          <t>خیر</t>
        </is>
      </c>
      <c r="N50" s="92" t="inlineStr">
        <is>
          <t>خیر</t>
        </is>
      </c>
      <c r="O50" s="92" t="inlineStr">
        <is>
          <t>گروه سرمایه‌گذاری کارکنان سایپا</t>
        </is>
      </c>
      <c r="P50" s="92" t="inlineStr">
        <is>
          <t>ندارد (فقط نام)</t>
        </is>
      </c>
      <c r="Q50" s="92" t="inlineStr">
        <is>
          <t>علی شیخ‌زاده</t>
        </is>
      </c>
      <c r="R50" s="92" t="inlineStr">
        <is>
          <t>گروه سرمایه گذاری کارکنان سایپا</t>
        </is>
      </c>
      <c r="S50" s="92" t="inlineStr">
        <is>
          <t>نام دارنده حقوقی</t>
        </is>
      </c>
      <c r="T50" s="92" t="n">
        <v>5</v>
      </c>
      <c r="U50" s="92" t="n">
        <v>5</v>
      </c>
      <c r="V50" s="92" t="inlineStr">
        <is>
          <t>کامل</t>
        </is>
      </c>
      <c r="W50" s="92" t="inlineStr">
        <is>
          <t>1386511</t>
        </is>
      </c>
      <c r="X50" s="92" t="inlineStr">
        <is>
          <t>1404/05/15</t>
        </is>
      </c>
      <c r="Y50" s="92" t="inlineStr">
        <is>
          <t>https://www.codal.ir/Reports/Decision.aspx?LetterSerial=UJ1so0i61H6WpTMWJ3OsCA%3d%3d&amp;rt=0&amp;let=19&amp;ct=0&amp;ft=-1</t>
        </is>
      </c>
      <c r="Z50" s="92" t="inlineStr"/>
      <c r="AA50" s="92" t="inlineStr">
        <is>
          <t>تاریخ گزارش به‌عنوان تاریخ انتصاب فرض نشد</t>
        </is>
      </c>
    </row>
    <row r="51" ht="45" customHeight="1" s="76">
      <c r="A51" s="92" t="inlineStr">
        <is>
          <t>SM0048</t>
        </is>
      </c>
      <c r="B51" s="92" t="inlineStr">
        <is>
          <t>F24</t>
        </is>
      </c>
      <c r="C51" s="92" t="inlineStr">
        <is>
          <t>خساپا</t>
        </is>
      </c>
      <c r="D51" s="92" t="inlineStr">
        <is>
          <t>1404/12/29</t>
        </is>
      </c>
      <c r="E51" s="92" t="inlineStr">
        <is>
          <t>1404/12/29 (مبنای قراردادی مشترک)</t>
        </is>
      </c>
      <c r="F51" s="92" t="inlineStr">
        <is>
          <t>پنجره مشترک</t>
        </is>
      </c>
      <c r="G51" s="92" t="inlineStr">
        <is>
          <t>P-73F3BD4A</t>
        </is>
      </c>
      <c r="H51" s="92" t="inlineStr">
        <is>
          <t>مجید بهرامی</t>
        </is>
      </c>
      <c r="I51" s="92" t="inlineStr">
        <is>
          <t>مجید بهرامی</t>
        </is>
      </c>
      <c r="J51" s="92" t="inlineStr">
        <is>
          <t>نام یکسان سازی شده در همان شرکت؛ کد ملی در این فایل نیست</t>
        </is>
      </c>
      <c r="K51" s="92" t="inlineStr">
        <is>
          <t>عضو اصلی فعال</t>
        </is>
      </c>
      <c r="L51" s="92" t="inlineStr">
        <is>
          <t>عضو (غیرموظف)</t>
        </is>
      </c>
      <c r="M51" s="92" t="inlineStr">
        <is>
          <t>خیر</t>
        </is>
      </c>
      <c r="N51" s="92" t="inlineStr">
        <is>
          <t>خیر</t>
        </is>
      </c>
      <c r="O51" s="92" t="inlineStr">
        <is>
          <t>صندوق حمایت و بازنشستگی کارکنان فولاد</t>
        </is>
      </c>
      <c r="P51" s="92" t="inlineStr">
        <is>
          <t>ندارد (فقط نام)</t>
        </is>
      </c>
      <c r="Q51" s="92" t="inlineStr">
        <is>
          <t>مجید بهرامی</t>
        </is>
      </c>
      <c r="R51" s="92" t="inlineStr">
        <is>
          <t>صندوق حمایت و بازنشستگی کارکنان فولاد</t>
        </is>
      </c>
      <c r="S51" s="92" t="inlineStr">
        <is>
          <t>نام دارنده حقوقی</t>
        </is>
      </c>
      <c r="T51" s="92" t="n">
        <v>5</v>
      </c>
      <c r="U51" s="92" t="n">
        <v>5</v>
      </c>
      <c r="V51" s="92" t="inlineStr">
        <is>
          <t>کامل</t>
        </is>
      </c>
      <c r="W51" s="92" t="inlineStr">
        <is>
          <t>1386511</t>
        </is>
      </c>
      <c r="X51" s="92" t="inlineStr">
        <is>
          <t>1404/05/15</t>
        </is>
      </c>
      <c r="Y51" s="92" t="inlineStr">
        <is>
          <t>https://www.codal.ir/Reports/Decision.aspx?LetterSerial=UJ1so0i61H6WpTMWJ3OsCA%3d%3d&amp;rt=0&amp;let=19&amp;ct=0&amp;ft=-1</t>
        </is>
      </c>
      <c r="Z51" s="92" t="inlineStr"/>
      <c r="AA51" s="92" t="inlineStr">
        <is>
          <t>تاریخ گزارش به‌عنوان تاریخ انتصاب فرض نشد؛ بهرامی از ۱۴۰۳/۱۱/۰۳ (جایگزین سهیل‌نژاد) پیش از Cutoff</t>
        </is>
      </c>
    </row>
    <row r="52" ht="45" customHeight="1" s="76">
      <c r="A52" s="92" t="inlineStr">
        <is>
          <t>SM0049</t>
        </is>
      </c>
      <c r="B52" s="92" t="inlineStr">
        <is>
          <t>F24</t>
        </is>
      </c>
      <c r="C52" s="92" t="inlineStr">
        <is>
          <t>خساپا</t>
        </is>
      </c>
      <c r="D52" s="92" t="inlineStr">
        <is>
          <t>1404/12/29</t>
        </is>
      </c>
      <c r="E52" s="92" t="inlineStr">
        <is>
          <t>1404/12/29 (مبنای قراردادی مشترک)</t>
        </is>
      </c>
      <c r="F52" s="92" t="inlineStr">
        <is>
          <t>پنجره مشترک</t>
        </is>
      </c>
      <c r="G52" s="92" t="inlineStr">
        <is>
          <t>P-2020B14C</t>
        </is>
      </c>
      <c r="H52" s="92" t="inlineStr">
        <is>
          <t>مهدی رادمنش</t>
        </is>
      </c>
      <c r="I52" s="92" t="inlineStr">
        <is>
          <t>مهدی رادمنش</t>
        </is>
      </c>
      <c r="J52" s="92" t="inlineStr">
        <is>
          <t>نام یکسان سازی شده در همان شرکت؛ کد ملی در این فایل نیست</t>
        </is>
      </c>
      <c r="K52" s="92" t="inlineStr">
        <is>
          <t>عضو اصلی فعال</t>
        </is>
      </c>
      <c r="L52" s="92" t="inlineStr">
        <is>
          <t>عضو (موظف)</t>
        </is>
      </c>
      <c r="M52" s="92" t="inlineStr">
        <is>
          <t>خیر</t>
        </is>
      </c>
      <c r="N52" s="92" t="inlineStr">
        <is>
          <t>خیر</t>
        </is>
      </c>
      <c r="O52" s="92" t="inlineStr">
        <is>
          <t>توسعه سرمایه رادین</t>
        </is>
      </c>
      <c r="P52" s="92" t="inlineStr">
        <is>
          <t>ندارد (فقط نام)</t>
        </is>
      </c>
      <c r="Q52" s="92" t="inlineStr">
        <is>
          <t>مهدی رادمنش</t>
        </is>
      </c>
      <c r="R52" s="92" t="inlineStr">
        <is>
          <t>توسعه سرمایه رادین</t>
        </is>
      </c>
      <c r="S52" s="92" t="inlineStr">
        <is>
          <t>نام دارنده حقوقی</t>
        </is>
      </c>
      <c r="T52" s="92" t="n">
        <v>5</v>
      </c>
      <c r="U52" s="92" t="n">
        <v>5</v>
      </c>
      <c r="V52" s="92" t="inlineStr">
        <is>
          <t>کامل</t>
        </is>
      </c>
      <c r="W52" s="92" t="inlineStr">
        <is>
          <t>1386511</t>
        </is>
      </c>
      <c r="X52" s="92" t="inlineStr">
        <is>
          <t>1404/05/15</t>
        </is>
      </c>
      <c r="Y52" s="92" t="inlineStr">
        <is>
          <t>https://www.codal.ir/Reports/Decision.aspx?LetterSerial=UJ1so0i61H6WpTMWJ3OsCA%3d%3d&amp;rt=0&amp;let=19&amp;ct=0&amp;ft=-1</t>
        </is>
      </c>
      <c r="Z52" s="92" t="inlineStr"/>
      <c r="AA52" s="92" t="inlineStr">
        <is>
          <t>تاریخ گزارش به‌عنوان تاریخ انتصاب فرض نشد</t>
        </is>
      </c>
    </row>
    <row r="53" ht="45" customHeight="1" s="76">
      <c r="A53" s="92" t="inlineStr">
        <is>
          <t>SM0050</t>
        </is>
      </c>
      <c r="B53" s="92" t="inlineStr">
        <is>
          <t>F24</t>
        </is>
      </c>
      <c r="C53" s="92" t="inlineStr">
        <is>
          <t>خساپا</t>
        </is>
      </c>
      <c r="D53" s="92" t="inlineStr">
        <is>
          <t>1404/12/29</t>
        </is>
      </c>
      <c r="E53" s="92" t="inlineStr">
        <is>
          <t>1404/12/29 (مبنای قراردادی مشترک)</t>
        </is>
      </c>
      <c r="F53" s="92" t="inlineStr">
        <is>
          <t>پنجره مشترک</t>
        </is>
      </c>
      <c r="G53" s="92" t="inlineStr">
        <is>
          <t>P-729F47F7</t>
        </is>
      </c>
      <c r="H53" s="92" t="inlineStr">
        <is>
          <t>کورش پرویزیان</t>
        </is>
      </c>
      <c r="I53" s="92" t="inlineStr">
        <is>
          <t>کورش پرویزیان</t>
        </is>
      </c>
      <c r="J53" s="92" t="inlineStr">
        <is>
          <t>نام یکسان سازی شده در همان شرکت؛ کد ملی در این فایل نیست</t>
        </is>
      </c>
      <c r="K53" s="92" t="inlineStr">
        <is>
          <t>عضو اصلی فعال</t>
        </is>
      </c>
      <c r="L53" s="92" t="inlineStr">
        <is>
          <t>رئیس (غیرموظف)</t>
        </is>
      </c>
      <c r="M53" s="92" t="inlineStr">
        <is>
          <t>خیر</t>
        </is>
      </c>
      <c r="N53" s="92" t="inlineStr">
        <is>
          <t>بله</t>
        </is>
      </c>
      <c r="O53" s="92" t="inlineStr">
        <is>
          <t>سازمان مدیریت صنعتی</t>
        </is>
      </c>
      <c r="P53" s="92" t="inlineStr">
        <is>
          <t>ندارد (فقط نام)</t>
        </is>
      </c>
      <c r="Q53" s="92" t="inlineStr">
        <is>
          <t>کورش پرویزیان</t>
        </is>
      </c>
      <c r="R53" s="92" t="inlineStr">
        <is>
          <t>سازمان مدیریت صنعتی</t>
        </is>
      </c>
      <c r="S53" s="92" t="inlineStr">
        <is>
          <t>نام دارنده حقوقی</t>
        </is>
      </c>
      <c r="T53" s="92" t="n">
        <v>5</v>
      </c>
      <c r="U53" s="92" t="n">
        <v>5</v>
      </c>
      <c r="V53" s="92" t="inlineStr">
        <is>
          <t>کامل</t>
        </is>
      </c>
      <c r="W53" s="92" t="inlineStr">
        <is>
          <t>1386511</t>
        </is>
      </c>
      <c r="X53" s="92" t="inlineStr">
        <is>
          <t>1404/05/15</t>
        </is>
      </c>
      <c r="Y53" s="92" t="inlineStr">
        <is>
          <t>https://www.codal.ir/Reports/Decision.aspx?LetterSerial=UJ1so0i61H6WpTMWJ3OsCA%3d%3d&amp;rt=0&amp;let=19&amp;ct=0&amp;ft=-1</t>
        </is>
      </c>
      <c r="Z53" s="92" t="inlineStr"/>
      <c r="AA53" s="92" t="inlineStr">
        <is>
          <t>تاریخ گزارش به‌عنوان تاریخ انتصاب فرض نشد؛ پرویزیان از کرسی رنا به کرسی سازمان مدیریت صنعتی رفت؛ عضو جدید نیست (P&lt;G مشروع)</t>
        </is>
      </c>
    </row>
    <row r="54" ht="45" customHeight="1" s="76">
      <c r="A54" s="92" t="inlineStr">
        <is>
          <t>SM0051</t>
        </is>
      </c>
      <c r="B54" s="92" t="inlineStr">
        <is>
          <t>F04</t>
        </is>
      </c>
      <c r="C54" s="92" t="inlineStr">
        <is>
          <t>خودرو</t>
        </is>
      </c>
      <c r="D54" s="92" t="inlineStr">
        <is>
          <t>1403/12/29</t>
        </is>
      </c>
      <c r="E54" s="92" t="inlineStr">
        <is>
          <t>1403/12/29 (مبنای قراردادی مشترک)</t>
        </is>
      </c>
      <c r="F54" s="92" t="inlineStr">
        <is>
          <t>پنجره مشترک</t>
        </is>
      </c>
      <c r="G54" s="92" t="inlineStr">
        <is>
          <t>P-1CE9F453</t>
        </is>
      </c>
      <c r="H54" s="92" t="inlineStr">
        <is>
          <t>عبدالله سلطانی ثانی</t>
        </is>
      </c>
      <c r="I54" s="92" t="inlineStr">
        <is>
          <t>عبدالله سلطانی ثانی</t>
        </is>
      </c>
      <c r="J54" s="92" t="inlineStr">
        <is>
          <t>نام یکسان سازی شده در همان شرکت؛ کد ملی در این فایل نیست</t>
        </is>
      </c>
      <c r="K54" s="92" t="inlineStr">
        <is>
          <t>عضو اصلی فعال</t>
        </is>
      </c>
      <c r="L54" s="92" t="inlineStr">
        <is>
          <t>عضو (غیرموظف)</t>
        </is>
      </c>
      <c r="M54" s="92" t="inlineStr">
        <is>
          <t>خیر</t>
        </is>
      </c>
      <c r="N54" s="92" t="inlineStr">
        <is>
          <t>خیر</t>
        </is>
      </c>
      <c r="O54" s="92" t="inlineStr">
        <is>
          <t>خدمات گستر صبا انرژی</t>
        </is>
      </c>
      <c r="P54" s="92" t="inlineStr">
        <is>
          <t>ندارد (فقط نام)</t>
        </is>
      </c>
      <c r="Q54" s="92" t="inlineStr">
        <is>
          <t>عبدالله سلطانی ثانی</t>
        </is>
      </c>
      <c r="R54" s="92" t="inlineStr">
        <is>
          <t>خدمات گستر صبا انرژی</t>
        </is>
      </c>
      <c r="S54" s="92" t="inlineStr">
        <is>
          <t>نام دارنده حقوقی</t>
        </is>
      </c>
      <c r="T54" s="92" t="n">
        <v>5</v>
      </c>
      <c r="U54" s="92" t="n">
        <v>5</v>
      </c>
      <c r="V54" s="92" t="inlineStr">
        <is>
          <t>کامل</t>
        </is>
      </c>
      <c r="W54" s="92" t="inlineStr">
        <is>
          <t>1306740</t>
        </is>
      </c>
      <c r="X54" s="92" t="inlineStr">
        <is>
          <t>1403/11/21</t>
        </is>
      </c>
      <c r="Y54" s="92" t="inlineStr">
        <is>
          <t>https://www.codal.ir/Reports/Decision.aspx?LetterSerial=gVTCoHYs1M0v5mNrsaCDkA%3d%3d&amp;rt=0&amp;let=19&amp;ct=0&amp;ft=-1</t>
        </is>
      </c>
      <c r="Z54" s="92" t="inlineStr"/>
      <c r="AA54" s="92" t="inlineStr">
        <is>
          <t>تاریخ گزارش به‌عنوان تاریخ انتصاب فرض نشد</t>
        </is>
      </c>
    </row>
    <row r="55" ht="45" customHeight="1" s="76">
      <c r="A55" s="92" t="inlineStr">
        <is>
          <t>SM0052</t>
        </is>
      </c>
      <c r="B55" s="92" t="inlineStr">
        <is>
          <t>F04</t>
        </is>
      </c>
      <c r="C55" s="92" t="inlineStr">
        <is>
          <t>خودرو</t>
        </is>
      </c>
      <c r="D55" s="92" t="inlineStr">
        <is>
          <t>1403/12/29</t>
        </is>
      </c>
      <c r="E55" s="92" t="inlineStr">
        <is>
          <t>1403/12/29 (مبنای قراردادی مشترک)</t>
        </is>
      </c>
      <c r="F55" s="92" t="inlineStr">
        <is>
          <t>پنجره مشترک</t>
        </is>
      </c>
      <c r="G55" s="92" t="inlineStr">
        <is>
          <t>P-641253F4</t>
        </is>
      </c>
      <c r="H55" s="92" t="inlineStr">
        <is>
          <t>عادل پیرمحمدی</t>
        </is>
      </c>
      <c r="I55" s="92" t="inlineStr">
        <is>
          <t>عادل پیرمحمدی</t>
        </is>
      </c>
      <c r="J55" s="92" t="inlineStr">
        <is>
          <t>نام یکسان سازی شده در همان شرکت؛ کد ملی در این فایل نیست</t>
        </is>
      </c>
      <c r="K55" s="92" t="inlineStr">
        <is>
          <t>عضو اصلی فعال</t>
        </is>
      </c>
      <c r="L55" s="92" t="inlineStr">
        <is>
          <t>عضو (موظف)</t>
        </is>
      </c>
      <c r="M55" s="92" t="inlineStr">
        <is>
          <t>خیر</t>
        </is>
      </c>
      <c r="N55" s="92" t="inlineStr">
        <is>
          <t>خیر</t>
        </is>
      </c>
      <c r="O55" s="92" t="inlineStr">
        <is>
          <t>مدیریت سرمایه‌گذاری ملی ایران</t>
        </is>
      </c>
      <c r="P55" s="92" t="inlineStr">
        <is>
          <t>ندارد (فقط نام)</t>
        </is>
      </c>
      <c r="Q55" s="92" t="inlineStr">
        <is>
          <t>عادل پیرمحمدی</t>
        </is>
      </c>
      <c r="R55" s="92" t="inlineStr">
        <is>
          <t>مدیریت سرمایه گذاری ملی ایران</t>
        </is>
      </c>
      <c r="S55" s="92" t="inlineStr">
        <is>
          <t>نام دارنده حقوقی</t>
        </is>
      </c>
      <c r="T55" s="92" t="n">
        <v>5</v>
      </c>
      <c r="U55" s="92" t="n">
        <v>5</v>
      </c>
      <c r="V55" s="92" t="inlineStr">
        <is>
          <t>کامل</t>
        </is>
      </c>
      <c r="W55" s="92" t="inlineStr">
        <is>
          <t>1306740</t>
        </is>
      </c>
      <c r="X55" s="92" t="inlineStr">
        <is>
          <t>1403/11/21</t>
        </is>
      </c>
      <c r="Y55" s="92" t="inlineStr">
        <is>
          <t>https://www.codal.ir/Reports/Decision.aspx?LetterSerial=gVTCoHYs1M0v5mNrsaCDkA%3d%3d&amp;rt=0&amp;let=19&amp;ct=0&amp;ft=-1</t>
        </is>
      </c>
      <c r="Z55" s="92" t="inlineStr"/>
      <c r="AA55" s="92" t="inlineStr">
        <is>
          <t>تاریخ گزارش به‌عنوان تاریخ انتصاب فرض نشد؛ تا ۱۴۰۵/۰۳/۱۹ در هیئت مدیره (پس از Cutoff)</t>
        </is>
      </c>
    </row>
    <row r="56" ht="45" customHeight="1" s="76">
      <c r="A56" s="92" t="inlineStr">
        <is>
          <t>SM0053</t>
        </is>
      </c>
      <c r="B56" s="92" t="inlineStr">
        <is>
          <t>F04</t>
        </is>
      </c>
      <c r="C56" s="92" t="inlineStr">
        <is>
          <t>خودرو</t>
        </is>
      </c>
      <c r="D56" s="92" t="inlineStr">
        <is>
          <t>1403/12/29</t>
        </is>
      </c>
      <c r="E56" s="92" t="inlineStr">
        <is>
          <t>1403/12/29 (مبنای قراردادی مشترک)</t>
        </is>
      </c>
      <c r="F56" s="92" t="inlineStr">
        <is>
          <t>پنجره مشترک</t>
        </is>
      </c>
      <c r="G56" s="92" t="inlineStr">
        <is>
          <t>P-0B2E29F4</t>
        </is>
      </c>
      <c r="H56" s="92" t="inlineStr">
        <is>
          <t>مرتضی شفیعی</t>
        </is>
      </c>
      <c r="I56" s="92" t="inlineStr">
        <is>
          <t>مرتضی شفیعی</t>
        </is>
      </c>
      <c r="J56" s="92" t="inlineStr">
        <is>
          <t>نام یکسان سازی شده در همان شرکت؛ کد ملی در این فایل نیست</t>
        </is>
      </c>
      <c r="K56" s="92" t="inlineStr">
        <is>
          <t>عضو اصلی فعال</t>
        </is>
      </c>
      <c r="L56" s="92" t="inlineStr">
        <is>
          <t>عضو (غیرموظف)</t>
        </is>
      </c>
      <c r="M56" s="92" t="inlineStr">
        <is>
          <t>خیر</t>
        </is>
      </c>
      <c r="N56" s="92" t="inlineStr">
        <is>
          <t>خیر</t>
        </is>
      </c>
      <c r="O56" s="92" t="inlineStr">
        <is>
          <t>سرمایه‌گذاری گنجینه ایرانیان</t>
        </is>
      </c>
      <c r="P56" s="92" t="inlineStr">
        <is>
          <t>ندارد (فقط نام)</t>
        </is>
      </c>
      <c r="Q56" s="92" t="inlineStr">
        <is>
          <t>مرتضی شفیعی</t>
        </is>
      </c>
      <c r="R56" s="92" t="inlineStr">
        <is>
          <t>سرمایه گذاری گنجینه ایرانیان</t>
        </is>
      </c>
      <c r="S56" s="92" t="inlineStr">
        <is>
          <t>نام دارنده حقوقی</t>
        </is>
      </c>
      <c r="T56" s="92" t="n">
        <v>5</v>
      </c>
      <c r="U56" s="92" t="n">
        <v>5</v>
      </c>
      <c r="V56" s="92" t="inlineStr">
        <is>
          <t>کامل</t>
        </is>
      </c>
      <c r="W56" s="92" t="inlineStr">
        <is>
          <t>1306740</t>
        </is>
      </c>
      <c r="X56" s="92" t="inlineStr">
        <is>
          <t>1403/11/21</t>
        </is>
      </c>
      <c r="Y56" s="92" t="inlineStr">
        <is>
          <t>https://www.codal.ir/Reports/Decision.aspx?LetterSerial=gVTCoHYs1M0v5mNrsaCDkA%3d%3d&amp;rt=0&amp;let=19&amp;ct=0&amp;ft=-1</t>
        </is>
      </c>
      <c r="Z56" s="92" t="inlineStr"/>
      <c r="AA56" s="92" t="inlineStr">
        <is>
          <t>تاریخ گزارش به‌عنوان تاریخ انتصاب فرض نشد؛ اولین مورد REF08 خودرو</t>
        </is>
      </c>
    </row>
    <row r="57" ht="45" customHeight="1" s="76">
      <c r="A57" s="92" t="inlineStr">
        <is>
          <t>SM0054</t>
        </is>
      </c>
      <c r="B57" s="92" t="inlineStr">
        <is>
          <t>F04</t>
        </is>
      </c>
      <c r="C57" s="92" t="inlineStr">
        <is>
          <t>خودرو</t>
        </is>
      </c>
      <c r="D57" s="92" t="inlineStr">
        <is>
          <t>1403/12/29</t>
        </is>
      </c>
      <c r="E57" s="92" t="inlineStr">
        <is>
          <t>1403/12/29 (مبنای قراردادی مشترک)</t>
        </is>
      </c>
      <c r="F57" s="92" t="inlineStr">
        <is>
          <t>پنجره مشترک</t>
        </is>
      </c>
      <c r="G57" s="92" t="inlineStr">
        <is>
          <t>P-4746C6DA</t>
        </is>
      </c>
      <c r="H57" s="92" t="inlineStr">
        <is>
          <t>یوسف الهی شکیب</t>
        </is>
      </c>
      <c r="I57" s="92" t="inlineStr">
        <is>
          <t>یوسف الهی شکیب</t>
        </is>
      </c>
      <c r="J57" s="92" t="inlineStr">
        <is>
          <t>نام یکسان سازی شده در همان شرکت؛ کد ملی در این فایل نیست</t>
        </is>
      </c>
      <c r="K57" s="92" t="inlineStr">
        <is>
          <t>عضو اصلی فعال</t>
        </is>
      </c>
      <c r="L57" s="92" t="inlineStr">
        <is>
          <t>رئیس (غیرموظف)</t>
        </is>
      </c>
      <c r="M57" s="92" t="inlineStr">
        <is>
          <t>خیر</t>
        </is>
      </c>
      <c r="N57" s="92" t="inlineStr">
        <is>
          <t>بله</t>
        </is>
      </c>
      <c r="O57" s="92" t="inlineStr">
        <is>
          <t>بهینه‌سازان بهمن</t>
        </is>
      </c>
      <c r="P57" s="92" t="inlineStr">
        <is>
          <t>ندارد (فقط نام)</t>
        </is>
      </c>
      <c r="Q57" s="92" t="inlineStr">
        <is>
          <t>یوسف الهی شکیب</t>
        </is>
      </c>
      <c r="R57" s="92" t="inlineStr">
        <is>
          <t>بهینه سازان بهمن</t>
        </is>
      </c>
      <c r="S57" s="92" t="inlineStr">
        <is>
          <t>نام دارنده حقوقی</t>
        </is>
      </c>
      <c r="T57" s="92" t="n">
        <v>5</v>
      </c>
      <c r="U57" s="92" t="n">
        <v>5</v>
      </c>
      <c r="V57" s="92" t="inlineStr">
        <is>
          <t>کامل</t>
        </is>
      </c>
      <c r="W57" s="92" t="inlineStr">
        <is>
          <t>1306740</t>
        </is>
      </c>
      <c r="X57" s="92" t="inlineStr">
        <is>
          <t>1403/11/21</t>
        </is>
      </c>
      <c r="Y57" s="92" t="inlineStr">
        <is>
          <t>https://www.codal.ir/Reports/Decision.aspx?LetterSerial=gVTCoHYs1M0v5mNrsaCDkA%3d%3d&amp;rt=0&amp;let=19&amp;ct=0&amp;ft=-1</t>
        </is>
      </c>
      <c r="Z57" s="92" t="inlineStr"/>
      <c r="AA57" s="92" t="inlineStr">
        <is>
          <t>تاریخ گزارش به‌عنوان تاریخ انتصاب فرض نشد</t>
        </is>
      </c>
    </row>
    <row r="58" ht="45" customHeight="1" s="76">
      <c r="A58" s="92" t="inlineStr">
        <is>
          <t>SM0055</t>
        </is>
      </c>
      <c r="B58" s="92" t="inlineStr">
        <is>
          <t>F04</t>
        </is>
      </c>
      <c r="C58" s="92" t="inlineStr">
        <is>
          <t>خودرو</t>
        </is>
      </c>
      <c r="D58" s="92" t="inlineStr">
        <is>
          <t>1403/12/29</t>
        </is>
      </c>
      <c r="E58" s="92" t="inlineStr">
        <is>
          <t>1403/12/29 (مبنای قراردادی مشترک)</t>
        </is>
      </c>
      <c r="F58" s="92" t="inlineStr">
        <is>
          <t>پنجره مشترک</t>
        </is>
      </c>
      <c r="G58" s="92" t="inlineStr">
        <is>
          <t>P-72980C78</t>
        </is>
      </c>
      <c r="H58" s="92" t="inlineStr">
        <is>
          <t>جمشید ایمانی کتک‌لاهیجانی</t>
        </is>
      </c>
      <c r="I58" s="92" t="inlineStr">
        <is>
          <t>جمشید ایمانی کتک لاهیجانی</t>
        </is>
      </c>
      <c r="J58" s="92" t="inlineStr">
        <is>
          <t>نام یکسان سازی شده در همان شرکت؛ کد ملی در این فایل نیست</t>
        </is>
      </c>
      <c r="K58" s="92" t="inlineStr">
        <is>
          <t>عضو اصلی فعال</t>
        </is>
      </c>
      <c r="L58" s="92" t="inlineStr">
        <is>
          <t>نایب رئیس (موظف)</t>
        </is>
      </c>
      <c r="M58" s="92" t="inlineStr">
        <is>
          <t>خیر</t>
        </is>
      </c>
      <c r="N58" s="92" t="inlineStr">
        <is>
          <t>خیر</t>
        </is>
      </c>
      <c r="O58" s="92" t="inlineStr">
        <is>
          <t>اعتبار آفرین</t>
        </is>
      </c>
      <c r="P58" s="92" t="inlineStr">
        <is>
          <t>ندارد (فقط نام)</t>
        </is>
      </c>
      <c r="Q58" s="92" t="inlineStr">
        <is>
          <t>جمشید ایمانی کتک‌لاهیجانی</t>
        </is>
      </c>
      <c r="R58" s="92" t="inlineStr">
        <is>
          <t>اعتبار آفرین</t>
        </is>
      </c>
      <c r="S58" s="92" t="inlineStr">
        <is>
          <t>نام دارنده حقوقی</t>
        </is>
      </c>
      <c r="T58" s="92" t="n">
        <v>5</v>
      </c>
      <c r="U58" s="92" t="n">
        <v>5</v>
      </c>
      <c r="V58" s="92" t="inlineStr">
        <is>
          <t>کامل</t>
        </is>
      </c>
      <c r="W58" s="92" t="inlineStr">
        <is>
          <t>1306740</t>
        </is>
      </c>
      <c r="X58" s="92" t="inlineStr">
        <is>
          <t>1403/11/21</t>
        </is>
      </c>
      <c r="Y58" s="92" t="inlineStr">
        <is>
          <t>https://www.codal.ir/Reports/Decision.aspx?LetterSerial=gVTCoHYs1M0v5mNrsaCDkA%3d%3d&amp;rt=0&amp;let=19&amp;ct=0&amp;ft=-1</t>
        </is>
      </c>
      <c r="Z58" s="92" t="inlineStr"/>
      <c r="AA58" s="92" t="inlineStr">
        <is>
          <t>تاریخ گزارش به‌عنوان تاریخ انتصاب فرض نشد</t>
        </is>
      </c>
    </row>
    <row r="59" ht="45" customHeight="1" s="76">
      <c r="A59" s="92" t="inlineStr">
        <is>
          <t>SM0056</t>
        </is>
      </c>
      <c r="B59" s="92" t="inlineStr">
        <is>
          <t>F04</t>
        </is>
      </c>
      <c r="C59" s="92" t="inlineStr">
        <is>
          <t>خودرو</t>
        </is>
      </c>
      <c r="D59" s="92" t="inlineStr">
        <is>
          <t>1404/12/29</t>
        </is>
      </c>
      <c r="E59" s="92" t="inlineStr">
        <is>
          <t>1404/12/29 (مبنای قراردادی مشترک)</t>
        </is>
      </c>
      <c r="F59" s="92" t="inlineStr">
        <is>
          <t>پنجره مشترک</t>
        </is>
      </c>
      <c r="G59" s="92" t="inlineStr">
        <is>
          <t>P-1CE9F453</t>
        </is>
      </c>
      <c r="H59" s="92" t="inlineStr">
        <is>
          <t>عبدالله سلطانی ثانی</t>
        </is>
      </c>
      <c r="I59" s="92" t="inlineStr">
        <is>
          <t>عبدالله سلطانی ثانی</t>
        </is>
      </c>
      <c r="J59" s="92" t="inlineStr">
        <is>
          <t>نام یکسان سازی شده در همان شرکت؛ کد ملی در این فایل نیست</t>
        </is>
      </c>
      <c r="K59" s="92" t="inlineStr">
        <is>
          <t>عضو اصلی فعال</t>
        </is>
      </c>
      <c r="L59" s="92" t="inlineStr">
        <is>
          <t>عضو (غیرموظف)</t>
        </is>
      </c>
      <c r="M59" s="92" t="inlineStr">
        <is>
          <t>خیر</t>
        </is>
      </c>
      <c r="N59" s="92" t="inlineStr">
        <is>
          <t>خیر</t>
        </is>
      </c>
      <c r="O59" s="92" t="inlineStr">
        <is>
          <t>خدمات گستر صبا انرژی</t>
        </is>
      </c>
      <c r="P59" s="92" t="inlineStr">
        <is>
          <t>ندارد (فقط نام)</t>
        </is>
      </c>
      <c r="Q59" s="92" t="inlineStr">
        <is>
          <t>عبدالله سلطانی ثانی</t>
        </is>
      </c>
      <c r="R59" s="92" t="inlineStr">
        <is>
          <t>خدمات گستر صبا انرژی</t>
        </is>
      </c>
      <c r="S59" s="92" t="inlineStr">
        <is>
          <t>نام دارنده حقوقی</t>
        </is>
      </c>
      <c r="T59" s="92" t="n">
        <v>5</v>
      </c>
      <c r="U59" s="92" t="n">
        <v>5</v>
      </c>
      <c r="V59" s="92" t="inlineStr">
        <is>
          <t>کامل</t>
        </is>
      </c>
      <c r="W59" s="92" t="inlineStr">
        <is>
          <t>1417850</t>
        </is>
      </c>
      <c r="X59" s="92" t="inlineStr">
        <is>
          <t>1404/07/21</t>
        </is>
      </c>
      <c r="Y59" s="92" t="inlineStr">
        <is>
          <t>https://www.codal.ir/Reports/Decision.aspx?LetterSerial=8qXiOOObOOOscQQQaQQQfIOkx3DWj8Uw1Q%3d%3d&amp;rt=0&amp;let=19&amp;ct=0&amp;ft=-1</t>
        </is>
      </c>
      <c r="Z59" s="92" t="inlineStr"/>
      <c r="AA59" s="92" t="inlineStr">
        <is>
          <t>تاریخ گزارش به‌عنوان تاریخ انتصاب فرض نشد</t>
        </is>
      </c>
    </row>
    <row r="60" ht="45" customHeight="1" s="76">
      <c r="A60" s="92" t="inlineStr">
        <is>
          <t>SM0057</t>
        </is>
      </c>
      <c r="B60" s="92" t="inlineStr">
        <is>
          <t>F04</t>
        </is>
      </c>
      <c r="C60" s="92" t="inlineStr">
        <is>
          <t>خودرو</t>
        </is>
      </c>
      <c r="D60" s="92" t="inlineStr">
        <is>
          <t>1404/12/29</t>
        </is>
      </c>
      <c r="E60" s="92" t="inlineStr">
        <is>
          <t>1404/12/29 (مبنای قراردادی مشترک)</t>
        </is>
      </c>
      <c r="F60" s="92" t="inlineStr">
        <is>
          <t>پنجره مشترک</t>
        </is>
      </c>
      <c r="G60" s="92" t="inlineStr">
        <is>
          <t>P-641253F4</t>
        </is>
      </c>
      <c r="H60" s="92" t="inlineStr">
        <is>
          <t>عادل پیرمحمدی</t>
        </is>
      </c>
      <c r="I60" s="92" t="inlineStr">
        <is>
          <t>عادل پیرمحمدی</t>
        </is>
      </c>
      <c r="J60" s="92" t="inlineStr">
        <is>
          <t>نام یکسان سازی شده در همان شرکت؛ کد ملی در این فایل نیست</t>
        </is>
      </c>
      <c r="K60" s="92" t="inlineStr">
        <is>
          <t>عضو اصلی فعال</t>
        </is>
      </c>
      <c r="L60" s="92" t="inlineStr">
        <is>
          <t>عضو (موظف/غیرموظف)</t>
        </is>
      </c>
      <c r="M60" s="92" t="inlineStr">
        <is>
          <t>خیر</t>
        </is>
      </c>
      <c r="N60" s="92" t="inlineStr">
        <is>
          <t>خیر</t>
        </is>
      </c>
      <c r="O60" s="92" t="inlineStr">
        <is>
          <t>مدیریت سرمایه‌گذاری ملی ایران</t>
        </is>
      </c>
      <c r="P60" s="92" t="inlineStr">
        <is>
          <t>ندارد (فقط نام)</t>
        </is>
      </c>
      <c r="Q60" s="92" t="inlineStr">
        <is>
          <t>عادل پیرمحمدی</t>
        </is>
      </c>
      <c r="R60" s="92" t="inlineStr">
        <is>
          <t>مدیریت سرمایه گذاری ملی ایران</t>
        </is>
      </c>
      <c r="S60" s="92" t="inlineStr">
        <is>
          <t>نام دارنده حقوقی</t>
        </is>
      </c>
      <c r="T60" s="92" t="n">
        <v>5</v>
      </c>
      <c r="U60" s="92" t="n">
        <v>5</v>
      </c>
      <c r="V60" s="92" t="inlineStr">
        <is>
          <t>کامل</t>
        </is>
      </c>
      <c r="W60" s="92" t="inlineStr">
        <is>
          <t>1417850</t>
        </is>
      </c>
      <c r="X60" s="92" t="inlineStr">
        <is>
          <t>1404/07/21</t>
        </is>
      </c>
      <c r="Y60" s="92" t="inlineStr">
        <is>
          <t>https://www.codal.ir/Reports/Decision.aspx?LetterSerial=8qXiOOObOOOscQQQaQQQfIOkx3DWj8Uw1Q%3d%3d&amp;rt=0&amp;let=19&amp;ct=0&amp;ft=-1</t>
        </is>
      </c>
      <c r="Z60" s="92" t="inlineStr"/>
      <c r="AA60" s="92" t="inlineStr">
        <is>
          <t>تاریخ گزارش به‌عنوان تاریخ انتصاب فرض نشد؛ تا ۱۴۰۵/۰۳/۱۹ در هیئت مدیره (پس از Cutoff)</t>
        </is>
      </c>
    </row>
    <row r="61" ht="45" customHeight="1" s="76">
      <c r="A61" s="92" t="inlineStr">
        <is>
          <t>SM0058</t>
        </is>
      </c>
      <c r="B61" s="92" t="inlineStr">
        <is>
          <t>F04</t>
        </is>
      </c>
      <c r="C61" s="92" t="inlineStr">
        <is>
          <t>خودرو</t>
        </is>
      </c>
      <c r="D61" s="92" t="inlineStr">
        <is>
          <t>1404/12/29</t>
        </is>
      </c>
      <c r="E61" s="92" t="inlineStr">
        <is>
          <t>1404/12/29 (مبنای قراردادی مشترک)</t>
        </is>
      </c>
      <c r="F61" s="92" t="inlineStr">
        <is>
          <t>پنجره مشترک</t>
        </is>
      </c>
      <c r="G61" s="92" t="inlineStr">
        <is>
          <t>P-C49489C1</t>
        </is>
      </c>
      <c r="H61" s="92" t="inlineStr">
        <is>
          <t>حامد نائیجی</t>
        </is>
      </c>
      <c r="I61" s="92" t="inlineStr">
        <is>
          <t>حامد نائیجی</t>
        </is>
      </c>
      <c r="J61" s="92" t="inlineStr">
        <is>
          <t>نام یکسان سازی شده در همان شرکت؛ کد ملی در این فایل نیست</t>
        </is>
      </c>
      <c r="K61" s="92" t="inlineStr">
        <is>
          <t>عضو اصلی فعال</t>
        </is>
      </c>
      <c r="L61" s="92" t="inlineStr">
        <is>
          <t>عضو (غیرموظف)</t>
        </is>
      </c>
      <c r="M61" s="92" t="inlineStr">
        <is>
          <t>خیر</t>
        </is>
      </c>
      <c r="N61" s="92" t="inlineStr">
        <is>
          <t>خیر</t>
        </is>
      </c>
      <c r="O61" s="92" t="inlineStr">
        <is>
          <t>سرمایه‌گذاری گنجینه ایرانیان</t>
        </is>
      </c>
      <c r="P61" s="92" t="inlineStr">
        <is>
          <t>ندارد (فقط نام)</t>
        </is>
      </c>
      <c r="Q61" s="92" t="inlineStr">
        <is>
          <t>حامد نائیجی</t>
        </is>
      </c>
      <c r="R61" s="92" t="inlineStr">
        <is>
          <t>سرمایه گذاری گنجینه ایرانیان</t>
        </is>
      </c>
      <c r="S61" s="92" t="inlineStr">
        <is>
          <t>نام دارنده حقوقی</t>
        </is>
      </c>
      <c r="T61" s="92" t="n">
        <v>5</v>
      </c>
      <c r="U61" s="92" t="n">
        <v>5</v>
      </c>
      <c r="V61" s="92" t="inlineStr">
        <is>
          <t>کامل</t>
        </is>
      </c>
      <c r="W61" s="92" t="inlineStr">
        <is>
          <t>1417850</t>
        </is>
      </c>
      <c r="X61" s="92" t="inlineStr">
        <is>
          <t>1404/07/21</t>
        </is>
      </c>
      <c r="Y61" s="92" t="inlineStr">
        <is>
          <t>https://www.codal.ir/Reports/Decision.aspx?LetterSerial=8qXiOOObOOOscQQQaQQQfIOkx3DWj8Uw1Q%3d%3d&amp;rt=0&amp;let=19&amp;ct=0&amp;ft=-1</t>
        </is>
      </c>
      <c r="Z61" s="92" t="inlineStr"/>
      <c r="AA61" s="92" t="inlineStr">
        <is>
          <t>تاریخ گزارش به‌عنوان تاریخ انتصاب فرض نشد؛ اولین مورد REF08 خودرو</t>
        </is>
      </c>
    </row>
    <row r="62" ht="45" customHeight="1" s="76">
      <c r="A62" s="92" t="inlineStr">
        <is>
          <t>SM0059</t>
        </is>
      </c>
      <c r="B62" s="92" t="inlineStr">
        <is>
          <t>F04</t>
        </is>
      </c>
      <c r="C62" s="92" t="inlineStr">
        <is>
          <t>خودرو</t>
        </is>
      </c>
      <c r="D62" s="92" t="inlineStr">
        <is>
          <t>1404/12/29</t>
        </is>
      </c>
      <c r="E62" s="92" t="inlineStr">
        <is>
          <t>1404/12/29 (مبنای قراردادی مشترک)</t>
        </is>
      </c>
      <c r="F62" s="92" t="inlineStr">
        <is>
          <t>پنجره مشترک</t>
        </is>
      </c>
      <c r="G62" s="92" t="inlineStr">
        <is>
          <t>P-4746C6DA</t>
        </is>
      </c>
      <c r="H62" s="92" t="inlineStr">
        <is>
          <t>یوسف الهی شکیب</t>
        </is>
      </c>
      <c r="I62" s="92" t="inlineStr">
        <is>
          <t>یوسف الهی شکیب</t>
        </is>
      </c>
      <c r="J62" s="92" t="inlineStr">
        <is>
          <t>نام یکسان سازی شده در همان شرکت؛ کد ملی در این فایل نیست</t>
        </is>
      </c>
      <c r="K62" s="92" t="inlineStr">
        <is>
          <t>عضو اصلی فعال</t>
        </is>
      </c>
      <c r="L62" s="92" t="inlineStr">
        <is>
          <t>رئیس (غیرموظف)</t>
        </is>
      </c>
      <c r="M62" s="92" t="inlineStr">
        <is>
          <t>خیر</t>
        </is>
      </c>
      <c r="N62" s="92" t="inlineStr">
        <is>
          <t>بله</t>
        </is>
      </c>
      <c r="O62" s="92" t="inlineStr">
        <is>
          <t>بهینه‌سازان بهمن</t>
        </is>
      </c>
      <c r="P62" s="92" t="inlineStr">
        <is>
          <t>ندارد (فقط نام)</t>
        </is>
      </c>
      <c r="Q62" s="92" t="inlineStr">
        <is>
          <t>یوسف الهی شکیب</t>
        </is>
      </c>
      <c r="R62" s="92" t="inlineStr">
        <is>
          <t>بهینه سازان بهمن</t>
        </is>
      </c>
      <c r="S62" s="92" t="inlineStr">
        <is>
          <t>نام دارنده حقوقی</t>
        </is>
      </c>
      <c r="T62" s="92" t="n">
        <v>5</v>
      </c>
      <c r="U62" s="92" t="n">
        <v>5</v>
      </c>
      <c r="V62" s="92" t="inlineStr">
        <is>
          <t>کامل</t>
        </is>
      </c>
      <c r="W62" s="92" t="inlineStr">
        <is>
          <t>1417850</t>
        </is>
      </c>
      <c r="X62" s="92" t="inlineStr">
        <is>
          <t>1404/07/21</t>
        </is>
      </c>
      <c r="Y62" s="92" t="inlineStr">
        <is>
          <t>https://www.codal.ir/Reports/Decision.aspx?LetterSerial=8qXiOOObOOOscQQQaQQQfIOkx3DWj8Uw1Q%3d%3d&amp;rt=0&amp;let=19&amp;ct=0&amp;ft=-1</t>
        </is>
      </c>
      <c r="Z62" s="92" t="inlineStr"/>
      <c r="AA62" s="92" t="inlineStr">
        <is>
          <t>تاریخ گزارش به‌عنوان تاریخ انتصاب فرض نشد</t>
        </is>
      </c>
    </row>
    <row r="63" ht="45" customHeight="1" s="76">
      <c r="A63" s="92" t="inlineStr">
        <is>
          <t>SM0060</t>
        </is>
      </c>
      <c r="B63" s="92" t="inlineStr">
        <is>
          <t>F04</t>
        </is>
      </c>
      <c r="C63" s="92" t="inlineStr">
        <is>
          <t>خودرو</t>
        </is>
      </c>
      <c r="D63" s="92" t="inlineStr">
        <is>
          <t>1404/12/29</t>
        </is>
      </c>
      <c r="E63" s="92" t="inlineStr">
        <is>
          <t>1404/12/29 (مبنای قراردادی مشترک)</t>
        </is>
      </c>
      <c r="F63" s="92" t="inlineStr">
        <is>
          <t>پنجره مشترک</t>
        </is>
      </c>
      <c r="G63" s="92" t="inlineStr">
        <is>
          <t>P-72980C78</t>
        </is>
      </c>
      <c r="H63" s="92" t="inlineStr">
        <is>
          <t>جمشید ایمانی کتک‌لاهیجانی</t>
        </is>
      </c>
      <c r="I63" s="92" t="inlineStr">
        <is>
          <t>جمشید ایمانی کتک لاهیجانی</t>
        </is>
      </c>
      <c r="J63" s="92" t="inlineStr">
        <is>
          <t>نام یکسان سازی شده در همان شرکت؛ کد ملی در این فایل نیست</t>
        </is>
      </c>
      <c r="K63" s="92" t="inlineStr">
        <is>
          <t>عضو اصلی فعال</t>
        </is>
      </c>
      <c r="L63" s="92" t="inlineStr">
        <is>
          <t>نایب رئیس (موظف)</t>
        </is>
      </c>
      <c r="M63" s="92" t="inlineStr">
        <is>
          <t>خیر</t>
        </is>
      </c>
      <c r="N63" s="92" t="inlineStr">
        <is>
          <t>خیر</t>
        </is>
      </c>
      <c r="O63" s="92" t="inlineStr">
        <is>
          <t>اعتبار آفرین</t>
        </is>
      </c>
      <c r="P63" s="92" t="inlineStr">
        <is>
          <t>ندارد (فقط نام)</t>
        </is>
      </c>
      <c r="Q63" s="92" t="inlineStr">
        <is>
          <t>جمشید ایمانی کتک‌لاهیجانی</t>
        </is>
      </c>
      <c r="R63" s="92" t="inlineStr">
        <is>
          <t>اعتبار آفرین</t>
        </is>
      </c>
      <c r="S63" s="92" t="inlineStr">
        <is>
          <t>نام دارنده حقوقی</t>
        </is>
      </c>
      <c r="T63" s="92" t="n">
        <v>5</v>
      </c>
      <c r="U63" s="92" t="n">
        <v>5</v>
      </c>
      <c r="V63" s="92" t="inlineStr">
        <is>
          <t>کامل</t>
        </is>
      </c>
      <c r="W63" s="92" t="inlineStr">
        <is>
          <t>1417850</t>
        </is>
      </c>
      <c r="X63" s="92" t="inlineStr">
        <is>
          <t>1404/07/21</t>
        </is>
      </c>
      <c r="Y63" s="92" t="inlineStr">
        <is>
          <t>https://www.codal.ir/Reports/Decision.aspx?LetterSerial=8qXiOOObOOOscQQQaQQQfIOkx3DWj8Uw1Q%3d%3d&amp;rt=0&amp;let=19&amp;ct=0&amp;ft=-1</t>
        </is>
      </c>
      <c r="Z63" s="92" t="inlineStr"/>
      <c r="AA63" s="92" t="inlineStr">
        <is>
          <t>تاریخ گزارش به‌عنوان تاریخ انتصاب فرض نشد</t>
        </is>
      </c>
    </row>
    <row r="64" ht="45" customHeight="1" s="76">
      <c r="A64" s="92" t="inlineStr">
        <is>
          <t>SM0061</t>
        </is>
      </c>
      <c r="B64" s="92" t="inlineStr">
        <is>
          <t>F30</t>
        </is>
      </c>
      <c r="C64" s="92" t="inlineStr">
        <is>
          <t>شپدیس</t>
        </is>
      </c>
      <c r="D64" s="92" t="inlineStr">
        <is>
          <t>1403/12/29</t>
        </is>
      </c>
      <c r="E64" s="92" t="inlineStr">
        <is>
          <t>1403/12/29 (مبنای قراردادی مشترک)</t>
        </is>
      </c>
      <c r="F64" s="92" t="inlineStr">
        <is>
          <t>پنجره مشترک</t>
        </is>
      </c>
      <c r="G64" s="92" t="inlineStr">
        <is>
          <t>P-0D107FC5</t>
        </is>
      </c>
      <c r="H64" s="92" t="inlineStr">
        <is>
          <t>عبدالرحیم قنبریان</t>
        </is>
      </c>
      <c r="I64" s="92" t="inlineStr">
        <is>
          <t>عبدالرحیم قنبریان</t>
        </is>
      </c>
      <c r="J64" s="92" t="inlineStr">
        <is>
          <t>نام یکسان سازی شده در همان شرکت؛ کد ملی در این فایل نیست</t>
        </is>
      </c>
      <c r="K64" s="92" t="inlineStr">
        <is>
          <t>عضو اصلی فعال</t>
        </is>
      </c>
      <c r="L64" s="92" t="inlineStr">
        <is>
          <t>نایب رئیس (موظف)</t>
        </is>
      </c>
      <c r="M64" s="92" t="inlineStr">
        <is>
          <t>خیر</t>
        </is>
      </c>
      <c r="N64" s="92" t="inlineStr">
        <is>
          <t>خیر</t>
        </is>
      </c>
      <c r="O64" s="92" t="inlineStr">
        <is>
          <t>گروه گسترش نفت و گاز پارسیان</t>
        </is>
      </c>
      <c r="P64" s="92" t="inlineStr">
        <is>
          <t>ندارد (فقط نام)</t>
        </is>
      </c>
      <c r="Q64" s="92" t="inlineStr">
        <is>
          <t>عبدالرحیم قنبریان</t>
        </is>
      </c>
      <c r="R64" s="92" t="inlineStr">
        <is>
          <t>گروه گسترش نفت و گاز پارسیان</t>
        </is>
      </c>
      <c r="S64" s="92" t="inlineStr">
        <is>
          <t>نام دارنده حقوقی</t>
        </is>
      </c>
      <c r="T64" s="92" t="n">
        <v>4</v>
      </c>
      <c r="U64" s="92" t="n">
        <v>4</v>
      </c>
      <c r="V64" s="92" t="inlineStr">
        <is>
          <t>کامل</t>
        </is>
      </c>
      <c r="W64" s="92" t="inlineStr">
        <is>
          <t>1309386</t>
        </is>
      </c>
      <c r="X64" s="92" t="inlineStr">
        <is>
          <t>1403/11/29</t>
        </is>
      </c>
      <c r="Y64" s="92" t="inlineStr">
        <is>
          <t>https://www.codal.ir/Reports/Decision.aspx?LetterSerial=C4XsKe3dMCJ7F1MqOaUJBw%3d%3d&amp;rt=0&amp;let=19&amp;ct=0&amp;ft=-1</t>
        </is>
      </c>
      <c r="Z64" s="92" t="inlineStr">
        <is>
          <t>کرسی هامون سپاهان در مبنا خالی مستند: نماینده قبلی ۱۴۰۳/۱۱/۲۹ حذف و تا ۱۴۰۴/۰۸/۱۷ جانشین نیامد (متن v38)</t>
        </is>
      </c>
      <c r="AA64" s="92" t="inlineStr">
        <is>
          <t>تاریخ گزارش به‌عنوان تاریخ انتصاب فرض نشد؛ قنبریان از ۱۴۰۳/۱۱/۲۹ جایگزین میری لواسانی (پیش از Cutoff)</t>
        </is>
      </c>
    </row>
    <row r="65" ht="45" customHeight="1" s="76">
      <c r="A65" s="92" t="inlineStr">
        <is>
          <t>SM0062</t>
        </is>
      </c>
      <c r="B65" s="92" t="inlineStr">
        <is>
          <t>F30</t>
        </is>
      </c>
      <c r="C65" s="92" t="inlineStr">
        <is>
          <t>شپدیس</t>
        </is>
      </c>
      <c r="D65" s="92" t="inlineStr">
        <is>
          <t>1403/12/29</t>
        </is>
      </c>
      <c r="E65" s="92" t="inlineStr">
        <is>
          <t>1403/12/29 (مبنای قراردادی مشترک)</t>
        </is>
      </c>
      <c r="F65" s="92" t="inlineStr">
        <is>
          <t>پنجره مشترک</t>
        </is>
      </c>
      <c r="G65" s="92" t="inlineStr">
        <is>
          <t>P-87B9351E</t>
        </is>
      </c>
      <c r="H65" s="92" t="inlineStr">
        <is>
          <t>سیدعلی نواب‌فر</t>
        </is>
      </c>
      <c r="I65" s="92" t="inlineStr">
        <is>
          <t>سیدعلی نواب فر</t>
        </is>
      </c>
      <c r="J65" s="92" t="inlineStr">
        <is>
          <t>نام یکسان سازی شده در همان شرکت؛ کد ملی در این فایل نیست</t>
        </is>
      </c>
      <c r="K65" s="92" t="inlineStr">
        <is>
          <t>عضو اصلی فعال</t>
        </is>
      </c>
      <c r="L65" s="92" t="inlineStr">
        <is>
          <t>نایب رئیس (غیرموظف)</t>
        </is>
      </c>
      <c r="M65" s="92" t="inlineStr">
        <is>
          <t>خیر</t>
        </is>
      </c>
      <c r="N65" s="92" t="inlineStr">
        <is>
          <t>خیر</t>
        </is>
      </c>
      <c r="O65" s="92" t="inlineStr">
        <is>
          <t>بازرگانی پتروشیمی</t>
        </is>
      </c>
      <c r="P65" s="92" t="inlineStr">
        <is>
          <t>ندارد (فقط نام)</t>
        </is>
      </c>
      <c r="Q65" s="92" t="inlineStr">
        <is>
          <t>سیدعلی نواب‌فر</t>
        </is>
      </c>
      <c r="R65" s="92" t="inlineStr">
        <is>
          <t>بازرگانی پتروشیمی</t>
        </is>
      </c>
      <c r="S65" s="92" t="inlineStr">
        <is>
          <t>نام دارنده حقوقی</t>
        </is>
      </c>
      <c r="T65" s="92" t="n">
        <v>4</v>
      </c>
      <c r="U65" s="92" t="n">
        <v>4</v>
      </c>
      <c r="V65" s="92" t="inlineStr">
        <is>
          <t>کامل</t>
        </is>
      </c>
      <c r="W65" s="92" t="inlineStr">
        <is>
          <t>1309386</t>
        </is>
      </c>
      <c r="X65" s="92" t="inlineStr">
        <is>
          <t>1403/11/29</t>
        </is>
      </c>
      <c r="Y65" s="92" t="inlineStr">
        <is>
          <t>https://www.codal.ir/Reports/Decision.aspx?LetterSerial=C4XsKe3dMCJ7F1MqOaUJBw%3d%3d&amp;rt=0&amp;let=19&amp;ct=0&amp;ft=-1</t>
        </is>
      </c>
      <c r="Z65" s="92" t="inlineStr">
        <is>
          <t>کرسی هامون سپاهان در مبنا خالی مستند: نماینده قبلی ۱۴۰۳/۱۱/۲۹ حذف و تا ۱۴۰۴/۰۸/۱۷ جانشین نیامد (متن v38)</t>
        </is>
      </c>
      <c r="AA65" s="92" t="inlineStr">
        <is>
          <t>تاریخ گزارش به‌عنوان تاریخ انتصاب فرض نشد؛ کاردار عضو میانی است و در هیچ‌یک از دو Cutoff حضور ندارد</t>
        </is>
      </c>
    </row>
    <row r="66" ht="45" customHeight="1" s="76">
      <c r="A66" s="92" t="inlineStr">
        <is>
          <t>SM0063</t>
        </is>
      </c>
      <c r="B66" s="92" t="inlineStr">
        <is>
          <t>F30</t>
        </is>
      </c>
      <c r="C66" s="92" t="inlineStr">
        <is>
          <t>شپدیس</t>
        </is>
      </c>
      <c r="D66" s="92" t="inlineStr">
        <is>
          <t>1403/12/29</t>
        </is>
      </c>
      <c r="E66" s="92" t="inlineStr">
        <is>
          <t>1403/12/29 (مبنای قراردادی مشترک)</t>
        </is>
      </c>
      <c r="F66" s="92" t="inlineStr">
        <is>
          <t>پنجره مشترک</t>
        </is>
      </c>
      <c r="G66" s="92" t="inlineStr">
        <is>
          <t>P-97503F36</t>
        </is>
      </c>
      <c r="H66" s="92" t="inlineStr">
        <is>
          <t>هوشنگ گودرزی</t>
        </is>
      </c>
      <c r="I66" s="92" t="inlineStr">
        <is>
          <t>هوشنگ گودرزی</t>
        </is>
      </c>
      <c r="J66" s="92" t="inlineStr">
        <is>
          <t>نام یکسان سازی شده در همان شرکت؛ کد ملی در این فایل نیست</t>
        </is>
      </c>
      <c r="K66" s="92" t="inlineStr">
        <is>
          <t>عضو اصلی فعال</t>
        </is>
      </c>
      <c r="L66" s="92" t="inlineStr">
        <is>
          <t>رئیس (غیرموظف)</t>
        </is>
      </c>
      <c r="M66" s="92" t="inlineStr">
        <is>
          <t>خیر</t>
        </is>
      </c>
      <c r="N66" s="92" t="inlineStr">
        <is>
          <t>بله</t>
        </is>
      </c>
      <c r="O66" s="92" t="inlineStr">
        <is>
          <t>خدمات مدیریت هامون سپاهان</t>
        </is>
      </c>
      <c r="P66" s="92" t="inlineStr">
        <is>
          <t>ندارد (فقط نام)</t>
        </is>
      </c>
      <c r="Q66" s="92" t="inlineStr">
        <is>
          <t>هوشنگ گودرزی</t>
        </is>
      </c>
      <c r="R66" s="92" t="inlineStr">
        <is>
          <t>خدمات مدیریت هامون سپاهان</t>
        </is>
      </c>
      <c r="S66" s="92" t="inlineStr">
        <is>
          <t>نام دارنده حقوقی</t>
        </is>
      </c>
      <c r="T66" s="92" t="n">
        <v>4</v>
      </c>
      <c r="U66" s="92" t="n">
        <v>4</v>
      </c>
      <c r="V66" s="92" t="inlineStr">
        <is>
          <t>کامل</t>
        </is>
      </c>
      <c r="W66" s="92" t="inlineStr">
        <is>
          <t>1309386</t>
        </is>
      </c>
      <c r="X66" s="92" t="inlineStr">
        <is>
          <t>1403/11/29</t>
        </is>
      </c>
      <c r="Y66" s="92" t="inlineStr">
        <is>
          <t>https://www.codal.ir/Reports/Decision.aspx?LetterSerial=C4XsKe3dMCJ7F1MqOaUJBw%3d%3d&amp;rt=0&amp;let=19&amp;ct=0&amp;ft=-1</t>
        </is>
      </c>
      <c r="Z66" s="92" t="inlineStr">
        <is>
          <t>کرسی هامون سپاهان در مبنا خالی مستند: نماینده قبلی ۱۴۰۳/۱۱/۲۹ حذف و تا ۱۴۰۴/۰۸/۱۷ جانشین نیامد (متن v38)</t>
        </is>
      </c>
      <c r="AA66" s="92" t="inlineStr">
        <is>
          <t>تاریخ گزارش به‌عنوان تاریخ انتصاب فرض نشد</t>
        </is>
      </c>
    </row>
    <row r="67" ht="45" customHeight="1" s="76">
      <c r="A67" s="92" t="inlineStr">
        <is>
          <t>SM0064</t>
        </is>
      </c>
      <c r="B67" s="92" t="inlineStr">
        <is>
          <t>F30</t>
        </is>
      </c>
      <c r="C67" s="92" t="inlineStr">
        <is>
          <t>شپدیس</t>
        </is>
      </c>
      <c r="D67" s="92" t="inlineStr">
        <is>
          <t>1403/12/29</t>
        </is>
      </c>
      <c r="E67" s="92" t="inlineStr">
        <is>
          <t>1403/12/29 (مبنای قراردادی مشترک)</t>
        </is>
      </c>
      <c r="F67" s="92" t="inlineStr">
        <is>
          <t>پنجره مشترک</t>
        </is>
      </c>
      <c r="G67" s="92" t="inlineStr"/>
      <c r="H67" s="92" t="inlineStr">
        <is>
          <t>— (کرسی بدون نماینده)</t>
        </is>
      </c>
      <c r="I67" s="92" t="inlineStr"/>
      <c r="J67" s="92" t="inlineStr">
        <is>
          <t>نام یکسان سازی شده در همان شرکت؛ کد ملی در این فایل نیست</t>
        </is>
      </c>
      <c r="K67" s="92" t="inlineStr">
        <is>
          <t>کرسی بدون نماینده؛ خالی بودن مستند (حذف نماینده قبلی و نبود جانشین)</t>
        </is>
      </c>
      <c r="L67" s="92" t="inlineStr">
        <is>
          <t>عضو</t>
        </is>
      </c>
      <c r="M67" s="92" t="inlineStr">
        <is>
          <t>خیر</t>
        </is>
      </c>
      <c r="N67" s="92" t="inlineStr">
        <is>
          <t>خیر</t>
        </is>
      </c>
      <c r="O67" s="92" t="inlineStr">
        <is>
          <t>سرمایه‌گذاری هامون سپاهان</t>
        </is>
      </c>
      <c r="P67" s="92" t="inlineStr">
        <is>
          <t>ندارد (فقط نام)</t>
        </is>
      </c>
      <c r="Q67" s="92" t="inlineStr">
        <is>
          <t>— (کرسی بدون نماینده)</t>
        </is>
      </c>
      <c r="R67" s="92" t="inlineStr">
        <is>
          <t>سرمایه گذاری هامون سپاهان</t>
        </is>
      </c>
      <c r="S67" s="92" t="inlineStr">
        <is>
          <t>نام دارنده حقوقی</t>
        </is>
      </c>
      <c r="T67" s="92" t="n">
        <v>4</v>
      </c>
      <c r="U67" s="92" t="n">
        <v>4</v>
      </c>
      <c r="V67" s="92" t="inlineStr">
        <is>
          <t>کامل</t>
        </is>
      </c>
      <c r="W67" s="92" t="inlineStr">
        <is>
          <t>1309386</t>
        </is>
      </c>
      <c r="X67" s="92" t="inlineStr">
        <is>
          <t>1403/11/29</t>
        </is>
      </c>
      <c r="Y67" s="92" t="inlineStr">
        <is>
          <t>https://www.codal.ir/Reports/Decision.aspx?LetterSerial=C4XsKe3dMCJ7F1MqOaUJBw%3d%3d&amp;rt=0&amp;let=19&amp;ct=0&amp;ft=-1</t>
        </is>
      </c>
      <c r="Z67" s="92" t="inlineStr">
        <is>
          <t>کرسی هامون سپاهان در مبنا خالی مستند: نماینده قبلی ۱۴۰۳/۱۱/۲۹ حذف و تا ۱۴۰۴/۰۸/۱۷ جانشین نیامد (متن v38)</t>
        </is>
      </c>
      <c r="AA67" s="92" t="inlineStr">
        <is>
          <t>تاریخ گزارش به‌عنوان تاریخ انتصاب فرض نشد؛ اکبر جعفری در ۱۴۰۳/۱۱/۲۹ حذف شد؛ کرسی تا ۱۴۰۴/۰۸/۱۷ بدون نماینده؛ ورود شاه‌ولدی (رئیس)</t>
        </is>
      </c>
    </row>
    <row r="68" ht="45" customHeight="1" s="76">
      <c r="A68" s="92" t="inlineStr">
        <is>
          <t>SM0065</t>
        </is>
      </c>
      <c r="B68" s="92" t="inlineStr">
        <is>
          <t>F30</t>
        </is>
      </c>
      <c r="C68" s="92" t="inlineStr">
        <is>
          <t>شپدیس</t>
        </is>
      </c>
      <c r="D68" s="92" t="inlineStr">
        <is>
          <t>1403/12/29</t>
        </is>
      </c>
      <c r="E68" s="92" t="inlineStr">
        <is>
          <t>1403/12/29 (مبنای قراردادی مشترک)</t>
        </is>
      </c>
      <c r="F68" s="92" t="inlineStr">
        <is>
          <t>پنجره مشترک</t>
        </is>
      </c>
      <c r="G68" s="92" t="inlineStr">
        <is>
          <t>P-20C8BFD0</t>
        </is>
      </c>
      <c r="H68" s="92" t="inlineStr">
        <is>
          <t>محمدعلی سلیمانی</t>
        </is>
      </c>
      <c r="I68" s="92" t="inlineStr">
        <is>
          <t>محمدعلی سلیمانی</t>
        </is>
      </c>
      <c r="J68" s="92" t="inlineStr">
        <is>
          <t>نام یکسان سازی شده در همان شرکت؛ کد ملی در این فایل نیست</t>
        </is>
      </c>
      <c r="K68" s="92" t="inlineStr">
        <is>
          <t>عضو اصلی فعال</t>
        </is>
      </c>
      <c r="L68" s="92" t="inlineStr">
        <is>
          <t>عضو (غیرموظف)</t>
        </is>
      </c>
      <c r="M68" s="92" t="inlineStr">
        <is>
          <t>خیر</t>
        </is>
      </c>
      <c r="N68" s="92" t="inlineStr">
        <is>
          <t>خیر</t>
        </is>
      </c>
      <c r="O68" s="92" t="inlineStr">
        <is>
          <t>بازرگانی و تجارت هامون سپاهان</t>
        </is>
      </c>
      <c r="P68" s="92" t="inlineStr">
        <is>
          <t>ندارد (فقط نام)</t>
        </is>
      </c>
      <c r="Q68" s="92" t="inlineStr">
        <is>
          <t>محمدعلی سلیمانی</t>
        </is>
      </c>
      <c r="R68" s="92" t="inlineStr">
        <is>
          <t>بازرگانی و تجارت هامون سپاهان</t>
        </is>
      </c>
      <c r="S68" s="92" t="inlineStr">
        <is>
          <t>نام دارنده حقوقی</t>
        </is>
      </c>
      <c r="T68" s="92" t="n">
        <v>4</v>
      </c>
      <c r="U68" s="92" t="n">
        <v>4</v>
      </c>
      <c r="V68" s="92" t="inlineStr">
        <is>
          <t>کامل</t>
        </is>
      </c>
      <c r="W68" s="92" t="inlineStr">
        <is>
          <t>1309386</t>
        </is>
      </c>
      <c r="X68" s="92" t="inlineStr">
        <is>
          <t>1403/11/29</t>
        </is>
      </c>
      <c r="Y68" s="92" t="inlineStr">
        <is>
          <t>https://www.codal.ir/Reports/Decision.aspx?LetterSerial=C4XsKe3dMCJ7F1MqOaUJBw%3d%3d&amp;rt=0&amp;let=19&amp;ct=0&amp;ft=-1</t>
        </is>
      </c>
      <c r="Z68" s="92" t="inlineStr">
        <is>
          <t>کرسی هامون سپاهان در مبنا خالی مستند: نماینده قبلی ۱۴۰۳/۱۱/۲۹ حذف و تا ۱۴۰۴/۰۸/۱۷ جانشین نیامد (متن v38)</t>
        </is>
      </c>
      <c r="AA68" s="92" t="inlineStr">
        <is>
          <t>تاریخ گزارش به‌عنوان تاریخ انتصاب فرض نشد؛ سلیمانی از ۱۴۰۳/۱۱/۲۹ (جایگزین ایجازی) پیش از Cutoff</t>
        </is>
      </c>
    </row>
    <row r="69" ht="45" customHeight="1" s="76">
      <c r="A69" s="92" t="inlineStr">
        <is>
          <t>SM0066</t>
        </is>
      </c>
      <c r="B69" s="92" t="inlineStr">
        <is>
          <t>F30</t>
        </is>
      </c>
      <c r="C69" s="92" t="inlineStr">
        <is>
          <t>شپدیس</t>
        </is>
      </c>
      <c r="D69" s="92" t="inlineStr">
        <is>
          <t>1404/12/29</t>
        </is>
      </c>
      <c r="E69" s="92" t="inlineStr">
        <is>
          <t>1404/12/29 (مبنای قراردادی مشترک)</t>
        </is>
      </c>
      <c r="F69" s="92" t="inlineStr">
        <is>
          <t>پنجره مشترک</t>
        </is>
      </c>
      <c r="G69" s="92" t="inlineStr">
        <is>
          <t>P-0D107FC5</t>
        </is>
      </c>
      <c r="H69" s="92" t="inlineStr">
        <is>
          <t>عبدالرحیم قنبریان</t>
        </is>
      </c>
      <c r="I69" s="92" t="inlineStr">
        <is>
          <t>عبدالرحیم قنبریان</t>
        </is>
      </c>
      <c r="J69" s="92" t="inlineStr">
        <is>
          <t>نام یکسان سازی شده در همان شرکت؛ کد ملی در این فایل نیست</t>
        </is>
      </c>
      <c r="K69" s="92" t="inlineStr">
        <is>
          <t>عضو اصلی فعال</t>
        </is>
      </c>
      <c r="L69" s="92" t="inlineStr">
        <is>
          <t>نایب رئیس (موظف)</t>
        </is>
      </c>
      <c r="M69" s="92" t="inlineStr">
        <is>
          <t>خیر</t>
        </is>
      </c>
      <c r="N69" s="92" t="inlineStr">
        <is>
          <t>خیر</t>
        </is>
      </c>
      <c r="O69" s="92" t="inlineStr">
        <is>
          <t>گروه گسترش نفت و گاز پارسیان</t>
        </is>
      </c>
      <c r="P69" s="92" t="inlineStr">
        <is>
          <t>ندارد (فقط نام)</t>
        </is>
      </c>
      <c r="Q69" s="92" t="inlineStr">
        <is>
          <t>عبدالرحیم قنبریان</t>
        </is>
      </c>
      <c r="R69" s="92" t="inlineStr">
        <is>
          <t>گروه گسترش نفت و گاز پارسیان</t>
        </is>
      </c>
      <c r="S69" s="92" t="inlineStr">
        <is>
          <t>نام دارنده حقوقی</t>
        </is>
      </c>
      <c r="T69" s="92" t="n">
        <v>5</v>
      </c>
      <c r="U69" s="92" t="n">
        <v>5</v>
      </c>
      <c r="V69" s="92" t="inlineStr">
        <is>
          <t>کامل</t>
        </is>
      </c>
      <c r="W69" s="92" t="inlineStr">
        <is>
          <t>1443721</t>
        </is>
      </c>
      <c r="X69" s="92" t="inlineStr">
        <is>
          <t>1404/09/05</t>
        </is>
      </c>
      <c r="Y69" s="92" t="inlineStr">
        <is>
          <t>https://www.codal.ir/Reports/Decision.aspx?LetterSerial=Lh6dCOOObOOOOOObOOOHmUIfwOOObOOOrvn9DNRQ%3d%3d&amp;rt=0&amp;let=19&amp;ct=0&amp;ft=-1</t>
        </is>
      </c>
      <c r="Z69" s="92" t="inlineStr">
        <is>
          <t>کرسی هامون سپاهان در مبنا خالی مستند: نماینده قبلی ۱۴۰۳/۱۱/۲۹ حذف و تا ۱۴۰۴/۰۸/۱۷ جانشین نیامد (متن v38)</t>
        </is>
      </c>
      <c r="AA69" s="92" t="inlineStr">
        <is>
          <t>تاریخ گزارش به‌عنوان تاریخ انتصاب فرض نشد؛ قنبریان از ۱۴۰۳/۱۱/۲۹ جایگزین میری لواسانی (پیش از Cutoff)</t>
        </is>
      </c>
    </row>
    <row r="70" ht="45" customHeight="1" s="76">
      <c r="A70" s="92" t="inlineStr">
        <is>
          <t>SM0067</t>
        </is>
      </c>
      <c r="B70" s="92" t="inlineStr">
        <is>
          <t>F30</t>
        </is>
      </c>
      <c r="C70" s="92" t="inlineStr">
        <is>
          <t>شپدیس</t>
        </is>
      </c>
      <c r="D70" s="92" t="inlineStr">
        <is>
          <t>1404/12/29</t>
        </is>
      </c>
      <c r="E70" s="92" t="inlineStr">
        <is>
          <t>1404/12/29 (مبنای قراردادی مشترک)</t>
        </is>
      </c>
      <c r="F70" s="92" t="inlineStr">
        <is>
          <t>پنجره مشترک</t>
        </is>
      </c>
      <c r="G70" s="92" t="inlineStr">
        <is>
          <t>P-9B2E26C1</t>
        </is>
      </c>
      <c r="H70" s="92" t="inlineStr">
        <is>
          <t>حسین سلاح‌ورزی</t>
        </is>
      </c>
      <c r="I70" s="92" t="inlineStr">
        <is>
          <t>حسین سلاح ورزی</t>
        </is>
      </c>
      <c r="J70" s="92" t="inlineStr">
        <is>
          <t>نام یکسان سازی شده در همان شرکت؛ کد ملی در این فایل نیست</t>
        </is>
      </c>
      <c r="K70" s="92" t="inlineStr">
        <is>
          <t>عضو اصلی فعال</t>
        </is>
      </c>
      <c r="L70" s="92" t="inlineStr">
        <is>
          <t>عضو (غیرموظف)</t>
        </is>
      </c>
      <c r="M70" s="92" t="inlineStr">
        <is>
          <t>خیر</t>
        </is>
      </c>
      <c r="N70" s="92" t="inlineStr">
        <is>
          <t>خیر</t>
        </is>
      </c>
      <c r="O70" s="92" t="inlineStr">
        <is>
          <t>بازرگانی پتروشیمی</t>
        </is>
      </c>
      <c r="P70" s="92" t="inlineStr">
        <is>
          <t>ندارد (فقط نام)</t>
        </is>
      </c>
      <c r="Q70" s="92" t="inlineStr">
        <is>
          <t>حسین سلاح‌ورزی</t>
        </is>
      </c>
      <c r="R70" s="92" t="inlineStr">
        <is>
          <t>بازرگانی پتروشیمی</t>
        </is>
      </c>
      <c r="S70" s="92" t="inlineStr">
        <is>
          <t>نام دارنده حقوقی</t>
        </is>
      </c>
      <c r="T70" s="92" t="n">
        <v>5</v>
      </c>
      <c r="U70" s="92" t="n">
        <v>5</v>
      </c>
      <c r="V70" s="92" t="inlineStr">
        <is>
          <t>کامل</t>
        </is>
      </c>
      <c r="W70" s="92" t="inlineStr">
        <is>
          <t>1443721</t>
        </is>
      </c>
      <c r="X70" s="92" t="inlineStr">
        <is>
          <t>1404/09/05</t>
        </is>
      </c>
      <c r="Y70" s="92" t="inlineStr">
        <is>
          <t>https://www.codal.ir/Reports/Decision.aspx?LetterSerial=Lh6dCOOObOOOOOObOOOHmUIfwOOObOOOrvn9DNRQ%3d%3d&amp;rt=0&amp;let=19&amp;ct=0&amp;ft=-1</t>
        </is>
      </c>
      <c r="Z70" s="92" t="inlineStr">
        <is>
          <t>کرسی هامون سپاهان در مبنا خالی مستند: نماینده قبلی ۱۴۰۳/۱۱/۲۹ حذف و تا ۱۴۰۴/۰۸/۱۷ جانشین نیامد (متن v38)</t>
        </is>
      </c>
      <c r="AA70" s="92" t="inlineStr">
        <is>
          <t>تاریخ گزارش به‌عنوان تاریخ انتصاب فرض نشد؛ کاردار عضو میانی است و در هیچ‌یک از دو Cutoff حضور ندارد</t>
        </is>
      </c>
    </row>
    <row r="71" ht="45" customHeight="1" s="76">
      <c r="A71" s="92" t="inlineStr">
        <is>
          <t>SM0068</t>
        </is>
      </c>
      <c r="B71" s="92" t="inlineStr">
        <is>
          <t>F30</t>
        </is>
      </c>
      <c r="C71" s="92" t="inlineStr">
        <is>
          <t>شپدیس</t>
        </is>
      </c>
      <c r="D71" s="92" t="inlineStr">
        <is>
          <t>1404/12/29</t>
        </is>
      </c>
      <c r="E71" s="92" t="inlineStr">
        <is>
          <t>1404/12/29 (مبنای قراردادی مشترک)</t>
        </is>
      </c>
      <c r="F71" s="92" t="inlineStr">
        <is>
          <t>پنجره مشترک</t>
        </is>
      </c>
      <c r="G71" s="92" t="inlineStr">
        <is>
          <t>P-97503F36</t>
        </is>
      </c>
      <c r="H71" s="92" t="inlineStr">
        <is>
          <t>هوشنگ گودرزی</t>
        </is>
      </c>
      <c r="I71" s="92" t="inlineStr">
        <is>
          <t>هوشنگ گودرزی</t>
        </is>
      </c>
      <c r="J71" s="92" t="inlineStr">
        <is>
          <t>نام یکسان سازی شده در همان شرکت؛ کد ملی در این فایل نیست</t>
        </is>
      </c>
      <c r="K71" s="92" t="inlineStr">
        <is>
          <t>عضو اصلی فعال</t>
        </is>
      </c>
      <c r="L71" s="92" t="inlineStr">
        <is>
          <t>عضو (غیرموظف)</t>
        </is>
      </c>
      <c r="M71" s="92" t="inlineStr">
        <is>
          <t>خیر</t>
        </is>
      </c>
      <c r="N71" s="92" t="inlineStr">
        <is>
          <t>خیر</t>
        </is>
      </c>
      <c r="O71" s="92" t="inlineStr">
        <is>
          <t>خدمات مدیریت هامون سپاهان</t>
        </is>
      </c>
      <c r="P71" s="92" t="inlineStr">
        <is>
          <t>ندارد (فقط نام)</t>
        </is>
      </c>
      <c r="Q71" s="92" t="inlineStr">
        <is>
          <t>هوشنگ گودرزی</t>
        </is>
      </c>
      <c r="R71" s="92" t="inlineStr">
        <is>
          <t>خدمات مدیریت هامون سپاهان</t>
        </is>
      </c>
      <c r="S71" s="92" t="inlineStr">
        <is>
          <t>نام دارنده حقوقی</t>
        </is>
      </c>
      <c r="T71" s="92" t="n">
        <v>5</v>
      </c>
      <c r="U71" s="92" t="n">
        <v>5</v>
      </c>
      <c r="V71" s="92" t="inlineStr">
        <is>
          <t>کامل</t>
        </is>
      </c>
      <c r="W71" s="92" t="inlineStr">
        <is>
          <t>1443721</t>
        </is>
      </c>
      <c r="X71" s="92" t="inlineStr">
        <is>
          <t>1404/09/05</t>
        </is>
      </c>
      <c r="Y71" s="92" t="inlineStr">
        <is>
          <t>https://www.codal.ir/Reports/Decision.aspx?LetterSerial=Lh6dCOOObOOOOOObOOOHmUIfwOOObOOOrvn9DNRQ%3d%3d&amp;rt=0&amp;let=19&amp;ct=0&amp;ft=-1</t>
        </is>
      </c>
      <c r="Z71" s="92" t="inlineStr">
        <is>
          <t>کرسی هامون سپاهان در مبنا خالی مستند: نماینده قبلی ۱۴۰۳/۱۱/۲۹ حذف و تا ۱۴۰۴/۰۸/۱۷ جانشین نیامد (متن v38)</t>
        </is>
      </c>
      <c r="AA71" s="92" t="inlineStr">
        <is>
          <t>تاریخ گزارش به‌عنوان تاریخ انتصاب فرض نشد</t>
        </is>
      </c>
    </row>
    <row r="72" ht="45" customHeight="1" s="76">
      <c r="A72" s="92" t="inlineStr">
        <is>
          <t>SM0069</t>
        </is>
      </c>
      <c r="B72" s="92" t="inlineStr">
        <is>
          <t>F30</t>
        </is>
      </c>
      <c r="C72" s="92" t="inlineStr">
        <is>
          <t>شپدیس</t>
        </is>
      </c>
      <c r="D72" s="92" t="inlineStr">
        <is>
          <t>1404/12/29</t>
        </is>
      </c>
      <c r="E72" s="92" t="inlineStr">
        <is>
          <t>1404/12/29 (مبنای قراردادی مشترک)</t>
        </is>
      </c>
      <c r="F72" s="92" t="inlineStr">
        <is>
          <t>پنجره مشترک</t>
        </is>
      </c>
      <c r="G72" s="92" t="inlineStr">
        <is>
          <t>P-2852C3E1</t>
        </is>
      </c>
      <c r="H72" s="92" t="inlineStr">
        <is>
          <t>حسن شاه‌ولدی</t>
        </is>
      </c>
      <c r="I72" s="92" t="inlineStr">
        <is>
          <t>حسن شاه ولدی</t>
        </is>
      </c>
      <c r="J72" s="92" t="inlineStr">
        <is>
          <t>نام یکسان سازی شده در همان شرکت؛ کد ملی در این فایل نیست</t>
        </is>
      </c>
      <c r="K72" s="92" t="inlineStr">
        <is>
          <t>عضو اصلی فعال</t>
        </is>
      </c>
      <c r="L72" s="92" t="inlineStr">
        <is>
          <t>رئیس (غیرموظف)</t>
        </is>
      </c>
      <c r="M72" s="92" t="inlineStr">
        <is>
          <t>خیر</t>
        </is>
      </c>
      <c r="N72" s="92" t="inlineStr">
        <is>
          <t>بله</t>
        </is>
      </c>
      <c r="O72" s="92" t="inlineStr">
        <is>
          <t>سرمایه‌گذاری هامون سپاهان</t>
        </is>
      </c>
      <c r="P72" s="92" t="inlineStr">
        <is>
          <t>ندارد (فقط نام)</t>
        </is>
      </c>
      <c r="Q72" s="92" t="inlineStr">
        <is>
          <t>حسن شاه‌ولدی</t>
        </is>
      </c>
      <c r="R72" s="92" t="inlineStr">
        <is>
          <t>سرمایه گذاری هامون سپاهان</t>
        </is>
      </c>
      <c r="S72" s="92" t="inlineStr">
        <is>
          <t>نام دارنده حقوقی</t>
        </is>
      </c>
      <c r="T72" s="92" t="n">
        <v>5</v>
      </c>
      <c r="U72" s="92" t="n">
        <v>5</v>
      </c>
      <c r="V72" s="92" t="inlineStr">
        <is>
          <t>کامل</t>
        </is>
      </c>
      <c r="W72" s="92" t="inlineStr">
        <is>
          <t>1443721</t>
        </is>
      </c>
      <c r="X72" s="92" t="inlineStr">
        <is>
          <t>1404/09/05</t>
        </is>
      </c>
      <c r="Y72" s="92" t="inlineStr">
        <is>
          <t>https://www.codal.ir/Reports/Decision.aspx?LetterSerial=Lh6dCOOObOOOOOObOOOHmUIfwOOObOOOrvn9DNRQ%3d%3d&amp;rt=0&amp;let=19&amp;ct=0&amp;ft=-1</t>
        </is>
      </c>
      <c r="Z72" s="92" t="inlineStr">
        <is>
          <t>کرسی هامون سپاهان در مبنا خالی مستند: نماینده قبلی ۱۴۰۳/۱۱/۲۹ حذف و تا ۱۴۰۴/۰۸/۱۷ جانشین نیامد (متن v38)</t>
        </is>
      </c>
      <c r="AA72" s="92" t="inlineStr">
        <is>
          <t>تاریخ گزارش به‌عنوان تاریخ انتصاب فرض نشد؛ اکبر جعفری در ۱۴۰۳/۱۱/۲۹ حذف شد؛ کرسی تا ۱۴۰۴/۰۸/۱۷ بدون نماینده؛ ورود شاه‌ولدی (رئیس)</t>
        </is>
      </c>
    </row>
    <row r="73" ht="45" customHeight="1" s="76">
      <c r="A73" s="92" t="inlineStr">
        <is>
          <t>SM0070</t>
        </is>
      </c>
      <c r="B73" s="92" t="inlineStr">
        <is>
          <t>F30</t>
        </is>
      </c>
      <c r="C73" s="92" t="inlineStr">
        <is>
          <t>شپدیس</t>
        </is>
      </c>
      <c r="D73" s="92" t="inlineStr">
        <is>
          <t>1404/12/29</t>
        </is>
      </c>
      <c r="E73" s="92" t="inlineStr">
        <is>
          <t>1404/12/29 (مبنای قراردادی مشترک)</t>
        </is>
      </c>
      <c r="F73" s="92" t="inlineStr">
        <is>
          <t>پنجره مشترک</t>
        </is>
      </c>
      <c r="G73" s="92" t="inlineStr">
        <is>
          <t>P-20C8BFD0</t>
        </is>
      </c>
      <c r="H73" s="92" t="inlineStr">
        <is>
          <t>محمدعلی سلیمانی</t>
        </is>
      </c>
      <c r="I73" s="92" t="inlineStr">
        <is>
          <t>محمدعلی سلیمانی</t>
        </is>
      </c>
      <c r="J73" s="92" t="inlineStr">
        <is>
          <t>نام یکسان سازی شده در همان شرکت؛ کد ملی در این فایل نیست</t>
        </is>
      </c>
      <c r="K73" s="92" t="inlineStr">
        <is>
          <t>عضو اصلی فعال</t>
        </is>
      </c>
      <c r="L73" s="92" t="inlineStr">
        <is>
          <t>عضو (غیرموظف)</t>
        </is>
      </c>
      <c r="M73" s="92" t="inlineStr">
        <is>
          <t>خیر</t>
        </is>
      </c>
      <c r="N73" s="92" t="inlineStr">
        <is>
          <t>خیر</t>
        </is>
      </c>
      <c r="O73" s="92" t="inlineStr">
        <is>
          <t>بازرگانی و تجارت هامون سپاهان</t>
        </is>
      </c>
      <c r="P73" s="92" t="inlineStr">
        <is>
          <t>ندارد (فقط نام)</t>
        </is>
      </c>
      <c r="Q73" s="92" t="inlineStr">
        <is>
          <t>محمدعلی سلیمانی</t>
        </is>
      </c>
      <c r="R73" s="92" t="inlineStr">
        <is>
          <t>بازرگانی و تجارت هامون سپاهان</t>
        </is>
      </c>
      <c r="S73" s="92" t="inlineStr">
        <is>
          <t>نام دارنده حقوقی</t>
        </is>
      </c>
      <c r="T73" s="92" t="n">
        <v>5</v>
      </c>
      <c r="U73" s="92" t="n">
        <v>5</v>
      </c>
      <c r="V73" s="92" t="inlineStr">
        <is>
          <t>کامل</t>
        </is>
      </c>
      <c r="W73" s="92" t="inlineStr">
        <is>
          <t>1443721</t>
        </is>
      </c>
      <c r="X73" s="92" t="inlineStr">
        <is>
          <t>1404/09/05</t>
        </is>
      </c>
      <c r="Y73" s="92" t="inlineStr">
        <is>
          <t>https://www.codal.ir/Reports/Decision.aspx?LetterSerial=Lh6dCOOObOOOOOObOOOHmUIfwOOObOOOrvn9DNRQ%3d%3d&amp;rt=0&amp;let=19&amp;ct=0&amp;ft=-1</t>
        </is>
      </c>
      <c r="Z73" s="92" t="inlineStr">
        <is>
          <t>کرسی هامون سپاهان در مبنا خالی مستند: نماینده قبلی ۱۴۰۳/۱۱/۲۹ حذف و تا ۱۴۰۴/۰۸/۱۷ جانشین نیامد (متن v38)</t>
        </is>
      </c>
      <c r="AA73" s="92" t="inlineStr">
        <is>
          <t>تاریخ گزارش به‌عنوان تاریخ انتصاب فرض نشد؛ سلیمانی از ۱۴۰۳/۱۱/۲۹ (جایگزین ایجازی) پیش از Cutoff</t>
        </is>
      </c>
    </row>
    <row r="74" ht="45" customHeight="1" s="76">
      <c r="A74" s="92" t="inlineStr">
        <is>
          <t>SM0071</t>
        </is>
      </c>
      <c r="B74" s="92" t="inlineStr">
        <is>
          <t>F09</t>
        </is>
      </c>
      <c r="C74" s="92" t="inlineStr">
        <is>
          <t>وتجارت</t>
        </is>
      </c>
      <c r="D74" s="92" t="inlineStr">
        <is>
          <t>1403/12/29</t>
        </is>
      </c>
      <c r="E74" s="92" t="inlineStr">
        <is>
          <t>1403/12/29 (مبنای قراردادی مشترک)</t>
        </is>
      </c>
      <c r="F74" s="92" t="inlineStr">
        <is>
          <t>پنجره مشترک</t>
        </is>
      </c>
      <c r="G74" s="92" t="inlineStr">
        <is>
          <t>P-E99FCA72</t>
        </is>
      </c>
      <c r="H74" s="92" t="inlineStr">
        <is>
          <t>علی کی‌لانی</t>
        </is>
      </c>
      <c r="I74" s="92" t="inlineStr">
        <is>
          <t>علی کی لانی</t>
        </is>
      </c>
      <c r="J74" s="92" t="inlineStr">
        <is>
          <t>نام یکسان سازی شده در همان شرکت؛ کد ملی در این فایل نیست</t>
        </is>
      </c>
      <c r="K74" s="92" t="inlineStr">
        <is>
          <t>عضو اصلی فعال</t>
        </is>
      </c>
      <c r="L74" s="92" t="inlineStr">
        <is>
          <t>عضو (موظف)</t>
        </is>
      </c>
      <c r="M74" s="92" t="inlineStr">
        <is>
          <t>خیر</t>
        </is>
      </c>
      <c r="N74" s="92" t="inlineStr">
        <is>
          <t>خیر</t>
        </is>
      </c>
      <c r="O74" s="92" t="inlineStr">
        <is>
          <t>— (عضو حقیقی مستقیم)</t>
        </is>
      </c>
      <c r="P74" s="92" t="inlineStr">
        <is>
          <t>ندارد (عضو حقیقی مستقیم)</t>
        </is>
      </c>
      <c r="Q74" s="92" t="inlineStr"/>
      <c r="R74" s="92" t="inlineStr"/>
      <c r="S74" s="92" t="inlineStr">
        <is>
          <t>ممنوع: کرسی حقیقی مستقیم بدون شناسه پایدار</t>
        </is>
      </c>
      <c r="T74" s="92" t="n">
        <v>5</v>
      </c>
      <c r="U74" s="92" t="n">
        <v>5</v>
      </c>
      <c r="V74" s="92" t="inlineStr">
        <is>
          <t>کامل</t>
        </is>
      </c>
      <c r="W74" s="92" t="inlineStr">
        <is>
          <t>1159936</t>
        </is>
      </c>
      <c r="X74" s="92" t="inlineStr">
        <is>
          <t>1402/12/08</t>
        </is>
      </c>
      <c r="Y74" s="92" t="inlineStr">
        <is>
          <t>https://www.codal.ir/Reports/Decision.aspx?LetterSerial=OqEx%2bg3X3xQQQaQQQ1V8FTa1bU9w%3d%3d&amp;rt=3&amp;let=19&amp;ct=0&amp;ft=-1</t>
        </is>
      </c>
      <c r="Z74" s="92" t="inlineStr"/>
      <c r="AA74" s="92" t="inlineStr">
        <is>
          <t>تاریخ گزارش به‌عنوان تاریخ انتصاب فرض نشد؛ عضو از ۱۴۰۰/۱۱/۰۹</t>
        </is>
      </c>
    </row>
    <row r="75" ht="45" customHeight="1" s="76">
      <c r="A75" s="92" t="inlineStr">
        <is>
          <t>SM0072</t>
        </is>
      </c>
      <c r="B75" s="92" t="inlineStr">
        <is>
          <t>F09</t>
        </is>
      </c>
      <c r="C75" s="92" t="inlineStr">
        <is>
          <t>وتجارت</t>
        </is>
      </c>
      <c r="D75" s="92" t="inlineStr">
        <is>
          <t>1403/12/29</t>
        </is>
      </c>
      <c r="E75" s="92" t="inlineStr">
        <is>
          <t>1403/12/29 (مبنای قراردادی مشترک)</t>
        </is>
      </c>
      <c r="F75" s="92" t="inlineStr">
        <is>
          <t>پنجره مشترک</t>
        </is>
      </c>
      <c r="G75" s="92" t="inlineStr">
        <is>
          <t>P-6A8D286D</t>
        </is>
      </c>
      <c r="H75" s="92" t="inlineStr">
        <is>
          <t>مرتضی ترک‌تبریزی</t>
        </is>
      </c>
      <c r="I75" s="92" t="inlineStr">
        <is>
          <t>مرتضی ترک تبریزی</t>
        </is>
      </c>
      <c r="J75" s="92" t="inlineStr">
        <is>
          <t>نام یکسان سازی شده در همان شرکت؛ کد ملی در این فایل نیست</t>
        </is>
      </c>
      <c r="K75" s="92" t="inlineStr">
        <is>
          <t>عضو اصلی فعال</t>
        </is>
      </c>
      <c r="L75" s="92" t="inlineStr">
        <is>
          <t>رئیس (موظف)</t>
        </is>
      </c>
      <c r="M75" s="92" t="inlineStr">
        <is>
          <t>خیر</t>
        </is>
      </c>
      <c r="N75" s="92" t="inlineStr">
        <is>
          <t>بله</t>
        </is>
      </c>
      <c r="O75" s="92" t="inlineStr">
        <is>
          <t>— (عضو حقیقی مستقیم)</t>
        </is>
      </c>
      <c r="P75" s="92" t="inlineStr">
        <is>
          <t>ندارد (عضو حقیقی مستقیم)</t>
        </is>
      </c>
      <c r="Q75" s="92" t="inlineStr"/>
      <c r="R75" s="92" t="inlineStr"/>
      <c r="S75" s="92" t="inlineStr">
        <is>
          <t>ممنوع: کرسی حقیقی مستقیم بدون شناسه پایدار</t>
        </is>
      </c>
      <c r="T75" s="92" t="n">
        <v>5</v>
      </c>
      <c r="U75" s="92" t="n">
        <v>5</v>
      </c>
      <c r="V75" s="92" t="inlineStr">
        <is>
          <t>کامل</t>
        </is>
      </c>
      <c r="W75" s="92" t="inlineStr">
        <is>
          <t>1159936</t>
        </is>
      </c>
      <c r="X75" s="92" t="inlineStr">
        <is>
          <t>1402/12/08</t>
        </is>
      </c>
      <c r="Y75" s="92" t="inlineStr">
        <is>
          <t>https://www.codal.ir/Reports/Decision.aspx?LetterSerial=OqEx%2bg3X3xQQQaQQQ1V8FTa1bU9w%3d%3d&amp;rt=3&amp;let=19&amp;ct=0&amp;ft=-1</t>
        </is>
      </c>
      <c r="Z75" s="92" t="inlineStr"/>
      <c r="AA75" s="92" t="inlineStr">
        <is>
          <t>تاریخ گزارش به‌عنوان تاریخ انتصاب فرض نشد؛ عضویت پیوسته از ۱۳۹۸/۱۲/۱۴ (اطلاعیه ۶۱۵۲۴۸) و رئیس از ۱۴۰۱/۱۲/۲۵؛ «آخرین مشاهده ۱۴۰۱/۱۲/۲۵» نادرست است: او در FY1403 و FY1404 عضو بود</t>
        </is>
      </c>
    </row>
    <row r="76" ht="45" customHeight="1" s="76">
      <c r="A76" s="92" t="inlineStr">
        <is>
          <t>SM0073</t>
        </is>
      </c>
      <c r="B76" s="92" t="inlineStr">
        <is>
          <t>F09</t>
        </is>
      </c>
      <c r="C76" s="92" t="inlineStr">
        <is>
          <t>وتجارت</t>
        </is>
      </c>
      <c r="D76" s="92" t="inlineStr">
        <is>
          <t>1403/12/29</t>
        </is>
      </c>
      <c r="E76" s="92" t="inlineStr">
        <is>
          <t>1403/12/29 (مبنای قراردادی مشترک)</t>
        </is>
      </c>
      <c r="F76" s="92" t="inlineStr">
        <is>
          <t>پنجره مشترک</t>
        </is>
      </c>
      <c r="G76" s="92" t="inlineStr">
        <is>
          <t>P-072BEFB1</t>
        </is>
      </c>
      <c r="H76" s="92" t="inlineStr">
        <is>
          <t>هادی اخلاقی فیض‌آثار</t>
        </is>
      </c>
      <c r="I76" s="92" t="inlineStr">
        <is>
          <t>هادی اخلاقی فیض آثار</t>
        </is>
      </c>
      <c r="J76" s="92" t="inlineStr">
        <is>
          <t>نام یکسان سازی شده در همان شرکت؛ کد ملی در این فایل نیست</t>
        </is>
      </c>
      <c r="K76" s="92" t="inlineStr">
        <is>
          <t>عضو اصلی فعال</t>
        </is>
      </c>
      <c r="L76" s="92" t="inlineStr">
        <is>
          <t>عضو و مدیرعامل (موظف)</t>
        </is>
      </c>
      <c r="M76" s="92" t="inlineStr">
        <is>
          <t>بله</t>
        </is>
      </c>
      <c r="N76" s="92" t="inlineStr">
        <is>
          <t>خیر</t>
        </is>
      </c>
      <c r="O76" s="92" t="inlineStr">
        <is>
          <t>— (عضو حقیقی مستقیم)</t>
        </is>
      </c>
      <c r="P76" s="92" t="inlineStr">
        <is>
          <t>ندارد (عضو حقیقی مستقیم)</t>
        </is>
      </c>
      <c r="Q76" s="92" t="inlineStr"/>
      <c r="R76" s="92" t="inlineStr"/>
      <c r="S76" s="92" t="inlineStr">
        <is>
          <t>ممنوع: کرسی حقیقی مستقیم بدون شناسه پایدار</t>
        </is>
      </c>
      <c r="T76" s="92" t="n">
        <v>5</v>
      </c>
      <c r="U76" s="92" t="n">
        <v>5</v>
      </c>
      <c r="V76" s="92" t="inlineStr">
        <is>
          <t>کامل</t>
        </is>
      </c>
      <c r="W76" s="92" t="inlineStr">
        <is>
          <t>1159936</t>
        </is>
      </c>
      <c r="X76" s="92" t="inlineStr">
        <is>
          <t>1402/12/08</t>
        </is>
      </c>
      <c r="Y76" s="92" t="inlineStr">
        <is>
          <t>https://www.codal.ir/Reports/Decision.aspx?LetterSerial=OqEx%2bg3X3xQQQaQQQ1V8FTa1bU9w%3d%3d&amp;rt=3&amp;let=19&amp;ct=0&amp;ft=-1</t>
        </is>
      </c>
      <c r="Z76" s="92" t="inlineStr"/>
      <c r="AA76" s="92" t="inlineStr">
        <is>
          <t>تاریخ گزارش به‌عنوان تاریخ انتصاب فرض نشد</t>
        </is>
      </c>
    </row>
    <row r="77" ht="45" customHeight="1" s="76">
      <c r="A77" s="92" t="inlineStr">
        <is>
          <t>SM0074</t>
        </is>
      </c>
      <c r="B77" s="92" t="inlineStr">
        <is>
          <t>F09</t>
        </is>
      </c>
      <c r="C77" s="92" t="inlineStr">
        <is>
          <t>وتجارت</t>
        </is>
      </c>
      <c r="D77" s="92" t="inlineStr">
        <is>
          <t>1403/12/29</t>
        </is>
      </c>
      <c r="E77" s="92" t="inlineStr">
        <is>
          <t>1403/12/29 (مبنای قراردادی مشترک)</t>
        </is>
      </c>
      <c r="F77" s="92" t="inlineStr">
        <is>
          <t>پنجره مشترک</t>
        </is>
      </c>
      <c r="G77" s="92" t="inlineStr">
        <is>
          <t>P-F3DED83D</t>
        </is>
      </c>
      <c r="H77" s="92" t="inlineStr">
        <is>
          <t>حمیدرضا شریفیان</t>
        </is>
      </c>
      <c r="I77" s="92" t="inlineStr">
        <is>
          <t>حمیدرضا شریفیان</t>
        </is>
      </c>
      <c r="J77" s="92" t="inlineStr">
        <is>
          <t>نام یکسان سازی شده در همان شرکت؛ کد ملی در این فایل نیست</t>
        </is>
      </c>
      <c r="K77" s="92" t="inlineStr">
        <is>
          <t>عضو اصلی فعال</t>
        </is>
      </c>
      <c r="L77" s="92" t="inlineStr">
        <is>
          <t>نایب رئیس (موظف)</t>
        </is>
      </c>
      <c r="M77" s="92" t="inlineStr">
        <is>
          <t>خیر</t>
        </is>
      </c>
      <c r="N77" s="92" t="inlineStr">
        <is>
          <t>خیر</t>
        </is>
      </c>
      <c r="O77" s="92" t="inlineStr">
        <is>
          <t>— (عضو حقیقی مستقیم)</t>
        </is>
      </c>
      <c r="P77" s="92" t="inlineStr">
        <is>
          <t>ندارد (عضو حقیقی مستقیم)</t>
        </is>
      </c>
      <c r="Q77" s="92" t="inlineStr"/>
      <c r="R77" s="92" t="inlineStr"/>
      <c r="S77" s="92" t="inlineStr">
        <is>
          <t>ممنوع: کرسی حقیقی مستقیم بدون شناسه پایدار</t>
        </is>
      </c>
      <c r="T77" s="92" t="n">
        <v>5</v>
      </c>
      <c r="U77" s="92" t="n">
        <v>5</v>
      </c>
      <c r="V77" s="92" t="inlineStr">
        <is>
          <t>کامل</t>
        </is>
      </c>
      <c r="W77" s="92" t="inlineStr">
        <is>
          <t>1159936</t>
        </is>
      </c>
      <c r="X77" s="92" t="inlineStr">
        <is>
          <t>1402/12/08</t>
        </is>
      </c>
      <c r="Y77" s="92" t="inlineStr">
        <is>
          <t>https://www.codal.ir/Reports/Decision.aspx?LetterSerial=OqEx%2bg3X3xQQQaQQQ1V8FTa1bU9w%3d%3d&amp;rt=3&amp;let=19&amp;ct=0&amp;ft=-1</t>
        </is>
      </c>
      <c r="Z77" s="92" t="inlineStr"/>
      <c r="AA77" s="92" t="inlineStr">
        <is>
          <t>تاریخ گزارش به‌عنوان تاریخ انتصاب فرض نشد؛ تاریخ و علت خروج در هیچ سند کدالی یافت نشد؛ اطلاعیه اولیه ۱۴۴۳۰۷۸ (جلسه ۱۴۰۴/۰۹/۰۱) هنوز او را دارد (تناقض)</t>
        </is>
      </c>
    </row>
    <row r="78" ht="45" customHeight="1" s="76">
      <c r="A78" s="92" t="inlineStr">
        <is>
          <t>SM0075</t>
        </is>
      </c>
      <c r="B78" s="92" t="inlineStr">
        <is>
          <t>F09</t>
        </is>
      </c>
      <c r="C78" s="92" t="inlineStr">
        <is>
          <t>وتجارت</t>
        </is>
      </c>
      <c r="D78" s="92" t="inlineStr">
        <is>
          <t>1403/12/29</t>
        </is>
      </c>
      <c r="E78" s="92" t="inlineStr">
        <is>
          <t>1403/12/29 (مبنای قراردادی مشترک)</t>
        </is>
      </c>
      <c r="F78" s="92" t="inlineStr">
        <is>
          <t>پنجره مشترک</t>
        </is>
      </c>
      <c r="G78" s="92" t="inlineStr">
        <is>
          <t>P-BA1065D0</t>
        </is>
      </c>
      <c r="H78" s="92" t="inlineStr">
        <is>
          <t>سیدمهدی حسینی دولت‌آبادی</t>
        </is>
      </c>
      <c r="I78" s="92" t="inlineStr">
        <is>
          <t>سیدمهدی حسینی دولت آبادی</t>
        </is>
      </c>
      <c r="J78" s="92" t="inlineStr">
        <is>
          <t>نام یکسان سازی شده در همان شرکت؛ کد ملی در این فایل نیست</t>
        </is>
      </c>
      <c r="K78" s="92" t="inlineStr">
        <is>
          <t>عضو اصلی فعال</t>
        </is>
      </c>
      <c r="L78" s="92" t="inlineStr">
        <is>
          <t>عضو (موظف)</t>
        </is>
      </c>
      <c r="M78" s="92" t="inlineStr">
        <is>
          <t>خیر</t>
        </is>
      </c>
      <c r="N78" s="92" t="inlineStr">
        <is>
          <t>خیر</t>
        </is>
      </c>
      <c r="O78" s="92" t="inlineStr">
        <is>
          <t>— (عضو حقیقی مستقیم)</t>
        </is>
      </c>
      <c r="P78" s="92" t="inlineStr">
        <is>
          <t>ندارد (عضو حقیقی مستقیم)</t>
        </is>
      </c>
      <c r="Q78" s="92" t="inlineStr"/>
      <c r="R78" s="92" t="inlineStr"/>
      <c r="S78" s="92" t="inlineStr">
        <is>
          <t>ممنوع: کرسی حقیقی مستقیم بدون شناسه پایدار</t>
        </is>
      </c>
      <c r="T78" s="92" t="n">
        <v>5</v>
      </c>
      <c r="U78" s="92" t="n">
        <v>5</v>
      </c>
      <c r="V78" s="92" t="inlineStr">
        <is>
          <t>کامل</t>
        </is>
      </c>
      <c r="W78" s="92" t="inlineStr">
        <is>
          <t>1159936</t>
        </is>
      </c>
      <c r="X78" s="92" t="inlineStr">
        <is>
          <t>1402/12/08</t>
        </is>
      </c>
      <c r="Y78" s="92" t="inlineStr">
        <is>
          <t>https://www.codal.ir/Reports/Decision.aspx?LetterSerial=OqEx%2bg3X3xQQQaQQQ1V8FTa1bU9w%3d%3d&amp;rt=3&amp;let=19&amp;ct=0&amp;ft=-1</t>
        </is>
      </c>
      <c r="Z78" s="92" t="inlineStr"/>
      <c r="AA78" s="92" t="inlineStr">
        <is>
          <t>تاریخ گزارش به‌عنوان تاریخ انتصاب فرض نشد؛ عضو از ۱۴۰۲/۱۱/۳۰</t>
        </is>
      </c>
    </row>
    <row r="79" ht="45" customHeight="1" s="76">
      <c r="A79" s="93" t="inlineStr">
        <is>
          <t>SM0076</t>
        </is>
      </c>
      <c r="B79" s="93" t="inlineStr">
        <is>
          <t>F09</t>
        </is>
      </c>
      <c r="C79" s="93" t="inlineStr">
        <is>
          <t>وتجارت</t>
        </is>
      </c>
      <c r="D79" s="93" t="inlineStr">
        <is>
          <t>1404/12/29</t>
        </is>
      </c>
      <c r="E79" s="93" t="inlineStr">
        <is>
          <t>1404/12/29 (مبنای قراردادی مشترک)</t>
        </is>
      </c>
      <c r="F79" s="93" t="inlineStr">
        <is>
          <t>پنجره مشترک</t>
        </is>
      </c>
      <c r="G79" s="93" t="inlineStr">
        <is>
          <t>P-E99FCA72</t>
        </is>
      </c>
      <c r="H79" s="93" t="inlineStr">
        <is>
          <t>علی کی‌لانی</t>
        </is>
      </c>
      <c r="I79" s="93" t="inlineStr">
        <is>
          <t>علی کی لانی</t>
        </is>
      </c>
      <c r="J79" s="93" t="inlineStr">
        <is>
          <t>نام یکسان سازی شده در همان شرکت؛ کد ملی در این فایل نیست</t>
        </is>
      </c>
      <c r="K79" s="93" t="inlineStr">
        <is>
          <t>عضو اصلی فعال</t>
        </is>
      </c>
      <c r="L79" s="93" t="inlineStr">
        <is>
          <t>عضو (موظف)</t>
        </is>
      </c>
      <c r="M79" s="93" t="inlineStr">
        <is>
          <t>خیر</t>
        </is>
      </c>
      <c r="N79" s="93" t="inlineStr">
        <is>
          <t>خیر</t>
        </is>
      </c>
      <c r="O79" s="93" t="inlineStr">
        <is>
          <t>— (عضو حقیقی مستقیم)</t>
        </is>
      </c>
      <c r="P79" s="93" t="inlineStr">
        <is>
          <t>ندارد (عضو حقیقی مستقیم)</t>
        </is>
      </c>
      <c r="Q79" s="93" t="inlineStr"/>
      <c r="R79" s="93" t="inlineStr"/>
      <c r="S79" s="93" t="inlineStr">
        <is>
          <t>ممنوع: کرسی حقیقی مستقیم بدون شناسه پایدار</t>
        </is>
      </c>
      <c r="T79" s="93" t="n">
        <v>4</v>
      </c>
      <c r="U79" s="93" t="n">
        <v>4</v>
      </c>
      <c r="V79" s="93" t="inlineStr">
        <is>
          <t>مشروط</t>
        </is>
      </c>
      <c r="W79" s="93" t="inlineStr">
        <is>
          <t>1444154</t>
        </is>
      </c>
      <c r="X79" s="93" t="inlineStr">
        <is>
          <t>1404/09/15</t>
        </is>
      </c>
      <c r="Y79" s="93" t="inlineStr">
        <is>
          <t>https://www.codal.ir/Reports/Decision.aspx?LetterSerial=tL1npzfj3XSDR4oEqs1VIw%3d%3d&amp;rt=3&amp;let=19&amp;ct=0&amp;ft=-1</t>
        </is>
      </c>
      <c r="Z79"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c r="AA79" s="93" t="inlineStr">
        <is>
          <t>تاریخ گزارش به‌عنوان تاریخ انتصاب فرض نشد؛ عضو از ۱۴۰۰/۱۱/۰۹</t>
        </is>
      </c>
    </row>
    <row r="80" ht="45" customHeight="1" s="76">
      <c r="A80" s="93" t="inlineStr">
        <is>
          <t>SM0077</t>
        </is>
      </c>
      <c r="B80" s="93" t="inlineStr">
        <is>
          <t>F09</t>
        </is>
      </c>
      <c r="C80" s="93" t="inlineStr">
        <is>
          <t>وتجارت</t>
        </is>
      </c>
      <c r="D80" s="93" t="inlineStr">
        <is>
          <t>1404/12/29</t>
        </is>
      </c>
      <c r="E80" s="93" t="inlineStr">
        <is>
          <t>1404/12/29 (مبنای قراردادی مشترک)</t>
        </is>
      </c>
      <c r="F80" s="93" t="inlineStr">
        <is>
          <t>پنجره مشترک</t>
        </is>
      </c>
      <c r="G80" s="93" t="inlineStr">
        <is>
          <t>P-6A8D286D</t>
        </is>
      </c>
      <c r="H80" s="93" t="inlineStr">
        <is>
          <t>مرتضی ترک‌تبریزی</t>
        </is>
      </c>
      <c r="I80" s="93" t="inlineStr">
        <is>
          <t>مرتضی ترک تبریزی</t>
        </is>
      </c>
      <c r="J80" s="93" t="inlineStr">
        <is>
          <t>نام یکسان سازی شده در همان شرکت؛ کد ملی در این فایل نیست</t>
        </is>
      </c>
      <c r="K80" s="93" t="inlineStr">
        <is>
          <t>عضو اصلی فعال</t>
        </is>
      </c>
      <c r="L80" s="93" t="inlineStr">
        <is>
          <t>رئیس (موظف)</t>
        </is>
      </c>
      <c r="M80" s="93" t="inlineStr">
        <is>
          <t>خیر</t>
        </is>
      </c>
      <c r="N80" s="93" t="inlineStr">
        <is>
          <t>بله</t>
        </is>
      </c>
      <c r="O80" s="93" t="inlineStr">
        <is>
          <t>— (عضو حقیقی مستقیم)</t>
        </is>
      </c>
      <c r="P80" s="93" t="inlineStr">
        <is>
          <t>ندارد (عضو حقیقی مستقیم)</t>
        </is>
      </c>
      <c r="Q80" s="93" t="inlineStr"/>
      <c r="R80" s="93" t="inlineStr"/>
      <c r="S80" s="93" t="inlineStr">
        <is>
          <t>ممنوع: کرسی حقیقی مستقیم بدون شناسه پایدار</t>
        </is>
      </c>
      <c r="T80" s="93" t="n">
        <v>4</v>
      </c>
      <c r="U80" s="93" t="n">
        <v>4</v>
      </c>
      <c r="V80" s="93" t="inlineStr">
        <is>
          <t>مشروط</t>
        </is>
      </c>
      <c r="W80" s="93" t="inlineStr">
        <is>
          <t>1444154</t>
        </is>
      </c>
      <c r="X80" s="93" t="inlineStr">
        <is>
          <t>1404/09/15</t>
        </is>
      </c>
      <c r="Y80" s="93" t="inlineStr">
        <is>
          <t>https://www.codal.ir/Reports/Decision.aspx?LetterSerial=tL1npzfj3XSDR4oEqs1VIw%3d%3d&amp;rt=3&amp;let=19&amp;ct=0&amp;ft=-1</t>
        </is>
      </c>
      <c r="Z80"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c r="AA80" s="93" t="inlineStr">
        <is>
          <t>تاریخ گزارش به‌عنوان تاریخ انتصاب فرض نشد؛ عضویت پیوسته از ۱۳۹۸/۱۲/۱۴ (اطلاعیه ۶۱۵۲۴۸) و رئیس از ۱۴۰۱/۱۲/۲۵؛ «آخرین مشاهده ۱۴۰۱/۱۲/۲۵» نادرست است: او در FY1403 و FY1404 عضو بود</t>
        </is>
      </c>
    </row>
    <row r="81" ht="45" customHeight="1" s="76">
      <c r="A81" s="93" t="inlineStr">
        <is>
          <t>SM0078</t>
        </is>
      </c>
      <c r="B81" s="93" t="inlineStr">
        <is>
          <t>F09</t>
        </is>
      </c>
      <c r="C81" s="93" t="inlineStr">
        <is>
          <t>وتجارت</t>
        </is>
      </c>
      <c r="D81" s="93" t="inlineStr">
        <is>
          <t>1404/12/29</t>
        </is>
      </c>
      <c r="E81" s="93" t="inlineStr">
        <is>
          <t>1404/12/29 (مبنای قراردادی مشترک)</t>
        </is>
      </c>
      <c r="F81" s="93" t="inlineStr">
        <is>
          <t>پنجره مشترک</t>
        </is>
      </c>
      <c r="G81" s="93" t="inlineStr">
        <is>
          <t>P-072BEFB1</t>
        </is>
      </c>
      <c r="H81" s="93" t="inlineStr">
        <is>
          <t>هادی اخلاقی فیض‌آثار</t>
        </is>
      </c>
      <c r="I81" s="93" t="inlineStr">
        <is>
          <t>هادی اخلاقی فیض آثار</t>
        </is>
      </c>
      <c r="J81" s="93" t="inlineStr">
        <is>
          <t>نام یکسان سازی شده در همان شرکت؛ کد ملی در این فایل نیست</t>
        </is>
      </c>
      <c r="K81" s="93" t="inlineStr">
        <is>
          <t>عضو اصلی فعال</t>
        </is>
      </c>
      <c r="L81" s="93" t="inlineStr">
        <is>
          <t>عضو و مدیرعامل (موظف)</t>
        </is>
      </c>
      <c r="M81" s="93" t="inlineStr">
        <is>
          <t>بله</t>
        </is>
      </c>
      <c r="N81" s="93" t="inlineStr">
        <is>
          <t>خیر</t>
        </is>
      </c>
      <c r="O81" s="93" t="inlineStr">
        <is>
          <t>— (عضو حقیقی مستقیم)</t>
        </is>
      </c>
      <c r="P81" s="93" t="inlineStr">
        <is>
          <t>ندارد (عضو حقیقی مستقیم)</t>
        </is>
      </c>
      <c r="Q81" s="93" t="inlineStr"/>
      <c r="R81" s="93" t="inlineStr"/>
      <c r="S81" s="93" t="inlineStr">
        <is>
          <t>ممنوع: کرسی حقیقی مستقیم بدون شناسه پایدار</t>
        </is>
      </c>
      <c r="T81" s="93" t="n">
        <v>4</v>
      </c>
      <c r="U81" s="93" t="n">
        <v>4</v>
      </c>
      <c r="V81" s="93" t="inlineStr">
        <is>
          <t>مشروط</t>
        </is>
      </c>
      <c r="W81" s="93" t="inlineStr">
        <is>
          <t>1444154</t>
        </is>
      </c>
      <c r="X81" s="93" t="inlineStr">
        <is>
          <t>1404/09/15</t>
        </is>
      </c>
      <c r="Y81" s="93" t="inlineStr">
        <is>
          <t>https://www.codal.ir/Reports/Decision.aspx?LetterSerial=tL1npzfj3XSDR4oEqs1VIw%3d%3d&amp;rt=3&amp;let=19&amp;ct=0&amp;ft=-1</t>
        </is>
      </c>
      <c r="Z81"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c r="AA81" s="93" t="inlineStr">
        <is>
          <t>تاریخ گزارش به‌عنوان تاریخ انتصاب فرض نشد</t>
        </is>
      </c>
    </row>
    <row r="82" ht="45" customHeight="1" s="76">
      <c r="A82" s="93" t="inlineStr">
        <is>
          <t>SM0079</t>
        </is>
      </c>
      <c r="B82" s="93" t="inlineStr">
        <is>
          <t>F09</t>
        </is>
      </c>
      <c r="C82" s="93" t="inlineStr">
        <is>
          <t>وتجارت</t>
        </is>
      </c>
      <c r="D82" s="93" t="inlineStr">
        <is>
          <t>1404/12/29</t>
        </is>
      </c>
      <c r="E82" s="93" t="inlineStr">
        <is>
          <t>1404/12/29 (مبنای قراردادی مشترک)</t>
        </is>
      </c>
      <c r="F82" s="93" t="inlineStr">
        <is>
          <t>پنجره مشترک</t>
        </is>
      </c>
      <c r="G82" s="93" t="inlineStr"/>
      <c r="H82" s="93" t="inlineStr">
        <is>
          <t>— (خارج شده؛ کرسی بدون جایگزین)</t>
        </is>
      </c>
      <c r="I82" s="93" t="inlineStr"/>
      <c r="J82" s="93" t="inlineStr">
        <is>
          <t>نام یکسان سازی شده در همان شرکت؛ کد ملی در این فایل نیست</t>
        </is>
      </c>
      <c r="K82" s="93" t="inlineStr">
        <is>
          <t>نشانگر خروج؛ عضو فعال این مقطع نیست</t>
        </is>
      </c>
      <c r="L82" s="93" t="inlineStr"/>
      <c r="M82" s="93" t="inlineStr">
        <is>
          <t>خیر</t>
        </is>
      </c>
      <c r="N82" s="93" t="inlineStr">
        <is>
          <t>خیر</t>
        </is>
      </c>
      <c r="O82" s="93" t="inlineStr">
        <is>
          <t>— (عضو حقیقی مستقیم)</t>
        </is>
      </c>
      <c r="P82" s="93" t="inlineStr">
        <is>
          <t>ندارد (عضو حقیقی مستقیم)</t>
        </is>
      </c>
      <c r="Q82" s="93" t="inlineStr"/>
      <c r="R82" s="93" t="inlineStr"/>
      <c r="S82" s="93" t="inlineStr">
        <is>
          <t>ممنوع: کرسی حقیقی مستقیم بدون شناسه پایدار</t>
        </is>
      </c>
      <c r="T82" s="93" t="n">
        <v>4</v>
      </c>
      <c r="U82" s="93" t="n">
        <v>4</v>
      </c>
      <c r="V82" s="93" t="inlineStr">
        <is>
          <t>مشروط</t>
        </is>
      </c>
      <c r="W82" s="93" t="inlineStr">
        <is>
          <t>1444154</t>
        </is>
      </c>
      <c r="X82" s="93" t="inlineStr">
        <is>
          <t>1404/09/15</t>
        </is>
      </c>
      <c r="Y82" s="93" t="inlineStr">
        <is>
          <t>https://www.codal.ir/Reports/Decision.aspx?LetterSerial=tL1npzfj3XSDR4oEqs1VIw%3d%3d&amp;rt=3&amp;let=19&amp;ct=0&amp;ft=-1</t>
        </is>
      </c>
      <c r="Z82"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c r="AA82" s="93" t="inlineStr">
        <is>
          <t>تاریخ گزارش به‌عنوان تاریخ انتصاب فرض نشد؛ تاریخ و علت خروج در هیچ سند کدالی یافت نشد؛ اطلاعیه اولیه ۱۴۴۳۰۷۸ (جلسه ۱۴۰۴/۰۹/۰۱) هنوز او را دارد (تناقض)</t>
        </is>
      </c>
    </row>
    <row r="83" ht="45" customHeight="1" s="76">
      <c r="A83" s="93" t="inlineStr">
        <is>
          <t>SM0080</t>
        </is>
      </c>
      <c r="B83" s="93" t="inlineStr">
        <is>
          <t>F09</t>
        </is>
      </c>
      <c r="C83" s="93" t="inlineStr">
        <is>
          <t>وتجارت</t>
        </is>
      </c>
      <c r="D83" s="93" t="inlineStr">
        <is>
          <t>1404/12/29</t>
        </is>
      </c>
      <c r="E83" s="93" t="inlineStr">
        <is>
          <t>1404/12/29 (مبنای قراردادی مشترک)</t>
        </is>
      </c>
      <c r="F83" s="93" t="inlineStr">
        <is>
          <t>پنجره مشترک</t>
        </is>
      </c>
      <c r="G83" s="93" t="inlineStr">
        <is>
          <t>P-BA1065D0</t>
        </is>
      </c>
      <c r="H83" s="93" t="inlineStr">
        <is>
          <t>سیدمهدی حسینی دولت‌آبادی</t>
        </is>
      </c>
      <c r="I83" s="93" t="inlineStr">
        <is>
          <t>سیدمهدی حسینی دولت آبادی</t>
        </is>
      </c>
      <c r="J83" s="93" t="inlineStr">
        <is>
          <t>نام یکسان سازی شده در همان شرکت؛ کد ملی در این فایل نیست</t>
        </is>
      </c>
      <c r="K83" s="93" t="inlineStr">
        <is>
          <t>عضو اصلی فعال</t>
        </is>
      </c>
      <c r="L83" s="93" t="inlineStr">
        <is>
          <t>عضو (موظف)</t>
        </is>
      </c>
      <c r="M83" s="93" t="inlineStr">
        <is>
          <t>خیر</t>
        </is>
      </c>
      <c r="N83" s="93" t="inlineStr">
        <is>
          <t>خیر</t>
        </is>
      </c>
      <c r="O83" s="93" t="inlineStr">
        <is>
          <t>— (عضو حقیقی مستقیم)</t>
        </is>
      </c>
      <c r="P83" s="93" t="inlineStr">
        <is>
          <t>ندارد (عضو حقیقی مستقیم)</t>
        </is>
      </c>
      <c r="Q83" s="93" t="inlineStr"/>
      <c r="R83" s="93" t="inlineStr"/>
      <c r="S83" s="93" t="inlineStr">
        <is>
          <t>ممنوع: کرسی حقیقی مستقیم بدون شناسه پایدار</t>
        </is>
      </c>
      <c r="T83" s="93" t="n">
        <v>4</v>
      </c>
      <c r="U83" s="93" t="n">
        <v>4</v>
      </c>
      <c r="V83" s="93" t="inlineStr">
        <is>
          <t>مشروط</t>
        </is>
      </c>
      <c r="W83" s="93" t="inlineStr">
        <is>
          <t>1444154</t>
        </is>
      </c>
      <c r="X83" s="93" t="inlineStr">
        <is>
          <t>1404/09/15</t>
        </is>
      </c>
      <c r="Y83" s="93" t="inlineStr">
        <is>
          <t>https://www.codal.ir/Reports/Decision.aspx?LetterSerial=tL1npzfj3XSDR4oEqs1VIw%3d%3d&amp;rt=3&amp;let=19&amp;ct=0&amp;ft=-1</t>
        </is>
      </c>
      <c r="Z83"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c r="AA83" s="93" t="inlineStr">
        <is>
          <t>تاریخ گزارش به‌عنوان تاریخ انتصاب فرض نشد؛ عضو از ۱۴۰۲/۱۱/۳۰</t>
        </is>
      </c>
    </row>
    <row r="84" ht="45" customHeight="1" s="76">
      <c r="A84" s="93" t="inlineStr">
        <is>
          <t>SM0081</t>
        </is>
      </c>
      <c r="B84" s="93" t="inlineStr">
        <is>
          <t>F29</t>
        </is>
      </c>
      <c r="C84" s="93" t="inlineStr">
        <is>
          <t>حکشتی</t>
        </is>
      </c>
      <c r="D84" s="93" t="inlineStr">
        <is>
          <t>1403/12/29</t>
        </is>
      </c>
      <c r="E84" s="93" t="inlineStr">
        <is>
          <t>1403/12/29 (مبنای قراردادی مشترک)</t>
        </is>
      </c>
      <c r="F84" s="93" t="inlineStr">
        <is>
          <t>پنجره مشترک</t>
        </is>
      </c>
      <c r="G84" s="93" t="inlineStr"/>
      <c r="H84" s="93" t="inlineStr">
        <is>
          <t>فاقد نماینده</t>
        </is>
      </c>
      <c r="I84" s="93" t="inlineStr"/>
      <c r="J84" s="93" t="inlineStr">
        <is>
          <t>نماینده حقیقی نامشخص</t>
        </is>
      </c>
      <c r="K84" s="93" t="inlineStr">
        <is>
          <t>نماینده نامشخص؛ خالی بودن واقعی مستند نیست</t>
        </is>
      </c>
      <c r="L84" s="93" t="inlineStr"/>
      <c r="M84" s="93" t="inlineStr"/>
      <c r="N84" s="93" t="inlineStr"/>
      <c r="O84" s="93" t="inlineStr">
        <is>
          <t>مادر تخصصی بازرگانی دولتی ایران</t>
        </is>
      </c>
      <c r="P84" s="93" t="inlineStr">
        <is>
          <t>ندارد (فقط نام)</t>
        </is>
      </c>
      <c r="Q84" s="93" t="inlineStr"/>
      <c r="R84" s="93" t="inlineStr">
        <is>
          <t>مادر تخصصی بازرگانی دولتی ایران → تامین اندیش رفاه پردیس</t>
        </is>
      </c>
      <c r="S84" s="93" t="inlineStr">
        <is>
          <t>جفت شدن دارنده ها طبق خوانش v38 از ستون قبلی و جدید اطلاعیه؛ بازبینی نشد</t>
        </is>
      </c>
      <c r="T84" s="93" t="inlineStr"/>
      <c r="U84" s="93" t="n">
        <v>0</v>
      </c>
      <c r="V84" s="93" t="inlineStr">
        <is>
          <t>ناقص: نماینده ها نامشخص (دارندگان حقوقی کامل پنج کرسی)</t>
        </is>
      </c>
      <c r="W84" s="93" t="inlineStr">
        <is>
          <t>1310210</t>
        </is>
      </c>
      <c r="X84" s="93" t="inlineStr"/>
      <c r="Y84" s="93" t="inlineStr"/>
      <c r="Z84" s="93" t="inlineStr">
        <is>
          <t>سطح شخص حقوقی فقط</t>
        </is>
      </c>
      <c r="AA84" s="93" t="inlineStr">
        <is>
          <t>از اطلاعیه 1310210 و 1433770 طبق Turnover Resolution Audit</t>
        </is>
      </c>
    </row>
    <row r="85" ht="45" customHeight="1" s="76">
      <c r="A85" s="93" t="inlineStr">
        <is>
          <t>SM0082</t>
        </is>
      </c>
      <c r="B85" s="93" t="inlineStr">
        <is>
          <t>F29</t>
        </is>
      </c>
      <c r="C85" s="93" t="inlineStr">
        <is>
          <t>حکشتی</t>
        </is>
      </c>
      <c r="D85" s="93" t="inlineStr">
        <is>
          <t>1403/12/29</t>
        </is>
      </c>
      <c r="E85" s="93" t="inlineStr">
        <is>
          <t>1403/12/29 (مبنای قراردادی مشترک)</t>
        </is>
      </c>
      <c r="F85" s="93" t="inlineStr">
        <is>
          <t>پنجره مشترک</t>
        </is>
      </c>
      <c r="G85" s="93" t="inlineStr"/>
      <c r="H85" s="93" t="inlineStr">
        <is>
          <t>فاقد نماینده</t>
        </is>
      </c>
      <c r="I85" s="93" t="inlineStr"/>
      <c r="J85" s="93" t="inlineStr">
        <is>
          <t>نماینده حقیقی نامشخص</t>
        </is>
      </c>
      <c r="K85" s="93" t="inlineStr">
        <is>
          <t>نماینده نامشخص؛ خالی بودن واقعی مستند نیست</t>
        </is>
      </c>
      <c r="L85" s="93" t="inlineStr"/>
      <c r="M85" s="93" t="inlineStr"/>
      <c r="N85" s="93" t="inlineStr"/>
      <c r="O85" s="93" t="inlineStr">
        <is>
          <t>صندوق بازنشستگی کشوری</t>
        </is>
      </c>
      <c r="P85" s="93" t="inlineStr">
        <is>
          <t>ندارد (فقط نام)</t>
        </is>
      </c>
      <c r="Q85" s="93" t="inlineStr"/>
      <c r="R85" s="93" t="inlineStr">
        <is>
          <t>صندوق بازنشستگی کشوری → آتیه صبا</t>
        </is>
      </c>
      <c r="S85" s="93" t="inlineStr">
        <is>
          <t>جفت شدن دارنده ها طبق خوانش v38 از ستون قبلی و جدید اطلاعیه؛ بازبینی نشد</t>
        </is>
      </c>
      <c r="T85" s="93" t="inlineStr"/>
      <c r="U85" s="93" t="n">
        <v>0</v>
      </c>
      <c r="V85" s="93" t="inlineStr">
        <is>
          <t>ناقص: نماینده ها نامشخص (دارندگان حقوقی کامل پنج کرسی)</t>
        </is>
      </c>
      <c r="W85" s="93" t="inlineStr">
        <is>
          <t>1310210</t>
        </is>
      </c>
      <c r="X85" s="93" t="inlineStr"/>
      <c r="Y85" s="93" t="inlineStr"/>
      <c r="Z85" s="93" t="inlineStr">
        <is>
          <t>سطح شخص حقوقی فقط</t>
        </is>
      </c>
      <c r="AA85" s="93" t="inlineStr">
        <is>
          <t>از اطلاعیه 1310210 و 1433770 طبق Turnover Resolution Audit</t>
        </is>
      </c>
    </row>
    <row r="86" ht="45" customHeight="1" s="76">
      <c r="A86" s="93" t="inlineStr">
        <is>
          <t>SM0083</t>
        </is>
      </c>
      <c r="B86" s="93" t="inlineStr">
        <is>
          <t>F29</t>
        </is>
      </c>
      <c r="C86" s="93" t="inlineStr">
        <is>
          <t>حکشتی</t>
        </is>
      </c>
      <c r="D86" s="93" t="inlineStr">
        <is>
          <t>1403/12/29</t>
        </is>
      </c>
      <c r="E86" s="93" t="inlineStr">
        <is>
          <t>1403/12/29 (مبنای قراردادی مشترک)</t>
        </is>
      </c>
      <c r="F86" s="93" t="inlineStr">
        <is>
          <t>پنجره مشترک</t>
        </is>
      </c>
      <c r="G86" s="93" t="inlineStr"/>
      <c r="H86" s="93" t="inlineStr">
        <is>
          <t>فاقد نماینده</t>
        </is>
      </c>
      <c r="I86" s="93" t="inlineStr"/>
      <c r="J86" s="93" t="inlineStr">
        <is>
          <t>نماینده حقیقی نامشخص</t>
        </is>
      </c>
      <c r="K86" s="93" t="inlineStr">
        <is>
          <t>نماینده نامشخص؛ خالی بودن واقعی مستند نیست</t>
        </is>
      </c>
      <c r="L86" s="93" t="inlineStr"/>
      <c r="M86" s="93" t="inlineStr"/>
      <c r="N86" s="93" t="inlineStr"/>
      <c r="O86" s="93" t="inlineStr">
        <is>
          <t>سرمایه گذاری استان گیلان</t>
        </is>
      </c>
      <c r="P86" s="93" t="inlineStr">
        <is>
          <t>ندارد (فقط نام)</t>
        </is>
      </c>
      <c r="Q86" s="93" t="inlineStr"/>
      <c r="R86" s="93" t="inlineStr">
        <is>
          <t>سرمایه گذاری استان گیلان → سیستان و بلوچستان</t>
        </is>
      </c>
      <c r="S86" s="93" t="inlineStr">
        <is>
          <t>جفت شدن دارنده ها طبق خوانش v38 از ستون قبلی و جدید اطلاعیه؛ بازبینی نشد</t>
        </is>
      </c>
      <c r="T86" s="93" t="inlineStr"/>
      <c r="U86" s="93" t="n">
        <v>0</v>
      </c>
      <c r="V86" s="93" t="inlineStr">
        <is>
          <t>ناقص: نماینده ها نامشخص (دارندگان حقوقی کامل پنج کرسی)</t>
        </is>
      </c>
      <c r="W86" s="93" t="inlineStr">
        <is>
          <t>1310210</t>
        </is>
      </c>
      <c r="X86" s="93" t="inlineStr"/>
      <c r="Y86" s="93" t="inlineStr"/>
      <c r="Z86" s="93" t="inlineStr">
        <is>
          <t>سطح شخص حقوقی فقط</t>
        </is>
      </c>
      <c r="AA86" s="93" t="inlineStr">
        <is>
          <t>از اطلاعیه 1310210 و 1433770 طبق Turnover Resolution Audit</t>
        </is>
      </c>
    </row>
    <row r="87" ht="45" customHeight="1" s="76">
      <c r="A87" s="93" t="inlineStr">
        <is>
          <t>SM0084</t>
        </is>
      </c>
      <c r="B87" s="93" t="inlineStr">
        <is>
          <t>F29</t>
        </is>
      </c>
      <c r="C87" s="93" t="inlineStr">
        <is>
          <t>حکشتی</t>
        </is>
      </c>
      <c r="D87" s="93" t="inlineStr">
        <is>
          <t>1403/12/29</t>
        </is>
      </c>
      <c r="E87" s="93" t="inlineStr">
        <is>
          <t>1403/12/29 (مبنای قراردادی مشترک)</t>
        </is>
      </c>
      <c r="F87" s="93" t="inlineStr">
        <is>
          <t>پنجره مشترک</t>
        </is>
      </c>
      <c r="G87" s="93" t="inlineStr"/>
      <c r="H87" s="93" t="inlineStr">
        <is>
          <t>فاقد نماینده</t>
        </is>
      </c>
      <c r="I87" s="93" t="inlineStr"/>
      <c r="J87" s="93" t="inlineStr">
        <is>
          <t>نماینده حقیقی نامشخص</t>
        </is>
      </c>
      <c r="K87" s="93" t="inlineStr">
        <is>
          <t>نماینده نامشخص؛ خالی بودن واقعی مستند نیست</t>
        </is>
      </c>
      <c r="L87" s="93" t="inlineStr"/>
      <c r="M87" s="93" t="inlineStr"/>
      <c r="N87" s="93" t="inlineStr"/>
      <c r="O87" s="93" t="inlineStr">
        <is>
          <t>سرمایه گذاری تأمین اجتماعی</t>
        </is>
      </c>
      <c r="P87" s="93" t="inlineStr">
        <is>
          <t>ندارد (فقط نام)</t>
        </is>
      </c>
      <c r="Q87" s="93" t="inlineStr"/>
      <c r="R87" s="93" t="inlineStr">
        <is>
          <t>سرمایه گذاری تامین اجتماعی</t>
        </is>
      </c>
      <c r="S87" s="93" t="inlineStr">
        <is>
          <t>جفت شدن دارنده ها طبق خوانش v38 از ستون قبلی و جدید اطلاعیه؛ بازبینی نشد</t>
        </is>
      </c>
      <c r="T87" s="93" t="inlineStr"/>
      <c r="U87" s="93" t="n">
        <v>0</v>
      </c>
      <c r="V87" s="93" t="inlineStr">
        <is>
          <t>ناقص: نماینده ها نامشخص (دارندگان حقوقی کامل پنج کرسی)</t>
        </is>
      </c>
      <c r="W87" s="93" t="inlineStr">
        <is>
          <t>1310210</t>
        </is>
      </c>
      <c r="X87" s="93" t="inlineStr"/>
      <c r="Y87" s="93" t="inlineStr"/>
      <c r="Z87" s="93" t="inlineStr">
        <is>
          <t>سطح شخص حقوقی فقط</t>
        </is>
      </c>
      <c r="AA87" s="93" t="inlineStr">
        <is>
          <t>از اطلاعیه 1310210 و 1433770 طبق Turnover Resolution Audit</t>
        </is>
      </c>
    </row>
    <row r="88" ht="45" customHeight="1" s="76">
      <c r="A88" s="93" t="inlineStr">
        <is>
          <t>SM0085</t>
        </is>
      </c>
      <c r="B88" s="93" t="inlineStr">
        <is>
          <t>F29</t>
        </is>
      </c>
      <c r="C88" s="93" t="inlineStr">
        <is>
          <t>حکشتی</t>
        </is>
      </c>
      <c r="D88" s="93" t="inlineStr">
        <is>
          <t>1403/12/29</t>
        </is>
      </c>
      <c r="E88" s="93" t="inlineStr">
        <is>
          <t>1403/12/29 (مبنای قراردادی مشترک)</t>
        </is>
      </c>
      <c r="F88" s="93" t="inlineStr">
        <is>
          <t>پنجره مشترک</t>
        </is>
      </c>
      <c r="G88" s="93" t="inlineStr"/>
      <c r="H88" s="93" t="inlineStr">
        <is>
          <t>فاقد نماینده</t>
        </is>
      </c>
      <c r="I88" s="93" t="inlineStr"/>
      <c r="J88" s="93" t="inlineStr">
        <is>
          <t>نماینده حقیقی نامشخص</t>
        </is>
      </c>
      <c r="K88" s="93" t="inlineStr">
        <is>
          <t>نماینده نامشخص؛ خالی بودن واقعی مستند نیست</t>
        </is>
      </c>
      <c r="L88" s="93" t="inlineStr"/>
      <c r="M88" s="93" t="inlineStr"/>
      <c r="N88" s="93" t="inlineStr"/>
      <c r="O88" s="93" t="inlineStr">
        <is>
          <t>سرمایه گذاری صبا تأمین</t>
        </is>
      </c>
      <c r="P88" s="93" t="inlineStr">
        <is>
          <t>ندارد (فقط نام)</t>
        </is>
      </c>
      <c r="Q88" s="93" t="inlineStr"/>
      <c r="R88" s="93" t="inlineStr">
        <is>
          <t>سرمایه گذاری صبا تامین</t>
        </is>
      </c>
      <c r="S88" s="93" t="inlineStr">
        <is>
          <t>جفت شدن دارنده ها طبق خوانش v38 از ستون قبلی و جدید اطلاعیه؛ بازبینی نشد</t>
        </is>
      </c>
      <c r="T88" s="93" t="inlineStr"/>
      <c r="U88" s="93" t="n">
        <v>0</v>
      </c>
      <c r="V88" s="93" t="inlineStr">
        <is>
          <t>ناقص: نماینده ها نامشخص (دارندگان حقوقی کامل پنج کرسی)</t>
        </is>
      </c>
      <c r="W88" s="93" t="inlineStr">
        <is>
          <t>1310210</t>
        </is>
      </c>
      <c r="X88" s="93" t="inlineStr"/>
      <c r="Y88" s="93" t="inlineStr"/>
      <c r="Z88" s="93" t="inlineStr">
        <is>
          <t>سطح شخص حقوقی فقط</t>
        </is>
      </c>
      <c r="AA88" s="93" t="inlineStr">
        <is>
          <t>از اطلاعیه 1310210 و 1433770 طبق Turnover Resolution Audit</t>
        </is>
      </c>
    </row>
    <row r="89" ht="45" customHeight="1" s="76">
      <c r="A89" s="93" t="inlineStr">
        <is>
          <t>SM0086</t>
        </is>
      </c>
      <c r="B89" s="93" t="inlineStr">
        <is>
          <t>F29</t>
        </is>
      </c>
      <c r="C89" s="93" t="inlineStr">
        <is>
          <t>حکشتی</t>
        </is>
      </c>
      <c r="D89" s="93" t="inlineStr">
        <is>
          <t>1404/12/29</t>
        </is>
      </c>
      <c r="E89" s="93" t="inlineStr">
        <is>
          <t>1404/12/29 (مبنای قراردادی مشترک)</t>
        </is>
      </c>
      <c r="F89" s="93" t="inlineStr">
        <is>
          <t>پنجره مشترک</t>
        </is>
      </c>
      <c r="G89" s="93" t="inlineStr"/>
      <c r="H89" s="93" t="inlineStr">
        <is>
          <t>فاقد نماینده</t>
        </is>
      </c>
      <c r="I89" s="93" t="inlineStr"/>
      <c r="J89" s="93" t="inlineStr">
        <is>
          <t>نماینده حقیقی نامشخص</t>
        </is>
      </c>
      <c r="K89" s="93" t="inlineStr">
        <is>
          <t>نماینده نامشخص؛ خالی بودن واقعی مستند نیست</t>
        </is>
      </c>
      <c r="L89" s="93" t="inlineStr"/>
      <c r="M89" s="93" t="inlineStr"/>
      <c r="N89" s="93" t="inlineStr"/>
      <c r="O89" s="93" t="inlineStr">
        <is>
          <t>تأمین اندیش رفاه پردیس</t>
        </is>
      </c>
      <c r="P89" s="93" t="inlineStr">
        <is>
          <t>ندارد (فقط نام)</t>
        </is>
      </c>
      <c r="Q89" s="93" t="inlineStr"/>
      <c r="R89" s="93" t="inlineStr">
        <is>
          <t>مادر تخصصی بازرگانی دولتی ایران → تامین اندیش رفاه پردیس</t>
        </is>
      </c>
      <c r="S89" s="93" t="inlineStr">
        <is>
          <t>جفت شدن دارنده ها طبق خوانش v38 از ستون قبلی و جدید اطلاعیه؛ بازبینی نشد</t>
        </is>
      </c>
      <c r="T89" s="93" t="inlineStr"/>
      <c r="U89" s="93" t="n">
        <v>0</v>
      </c>
      <c r="V89" s="93" t="inlineStr">
        <is>
          <t>ناقص: نماینده ها نامشخص (دارندگان حقوقی کامل پنج کرسی)</t>
        </is>
      </c>
      <c r="W89" s="93" t="inlineStr">
        <is>
          <t>1433770</t>
        </is>
      </c>
      <c r="X89" s="93" t="inlineStr"/>
      <c r="Y89" s="93" t="inlineStr"/>
      <c r="Z89" s="93" t="inlineStr">
        <is>
          <t>سطح شخص حقوقی فقط</t>
        </is>
      </c>
      <c r="AA89" s="93" t="inlineStr">
        <is>
          <t>از اطلاعیه 1310210 و 1433770 طبق Turnover Resolution Audit</t>
        </is>
      </c>
    </row>
    <row r="90" ht="45" customHeight="1" s="76">
      <c r="A90" s="93" t="inlineStr">
        <is>
          <t>SM0087</t>
        </is>
      </c>
      <c r="B90" s="93" t="inlineStr">
        <is>
          <t>F29</t>
        </is>
      </c>
      <c r="C90" s="93" t="inlineStr">
        <is>
          <t>حکشتی</t>
        </is>
      </c>
      <c r="D90" s="93" t="inlineStr">
        <is>
          <t>1404/12/29</t>
        </is>
      </c>
      <c r="E90" s="93" t="inlineStr">
        <is>
          <t>1404/12/29 (مبنای قراردادی مشترک)</t>
        </is>
      </c>
      <c r="F90" s="93" t="inlineStr">
        <is>
          <t>پنجره مشترک</t>
        </is>
      </c>
      <c r="G90" s="93" t="inlineStr"/>
      <c r="H90" s="93" t="inlineStr">
        <is>
          <t>فاقد نماینده</t>
        </is>
      </c>
      <c r="I90" s="93" t="inlineStr"/>
      <c r="J90" s="93" t="inlineStr">
        <is>
          <t>نماینده حقیقی نامشخص</t>
        </is>
      </c>
      <c r="K90" s="93" t="inlineStr">
        <is>
          <t>نماینده نامشخص؛ خالی بودن واقعی مستند نیست</t>
        </is>
      </c>
      <c r="L90" s="93" t="inlineStr"/>
      <c r="M90" s="93" t="inlineStr"/>
      <c r="N90" s="93" t="inlineStr"/>
      <c r="O90" s="93" t="inlineStr">
        <is>
          <t>آتیه صبا</t>
        </is>
      </c>
      <c r="P90" s="93" t="inlineStr">
        <is>
          <t>ندارد (فقط نام)</t>
        </is>
      </c>
      <c r="Q90" s="93" t="inlineStr"/>
      <c r="R90" s="93" t="inlineStr">
        <is>
          <t>صندوق بازنشستگی کشوری → آتیه صبا</t>
        </is>
      </c>
      <c r="S90" s="93" t="inlineStr">
        <is>
          <t>جفت شدن دارنده ها طبق خوانش v38 از ستون قبلی و جدید اطلاعیه؛ بازبینی نشد</t>
        </is>
      </c>
      <c r="T90" s="93" t="inlineStr"/>
      <c r="U90" s="93" t="n">
        <v>0</v>
      </c>
      <c r="V90" s="93" t="inlineStr">
        <is>
          <t>ناقص: نماینده ها نامشخص (دارندگان حقوقی کامل پنج کرسی)</t>
        </is>
      </c>
      <c r="W90" s="93" t="inlineStr">
        <is>
          <t>1433770</t>
        </is>
      </c>
      <c r="X90" s="93" t="inlineStr"/>
      <c r="Y90" s="93" t="inlineStr"/>
      <c r="Z90" s="93" t="inlineStr">
        <is>
          <t>سطح شخص حقوقی فقط</t>
        </is>
      </c>
      <c r="AA90" s="93" t="inlineStr">
        <is>
          <t>از اطلاعیه 1310210 و 1433770 طبق Turnover Resolution Audit</t>
        </is>
      </c>
    </row>
    <row r="91" ht="45" customHeight="1" s="76">
      <c r="A91" s="93" t="inlineStr">
        <is>
          <t>SM0088</t>
        </is>
      </c>
      <c r="B91" s="93" t="inlineStr">
        <is>
          <t>F29</t>
        </is>
      </c>
      <c r="C91" s="93" t="inlineStr">
        <is>
          <t>حکشتی</t>
        </is>
      </c>
      <c r="D91" s="93" t="inlineStr">
        <is>
          <t>1404/12/29</t>
        </is>
      </c>
      <c r="E91" s="93" t="inlineStr">
        <is>
          <t>1404/12/29 (مبنای قراردادی مشترک)</t>
        </is>
      </c>
      <c r="F91" s="93" t="inlineStr">
        <is>
          <t>پنجره مشترک</t>
        </is>
      </c>
      <c r="G91" s="93" t="inlineStr"/>
      <c r="H91" s="93" t="inlineStr">
        <is>
          <t>فاقد نماینده</t>
        </is>
      </c>
      <c r="I91" s="93" t="inlineStr"/>
      <c r="J91" s="93" t="inlineStr">
        <is>
          <t>نماینده حقیقی نامشخص</t>
        </is>
      </c>
      <c r="K91" s="93" t="inlineStr">
        <is>
          <t>نماینده نامشخص؛ خالی بودن واقعی مستند نیست</t>
        </is>
      </c>
      <c r="L91" s="93" t="inlineStr"/>
      <c r="M91" s="93" t="inlineStr"/>
      <c r="N91" s="93" t="inlineStr"/>
      <c r="O91" s="93" t="inlineStr">
        <is>
          <t>سیستان و بلوچستان</t>
        </is>
      </c>
      <c r="P91" s="93" t="inlineStr">
        <is>
          <t>ندارد (فقط نام)</t>
        </is>
      </c>
      <c r="Q91" s="93" t="inlineStr"/>
      <c r="R91" s="93" t="inlineStr">
        <is>
          <t>سرمایه گذاری استان گیلان → سیستان و بلوچستان</t>
        </is>
      </c>
      <c r="S91" s="93" t="inlineStr">
        <is>
          <t>جفت شدن دارنده ها طبق خوانش v38 از ستون قبلی و جدید اطلاعیه؛ بازبینی نشد</t>
        </is>
      </c>
      <c r="T91" s="93" t="inlineStr"/>
      <c r="U91" s="93" t="n">
        <v>0</v>
      </c>
      <c r="V91" s="93" t="inlineStr">
        <is>
          <t>ناقص: نماینده ها نامشخص (دارندگان حقوقی کامل پنج کرسی)</t>
        </is>
      </c>
      <c r="W91" s="93" t="inlineStr">
        <is>
          <t>1433770</t>
        </is>
      </c>
      <c r="X91" s="93" t="inlineStr"/>
      <c r="Y91" s="93" t="inlineStr"/>
      <c r="Z91" s="93" t="inlineStr">
        <is>
          <t>سطح شخص حقوقی فقط</t>
        </is>
      </c>
      <c r="AA91" s="93" t="inlineStr">
        <is>
          <t>از اطلاعیه 1310210 و 1433770 طبق Turnover Resolution Audit</t>
        </is>
      </c>
    </row>
    <row r="92" ht="45" customHeight="1" s="76">
      <c r="A92" s="93" t="inlineStr">
        <is>
          <t>SM0089</t>
        </is>
      </c>
      <c r="B92" s="93" t="inlineStr">
        <is>
          <t>F29</t>
        </is>
      </c>
      <c r="C92" s="93" t="inlineStr">
        <is>
          <t>حکشتی</t>
        </is>
      </c>
      <c r="D92" s="93" t="inlineStr">
        <is>
          <t>1404/12/29</t>
        </is>
      </c>
      <c r="E92" s="93" t="inlineStr">
        <is>
          <t>1404/12/29 (مبنای قراردادی مشترک)</t>
        </is>
      </c>
      <c r="F92" s="93" t="inlineStr">
        <is>
          <t>پنجره مشترک</t>
        </is>
      </c>
      <c r="G92" s="93" t="inlineStr"/>
      <c r="H92" s="93" t="inlineStr">
        <is>
          <t>فاقد نماینده</t>
        </is>
      </c>
      <c r="I92" s="93" t="inlineStr"/>
      <c r="J92" s="93" t="inlineStr">
        <is>
          <t>نماینده حقیقی نامشخص</t>
        </is>
      </c>
      <c r="K92" s="93" t="inlineStr">
        <is>
          <t>نماینده نامشخص؛ خالی بودن واقعی مستند نیست</t>
        </is>
      </c>
      <c r="L92" s="93" t="inlineStr"/>
      <c r="M92" s="93" t="inlineStr"/>
      <c r="N92" s="93" t="inlineStr"/>
      <c r="O92" s="93" t="inlineStr">
        <is>
          <t>سرمایه گذاری تأمین اجتماعی</t>
        </is>
      </c>
      <c r="P92" s="93" t="inlineStr">
        <is>
          <t>ندارد (فقط نام)</t>
        </is>
      </c>
      <c r="Q92" s="93" t="inlineStr"/>
      <c r="R92" s="93" t="inlineStr">
        <is>
          <t>سرمایه گذاری تامین اجتماعی</t>
        </is>
      </c>
      <c r="S92" s="93" t="inlineStr">
        <is>
          <t>جفت شدن دارنده ها طبق خوانش v38 از ستون قبلی و جدید اطلاعیه؛ بازبینی نشد</t>
        </is>
      </c>
      <c r="T92" s="93" t="inlineStr"/>
      <c r="U92" s="93" t="n">
        <v>0</v>
      </c>
      <c r="V92" s="93" t="inlineStr">
        <is>
          <t>ناقص: نماینده ها نامشخص (دارندگان حقوقی کامل پنج کرسی)</t>
        </is>
      </c>
      <c r="W92" s="93" t="inlineStr">
        <is>
          <t>1433770</t>
        </is>
      </c>
      <c r="X92" s="93" t="inlineStr"/>
      <c r="Y92" s="93" t="inlineStr"/>
      <c r="Z92" s="93" t="inlineStr">
        <is>
          <t>سطح شخص حقوقی فقط</t>
        </is>
      </c>
      <c r="AA92" s="93" t="inlineStr">
        <is>
          <t>از اطلاعیه 1310210 و 1433770 طبق Turnover Resolution Audit</t>
        </is>
      </c>
    </row>
    <row r="93" ht="45" customHeight="1" s="76">
      <c r="A93" s="93" t="inlineStr">
        <is>
          <t>SM0090</t>
        </is>
      </c>
      <c r="B93" s="93" t="inlineStr">
        <is>
          <t>F29</t>
        </is>
      </c>
      <c r="C93" s="93" t="inlineStr">
        <is>
          <t>حکشتی</t>
        </is>
      </c>
      <c r="D93" s="93" t="inlineStr">
        <is>
          <t>1404/12/29</t>
        </is>
      </c>
      <c r="E93" s="93" t="inlineStr">
        <is>
          <t>1404/12/29 (مبنای قراردادی مشترک)</t>
        </is>
      </c>
      <c r="F93" s="93" t="inlineStr">
        <is>
          <t>پنجره مشترک</t>
        </is>
      </c>
      <c r="G93" s="93" t="inlineStr"/>
      <c r="H93" s="93" t="inlineStr">
        <is>
          <t>فاقد نماینده</t>
        </is>
      </c>
      <c r="I93" s="93" t="inlineStr"/>
      <c r="J93" s="93" t="inlineStr">
        <is>
          <t>نماینده حقیقی نامشخص</t>
        </is>
      </c>
      <c r="K93" s="93" t="inlineStr">
        <is>
          <t>نماینده نامشخص؛ خالی بودن واقعی مستند نیست</t>
        </is>
      </c>
      <c r="L93" s="93" t="inlineStr"/>
      <c r="M93" s="93" t="inlineStr"/>
      <c r="N93" s="93" t="inlineStr"/>
      <c r="O93" s="93" t="inlineStr">
        <is>
          <t>سرمایه گذاری صبا تأمین</t>
        </is>
      </c>
      <c r="P93" s="93" t="inlineStr">
        <is>
          <t>ندارد (فقط نام)</t>
        </is>
      </c>
      <c r="Q93" s="93" t="inlineStr"/>
      <c r="R93" s="93" t="inlineStr">
        <is>
          <t>سرمایه گذاری صبا تامین</t>
        </is>
      </c>
      <c r="S93" s="93" t="inlineStr">
        <is>
          <t>جفت شدن دارنده ها طبق خوانش v38 از ستون قبلی و جدید اطلاعیه؛ بازبینی نشد</t>
        </is>
      </c>
      <c r="T93" s="93" t="inlineStr"/>
      <c r="U93" s="93" t="n">
        <v>0</v>
      </c>
      <c r="V93" s="93" t="inlineStr">
        <is>
          <t>ناقص: نماینده ها نامشخص (دارندگان حقوقی کامل پنج کرسی)</t>
        </is>
      </c>
      <c r="W93" s="93" t="inlineStr">
        <is>
          <t>1433770</t>
        </is>
      </c>
      <c r="X93" s="93" t="inlineStr"/>
      <c r="Y93" s="93" t="inlineStr"/>
      <c r="Z93" s="93" t="inlineStr">
        <is>
          <t>سطح شخص حقوقی فقط</t>
        </is>
      </c>
      <c r="AA93" s="93" t="inlineStr">
        <is>
          <t>از اطلاعیه 1310210 و 1433770 طبق Turnover Resolution Audit</t>
        </is>
      </c>
    </row>
    <row r="94" ht="30" customHeight="1" s="76">
      <c r="A94" s="92" t="inlineStr">
        <is>
          <t>SM0091</t>
        </is>
      </c>
      <c r="B94" s="92" t="inlineStr">
        <is>
          <t>F01</t>
        </is>
      </c>
      <c r="C94" s="92" t="inlineStr">
        <is>
          <t>فملی</t>
        </is>
      </c>
      <c r="D94" s="92" t="inlineStr">
        <is>
          <t>1404/12/29</t>
        </is>
      </c>
      <c r="E94" s="92" t="inlineStr">
        <is>
          <t>FYE1404 (v41)؛ بله (مقطع یکسان با پایان مشترک؛ فهرست مبنا نیست)</t>
        </is>
      </c>
      <c r="F94" s="92" t="inlineStr">
        <is>
          <t>نمای مالی</t>
        </is>
      </c>
      <c r="G94" s="92" t="inlineStr">
        <is>
          <t>P-8BB61E68</t>
        </is>
      </c>
      <c r="H94" s="92" t="inlineStr">
        <is>
          <t>غلامرضا شافعی</t>
        </is>
      </c>
      <c r="I94" s="92" t="inlineStr">
        <is>
          <t>غلامرضا شافعی</t>
        </is>
      </c>
      <c r="J94" s="92" t="inlineStr">
        <is>
          <t>NATIONAL_ID؛ هش 7284E8C3</t>
        </is>
      </c>
      <c r="K94" s="92" t="inlineStr">
        <is>
          <t>عضو اصلی فعال</t>
        </is>
      </c>
      <c r="L94" s="92" t="inlineStr">
        <is>
          <t>رئیس هیئت مدیره</t>
        </is>
      </c>
      <c r="M94" s="92" t="inlineStr">
        <is>
          <t>خیر</t>
        </is>
      </c>
      <c r="N94" s="92" t="inlineStr">
        <is>
          <t>بله</t>
        </is>
      </c>
      <c r="O94" s="92" t="inlineStr">
        <is>
          <t>سازمان توسعه و نوسازی معادن و صنایع معدنی ایران</t>
        </is>
      </c>
      <c r="P94" s="92" t="inlineStr">
        <is>
          <t>ندارد (فقط نام)</t>
        </is>
      </c>
      <c r="Q94" s="92" t="inlineStr">
        <is>
          <t>غلامرضا شافعی</t>
        </is>
      </c>
      <c r="R94" s="92" t="inlineStr">
        <is>
          <t>سازمان توسعه و نوسازی معادن و صنایع معدنی ایران</t>
        </is>
      </c>
      <c r="S94" s="92" t="inlineStr">
        <is>
          <t>نام دارنده حقوقی</t>
        </is>
      </c>
      <c r="T94" s="92" t="inlineStr"/>
      <c r="U94" s="92" t="n">
        <v>5</v>
      </c>
      <c r="V94" s="92" t="inlineStr">
        <is>
          <t>نامشخص: تعداد کل اعلام شده در متن ثبت نشده</t>
        </is>
      </c>
      <c r="W94" s="92" t="inlineStr">
        <is>
          <t>SRC_FMLI_1404_001</t>
        </is>
      </c>
      <c r="X94" s="92" t="inlineStr">
        <is>
          <t>1404/12/29</t>
        </is>
      </c>
      <c r="Y94" s="92" t="inlineStr"/>
      <c r="Z94" s="92" t="inlineStr"/>
      <c r="AA94" s="92" t="inlineStr">
        <is>
          <t>BR Independence v41 ردیف 4</t>
        </is>
      </c>
    </row>
    <row r="95" ht="30" customHeight="1" s="76">
      <c r="A95" s="92" t="inlineStr">
        <is>
          <t>SM0092</t>
        </is>
      </c>
      <c r="B95" s="92" t="inlineStr">
        <is>
          <t>F01</t>
        </is>
      </c>
      <c r="C95" s="92" t="inlineStr">
        <is>
          <t>فملی</t>
        </is>
      </c>
      <c r="D95" s="92" t="inlineStr">
        <is>
          <t>1404/12/29</t>
        </is>
      </c>
      <c r="E95" s="92" t="inlineStr">
        <is>
          <t>FYE1404 (v41)؛ بله (مقطع یکسان با پایان مشترک؛ فهرست مبنا نیست)</t>
        </is>
      </c>
      <c r="F95" s="92" t="inlineStr">
        <is>
          <t>نمای مالی</t>
        </is>
      </c>
      <c r="G95" s="92" t="inlineStr">
        <is>
          <t>P-D93642E4</t>
        </is>
      </c>
      <c r="H95" s="92" t="inlineStr">
        <is>
          <t>سیدمصطفی فیض اردکانی</t>
        </is>
      </c>
      <c r="I95" s="92" t="inlineStr">
        <is>
          <t>سیدمصطفی فیض اردکانی</t>
        </is>
      </c>
      <c r="J95" s="92" t="inlineStr">
        <is>
          <t>NATIONAL_ID؛ هش A51EE224</t>
        </is>
      </c>
      <c r="K95" s="92" t="inlineStr">
        <is>
          <t>عضو اصلی فعال</t>
        </is>
      </c>
      <c r="L95" s="92" t="inlineStr">
        <is>
          <t>نایب رئیس هیئت مدیره</t>
        </is>
      </c>
      <c r="M95" s="92" t="inlineStr">
        <is>
          <t>بله</t>
        </is>
      </c>
      <c r="N95" s="92" t="inlineStr">
        <is>
          <t>خیر</t>
        </is>
      </c>
      <c r="O95" s="92" t="inlineStr">
        <is>
          <t>صندوق بازنشستگی شرکت ملی صنایع مس ایران</t>
        </is>
      </c>
      <c r="P95" s="92" t="inlineStr">
        <is>
          <t>ندارد (فقط نام)</t>
        </is>
      </c>
      <c r="Q95" s="92" t="inlineStr">
        <is>
          <t>سیدمصطفی فیض اردکانی</t>
        </is>
      </c>
      <c r="R95" s="92" t="inlineStr">
        <is>
          <t>صندوق بازنشستگی شرکت ملی صنایع مس ایران</t>
        </is>
      </c>
      <c r="S95" s="92" t="inlineStr">
        <is>
          <t>نام دارنده حقوقی</t>
        </is>
      </c>
      <c r="T95" s="92" t="inlineStr"/>
      <c r="U95" s="92" t="n">
        <v>5</v>
      </c>
      <c r="V95" s="92" t="inlineStr">
        <is>
          <t>نامشخص: تعداد کل اعلام شده در متن ثبت نشده</t>
        </is>
      </c>
      <c r="W95" s="92" t="inlineStr">
        <is>
          <t>SRC_FMLI_1404_001</t>
        </is>
      </c>
      <c r="X95" s="92" t="inlineStr">
        <is>
          <t>1404/12/29</t>
        </is>
      </c>
      <c r="Y95" s="92" t="inlineStr"/>
      <c r="Z95" s="92" t="inlineStr"/>
      <c r="AA95" s="92" t="inlineStr">
        <is>
          <t>BR Independence v41 ردیف 5</t>
        </is>
      </c>
    </row>
    <row r="96" ht="30" customHeight="1" s="76">
      <c r="A96" s="92" t="inlineStr">
        <is>
          <t>SM0093</t>
        </is>
      </c>
      <c r="B96" s="92" t="inlineStr">
        <is>
          <t>F01</t>
        </is>
      </c>
      <c r="C96" s="92" t="inlineStr">
        <is>
          <t>فملی</t>
        </is>
      </c>
      <c r="D96" s="92" t="inlineStr">
        <is>
          <t>1404/12/29</t>
        </is>
      </c>
      <c r="E96" s="92" t="inlineStr">
        <is>
          <t>FYE1404 (v41)؛ بله (مقطع یکسان با پایان مشترک؛ فهرست مبنا نیست)</t>
        </is>
      </c>
      <c r="F96" s="92" t="inlineStr">
        <is>
          <t>نمای مالی</t>
        </is>
      </c>
      <c r="G96" s="92" t="inlineStr">
        <is>
          <t>P-5E9BACAE</t>
        </is>
      </c>
      <c r="H96" s="92" t="inlineStr">
        <is>
          <t>سمیه خلوصی</t>
        </is>
      </c>
      <c r="I96" s="92" t="inlineStr">
        <is>
          <t>سمیه خلوصی</t>
        </is>
      </c>
      <c r="J96" s="92" t="inlineStr">
        <is>
          <t>NATIONAL_ID؛ هش 158397B0</t>
        </is>
      </c>
      <c r="K96" s="92" t="inlineStr">
        <is>
          <t>عضو اصلی فعال</t>
        </is>
      </c>
      <c r="L96" s="92" t="inlineStr">
        <is>
          <t>عضو هیئت مدیره</t>
        </is>
      </c>
      <c r="M96" s="92" t="inlineStr">
        <is>
          <t>خیر</t>
        </is>
      </c>
      <c r="N96" s="92" t="inlineStr">
        <is>
          <t>خیر</t>
        </is>
      </c>
      <c r="O96" s="92" t="inlineStr">
        <is>
          <t>سرمایه گذاری استان ایلام</t>
        </is>
      </c>
      <c r="P96" s="92" t="inlineStr">
        <is>
          <t>ندارد (فقط نام)</t>
        </is>
      </c>
      <c r="Q96" s="92" t="inlineStr">
        <is>
          <t>سمیه خلوصی</t>
        </is>
      </c>
      <c r="R96" s="92" t="inlineStr">
        <is>
          <t>سرمایه گذاری استان ایلام</t>
        </is>
      </c>
      <c r="S96" s="92" t="inlineStr">
        <is>
          <t>نام دارنده حقوقی</t>
        </is>
      </c>
      <c r="T96" s="92" t="inlineStr"/>
      <c r="U96" s="92" t="n">
        <v>5</v>
      </c>
      <c r="V96" s="92" t="inlineStr">
        <is>
          <t>نامشخص: تعداد کل اعلام شده در متن ثبت نشده</t>
        </is>
      </c>
      <c r="W96" s="92" t="inlineStr">
        <is>
          <t>SRC_FMLI_1404_001</t>
        </is>
      </c>
      <c r="X96" s="92" t="inlineStr">
        <is>
          <t>1404/12/29</t>
        </is>
      </c>
      <c r="Y96" s="92" t="inlineStr"/>
      <c r="Z96" s="92" t="inlineStr"/>
      <c r="AA96" s="92" t="inlineStr">
        <is>
          <t>BR Independence v41 ردیف 6</t>
        </is>
      </c>
    </row>
    <row r="97" ht="30" customHeight="1" s="76">
      <c r="A97" s="92" t="inlineStr">
        <is>
          <t>SM0094</t>
        </is>
      </c>
      <c r="B97" s="92" t="inlineStr">
        <is>
          <t>F01</t>
        </is>
      </c>
      <c r="C97" s="92" t="inlineStr">
        <is>
          <t>فملی</t>
        </is>
      </c>
      <c r="D97" s="92" t="inlineStr">
        <is>
          <t>1404/12/29</t>
        </is>
      </c>
      <c r="E97" s="92" t="inlineStr">
        <is>
          <t>FYE1404 (v41)؛ بله (مقطع یکسان با پایان مشترک؛ فهرست مبنا نیست)</t>
        </is>
      </c>
      <c r="F97" s="92" t="inlineStr">
        <is>
          <t>نمای مالی</t>
        </is>
      </c>
      <c r="G97" s="92" t="inlineStr">
        <is>
          <t>P-A09EFD0E</t>
        </is>
      </c>
      <c r="H97" s="92" t="inlineStr">
        <is>
          <t>شهریار متوکل</t>
        </is>
      </c>
      <c r="I97" s="92" t="inlineStr">
        <is>
          <t>شهریار متوکل</t>
        </is>
      </c>
      <c r="J97" s="92" t="inlineStr">
        <is>
          <t>NATIONAL_ID؛ هش 1ADC4414</t>
        </is>
      </c>
      <c r="K97" s="92" t="inlineStr">
        <is>
          <t>عضو اصلی فعال</t>
        </is>
      </c>
      <c r="L97" s="92" t="inlineStr">
        <is>
          <t>عضو هیئت مدیره</t>
        </is>
      </c>
      <c r="M97" s="92" t="inlineStr">
        <is>
          <t>خیر</t>
        </is>
      </c>
      <c r="N97" s="92" t="inlineStr">
        <is>
          <t>خیر</t>
        </is>
      </c>
      <c r="O97" s="92" t="inlineStr">
        <is>
          <t>سرمایه گذاری استان آذربایجان شرقی</t>
        </is>
      </c>
      <c r="P97" s="92" t="inlineStr">
        <is>
          <t>ندارد (فقط نام)</t>
        </is>
      </c>
      <c r="Q97" s="92" t="inlineStr">
        <is>
          <t>شهریار متوکل</t>
        </is>
      </c>
      <c r="R97" s="92" t="inlineStr">
        <is>
          <t>سرمایه گذاری استان آذربایجان شرقی</t>
        </is>
      </c>
      <c r="S97" s="92" t="inlineStr">
        <is>
          <t>نام دارنده حقوقی</t>
        </is>
      </c>
      <c r="T97" s="92" t="inlineStr"/>
      <c r="U97" s="92" t="n">
        <v>5</v>
      </c>
      <c r="V97" s="92" t="inlineStr">
        <is>
          <t>نامشخص: تعداد کل اعلام شده در متن ثبت نشده</t>
        </is>
      </c>
      <c r="W97" s="92" t="inlineStr">
        <is>
          <t>SRC_FMLI_1404_001</t>
        </is>
      </c>
      <c r="X97" s="92" t="inlineStr">
        <is>
          <t>1404/12/29</t>
        </is>
      </c>
      <c r="Y97" s="92" t="inlineStr"/>
      <c r="Z97" s="92" t="inlineStr"/>
      <c r="AA97" s="92" t="inlineStr">
        <is>
          <t>BR Independence v41 ردیف 7</t>
        </is>
      </c>
    </row>
    <row r="98" ht="30" customHeight="1" s="76">
      <c r="A98" s="92" t="inlineStr">
        <is>
          <t>SM0095</t>
        </is>
      </c>
      <c r="B98" s="92" t="inlineStr">
        <is>
          <t>F01</t>
        </is>
      </c>
      <c r="C98" s="92" t="inlineStr">
        <is>
          <t>فملی</t>
        </is>
      </c>
      <c r="D98" s="92" t="inlineStr">
        <is>
          <t>1404/12/29</t>
        </is>
      </c>
      <c r="E98" s="92" t="inlineStr">
        <is>
          <t>FYE1404 (v41)؛ بله (مقطع یکسان با پایان مشترک؛ فهرست مبنا نیست)</t>
        </is>
      </c>
      <c r="F98" s="92" t="inlineStr">
        <is>
          <t>نمای مالی</t>
        </is>
      </c>
      <c r="G98" s="92" t="inlineStr">
        <is>
          <t>P-21B99B2A</t>
        </is>
      </c>
      <c r="H98" s="92" t="inlineStr">
        <is>
          <t>مهرداد محقق زاده</t>
        </is>
      </c>
      <c r="I98" s="92" t="inlineStr">
        <is>
          <t>مهرداد محقق زاده</t>
        </is>
      </c>
      <c r="J98" s="92" t="inlineStr">
        <is>
          <t>NATIONAL_ID؛ هش 26014708</t>
        </is>
      </c>
      <c r="K98" s="92" t="inlineStr">
        <is>
          <t>عضو اصلی فعال</t>
        </is>
      </c>
      <c r="L98" s="92" t="inlineStr">
        <is>
          <t>عضو هیئت مدیره</t>
        </is>
      </c>
      <c r="M98" s="92" t="inlineStr">
        <is>
          <t>خیر</t>
        </is>
      </c>
      <c r="N98" s="92" t="inlineStr">
        <is>
          <t>خیر</t>
        </is>
      </c>
      <c r="O98" s="92" t="inlineStr">
        <is>
          <t>صندوق بازنشستگی وظیفه از کار افتادگی و پس انداز کارکنان بانکهای ملی و ادغام شده</t>
        </is>
      </c>
      <c r="P98" s="92" t="inlineStr">
        <is>
          <t>ندارد (فقط نام)</t>
        </is>
      </c>
      <c r="Q98" s="92" t="inlineStr">
        <is>
          <t>مهرداد محقق زاده</t>
        </is>
      </c>
      <c r="R98" s="92" t="inlineStr">
        <is>
          <t>صندوق بازنشستگی وظیفه از کار افتادگی و پس انداز کارکنان بانکهای ملی و ادغام شده</t>
        </is>
      </c>
      <c r="S98" s="92" t="inlineStr">
        <is>
          <t>نام دارنده حقوقی</t>
        </is>
      </c>
      <c r="T98" s="92" t="inlineStr"/>
      <c r="U98" s="92" t="n">
        <v>5</v>
      </c>
      <c r="V98" s="92" t="inlineStr">
        <is>
          <t>نامشخص: تعداد کل اعلام شده در متن ثبت نشده</t>
        </is>
      </c>
      <c r="W98" s="92" t="inlineStr">
        <is>
          <t>SRC_FMLI_1404_001</t>
        </is>
      </c>
      <c r="X98" s="92" t="inlineStr">
        <is>
          <t>1404/12/29</t>
        </is>
      </c>
      <c r="Y98" s="92" t="inlineStr"/>
      <c r="Z98" s="92" t="inlineStr"/>
      <c r="AA98" s="92" t="inlineStr">
        <is>
          <t>BR Independence v41 ردیف 8</t>
        </is>
      </c>
    </row>
    <row r="99" ht="30" customHeight="1" s="76">
      <c r="A99" s="92" t="inlineStr">
        <is>
          <t>SM0096</t>
        </is>
      </c>
      <c r="B99" s="92" t="inlineStr">
        <is>
          <t>F02</t>
        </is>
      </c>
      <c r="C99" s="92" t="inlineStr">
        <is>
          <t>تاپیکو</t>
        </is>
      </c>
      <c r="D99" s="92" t="inlineStr">
        <is>
          <t>1404/02/31</t>
        </is>
      </c>
      <c r="E99" s="92" t="inlineStr">
        <is>
          <t>FYE1404 (v41)؛ خیر (مقطع متفاوت)</t>
        </is>
      </c>
      <c r="F99" s="92" t="inlineStr">
        <is>
          <t>نمای مالی</t>
        </is>
      </c>
      <c r="G99" s="92" t="inlineStr"/>
      <c r="H99" s="92" t="inlineStr">
        <is>
          <t>(نماینده نامشخص)</t>
        </is>
      </c>
      <c r="I99" s="92" t="inlineStr"/>
      <c r="J99" s="92" t="inlineStr">
        <is>
          <t xml:space="preserve">NAME_ONLY؛ هش </t>
        </is>
      </c>
      <c r="K99" s="92" t="inlineStr">
        <is>
          <t>نماینده نامشخص؛ خالی بودن واقعی مستند نیست</t>
        </is>
      </c>
      <c r="L99" s="92" t="inlineStr">
        <is>
          <t>نایب رئیس هیئت مدیره</t>
        </is>
      </c>
      <c r="M99" s="92" t="inlineStr">
        <is>
          <t>خیر</t>
        </is>
      </c>
      <c r="N99" s="92" t="inlineStr">
        <is>
          <t>خیر</t>
        </is>
      </c>
      <c r="O99" s="92" t="inlineStr">
        <is>
          <t>سرمایه گذاری تأمین اجتماعی</t>
        </is>
      </c>
      <c r="P99" s="92" t="inlineStr">
        <is>
          <t>ندارد (فقط نام)</t>
        </is>
      </c>
      <c r="Q99" s="92" t="inlineStr">
        <is>
          <t>(نماینده نامشخص)</t>
        </is>
      </c>
      <c r="R99" s="92" t="inlineStr">
        <is>
          <t>سرمایه گذاری تامین اجتماعی</t>
        </is>
      </c>
      <c r="S99" s="92" t="inlineStr">
        <is>
          <t>نام دارنده حقوقی</t>
        </is>
      </c>
      <c r="T99" s="92" t="inlineStr"/>
      <c r="U99" s="92" t="n">
        <v>5</v>
      </c>
      <c r="V99" s="92" t="inlineStr">
        <is>
          <t>نامشخص: تعداد کل اعلام شده در متن ثبت نشده</t>
        </is>
      </c>
      <c r="W99" s="92" t="inlineStr">
        <is>
          <t>SRC_TPIK_1404_002</t>
        </is>
      </c>
      <c r="X99" s="92" t="inlineStr">
        <is>
          <t>1404/02/31</t>
        </is>
      </c>
      <c r="Y99" s="92" t="inlineStr"/>
      <c r="Z99" s="92" t="inlineStr"/>
      <c r="AA99" s="92" t="inlineStr">
        <is>
          <t>BR Independence v41 ردیف 9</t>
        </is>
      </c>
    </row>
    <row r="100" ht="30" customHeight="1" s="76">
      <c r="A100" s="92" t="inlineStr">
        <is>
          <t>SM0097</t>
        </is>
      </c>
      <c r="B100" s="92" t="inlineStr">
        <is>
          <t>F02</t>
        </is>
      </c>
      <c r="C100" s="92" t="inlineStr">
        <is>
          <t>تاپیکو</t>
        </is>
      </c>
      <c r="D100" s="92" t="inlineStr">
        <is>
          <t>1404/02/31</t>
        </is>
      </c>
      <c r="E100" s="92" t="inlineStr">
        <is>
          <t>FYE1404 (v41)؛ خیر (مقطع متفاوت)</t>
        </is>
      </c>
      <c r="F100" s="92" t="inlineStr">
        <is>
          <t>نمای مالی</t>
        </is>
      </c>
      <c r="G100" s="92" t="inlineStr">
        <is>
          <t>P-28EE3596</t>
        </is>
      </c>
      <c r="H100" s="92" t="inlineStr">
        <is>
          <t>اکبر محققی</t>
        </is>
      </c>
      <c r="I100" s="92" t="inlineStr">
        <is>
          <t>اکبر محققی</t>
        </is>
      </c>
      <c r="J100" s="92" t="inlineStr">
        <is>
          <t>NATIONAL_ID؛ هش 7F8B4062</t>
        </is>
      </c>
      <c r="K100" s="92" t="inlineStr">
        <is>
          <t>عضو اصلی فعال</t>
        </is>
      </c>
      <c r="L100" s="92" t="inlineStr">
        <is>
          <t>عضو هیئت مدیره</t>
        </is>
      </c>
      <c r="M100" s="92" t="inlineStr">
        <is>
          <t>خیر</t>
        </is>
      </c>
      <c r="N100" s="92" t="inlineStr">
        <is>
          <t>خیر</t>
        </is>
      </c>
      <c r="O100" s="92" t="inlineStr">
        <is>
          <t>سرمایه گذاری صباتأمین</t>
        </is>
      </c>
      <c r="P100" s="92" t="inlineStr">
        <is>
          <t>ندارد (فقط نام)</t>
        </is>
      </c>
      <c r="Q100" s="92" t="inlineStr">
        <is>
          <t>اکبر محققی</t>
        </is>
      </c>
      <c r="R100" s="92" t="inlineStr">
        <is>
          <t>سرمایه گذاری صباتامین</t>
        </is>
      </c>
      <c r="S100" s="92" t="inlineStr">
        <is>
          <t>نام دارنده حقوقی</t>
        </is>
      </c>
      <c r="T100" s="92" t="inlineStr"/>
      <c r="U100" s="92" t="n">
        <v>5</v>
      </c>
      <c r="V100" s="92" t="inlineStr">
        <is>
          <t>نامشخص: تعداد کل اعلام شده در متن ثبت نشده</t>
        </is>
      </c>
      <c r="W100" s="92" t="inlineStr">
        <is>
          <t>SRC_TPIK_1404_002</t>
        </is>
      </c>
      <c r="X100" s="92" t="inlineStr">
        <is>
          <t>1404/02/31</t>
        </is>
      </c>
      <c r="Y100" s="92" t="inlineStr"/>
      <c r="Z100" s="92" t="inlineStr"/>
      <c r="AA100" s="92" t="inlineStr">
        <is>
          <t>BR Independence v41 ردیف 10</t>
        </is>
      </c>
    </row>
    <row r="101" ht="30" customHeight="1" s="76">
      <c r="A101" s="92" t="inlineStr">
        <is>
          <t>SM0098</t>
        </is>
      </c>
      <c r="B101" s="92" t="inlineStr">
        <is>
          <t>F02</t>
        </is>
      </c>
      <c r="C101" s="92" t="inlineStr">
        <is>
          <t>تاپیکو</t>
        </is>
      </c>
      <c r="D101" s="92" t="inlineStr">
        <is>
          <t>1404/02/31</t>
        </is>
      </c>
      <c r="E101" s="92" t="inlineStr">
        <is>
          <t>FYE1404 (v41)؛ خیر (مقطع متفاوت)</t>
        </is>
      </c>
      <c r="F101" s="92" t="inlineStr">
        <is>
          <t>نمای مالی</t>
        </is>
      </c>
      <c r="G101" s="92" t="inlineStr">
        <is>
          <t>P-3F3559B1</t>
        </is>
      </c>
      <c r="H101" s="92" t="inlineStr">
        <is>
          <t>محمدمهدی رحمتی</t>
        </is>
      </c>
      <c r="I101" s="92" t="inlineStr">
        <is>
          <t>محمدمهدی رحمتی</t>
        </is>
      </c>
      <c r="J101" s="92" t="inlineStr">
        <is>
          <t>NATIONAL_ID؛ هش 21627DBC</t>
        </is>
      </c>
      <c r="K101" s="92" t="inlineStr">
        <is>
          <t>عضو اصلی فعال</t>
        </is>
      </c>
      <c r="L101" s="92" t="inlineStr">
        <is>
          <t>عضو هیئت مدیره</t>
        </is>
      </c>
      <c r="M101" s="92" t="inlineStr">
        <is>
          <t>خیر</t>
        </is>
      </c>
      <c r="N101" s="92" t="inlineStr">
        <is>
          <t>خیر</t>
        </is>
      </c>
      <c r="O101" s="92" t="inlineStr">
        <is>
          <t>سرمایه گذاری صدر تامین</t>
        </is>
      </c>
      <c r="P101" s="92" t="inlineStr">
        <is>
          <t>ندارد (فقط نام)</t>
        </is>
      </c>
      <c r="Q101" s="92" t="inlineStr">
        <is>
          <t>محمدمهدی رحمتی</t>
        </is>
      </c>
      <c r="R101" s="92" t="inlineStr">
        <is>
          <t>سرمایه گذاری صدر تامین</t>
        </is>
      </c>
      <c r="S101" s="92" t="inlineStr">
        <is>
          <t>نام دارنده حقوقی</t>
        </is>
      </c>
      <c r="T101" s="92" t="inlineStr"/>
      <c r="U101" s="92" t="n">
        <v>5</v>
      </c>
      <c r="V101" s="92" t="inlineStr">
        <is>
          <t>نامشخص: تعداد کل اعلام شده در متن ثبت نشده</t>
        </is>
      </c>
      <c r="W101" s="92" t="inlineStr">
        <is>
          <t>SRC_TPIK_1404_002</t>
        </is>
      </c>
      <c r="X101" s="92" t="inlineStr">
        <is>
          <t>1404/02/31</t>
        </is>
      </c>
      <c r="Y101" s="92" t="inlineStr"/>
      <c r="Z101" s="92" t="inlineStr"/>
      <c r="AA101" s="92" t="inlineStr">
        <is>
          <t>BR Independence v41 ردیف 11</t>
        </is>
      </c>
    </row>
    <row r="102" ht="30" customHeight="1" s="76">
      <c r="A102" s="92" t="inlineStr">
        <is>
          <t>SM0099</t>
        </is>
      </c>
      <c r="B102" s="92" t="inlineStr">
        <is>
          <t>F02</t>
        </is>
      </c>
      <c r="C102" s="92" t="inlineStr">
        <is>
          <t>تاپیکو</t>
        </is>
      </c>
      <c r="D102" s="92" t="inlineStr">
        <is>
          <t>1404/02/31</t>
        </is>
      </c>
      <c r="E102" s="92" t="inlineStr">
        <is>
          <t>FYE1404 (v41)؛ خیر (مقطع متفاوت)</t>
        </is>
      </c>
      <c r="F102" s="92" t="inlineStr">
        <is>
          <t>نمای مالی</t>
        </is>
      </c>
      <c r="G102" s="92" t="inlineStr">
        <is>
          <t>P-78DA6F7C</t>
        </is>
      </c>
      <c r="H102" s="92" t="inlineStr">
        <is>
          <t>هوشنگ ایزدی</t>
        </is>
      </c>
      <c r="I102" s="92" t="inlineStr">
        <is>
          <t>هوشنگ ایزدی</t>
        </is>
      </c>
      <c r="J102" s="92" t="inlineStr">
        <is>
          <t>NATIONAL_ID؛ هش B94868AA</t>
        </is>
      </c>
      <c r="K102" s="92" t="inlineStr">
        <is>
          <t>عضو اصلی فعال</t>
        </is>
      </c>
      <c r="L102" s="92" t="inlineStr">
        <is>
          <t>عضو هیئت مدیره</t>
        </is>
      </c>
      <c r="M102" s="92" t="inlineStr">
        <is>
          <t>خیر</t>
        </is>
      </c>
      <c r="N102" s="92" t="inlineStr">
        <is>
          <t>خیر</t>
        </is>
      </c>
      <c r="O102" s="92" t="inlineStr">
        <is>
          <t>سرمایه گذاری سیمان تأمین</t>
        </is>
      </c>
      <c r="P102" s="92" t="inlineStr">
        <is>
          <t>ندارد (فقط نام)</t>
        </is>
      </c>
      <c r="Q102" s="92" t="inlineStr">
        <is>
          <t>هوشنگ ایزدی</t>
        </is>
      </c>
      <c r="R102" s="92" t="inlineStr">
        <is>
          <t>سرمایه گذاری سیمان تامین</t>
        </is>
      </c>
      <c r="S102" s="92" t="inlineStr">
        <is>
          <t>نام دارنده حقوقی</t>
        </is>
      </c>
      <c r="T102" s="92" t="inlineStr"/>
      <c r="U102" s="92" t="n">
        <v>5</v>
      </c>
      <c r="V102" s="92" t="inlineStr">
        <is>
          <t>نامشخص: تعداد کل اعلام شده در متن ثبت نشده</t>
        </is>
      </c>
      <c r="W102" s="92" t="inlineStr">
        <is>
          <t>SRC_TPIK_1404_002</t>
        </is>
      </c>
      <c r="X102" s="92" t="inlineStr">
        <is>
          <t>1404/02/31</t>
        </is>
      </c>
      <c r="Y102" s="92" t="inlineStr"/>
      <c r="Z102" s="92" t="inlineStr"/>
      <c r="AA102" s="92" t="inlineStr">
        <is>
          <t>BR Independence v41 ردیف 12</t>
        </is>
      </c>
    </row>
    <row r="103" ht="30" customHeight="1" s="76">
      <c r="A103" s="92" t="inlineStr">
        <is>
          <t>SM0100</t>
        </is>
      </c>
      <c r="B103" s="92" t="inlineStr">
        <is>
          <t>F02</t>
        </is>
      </c>
      <c r="C103" s="92" t="inlineStr">
        <is>
          <t>تاپیکو</t>
        </is>
      </c>
      <c r="D103" s="92" t="inlineStr">
        <is>
          <t>1404/02/31</t>
        </is>
      </c>
      <c r="E103" s="92" t="inlineStr">
        <is>
          <t>FYE1404 (v41)؛ خیر (مقطع متفاوت)</t>
        </is>
      </c>
      <c r="F103" s="92" t="inlineStr">
        <is>
          <t>نمای مالی</t>
        </is>
      </c>
      <c r="G103" s="92" t="inlineStr">
        <is>
          <t>P-D27E084C</t>
        </is>
      </c>
      <c r="H103" s="92" t="inlineStr">
        <is>
          <t>جعفر ربیعی</t>
        </is>
      </c>
      <c r="I103" s="92" t="inlineStr">
        <is>
          <t>جعفر ربیعی</t>
        </is>
      </c>
      <c r="J103" s="92" t="inlineStr">
        <is>
          <t>NATIONAL_ID؛ هش 45BCEF76</t>
        </is>
      </c>
      <c r="K103" s="92" t="inlineStr">
        <is>
          <t>عضو اصلی فعال</t>
        </is>
      </c>
      <c r="L103" s="92" t="inlineStr">
        <is>
          <t>رئیس هیئت مدیره</t>
        </is>
      </c>
      <c r="M103" s="92" t="inlineStr">
        <is>
          <t>خیر</t>
        </is>
      </c>
      <c r="N103" s="92" t="inlineStr">
        <is>
          <t>بله</t>
        </is>
      </c>
      <c r="O103" s="92" t="inlineStr">
        <is>
          <t>سرمایه گذاری داروئی تامین</t>
        </is>
      </c>
      <c r="P103" s="92" t="inlineStr">
        <is>
          <t>ندارد (فقط نام)</t>
        </is>
      </c>
      <c r="Q103" s="92" t="inlineStr">
        <is>
          <t>جعفر ربیعی</t>
        </is>
      </c>
      <c r="R103" s="92" t="inlineStr">
        <is>
          <t>سرمایه گذاری داروئی تامین</t>
        </is>
      </c>
      <c r="S103" s="92" t="inlineStr">
        <is>
          <t>نام دارنده حقوقی</t>
        </is>
      </c>
      <c r="T103" s="92" t="inlineStr"/>
      <c r="U103" s="92" t="n">
        <v>5</v>
      </c>
      <c r="V103" s="92" t="inlineStr">
        <is>
          <t>نامشخص: تعداد کل اعلام شده در متن ثبت نشده</t>
        </is>
      </c>
      <c r="W103" s="92" t="inlineStr">
        <is>
          <t>SRC_TPIK_1404_002</t>
        </is>
      </c>
      <c r="X103" s="92" t="inlineStr">
        <is>
          <t>1404/02/31</t>
        </is>
      </c>
      <c r="Y103" s="92" t="inlineStr"/>
      <c r="Z103" s="92" t="inlineStr"/>
      <c r="AA103" s="92" t="inlineStr">
        <is>
          <t>BR Independence v41 ردیف 13</t>
        </is>
      </c>
    </row>
    <row r="104" ht="30" customHeight="1" s="76">
      <c r="A104" s="92" t="inlineStr">
        <is>
          <t>SM0101</t>
        </is>
      </c>
      <c r="B104" s="92" t="inlineStr">
        <is>
          <t>F03</t>
        </is>
      </c>
      <c r="C104" s="92" t="inlineStr">
        <is>
          <t>فارس</t>
        </is>
      </c>
      <c r="D104" s="92" t="inlineStr">
        <is>
          <t>1404/03/31</t>
        </is>
      </c>
      <c r="E104" s="92" t="inlineStr">
        <is>
          <t>FYE1404 (v41)؛ خیر (مقطع متفاوت)</t>
        </is>
      </c>
      <c r="F104" s="92" t="inlineStr">
        <is>
          <t>نمای مالی</t>
        </is>
      </c>
      <c r="G104" s="92" t="inlineStr">
        <is>
          <t>P-B0D487A1</t>
        </is>
      </c>
      <c r="H104" s="92" t="inlineStr">
        <is>
          <t>کیوان ایلکا</t>
        </is>
      </c>
      <c r="I104" s="92" t="inlineStr">
        <is>
          <t>کیوان ایلکا</t>
        </is>
      </c>
      <c r="J104" s="92" t="inlineStr">
        <is>
          <t>NATIONAL_ID؛ هش 44E7311E</t>
        </is>
      </c>
      <c r="K104" s="92" t="inlineStr">
        <is>
          <t>عضو اصلی فعال</t>
        </is>
      </c>
      <c r="L104" s="92" t="inlineStr">
        <is>
          <t>عضو هیئت مدیره</t>
        </is>
      </c>
      <c r="M104" s="92" t="inlineStr">
        <is>
          <t>خیر</t>
        </is>
      </c>
      <c r="N104" s="92" t="inlineStr">
        <is>
          <t>خیر</t>
        </is>
      </c>
      <c r="O104" s="92" t="inlineStr">
        <is>
          <t>ملی صنایع پتروشیمی</t>
        </is>
      </c>
      <c r="P104" s="92" t="inlineStr">
        <is>
          <t>ندارد (فقط نام)</t>
        </is>
      </c>
      <c r="Q104" s="92" t="inlineStr">
        <is>
          <t>کیوان ایلکا</t>
        </is>
      </c>
      <c r="R104" s="92" t="inlineStr">
        <is>
          <t>ملی صنایع پتروشیمی</t>
        </is>
      </c>
      <c r="S104" s="92" t="inlineStr">
        <is>
          <t>نام دارنده حقوقی</t>
        </is>
      </c>
      <c r="T104" s="92" t="inlineStr"/>
      <c r="U104" s="92" t="n">
        <v>5</v>
      </c>
      <c r="V104" s="92" t="inlineStr">
        <is>
          <t>نامشخص: تعداد کل اعلام شده در متن ثبت نشده</t>
        </is>
      </c>
      <c r="W104" s="92" t="inlineStr">
        <is>
          <t>SRC_FARS_1404_001</t>
        </is>
      </c>
      <c r="X104" s="92" t="inlineStr">
        <is>
          <t>1404/03/31</t>
        </is>
      </c>
      <c r="Y104" s="92" t="inlineStr"/>
      <c r="Z104" s="92" t="inlineStr"/>
      <c r="AA104" s="92" t="inlineStr">
        <is>
          <t>BR Independence v41 ردیف 14</t>
        </is>
      </c>
    </row>
    <row r="105" ht="30" customHeight="1" s="76">
      <c r="A105" s="92" t="inlineStr">
        <is>
          <t>SM0102</t>
        </is>
      </c>
      <c r="B105" s="92" t="inlineStr">
        <is>
          <t>F03</t>
        </is>
      </c>
      <c r="C105" s="92" t="inlineStr">
        <is>
          <t>فارس</t>
        </is>
      </c>
      <c r="D105" s="92" t="inlineStr">
        <is>
          <t>1404/03/31</t>
        </is>
      </c>
      <c r="E105" s="92" t="inlineStr">
        <is>
          <t>FYE1404 (v41)؛ خیر (مقطع متفاوت)</t>
        </is>
      </c>
      <c r="F105" s="92" t="inlineStr">
        <is>
          <t>نمای مالی</t>
        </is>
      </c>
      <c r="G105" s="92" t="inlineStr">
        <is>
          <t>P-31D1C4C3</t>
        </is>
      </c>
      <c r="H105" s="92" t="inlineStr">
        <is>
          <t>حسین قربان زاده</t>
        </is>
      </c>
      <c r="I105" s="92" t="inlineStr">
        <is>
          <t>حسین قربان زاده</t>
        </is>
      </c>
      <c r="J105" s="92" t="inlineStr">
        <is>
          <t>NATIONAL_ID؛ هش F8F27A4A</t>
        </is>
      </c>
      <c r="K105" s="92" t="inlineStr">
        <is>
          <t>عضو اصلی فعال</t>
        </is>
      </c>
      <c r="L105" s="92" t="inlineStr">
        <is>
          <t>عضو هیئت مدیره</t>
        </is>
      </c>
      <c r="M105" s="92" t="inlineStr">
        <is>
          <t>خیر</t>
        </is>
      </c>
      <c r="N105" s="92" t="inlineStr">
        <is>
          <t>خیر</t>
        </is>
      </c>
      <c r="O105" s="92" t="inlineStr">
        <is>
          <t>سرمایه گذاری استان خراسان جنوبی</t>
        </is>
      </c>
      <c r="P105" s="92" t="inlineStr">
        <is>
          <t>ندارد (فقط نام)</t>
        </is>
      </c>
      <c r="Q105" s="92" t="inlineStr">
        <is>
          <t>حسین قربان زاده</t>
        </is>
      </c>
      <c r="R105" s="92" t="inlineStr">
        <is>
          <t>سرمایه گذاری استان خراسان جنوبی</t>
        </is>
      </c>
      <c r="S105" s="92" t="inlineStr">
        <is>
          <t>نام دارنده حقوقی</t>
        </is>
      </c>
      <c r="T105" s="92" t="inlineStr"/>
      <c r="U105" s="92" t="n">
        <v>5</v>
      </c>
      <c r="V105" s="92" t="inlineStr">
        <is>
          <t>نامشخص: تعداد کل اعلام شده در متن ثبت نشده</t>
        </is>
      </c>
      <c r="W105" s="92" t="inlineStr">
        <is>
          <t>SRC_FARS_1404_001</t>
        </is>
      </c>
      <c r="X105" s="92" t="inlineStr">
        <is>
          <t>1404/03/31</t>
        </is>
      </c>
      <c r="Y105" s="92" t="inlineStr"/>
      <c r="Z105" s="92" t="inlineStr"/>
      <c r="AA105" s="92" t="inlineStr">
        <is>
          <t>BR Independence v41 ردیف 15</t>
        </is>
      </c>
    </row>
    <row r="106" ht="30" customHeight="1" s="76">
      <c r="A106" s="92" t="inlineStr">
        <is>
          <t>SM0103</t>
        </is>
      </c>
      <c r="B106" s="92" t="inlineStr">
        <is>
          <t>F03</t>
        </is>
      </c>
      <c r="C106" s="92" t="inlineStr">
        <is>
          <t>فارس</t>
        </is>
      </c>
      <c r="D106" s="92" t="inlineStr">
        <is>
          <t>1404/03/31</t>
        </is>
      </c>
      <c r="E106" s="92" t="inlineStr">
        <is>
          <t>FYE1404 (v41)؛ خیر (مقطع متفاوت)</t>
        </is>
      </c>
      <c r="F106" s="92" t="inlineStr">
        <is>
          <t>نمای مالی</t>
        </is>
      </c>
      <c r="G106" s="92" t="inlineStr">
        <is>
          <t>P-12FD833C</t>
        </is>
      </c>
      <c r="H106" s="92" t="inlineStr">
        <is>
          <t>عبدالعلی علی عسکری</t>
        </is>
      </c>
      <c r="I106" s="92" t="inlineStr">
        <is>
          <t>عبدالعلی علی عسکری</t>
        </is>
      </c>
      <c r="J106" s="92" t="inlineStr">
        <is>
          <t>NATIONAL_ID؛ هش A648DB5F</t>
        </is>
      </c>
      <c r="K106" s="92" t="inlineStr">
        <is>
          <t>عضو اصلی فعال</t>
        </is>
      </c>
      <c r="L106" s="92" t="inlineStr">
        <is>
          <t>عضو هیئت مدیره</t>
        </is>
      </c>
      <c r="M106" s="92" t="inlineStr">
        <is>
          <t>خیر</t>
        </is>
      </c>
      <c r="N106" s="92" t="inlineStr">
        <is>
          <t>خیر</t>
        </is>
      </c>
      <c r="O106" s="92" t="inlineStr">
        <is>
          <t>سرمایه گذاری نفت و گاز و پتروشیمی تامین</t>
        </is>
      </c>
      <c r="P106" s="92" t="inlineStr">
        <is>
          <t>ندارد (فقط نام)</t>
        </is>
      </c>
      <c r="Q106" s="92" t="inlineStr">
        <is>
          <t>عبدالعلی علی عسکری</t>
        </is>
      </c>
      <c r="R106" s="92" t="inlineStr">
        <is>
          <t>سرمایه گذاری نفت و گاز و پتروشیمی تامین</t>
        </is>
      </c>
      <c r="S106" s="92" t="inlineStr">
        <is>
          <t>نام دارنده حقوقی</t>
        </is>
      </c>
      <c r="T106" s="92" t="inlineStr"/>
      <c r="U106" s="92" t="n">
        <v>5</v>
      </c>
      <c r="V106" s="92" t="inlineStr">
        <is>
          <t>نامشخص: تعداد کل اعلام شده در متن ثبت نشده</t>
        </is>
      </c>
      <c r="W106" s="92" t="inlineStr">
        <is>
          <t>SRC_FARS_1404_001</t>
        </is>
      </c>
      <c r="X106" s="92" t="inlineStr">
        <is>
          <t>1404/03/31</t>
        </is>
      </c>
      <c r="Y106" s="92" t="inlineStr"/>
      <c r="Z106" s="92" t="inlineStr"/>
      <c r="AA106" s="92" t="inlineStr">
        <is>
          <t>BR Independence v41 ردیف 16</t>
        </is>
      </c>
    </row>
    <row r="107" ht="30" customHeight="1" s="76">
      <c r="A107" s="92" t="inlineStr">
        <is>
          <t>SM0104</t>
        </is>
      </c>
      <c r="B107" s="92" t="inlineStr">
        <is>
          <t>F03</t>
        </is>
      </c>
      <c r="C107" s="92" t="inlineStr">
        <is>
          <t>فارس</t>
        </is>
      </c>
      <c r="D107" s="92" t="inlineStr">
        <is>
          <t>1404/03/31</t>
        </is>
      </c>
      <c r="E107" s="92" t="inlineStr">
        <is>
          <t>FYE1404 (v41)؛ خیر (مقطع متفاوت)</t>
        </is>
      </c>
      <c r="F107" s="92" t="inlineStr">
        <is>
          <t>نمای مالی</t>
        </is>
      </c>
      <c r="G107" s="92" t="inlineStr">
        <is>
          <t>P-490B4CCE</t>
        </is>
      </c>
      <c r="H107" s="92" t="inlineStr">
        <is>
          <t>حسین حسین زاده</t>
        </is>
      </c>
      <c r="I107" s="92" t="inlineStr">
        <is>
          <t>حسین حسین زاده</t>
        </is>
      </c>
      <c r="J107" s="92" t="inlineStr">
        <is>
          <t>NATIONAL_ID؛ هش FA7DB57B</t>
        </is>
      </c>
      <c r="K107" s="92" t="inlineStr">
        <is>
          <t>عضو اصلی فعال</t>
        </is>
      </c>
      <c r="L107" s="92" t="inlineStr">
        <is>
          <t>رئیس هیئت مدیره</t>
        </is>
      </c>
      <c r="M107" s="92" t="inlineStr">
        <is>
          <t>خیر</t>
        </is>
      </c>
      <c r="N107" s="92" t="inlineStr">
        <is>
          <t>بله</t>
        </is>
      </c>
      <c r="O107" s="92" t="inlineStr">
        <is>
          <t>توسعه نفت و گاز صبا کارون</t>
        </is>
      </c>
      <c r="P107" s="92" t="inlineStr">
        <is>
          <t>ندارد (فقط نام)</t>
        </is>
      </c>
      <c r="Q107" s="92" t="inlineStr">
        <is>
          <t>حسین حسین زاده</t>
        </is>
      </c>
      <c r="R107" s="92" t="inlineStr">
        <is>
          <t>توسعه نفت و گاز صبا کارون</t>
        </is>
      </c>
      <c r="S107" s="92" t="inlineStr">
        <is>
          <t>نام دارنده حقوقی</t>
        </is>
      </c>
      <c r="T107" s="92" t="inlineStr"/>
      <c r="U107" s="92" t="n">
        <v>5</v>
      </c>
      <c r="V107" s="92" t="inlineStr">
        <is>
          <t>نامشخص: تعداد کل اعلام شده در متن ثبت نشده</t>
        </is>
      </c>
      <c r="W107" s="92" t="inlineStr">
        <is>
          <t>SRC_FARS_1404_001</t>
        </is>
      </c>
      <c r="X107" s="92" t="inlineStr">
        <is>
          <t>1404/03/31</t>
        </is>
      </c>
      <c r="Y107" s="92" t="inlineStr"/>
      <c r="Z107" s="92" t="inlineStr"/>
      <c r="AA107" s="92" t="inlineStr">
        <is>
          <t>BR Independence v41 ردیف 17</t>
        </is>
      </c>
    </row>
    <row r="108" ht="30" customHeight="1" s="76">
      <c r="A108" s="92" t="inlineStr">
        <is>
          <t>SM0105</t>
        </is>
      </c>
      <c r="B108" s="92" t="inlineStr">
        <is>
          <t>F03</t>
        </is>
      </c>
      <c r="C108" s="92" t="inlineStr">
        <is>
          <t>فارس</t>
        </is>
      </c>
      <c r="D108" s="92" t="inlineStr">
        <is>
          <t>1404/03/31</t>
        </is>
      </c>
      <c r="E108" s="92" t="inlineStr">
        <is>
          <t>FYE1404 (v41)؛ خیر (مقطع متفاوت)</t>
        </is>
      </c>
      <c r="F108" s="92" t="inlineStr">
        <is>
          <t>نمای مالی</t>
        </is>
      </c>
      <c r="G108" s="92" t="inlineStr">
        <is>
          <t>P-1ADE6596</t>
        </is>
      </c>
      <c r="H108" s="92" t="inlineStr">
        <is>
          <t>محمد شریعتمداری</t>
        </is>
      </c>
      <c r="I108" s="92" t="inlineStr">
        <is>
          <t>محمد شریعتمداری</t>
        </is>
      </c>
      <c r="J108" s="92" t="inlineStr">
        <is>
          <t>NATIONAL_ID؛ هش 5FD07E30</t>
        </is>
      </c>
      <c r="K108" s="92" t="inlineStr">
        <is>
          <t>عضو اصلی فعال</t>
        </is>
      </c>
      <c r="L108" s="92" t="inlineStr">
        <is>
          <t>نایب رئیس هیئت مدیره</t>
        </is>
      </c>
      <c r="M108" s="92" t="inlineStr">
        <is>
          <t>بله</t>
        </is>
      </c>
      <c r="N108" s="92" t="inlineStr">
        <is>
          <t>خیر</t>
        </is>
      </c>
      <c r="O108" s="92" t="inlineStr">
        <is>
          <t>صندوق های بازنشستگی پس انداز و رفاه کارکنان صنعت نفت</t>
        </is>
      </c>
      <c r="P108" s="92" t="inlineStr">
        <is>
          <t>ندارد (فقط نام)</t>
        </is>
      </c>
      <c r="Q108" s="92" t="inlineStr">
        <is>
          <t>محمد شریعتمداری</t>
        </is>
      </c>
      <c r="R108" s="92" t="inlineStr">
        <is>
          <t>صندوق های بازنشستگی پس انداز و رفاه کارکنان صنعت نفت</t>
        </is>
      </c>
      <c r="S108" s="92" t="inlineStr">
        <is>
          <t>نام دارنده حقوقی</t>
        </is>
      </c>
      <c r="T108" s="92" t="inlineStr"/>
      <c r="U108" s="92" t="n">
        <v>5</v>
      </c>
      <c r="V108" s="92" t="inlineStr">
        <is>
          <t>نامشخص: تعداد کل اعلام شده در متن ثبت نشده</t>
        </is>
      </c>
      <c r="W108" s="92" t="inlineStr">
        <is>
          <t>SRC_FARS_1404_001</t>
        </is>
      </c>
      <c r="X108" s="92" t="inlineStr">
        <is>
          <t>1404/03/31</t>
        </is>
      </c>
      <c r="Y108" s="92" t="inlineStr"/>
      <c r="Z108" s="92" t="inlineStr"/>
      <c r="AA108" s="92" t="inlineStr">
        <is>
          <t>BR Independence v41 ردیف 18</t>
        </is>
      </c>
    </row>
    <row r="109" ht="30" customHeight="1" s="76">
      <c r="A109" s="92" t="inlineStr">
        <is>
          <t>SM0106</t>
        </is>
      </c>
      <c r="B109" s="92" t="inlineStr">
        <is>
          <t>F04</t>
        </is>
      </c>
      <c r="C109" s="92" t="inlineStr">
        <is>
          <t>خودرو</t>
        </is>
      </c>
      <c r="D109" s="92" t="inlineStr">
        <is>
          <t>1404/12/29</t>
        </is>
      </c>
      <c r="E109" s="92" t="inlineStr">
        <is>
          <t>FYE1404 (v41)؛ بله (مقطع یکسان با پایان مشترک؛ فهرست مبنا نیست)</t>
        </is>
      </c>
      <c r="F109" s="92" t="inlineStr">
        <is>
          <t>نمای مالی</t>
        </is>
      </c>
      <c r="G109" s="92" t="inlineStr">
        <is>
          <t>P-943FD350</t>
        </is>
      </c>
      <c r="H109" s="92" t="inlineStr">
        <is>
          <t>عبداله سلطانی ثانی</t>
        </is>
      </c>
      <c r="I109" s="92" t="inlineStr">
        <is>
          <t>عبداله سلطانی ثانی</t>
        </is>
      </c>
      <c r="J109" s="92" t="inlineStr">
        <is>
          <t>NATIONAL_ID؛ هش 5464BBAE</t>
        </is>
      </c>
      <c r="K109" s="92" t="inlineStr">
        <is>
          <t>عضو اصلی فعال</t>
        </is>
      </c>
      <c r="L109" s="92" t="inlineStr">
        <is>
          <t>عضو هیئت مدیره</t>
        </is>
      </c>
      <c r="M109" s="92" t="inlineStr">
        <is>
          <t>خیر</t>
        </is>
      </c>
      <c r="N109" s="92" t="inlineStr">
        <is>
          <t>خیر</t>
        </is>
      </c>
      <c r="O109" s="92" t="inlineStr">
        <is>
          <t>خدمات گستر صبا انرژی</t>
        </is>
      </c>
      <c r="P109" s="92" t="inlineStr">
        <is>
          <t>ندارد (فقط نام)</t>
        </is>
      </c>
      <c r="Q109" s="92" t="inlineStr">
        <is>
          <t>عبداله سلطانی ثانی</t>
        </is>
      </c>
      <c r="R109" s="92" t="inlineStr">
        <is>
          <t>خدمات گستر صبا انرژی</t>
        </is>
      </c>
      <c r="S109" s="92" t="inlineStr">
        <is>
          <t>نام دارنده حقوقی</t>
        </is>
      </c>
      <c r="T109" s="92" t="inlineStr"/>
      <c r="U109" s="92" t="n">
        <v>5</v>
      </c>
      <c r="V109" s="92" t="inlineStr">
        <is>
          <t>نامشخص: تعداد کل اعلام شده در متن ثبت نشده</t>
        </is>
      </c>
      <c r="W109" s="92" t="inlineStr">
        <is>
          <t>SRC_IKCO_1404_001</t>
        </is>
      </c>
      <c r="X109" s="92" t="inlineStr">
        <is>
          <t>1404/12/29</t>
        </is>
      </c>
      <c r="Y109" s="92" t="inlineStr"/>
      <c r="Z109" s="92" t="inlineStr"/>
      <c r="AA109" s="92" t="inlineStr">
        <is>
          <t>BR Independence v41 ردیف 19</t>
        </is>
      </c>
    </row>
    <row r="110" ht="30" customHeight="1" s="76">
      <c r="A110" s="92" t="inlineStr">
        <is>
          <t>SM0107</t>
        </is>
      </c>
      <c r="B110" s="92" t="inlineStr">
        <is>
          <t>F04</t>
        </is>
      </c>
      <c r="C110" s="92" t="inlineStr">
        <is>
          <t>خودرو</t>
        </is>
      </c>
      <c r="D110" s="92" t="inlineStr">
        <is>
          <t>1404/12/29</t>
        </is>
      </c>
      <c r="E110" s="92" t="inlineStr">
        <is>
          <t>FYE1404 (v41)؛ بله (مقطع یکسان با پایان مشترک؛ فهرست مبنا نیست)</t>
        </is>
      </c>
      <c r="F110" s="92" t="inlineStr">
        <is>
          <t>نمای مالی</t>
        </is>
      </c>
      <c r="G110" s="92" t="inlineStr">
        <is>
          <t>P-641253F4</t>
        </is>
      </c>
      <c r="H110" s="92" t="inlineStr">
        <is>
          <t>عادل پیرمحمدی</t>
        </is>
      </c>
      <c r="I110" s="92" t="inlineStr">
        <is>
          <t>عادل پیرمحمدی</t>
        </is>
      </c>
      <c r="J110" s="92" t="inlineStr">
        <is>
          <t>NATIONAL_ID؛ هش 92A42EE0</t>
        </is>
      </c>
      <c r="K110" s="92" t="inlineStr">
        <is>
          <t>عضو اصلی فعال</t>
        </is>
      </c>
      <c r="L110" s="92" t="inlineStr">
        <is>
          <t>عضو هیئت مدیره</t>
        </is>
      </c>
      <c r="M110" s="92" t="inlineStr">
        <is>
          <t>بله</t>
        </is>
      </c>
      <c r="N110" s="92" t="inlineStr">
        <is>
          <t>خیر</t>
        </is>
      </c>
      <c r="O110" s="92" t="inlineStr">
        <is>
          <t>مدیریت سرمایه گذاری ملی ایران</t>
        </is>
      </c>
      <c r="P110" s="92" t="inlineStr">
        <is>
          <t>ندارد (فقط نام)</t>
        </is>
      </c>
      <c r="Q110" s="92" t="inlineStr">
        <is>
          <t>عادل پیرمحمدی</t>
        </is>
      </c>
      <c r="R110" s="92" t="inlineStr">
        <is>
          <t>مدیریت سرمایه گذاری ملی ایران</t>
        </is>
      </c>
      <c r="S110" s="92" t="inlineStr">
        <is>
          <t>نام دارنده حقوقی</t>
        </is>
      </c>
      <c r="T110" s="92" t="inlineStr"/>
      <c r="U110" s="92" t="n">
        <v>5</v>
      </c>
      <c r="V110" s="92" t="inlineStr">
        <is>
          <t>نامشخص: تعداد کل اعلام شده در متن ثبت نشده</t>
        </is>
      </c>
      <c r="W110" s="92" t="inlineStr">
        <is>
          <t>SRC_IKCO_1404_001</t>
        </is>
      </c>
      <c r="X110" s="92" t="inlineStr">
        <is>
          <t>1404/12/29</t>
        </is>
      </c>
      <c r="Y110" s="92" t="inlineStr"/>
      <c r="Z110" s="92" t="inlineStr"/>
      <c r="AA110" s="92" t="inlineStr">
        <is>
          <t>BR Independence v41 ردیف 20</t>
        </is>
      </c>
    </row>
    <row r="111" ht="30" customHeight="1" s="76">
      <c r="A111" s="92" t="inlineStr">
        <is>
          <t>SM0108</t>
        </is>
      </c>
      <c r="B111" s="92" t="inlineStr">
        <is>
          <t>F04</t>
        </is>
      </c>
      <c r="C111" s="92" t="inlineStr">
        <is>
          <t>خودرو</t>
        </is>
      </c>
      <c r="D111" s="92" t="inlineStr">
        <is>
          <t>1404/12/29</t>
        </is>
      </c>
      <c r="E111" s="92" t="inlineStr">
        <is>
          <t>FYE1404 (v41)؛ بله (مقطع یکسان با پایان مشترک؛ فهرست مبنا نیست)</t>
        </is>
      </c>
      <c r="F111" s="92" t="inlineStr">
        <is>
          <t>نمای مالی</t>
        </is>
      </c>
      <c r="G111" s="92" t="inlineStr">
        <is>
          <t>P-C49489C1</t>
        </is>
      </c>
      <c r="H111" s="92" t="inlineStr">
        <is>
          <t>حامد نائیجی</t>
        </is>
      </c>
      <c r="I111" s="92" t="inlineStr">
        <is>
          <t>حامد نائیجی</t>
        </is>
      </c>
      <c r="J111" s="92" t="inlineStr">
        <is>
          <t>NATIONAL_ID؛ هش ECA12DCF</t>
        </is>
      </c>
      <c r="K111" s="92" t="inlineStr">
        <is>
          <t>عضو اصلی فعال</t>
        </is>
      </c>
      <c r="L111" s="92" t="inlineStr">
        <is>
          <t>عضو هیئت مدیره</t>
        </is>
      </c>
      <c r="M111" s="92" t="inlineStr">
        <is>
          <t>خیر</t>
        </is>
      </c>
      <c r="N111" s="92" t="inlineStr">
        <is>
          <t>خیر</t>
        </is>
      </c>
      <c r="O111" s="92" t="inlineStr">
        <is>
          <t>سرمایه گذاری گنجینه ایرانیان</t>
        </is>
      </c>
      <c r="P111" s="92" t="inlineStr">
        <is>
          <t>ندارد (فقط نام)</t>
        </is>
      </c>
      <c r="Q111" s="92" t="inlineStr">
        <is>
          <t>حامد نائیجی</t>
        </is>
      </c>
      <c r="R111" s="92" t="inlineStr">
        <is>
          <t>سرمایه گذاری گنجینه ایرانیان</t>
        </is>
      </c>
      <c r="S111" s="92" t="inlineStr">
        <is>
          <t>نام دارنده حقوقی</t>
        </is>
      </c>
      <c r="T111" s="92" t="inlineStr"/>
      <c r="U111" s="92" t="n">
        <v>5</v>
      </c>
      <c r="V111" s="92" t="inlineStr">
        <is>
          <t>نامشخص: تعداد کل اعلام شده در متن ثبت نشده</t>
        </is>
      </c>
      <c r="W111" s="92" t="inlineStr">
        <is>
          <t>SRC_IKCO_1404_001</t>
        </is>
      </c>
      <c r="X111" s="92" t="inlineStr">
        <is>
          <t>1404/12/29</t>
        </is>
      </c>
      <c r="Y111" s="92" t="inlineStr"/>
      <c r="Z111" s="92" t="inlineStr"/>
      <c r="AA111" s="92" t="inlineStr">
        <is>
          <t>BR Independence v41 ردیف 21</t>
        </is>
      </c>
    </row>
    <row r="112" ht="30" customHeight="1" s="76">
      <c r="A112" s="92" t="inlineStr">
        <is>
          <t>SM0109</t>
        </is>
      </c>
      <c r="B112" s="92" t="inlineStr">
        <is>
          <t>F04</t>
        </is>
      </c>
      <c r="C112" s="92" t="inlineStr">
        <is>
          <t>خودرو</t>
        </is>
      </c>
      <c r="D112" s="92" t="inlineStr">
        <is>
          <t>1404/12/29</t>
        </is>
      </c>
      <c r="E112" s="92" t="inlineStr">
        <is>
          <t>FYE1404 (v41)؛ بله (مقطع یکسان با پایان مشترک؛ فهرست مبنا نیست)</t>
        </is>
      </c>
      <c r="F112" s="92" t="inlineStr">
        <is>
          <t>نمای مالی</t>
        </is>
      </c>
      <c r="G112" s="92" t="inlineStr">
        <is>
          <t>P-4746C6DA</t>
        </is>
      </c>
      <c r="H112" s="92" t="inlineStr">
        <is>
          <t>یوسف الهی شکیب</t>
        </is>
      </c>
      <c r="I112" s="92" t="inlineStr">
        <is>
          <t>یوسف الهی شکیب</t>
        </is>
      </c>
      <c r="J112" s="92" t="inlineStr">
        <is>
          <t>NATIONAL_ID؛ هش 55CA4AEF</t>
        </is>
      </c>
      <c r="K112" s="92" t="inlineStr">
        <is>
          <t>عضو اصلی فعال</t>
        </is>
      </c>
      <c r="L112" s="92" t="inlineStr">
        <is>
          <t>رئیس هیئت مدیره</t>
        </is>
      </c>
      <c r="M112" s="92" t="inlineStr">
        <is>
          <t>خیر</t>
        </is>
      </c>
      <c r="N112" s="92" t="inlineStr">
        <is>
          <t>بله</t>
        </is>
      </c>
      <c r="O112" s="92" t="inlineStr">
        <is>
          <t>بهینه سازان بهمن</t>
        </is>
      </c>
      <c r="P112" s="92" t="inlineStr">
        <is>
          <t>ندارد (فقط نام)</t>
        </is>
      </c>
      <c r="Q112" s="92" t="inlineStr">
        <is>
          <t>یوسف الهی شکیب</t>
        </is>
      </c>
      <c r="R112" s="92" t="inlineStr">
        <is>
          <t>بهینه سازان بهمن</t>
        </is>
      </c>
      <c r="S112" s="92" t="inlineStr">
        <is>
          <t>نام دارنده حقوقی</t>
        </is>
      </c>
      <c r="T112" s="92" t="inlineStr"/>
      <c r="U112" s="92" t="n">
        <v>5</v>
      </c>
      <c r="V112" s="92" t="inlineStr">
        <is>
          <t>نامشخص: تعداد کل اعلام شده در متن ثبت نشده</t>
        </is>
      </c>
      <c r="W112" s="92" t="inlineStr">
        <is>
          <t>SRC_IKCO_1404_001</t>
        </is>
      </c>
      <c r="X112" s="92" t="inlineStr">
        <is>
          <t>1404/12/29</t>
        </is>
      </c>
      <c r="Y112" s="92" t="inlineStr"/>
      <c r="Z112" s="92" t="inlineStr"/>
      <c r="AA112" s="92" t="inlineStr">
        <is>
          <t>BR Independence v41 ردیف 22</t>
        </is>
      </c>
    </row>
    <row r="113" ht="30" customHeight="1" s="76">
      <c r="A113" s="92" t="inlineStr">
        <is>
          <t>SM0110</t>
        </is>
      </c>
      <c r="B113" s="92" t="inlineStr">
        <is>
          <t>F04</t>
        </is>
      </c>
      <c r="C113" s="92" t="inlineStr">
        <is>
          <t>خودرو</t>
        </is>
      </c>
      <c r="D113" s="92" t="inlineStr">
        <is>
          <t>1404/12/29</t>
        </is>
      </c>
      <c r="E113" s="92" t="inlineStr">
        <is>
          <t>FYE1404 (v41)؛ بله (مقطع یکسان با پایان مشترک؛ فهرست مبنا نیست)</t>
        </is>
      </c>
      <c r="F113" s="92" t="inlineStr">
        <is>
          <t>نمای مالی</t>
        </is>
      </c>
      <c r="G113" s="92" t="inlineStr">
        <is>
          <t>P-72980C78</t>
        </is>
      </c>
      <c r="H113" s="92" t="inlineStr">
        <is>
          <t>جمشید ایمانی کتک لاهیجانی</t>
        </is>
      </c>
      <c r="I113" s="92" t="inlineStr">
        <is>
          <t>جمشید ایمانی کتک لاهیجانی</t>
        </is>
      </c>
      <c r="J113" s="92" t="inlineStr">
        <is>
          <t>NATIONAL_ID؛ هش 8C0B431F</t>
        </is>
      </c>
      <c r="K113" s="92" t="inlineStr">
        <is>
          <t>عضو اصلی فعال</t>
        </is>
      </c>
      <c r="L113" s="92" t="inlineStr">
        <is>
          <t>نایب رئیس هیئت مدیره</t>
        </is>
      </c>
      <c r="M113" s="92" t="inlineStr">
        <is>
          <t>خیر</t>
        </is>
      </c>
      <c r="N113" s="92" t="inlineStr">
        <is>
          <t>خیر</t>
        </is>
      </c>
      <c r="O113" s="92" t="inlineStr">
        <is>
          <t>اعتبار آفرین</t>
        </is>
      </c>
      <c r="P113" s="92" t="inlineStr">
        <is>
          <t>ندارد (فقط نام)</t>
        </is>
      </c>
      <c r="Q113" s="92" t="inlineStr">
        <is>
          <t>جمشید ایمانی کتک لاهیجانی</t>
        </is>
      </c>
      <c r="R113" s="92" t="inlineStr">
        <is>
          <t>اعتبار آفرین</t>
        </is>
      </c>
      <c r="S113" s="92" t="inlineStr">
        <is>
          <t>نام دارنده حقوقی</t>
        </is>
      </c>
      <c r="T113" s="92" t="inlineStr"/>
      <c r="U113" s="92" t="n">
        <v>5</v>
      </c>
      <c r="V113" s="92" t="inlineStr">
        <is>
          <t>نامشخص: تعداد کل اعلام شده در متن ثبت نشده</t>
        </is>
      </c>
      <c r="W113" s="92" t="inlineStr">
        <is>
          <t>SRC_IKCO_1404_001</t>
        </is>
      </c>
      <c r="X113" s="92" t="inlineStr">
        <is>
          <t>1404/12/29</t>
        </is>
      </c>
      <c r="Y113" s="92" t="inlineStr"/>
      <c r="Z113" s="92" t="inlineStr"/>
      <c r="AA113" s="92" t="inlineStr">
        <is>
          <t>BR Independence v41 ردیف 23</t>
        </is>
      </c>
    </row>
    <row r="114" ht="30" customHeight="1" s="76">
      <c r="A114" s="92" t="inlineStr">
        <is>
          <t>SM0111</t>
        </is>
      </c>
      <c r="B114" s="92" t="inlineStr">
        <is>
          <t>F05</t>
        </is>
      </c>
      <c r="C114" s="92" t="inlineStr">
        <is>
          <t>زاگرس</t>
        </is>
      </c>
      <c r="D114" s="92" t="inlineStr">
        <is>
          <t>1404/12/29</t>
        </is>
      </c>
      <c r="E114" s="92" t="inlineStr">
        <is>
          <t>FYE1404 (v41)؛ بله (مقطع یکسان با پایان مشترک؛ فهرست مبنا نیست)</t>
        </is>
      </c>
      <c r="F114" s="92" t="inlineStr">
        <is>
          <t>نمای مالی</t>
        </is>
      </c>
      <c r="G114" s="92" t="inlineStr">
        <is>
          <t>P-EFD04109</t>
        </is>
      </c>
      <c r="H114" s="92" t="inlineStr">
        <is>
          <t>متین دیداری</t>
        </is>
      </c>
      <c r="I114" s="92" t="inlineStr">
        <is>
          <t>متین دیداری</t>
        </is>
      </c>
      <c r="J114" s="92" t="inlineStr">
        <is>
          <t>NATIONAL_ID؛ هش A3E3C90E</t>
        </is>
      </c>
      <c r="K114" s="92" t="inlineStr">
        <is>
          <t>عضو اصلی فعال</t>
        </is>
      </c>
      <c r="L114" s="92" t="inlineStr">
        <is>
          <t>نایب رئیس هیئت مدیره</t>
        </is>
      </c>
      <c r="M114" s="92" t="inlineStr">
        <is>
          <t>بله</t>
        </is>
      </c>
      <c r="N114" s="92" t="inlineStr">
        <is>
          <t>خیر</t>
        </is>
      </c>
      <c r="O114" s="92" t="inlineStr">
        <is>
          <t>گروه گسترش نفت و گاز پارسیان</t>
        </is>
      </c>
      <c r="P114" s="92" t="inlineStr">
        <is>
          <t>ندارد (فقط نام)</t>
        </is>
      </c>
      <c r="Q114" s="92" t="inlineStr">
        <is>
          <t>متین دیداری</t>
        </is>
      </c>
      <c r="R114" s="92" t="inlineStr">
        <is>
          <t>گروه گسترش نفت و گاز پارسیان</t>
        </is>
      </c>
      <c r="S114" s="92" t="inlineStr">
        <is>
          <t>نام دارنده حقوقی</t>
        </is>
      </c>
      <c r="T114" s="92" t="inlineStr"/>
      <c r="U114" s="92" t="n">
        <v>5</v>
      </c>
      <c r="V114" s="92" t="inlineStr">
        <is>
          <t>نامشخص: تعداد کل اعلام شده در متن ثبت نشده</t>
        </is>
      </c>
      <c r="W114" s="92" t="inlineStr">
        <is>
          <t>SRC_ZGRS_1404_001</t>
        </is>
      </c>
      <c r="X114" s="92" t="inlineStr">
        <is>
          <t>1404/12/29</t>
        </is>
      </c>
      <c r="Y114" s="92" t="inlineStr"/>
      <c r="Z114" s="92" t="inlineStr"/>
      <c r="AA114" s="92" t="inlineStr">
        <is>
          <t>BR Independence v41 ردیف 24</t>
        </is>
      </c>
    </row>
    <row r="115" ht="30" customHeight="1" s="76">
      <c r="A115" s="92" t="inlineStr">
        <is>
          <t>SM0112</t>
        </is>
      </c>
      <c r="B115" s="92" t="inlineStr">
        <is>
          <t>F05</t>
        </is>
      </c>
      <c r="C115" s="92" t="inlineStr">
        <is>
          <t>زاگرس</t>
        </is>
      </c>
      <c r="D115" s="92" t="inlineStr">
        <is>
          <t>1404/12/29</t>
        </is>
      </c>
      <c r="E115" s="92" t="inlineStr">
        <is>
          <t>FYE1404 (v41)؛ بله (مقطع یکسان با پایان مشترک؛ فهرست مبنا نیست)</t>
        </is>
      </c>
      <c r="F115" s="92" t="inlineStr">
        <is>
          <t>نمای مالی</t>
        </is>
      </c>
      <c r="G115" s="92" t="inlineStr">
        <is>
          <t>P-35688BF9</t>
        </is>
      </c>
      <c r="H115" s="92" t="inlineStr">
        <is>
          <t>سیدمجید سیدیان</t>
        </is>
      </c>
      <c r="I115" s="92" t="inlineStr">
        <is>
          <t>سیدمجید سیدیان</t>
        </is>
      </c>
      <c r="J115" s="92" t="inlineStr">
        <is>
          <t>NATIONAL_ID؛ هش 476288B6</t>
        </is>
      </c>
      <c r="K115" s="92" t="inlineStr">
        <is>
          <t>عضو اصلی فعال</t>
        </is>
      </c>
      <c r="L115" s="92" t="inlineStr">
        <is>
          <t>عضو هیئت مدیره</t>
        </is>
      </c>
      <c r="M115" s="92" t="inlineStr">
        <is>
          <t>خیر</t>
        </is>
      </c>
      <c r="N115" s="92" t="inlineStr">
        <is>
          <t>خیر</t>
        </is>
      </c>
      <c r="O115" s="92" t="inlineStr">
        <is>
          <t>گروه صنعتی شیمی پوشینه</t>
        </is>
      </c>
      <c r="P115" s="92" t="inlineStr">
        <is>
          <t>ندارد (فقط نام)</t>
        </is>
      </c>
      <c r="Q115" s="92" t="inlineStr">
        <is>
          <t>سیدمجید سیدیان</t>
        </is>
      </c>
      <c r="R115" s="92" t="inlineStr">
        <is>
          <t>گروه صنعتی شیمی پوشینه</t>
        </is>
      </c>
      <c r="S115" s="92" t="inlineStr">
        <is>
          <t>نام دارنده حقوقی</t>
        </is>
      </c>
      <c r="T115" s="92" t="inlineStr"/>
      <c r="U115" s="92" t="n">
        <v>5</v>
      </c>
      <c r="V115" s="92" t="inlineStr">
        <is>
          <t>نامشخص: تعداد کل اعلام شده در متن ثبت نشده</t>
        </is>
      </c>
      <c r="W115" s="92" t="inlineStr">
        <is>
          <t>SRC_ZGRS_1404_001</t>
        </is>
      </c>
      <c r="X115" s="92" t="inlineStr">
        <is>
          <t>1404/12/29</t>
        </is>
      </c>
      <c r="Y115" s="92" t="inlineStr"/>
      <c r="Z115" s="92" t="inlineStr"/>
      <c r="AA115" s="92" t="inlineStr">
        <is>
          <t>BR Independence v41 ردیف 25</t>
        </is>
      </c>
    </row>
    <row r="116" ht="30" customHeight="1" s="76">
      <c r="A116" s="92" t="inlineStr">
        <is>
          <t>SM0113</t>
        </is>
      </c>
      <c r="B116" s="92" t="inlineStr">
        <is>
          <t>F05</t>
        </is>
      </c>
      <c r="C116" s="92" t="inlineStr">
        <is>
          <t>زاگرس</t>
        </is>
      </c>
      <c r="D116" s="92" t="inlineStr">
        <is>
          <t>1404/12/29</t>
        </is>
      </c>
      <c r="E116" s="92" t="inlineStr">
        <is>
          <t>FYE1404 (v41)؛ بله (مقطع یکسان با پایان مشترک؛ فهرست مبنا نیست)</t>
        </is>
      </c>
      <c r="F116" s="92" t="inlineStr">
        <is>
          <t>نمای مالی</t>
        </is>
      </c>
      <c r="G116" s="92" t="inlineStr">
        <is>
          <t>P-62C4B47B</t>
        </is>
      </c>
      <c r="H116" s="92" t="inlineStr">
        <is>
          <t>سیدجعفر هاشمی</t>
        </is>
      </c>
      <c r="I116" s="92" t="inlineStr">
        <is>
          <t>سیدجعفر هاشمی</t>
        </is>
      </c>
      <c r="J116" s="92" t="inlineStr">
        <is>
          <t>NATIONAL_ID؛ هش EB6DCDEC</t>
        </is>
      </c>
      <c r="K116" s="92" t="inlineStr">
        <is>
          <t>عضو اصلی فعال</t>
        </is>
      </c>
      <c r="L116" s="92" t="inlineStr">
        <is>
          <t>عضو هیئت مدیره</t>
        </is>
      </c>
      <c r="M116" s="92" t="inlineStr">
        <is>
          <t>خیر</t>
        </is>
      </c>
      <c r="N116" s="92" t="inlineStr">
        <is>
          <t>خیر</t>
        </is>
      </c>
      <c r="O116" s="92" t="inlineStr">
        <is>
          <t>سرمایه گذاری هامون سپاهان</t>
        </is>
      </c>
      <c r="P116" s="92" t="inlineStr">
        <is>
          <t>ندارد (فقط نام)</t>
        </is>
      </c>
      <c r="Q116" s="92" t="inlineStr">
        <is>
          <t>سیدجعفر هاشمی</t>
        </is>
      </c>
      <c r="R116" s="92" t="inlineStr">
        <is>
          <t>سرمایه گذاری هامون سپاهان</t>
        </is>
      </c>
      <c r="S116" s="92" t="inlineStr">
        <is>
          <t>نام دارنده حقوقی</t>
        </is>
      </c>
      <c r="T116" s="92" t="inlineStr"/>
      <c r="U116" s="92" t="n">
        <v>5</v>
      </c>
      <c r="V116" s="92" t="inlineStr">
        <is>
          <t>نامشخص: تعداد کل اعلام شده در متن ثبت نشده</t>
        </is>
      </c>
      <c r="W116" s="92" t="inlineStr">
        <is>
          <t>SRC_ZGRS_1404_001</t>
        </is>
      </c>
      <c r="X116" s="92" t="inlineStr">
        <is>
          <t>1404/12/29</t>
        </is>
      </c>
      <c r="Y116" s="92" t="inlineStr"/>
      <c r="Z116" s="92" t="inlineStr"/>
      <c r="AA116" s="92" t="inlineStr">
        <is>
          <t>BR Independence v41 ردیف 26</t>
        </is>
      </c>
    </row>
    <row r="117" ht="30" customHeight="1" s="76">
      <c r="A117" s="92" t="inlineStr">
        <is>
          <t>SM0114</t>
        </is>
      </c>
      <c r="B117" s="92" t="inlineStr">
        <is>
          <t>F05</t>
        </is>
      </c>
      <c r="C117" s="92" t="inlineStr">
        <is>
          <t>زاگرس</t>
        </is>
      </c>
      <c r="D117" s="92" t="inlineStr">
        <is>
          <t>1404/12/29</t>
        </is>
      </c>
      <c r="E117" s="92" t="inlineStr">
        <is>
          <t>FYE1404 (v41)؛ بله (مقطع یکسان با پایان مشترک؛ فهرست مبنا نیست)</t>
        </is>
      </c>
      <c r="F117" s="92" t="inlineStr">
        <is>
          <t>نمای مالی</t>
        </is>
      </c>
      <c r="G117" s="92" t="inlineStr">
        <is>
          <t>P-F224DF91</t>
        </is>
      </c>
      <c r="H117" s="92" t="inlineStr">
        <is>
          <t>محمدحسین مغازه ای</t>
        </is>
      </c>
      <c r="I117" s="92" t="inlineStr">
        <is>
          <t>محمدحسین مغازه ای</t>
        </is>
      </c>
      <c r="J117" s="92" t="inlineStr">
        <is>
          <t>NATIONAL_ID؛ هش 867163F0</t>
        </is>
      </c>
      <c r="K117" s="92" t="inlineStr">
        <is>
          <t>عضو اصلی فعال</t>
        </is>
      </c>
      <c r="L117" s="92" t="inlineStr">
        <is>
          <t>عضو هیئت مدیره</t>
        </is>
      </c>
      <c r="M117" s="92" t="inlineStr">
        <is>
          <t>خیر</t>
        </is>
      </c>
      <c r="N117" s="92" t="inlineStr">
        <is>
          <t>خیر</t>
        </is>
      </c>
      <c r="O117" s="92" t="inlineStr">
        <is>
          <t>صادرفر</t>
        </is>
      </c>
      <c r="P117" s="92" t="inlineStr">
        <is>
          <t>ندارد (فقط نام)</t>
        </is>
      </c>
      <c r="Q117" s="92" t="inlineStr">
        <is>
          <t>محمدحسین مغازه ای</t>
        </is>
      </c>
      <c r="R117" s="92" t="inlineStr">
        <is>
          <t>صادرفر</t>
        </is>
      </c>
      <c r="S117" s="92" t="inlineStr">
        <is>
          <t>نام دارنده حقوقی</t>
        </is>
      </c>
      <c r="T117" s="92" t="inlineStr"/>
      <c r="U117" s="92" t="n">
        <v>5</v>
      </c>
      <c r="V117" s="92" t="inlineStr">
        <is>
          <t>نامشخص: تعداد کل اعلام شده در متن ثبت نشده</t>
        </is>
      </c>
      <c r="W117" s="92" t="inlineStr">
        <is>
          <t>SRC_ZGRS_1404_001</t>
        </is>
      </c>
      <c r="X117" s="92" t="inlineStr">
        <is>
          <t>1404/12/29</t>
        </is>
      </c>
      <c r="Y117" s="92" t="inlineStr"/>
      <c r="Z117" s="92" t="inlineStr"/>
      <c r="AA117" s="92" t="inlineStr">
        <is>
          <t>BR Independence v41 ردیف 27</t>
        </is>
      </c>
    </row>
    <row r="118" ht="30" customHeight="1" s="76">
      <c r="A118" s="92" t="inlineStr">
        <is>
          <t>SM0115</t>
        </is>
      </c>
      <c r="B118" s="92" t="inlineStr">
        <is>
          <t>F05</t>
        </is>
      </c>
      <c r="C118" s="92" t="inlineStr">
        <is>
          <t>زاگرس</t>
        </is>
      </c>
      <c r="D118" s="92" t="inlineStr">
        <is>
          <t>1404/12/29</t>
        </is>
      </c>
      <c r="E118" s="92" t="inlineStr">
        <is>
          <t>FYE1404 (v41)؛ بله (مقطع یکسان با پایان مشترک؛ فهرست مبنا نیست)</t>
        </is>
      </c>
      <c r="F118" s="92" t="inlineStr">
        <is>
          <t>نمای مالی</t>
        </is>
      </c>
      <c r="G118" s="92" t="inlineStr">
        <is>
          <t>P-7C97FDB9</t>
        </is>
      </c>
      <c r="H118" s="92" t="inlineStr">
        <is>
          <t>عماد صدیقی</t>
        </is>
      </c>
      <c r="I118" s="92" t="inlineStr">
        <is>
          <t>عماد صدیقی</t>
        </is>
      </c>
      <c r="J118" s="92" t="inlineStr">
        <is>
          <t>NATIONAL_ID؛ هش 3ADD7E77</t>
        </is>
      </c>
      <c r="K118" s="92" t="inlineStr">
        <is>
          <t>عضو اصلی فعال</t>
        </is>
      </c>
      <c r="L118" s="92" t="inlineStr">
        <is>
          <t>رئیس هیئت مدیره</t>
        </is>
      </c>
      <c r="M118" s="92" t="inlineStr">
        <is>
          <t>خیر</t>
        </is>
      </c>
      <c r="N118" s="92" t="inlineStr">
        <is>
          <t>بله</t>
        </is>
      </c>
      <c r="O118" s="92" t="inlineStr">
        <is>
          <t>مجتمع صنعتی نفت و گاز صبا جم کنگان</t>
        </is>
      </c>
      <c r="P118" s="92" t="inlineStr">
        <is>
          <t>ندارد (فقط نام)</t>
        </is>
      </c>
      <c r="Q118" s="92" t="inlineStr">
        <is>
          <t>عماد صدیقی</t>
        </is>
      </c>
      <c r="R118" s="92" t="inlineStr">
        <is>
          <t>مجتمع صنعتی نفت و گاز صبا جم کنگان</t>
        </is>
      </c>
      <c r="S118" s="92" t="inlineStr">
        <is>
          <t>نام دارنده حقوقی</t>
        </is>
      </c>
      <c r="T118" s="92" t="inlineStr"/>
      <c r="U118" s="92" t="n">
        <v>5</v>
      </c>
      <c r="V118" s="92" t="inlineStr">
        <is>
          <t>نامشخص: تعداد کل اعلام شده در متن ثبت نشده</t>
        </is>
      </c>
      <c r="W118" s="92" t="inlineStr">
        <is>
          <t>SRC_ZGRS_1404_001</t>
        </is>
      </c>
      <c r="X118" s="92" t="inlineStr">
        <is>
          <t>1404/12/29</t>
        </is>
      </c>
      <c r="Y118" s="92" t="inlineStr"/>
      <c r="Z118" s="92" t="inlineStr"/>
      <c r="AA118" s="92" t="inlineStr">
        <is>
          <t>BR Independence v41 ردیف 28</t>
        </is>
      </c>
    </row>
    <row r="119" ht="30" customHeight="1" s="76">
      <c r="A119" s="92" t="inlineStr">
        <is>
          <t>SM0116</t>
        </is>
      </c>
      <c r="B119" s="92" t="inlineStr">
        <is>
          <t>F06</t>
        </is>
      </c>
      <c r="C119" s="92" t="inlineStr">
        <is>
          <t>شبندر</t>
        </is>
      </c>
      <c r="D119" s="92" t="inlineStr">
        <is>
          <t>1404/12/29</t>
        </is>
      </c>
      <c r="E119" s="92" t="inlineStr">
        <is>
          <t>FYE1404 (v41)؛ بله (مقطع یکسان با پایان مشترک؛ فهرست مبنا نیست)</t>
        </is>
      </c>
      <c r="F119" s="92" t="inlineStr">
        <is>
          <t>نمای مالی</t>
        </is>
      </c>
      <c r="G119" s="92" t="inlineStr">
        <is>
          <t>P-A46E644E</t>
        </is>
      </c>
      <c r="H119" s="92" t="inlineStr">
        <is>
          <t>اسحاق جعفری</t>
        </is>
      </c>
      <c r="I119" s="92" t="inlineStr">
        <is>
          <t>اسحاق جعفری</t>
        </is>
      </c>
      <c r="J119" s="92" t="inlineStr">
        <is>
          <t>NATIONAL_ID؛ هش 40E53F85</t>
        </is>
      </c>
      <c r="K119" s="92" t="inlineStr">
        <is>
          <t>عضو اصلی فعال</t>
        </is>
      </c>
      <c r="L119" s="92" t="inlineStr">
        <is>
          <t>عضو هیئت مدیره</t>
        </is>
      </c>
      <c r="M119" s="92" t="inlineStr">
        <is>
          <t>خیر</t>
        </is>
      </c>
      <c r="N119" s="92" t="inlineStr">
        <is>
          <t>خیر</t>
        </is>
      </c>
      <c r="O119" s="92" t="inlineStr">
        <is>
          <t>توسعه پیشرو رفاه پردیس</t>
        </is>
      </c>
      <c r="P119" s="92" t="inlineStr">
        <is>
          <t>ندارد (فقط نام)</t>
        </is>
      </c>
      <c r="Q119" s="92" t="inlineStr">
        <is>
          <t>اسحاق جعفری</t>
        </is>
      </c>
      <c r="R119" s="92" t="inlineStr">
        <is>
          <t>توسعه پیشرو رفاه پردیس</t>
        </is>
      </c>
      <c r="S119" s="92" t="inlineStr">
        <is>
          <t>نام دارنده حقوقی</t>
        </is>
      </c>
      <c r="T119" s="92" t="inlineStr"/>
      <c r="U119" s="92" t="n">
        <v>5</v>
      </c>
      <c r="V119" s="92" t="inlineStr">
        <is>
          <t>نامشخص: تعداد کل اعلام شده در متن ثبت نشده</t>
        </is>
      </c>
      <c r="W119" s="92" t="inlineStr">
        <is>
          <t>SRC_SHBN_1404_001</t>
        </is>
      </c>
      <c r="X119" s="92" t="inlineStr">
        <is>
          <t>1404/12/29</t>
        </is>
      </c>
      <c r="Y119" s="92" t="inlineStr"/>
      <c r="Z119" s="92" t="inlineStr"/>
      <c r="AA119" s="92" t="inlineStr">
        <is>
          <t>BR Independence v41 ردیف 29</t>
        </is>
      </c>
    </row>
    <row r="120" ht="30" customHeight="1" s="76">
      <c r="A120" s="92" t="inlineStr">
        <is>
          <t>SM0117</t>
        </is>
      </c>
      <c r="B120" s="92" t="inlineStr">
        <is>
          <t>F06</t>
        </is>
      </c>
      <c r="C120" s="92" t="inlineStr">
        <is>
          <t>شبندر</t>
        </is>
      </c>
      <c r="D120" s="92" t="inlineStr">
        <is>
          <t>1404/12/29</t>
        </is>
      </c>
      <c r="E120" s="92" t="inlineStr">
        <is>
          <t>FYE1404 (v41)؛ بله (مقطع یکسان با پایان مشترک؛ فهرست مبنا نیست)</t>
        </is>
      </c>
      <c r="F120" s="92" t="inlineStr">
        <is>
          <t>نمای مالی</t>
        </is>
      </c>
      <c r="G120" s="92" t="inlineStr">
        <is>
          <t>P-3FEFC0CD</t>
        </is>
      </c>
      <c r="H120" s="92" t="inlineStr">
        <is>
          <t>احمد هاشمی</t>
        </is>
      </c>
      <c r="I120" s="92" t="inlineStr">
        <is>
          <t>احمد هاشمی</t>
        </is>
      </c>
      <c r="J120" s="92" t="inlineStr">
        <is>
          <t>NATIONAL_ID؛ هش FE6B3B42</t>
        </is>
      </c>
      <c r="K120" s="92" t="inlineStr">
        <is>
          <t>عضو اصلی فعال</t>
        </is>
      </c>
      <c r="L120" s="92" t="inlineStr">
        <is>
          <t>نایب رئیس هیئت مدیره</t>
        </is>
      </c>
      <c r="M120" s="92" t="inlineStr">
        <is>
          <t>بله</t>
        </is>
      </c>
      <c r="N120" s="92" t="inlineStr">
        <is>
          <t>خیر</t>
        </is>
      </c>
      <c r="O120" s="92" t="inlineStr">
        <is>
          <t>سرمایه گذاری توسعه سرمایه رفاه</t>
        </is>
      </c>
      <c r="P120" s="92" t="inlineStr">
        <is>
          <t>ندارد (فقط نام)</t>
        </is>
      </c>
      <c r="Q120" s="92" t="inlineStr">
        <is>
          <t>احمد هاشمی</t>
        </is>
      </c>
      <c r="R120" s="92" t="inlineStr">
        <is>
          <t>سرمایه گذاری توسعه سرمایه رفاه</t>
        </is>
      </c>
      <c r="S120" s="92" t="inlineStr">
        <is>
          <t>نام دارنده حقوقی</t>
        </is>
      </c>
      <c r="T120" s="92" t="inlineStr"/>
      <c r="U120" s="92" t="n">
        <v>5</v>
      </c>
      <c r="V120" s="92" t="inlineStr">
        <is>
          <t>نامشخص: تعداد کل اعلام شده در متن ثبت نشده</t>
        </is>
      </c>
      <c r="W120" s="92" t="inlineStr">
        <is>
          <t>SRC_SHBN_1404_001</t>
        </is>
      </c>
      <c r="X120" s="92" t="inlineStr">
        <is>
          <t>1404/12/29</t>
        </is>
      </c>
      <c r="Y120" s="92" t="inlineStr"/>
      <c r="Z120" s="92" t="inlineStr"/>
      <c r="AA120" s="92" t="inlineStr">
        <is>
          <t>BR Independence v41 ردیف 30</t>
        </is>
      </c>
    </row>
    <row r="121" ht="30" customHeight="1" s="76">
      <c r="A121" s="92" t="inlineStr">
        <is>
          <t>SM0118</t>
        </is>
      </c>
      <c r="B121" s="92" t="inlineStr">
        <is>
          <t>F06</t>
        </is>
      </c>
      <c r="C121" s="92" t="inlineStr">
        <is>
          <t>شبندر</t>
        </is>
      </c>
      <c r="D121" s="92" t="inlineStr">
        <is>
          <t>1404/12/29</t>
        </is>
      </c>
      <c r="E121" s="92" t="inlineStr">
        <is>
          <t>FYE1404 (v41)؛ بله (مقطع یکسان با پایان مشترک؛ فهرست مبنا نیست)</t>
        </is>
      </c>
      <c r="F121" s="92" t="inlineStr">
        <is>
          <t>نمای مالی</t>
        </is>
      </c>
      <c r="G121" s="92" t="inlineStr">
        <is>
          <t>P-5B0C6105</t>
        </is>
      </c>
      <c r="H121" s="92" t="inlineStr">
        <is>
          <t>سیدحامد اکبری</t>
        </is>
      </c>
      <c r="I121" s="92" t="inlineStr">
        <is>
          <t>سیدحامد اکبری</t>
        </is>
      </c>
      <c r="J121" s="92" t="inlineStr">
        <is>
          <t>NATIONAL_ID؛ هش A7A65E9A</t>
        </is>
      </c>
      <c r="K121" s="92" t="inlineStr">
        <is>
          <t>عضو اصلی فعال</t>
        </is>
      </c>
      <c r="L121" s="92" t="inlineStr">
        <is>
          <t>عضو هیئت مدیره</t>
        </is>
      </c>
      <c r="M121" s="92" t="inlineStr">
        <is>
          <t>خیر</t>
        </is>
      </c>
      <c r="N121" s="92" t="inlineStr">
        <is>
          <t>خیر</t>
        </is>
      </c>
      <c r="O121" s="92" t="inlineStr">
        <is>
          <t>بانک صادرات ایران</t>
        </is>
      </c>
      <c r="P121" s="92" t="inlineStr">
        <is>
          <t>ندارد (فقط نام)</t>
        </is>
      </c>
      <c r="Q121" s="92" t="inlineStr">
        <is>
          <t>سیدحامد اکبری</t>
        </is>
      </c>
      <c r="R121" s="92" t="inlineStr">
        <is>
          <t>بانک صادرات ایران</t>
        </is>
      </c>
      <c r="S121" s="92" t="inlineStr">
        <is>
          <t>نام دارنده حقوقی</t>
        </is>
      </c>
      <c r="T121" s="92" t="inlineStr"/>
      <c r="U121" s="92" t="n">
        <v>5</v>
      </c>
      <c r="V121" s="92" t="inlineStr">
        <is>
          <t>نامشخص: تعداد کل اعلام شده در متن ثبت نشده</t>
        </is>
      </c>
      <c r="W121" s="92" t="inlineStr">
        <is>
          <t>SRC_SHBN_1404_001</t>
        </is>
      </c>
      <c r="X121" s="92" t="inlineStr">
        <is>
          <t>1404/12/29</t>
        </is>
      </c>
      <c r="Y121" s="92" t="inlineStr"/>
      <c r="Z121" s="92" t="inlineStr"/>
      <c r="AA121" s="92" t="inlineStr">
        <is>
          <t>BR Independence v41 ردیف 31</t>
        </is>
      </c>
    </row>
    <row r="122" ht="30" customHeight="1" s="76">
      <c r="A122" s="92" t="inlineStr">
        <is>
          <t>SM0119</t>
        </is>
      </c>
      <c r="B122" s="92" t="inlineStr">
        <is>
          <t>F06</t>
        </is>
      </c>
      <c r="C122" s="92" t="inlineStr">
        <is>
          <t>شبندر</t>
        </is>
      </c>
      <c r="D122" s="92" t="inlineStr">
        <is>
          <t>1404/12/29</t>
        </is>
      </c>
      <c r="E122" s="92" t="inlineStr">
        <is>
          <t>FYE1404 (v41)؛ بله (مقطع یکسان با پایان مشترک؛ فهرست مبنا نیست)</t>
        </is>
      </c>
      <c r="F122" s="92" t="inlineStr">
        <is>
          <t>نمای مالی</t>
        </is>
      </c>
      <c r="G122" s="92" t="inlineStr">
        <is>
          <t>P-A67A3B89</t>
        </is>
      </c>
      <c r="H122" s="92" t="inlineStr">
        <is>
          <t>محمد صادقی</t>
        </is>
      </c>
      <c r="I122" s="92" t="inlineStr">
        <is>
          <t>محمد صادقی</t>
        </is>
      </c>
      <c r="J122" s="92" t="inlineStr">
        <is>
          <t>NATIONAL_ID؛ هش E2F24564</t>
        </is>
      </c>
      <c r="K122" s="92" t="inlineStr">
        <is>
          <t>عضو اصلی فعال</t>
        </is>
      </c>
      <c r="L122" s="92" t="inlineStr">
        <is>
          <t>رئیس هیئت مدیره</t>
        </is>
      </c>
      <c r="M122" s="92" t="inlineStr">
        <is>
          <t>خیر</t>
        </is>
      </c>
      <c r="N122" s="92" t="inlineStr">
        <is>
          <t>بله</t>
        </is>
      </c>
      <c r="O122" s="92" t="inlineStr">
        <is>
          <t>سرمایه گذاری استان بوشهر</t>
        </is>
      </c>
      <c r="P122" s="92" t="inlineStr">
        <is>
          <t>ندارد (فقط نام)</t>
        </is>
      </c>
      <c r="Q122" s="92" t="inlineStr">
        <is>
          <t>محمد صادقی</t>
        </is>
      </c>
      <c r="R122" s="92" t="inlineStr">
        <is>
          <t>سرمایه گذاری استان بوشهر</t>
        </is>
      </c>
      <c r="S122" s="92" t="inlineStr">
        <is>
          <t>نام دارنده حقوقی</t>
        </is>
      </c>
      <c r="T122" s="92" t="inlineStr"/>
      <c r="U122" s="92" t="n">
        <v>5</v>
      </c>
      <c r="V122" s="92" t="inlineStr">
        <is>
          <t>نامشخص: تعداد کل اعلام شده در متن ثبت نشده</t>
        </is>
      </c>
      <c r="W122" s="92" t="inlineStr">
        <is>
          <t>SRC_SHBN_1404_001</t>
        </is>
      </c>
      <c r="X122" s="92" t="inlineStr">
        <is>
          <t>1404/12/29</t>
        </is>
      </c>
      <c r="Y122" s="92" t="inlineStr"/>
      <c r="Z122" s="92" t="inlineStr"/>
      <c r="AA122" s="92" t="inlineStr">
        <is>
          <t>BR Independence v41 ردیف 32</t>
        </is>
      </c>
    </row>
    <row r="123" ht="30" customHeight="1" s="76">
      <c r="A123" s="92" t="inlineStr">
        <is>
          <t>SM0120</t>
        </is>
      </c>
      <c r="B123" s="92" t="inlineStr">
        <is>
          <t>F06</t>
        </is>
      </c>
      <c r="C123" s="92" t="inlineStr">
        <is>
          <t>شبندر</t>
        </is>
      </c>
      <c r="D123" s="92" t="inlineStr">
        <is>
          <t>1404/12/29</t>
        </is>
      </c>
      <c r="E123" s="92" t="inlineStr">
        <is>
          <t>FYE1404 (v41)؛ بله (مقطع یکسان با پایان مشترک؛ فهرست مبنا نیست)</t>
        </is>
      </c>
      <c r="F123" s="92" t="inlineStr">
        <is>
          <t>نمای مالی</t>
        </is>
      </c>
      <c r="G123" s="92" t="inlineStr">
        <is>
          <t>P-3BA4E4D3</t>
        </is>
      </c>
      <c r="H123" s="92" t="inlineStr">
        <is>
          <t>عبدالوهاب ارامش</t>
        </is>
      </c>
      <c r="I123" s="92" t="inlineStr">
        <is>
          <t>عبدالوهاب ارامش</t>
        </is>
      </c>
      <c r="J123" s="92" t="inlineStr">
        <is>
          <t>NATIONAL_ID؛ هش BB37AB81</t>
        </is>
      </c>
      <c r="K123" s="92" t="inlineStr">
        <is>
          <t>عضو اصلی فعال</t>
        </is>
      </c>
      <c r="L123" s="92" t="inlineStr">
        <is>
          <t>عضو هیئت مدیره</t>
        </is>
      </c>
      <c r="M123" s="92" t="inlineStr">
        <is>
          <t>خیر</t>
        </is>
      </c>
      <c r="N123" s="92" t="inlineStr">
        <is>
          <t>خیر</t>
        </is>
      </c>
      <c r="O123" s="92" t="inlineStr">
        <is>
          <t>سرمایه گذاری هامون سپاهان</t>
        </is>
      </c>
      <c r="P123" s="92" t="inlineStr">
        <is>
          <t>ندارد (فقط نام)</t>
        </is>
      </c>
      <c r="Q123" s="92" t="inlineStr">
        <is>
          <t>عبدالوهاب ارامش</t>
        </is>
      </c>
      <c r="R123" s="92" t="inlineStr">
        <is>
          <t>سرمایه گذاری هامون سپاهان</t>
        </is>
      </c>
      <c r="S123" s="92" t="inlineStr">
        <is>
          <t>نام دارنده حقوقی</t>
        </is>
      </c>
      <c r="T123" s="92" t="inlineStr"/>
      <c r="U123" s="92" t="n">
        <v>5</v>
      </c>
      <c r="V123" s="92" t="inlineStr">
        <is>
          <t>نامشخص: تعداد کل اعلام شده در متن ثبت نشده</t>
        </is>
      </c>
      <c r="W123" s="92" t="inlineStr">
        <is>
          <t>SRC_SHBN_1404_001</t>
        </is>
      </c>
      <c r="X123" s="92" t="inlineStr">
        <is>
          <t>1404/12/29</t>
        </is>
      </c>
      <c r="Y123" s="92" t="inlineStr"/>
      <c r="Z123" s="92" t="inlineStr"/>
      <c r="AA123" s="92" t="inlineStr">
        <is>
          <t>BR Independence v41 ردیف 33</t>
        </is>
      </c>
    </row>
    <row r="124" ht="30" customHeight="1" s="76">
      <c r="A124" s="92" t="inlineStr">
        <is>
          <t>SM0121</t>
        </is>
      </c>
      <c r="B124" s="92" t="inlineStr">
        <is>
          <t>F07</t>
        </is>
      </c>
      <c r="C124" s="92" t="inlineStr">
        <is>
          <t>پارس</t>
        </is>
      </c>
      <c r="D124" s="92" t="inlineStr">
        <is>
          <t>1404/12/29</t>
        </is>
      </c>
      <c r="E124" s="92" t="inlineStr">
        <is>
          <t>FYE1404 (v41)؛ بله (مقطع یکسان با پایان مشترک؛ فهرست مبنا نیست)</t>
        </is>
      </c>
      <c r="F124" s="92" t="inlineStr">
        <is>
          <t>نمای مالی</t>
        </is>
      </c>
      <c r="G124" s="92" t="inlineStr">
        <is>
          <t>P-A2EF9DC2</t>
        </is>
      </c>
      <c r="H124" s="92" t="inlineStr">
        <is>
          <t>ابراهیم صادقی</t>
        </is>
      </c>
      <c r="I124" s="92" t="inlineStr">
        <is>
          <t>ابراهیم صادقی</t>
        </is>
      </c>
      <c r="J124" s="92" t="inlineStr">
        <is>
          <t>NATIONAL_ID؛ هش 7384019B</t>
        </is>
      </c>
      <c r="K124" s="92" t="inlineStr">
        <is>
          <t>عضو اصلی فعال</t>
        </is>
      </c>
      <c r="L124" s="92" t="inlineStr">
        <is>
          <t>عضو هیئت مدیره</t>
        </is>
      </c>
      <c r="M124" s="92" t="inlineStr">
        <is>
          <t>خیر</t>
        </is>
      </c>
      <c r="N124" s="92" t="inlineStr">
        <is>
          <t>خیر</t>
        </is>
      </c>
      <c r="O124" s="92" t="inlineStr">
        <is>
          <t>گروه گسترش نفت و گاز پارسیان</t>
        </is>
      </c>
      <c r="P124" s="92" t="inlineStr">
        <is>
          <t>ندارد (فقط نام)</t>
        </is>
      </c>
      <c r="Q124" s="92" t="inlineStr">
        <is>
          <t>ابراهیم صادقی</t>
        </is>
      </c>
      <c r="R124" s="92" t="inlineStr">
        <is>
          <t>گروه گسترش نفت و گاز پارسیان</t>
        </is>
      </c>
      <c r="S124" s="92" t="inlineStr">
        <is>
          <t>نام دارنده حقوقی</t>
        </is>
      </c>
      <c r="T124" s="92" t="inlineStr"/>
      <c r="U124" s="92" t="n">
        <v>5</v>
      </c>
      <c r="V124" s="92" t="inlineStr">
        <is>
          <t>نامشخص: تعداد کل اعلام شده در متن ثبت نشده</t>
        </is>
      </c>
      <c r="W124" s="92" t="inlineStr">
        <is>
          <t>SRC_PARS_1404_001</t>
        </is>
      </c>
      <c r="X124" s="92" t="inlineStr">
        <is>
          <t>1404/12/29</t>
        </is>
      </c>
      <c r="Y124" s="92" t="inlineStr"/>
      <c r="Z124" s="92" t="inlineStr"/>
      <c r="AA124" s="92" t="inlineStr">
        <is>
          <t>BR Independence v41 ردیف 34</t>
        </is>
      </c>
    </row>
    <row r="125" ht="30" customHeight="1" s="76">
      <c r="A125" s="92" t="inlineStr">
        <is>
          <t>SM0122</t>
        </is>
      </c>
      <c r="B125" s="92" t="inlineStr">
        <is>
          <t>F07</t>
        </is>
      </c>
      <c r="C125" s="92" t="inlineStr">
        <is>
          <t>پارس</t>
        </is>
      </c>
      <c r="D125" s="92" t="inlineStr">
        <is>
          <t>1404/12/29</t>
        </is>
      </c>
      <c r="E125" s="92" t="inlineStr">
        <is>
          <t>FYE1404 (v41)؛ بله (مقطع یکسان با پایان مشترک؛ فهرست مبنا نیست)</t>
        </is>
      </c>
      <c r="F125" s="92" t="inlineStr">
        <is>
          <t>نمای مالی</t>
        </is>
      </c>
      <c r="G125" s="92" t="inlineStr">
        <is>
          <t>P-80BF0E80</t>
        </is>
      </c>
      <c r="H125" s="92" t="inlineStr">
        <is>
          <t>رضا فرزادی</t>
        </is>
      </c>
      <c r="I125" s="92" t="inlineStr">
        <is>
          <t>رضا فرزادی</t>
        </is>
      </c>
      <c r="J125" s="92" t="inlineStr">
        <is>
          <t>NATIONAL_ID؛ هش 3D577CA8</t>
        </is>
      </c>
      <c r="K125" s="92" t="inlineStr">
        <is>
          <t>عضو اصلی فعال</t>
        </is>
      </c>
      <c r="L125" s="92" t="inlineStr">
        <is>
          <t>عضو هیئت مدیره</t>
        </is>
      </c>
      <c r="M125" s="92" t="inlineStr">
        <is>
          <t>خیر</t>
        </is>
      </c>
      <c r="N125" s="92" t="inlineStr">
        <is>
          <t>خیر</t>
        </is>
      </c>
      <c r="O125" s="92" t="inlineStr">
        <is>
          <t>سرمایه گذاری غدیر</t>
        </is>
      </c>
      <c r="P125" s="92" t="inlineStr">
        <is>
          <t>ندارد (فقط نام)</t>
        </is>
      </c>
      <c r="Q125" s="92" t="inlineStr">
        <is>
          <t>رضا فرزادی</t>
        </is>
      </c>
      <c r="R125" s="92" t="inlineStr">
        <is>
          <t>سرمایه گذاری غدیر</t>
        </is>
      </c>
      <c r="S125" s="92" t="inlineStr">
        <is>
          <t>نام دارنده حقوقی</t>
        </is>
      </c>
      <c r="T125" s="92" t="inlineStr"/>
      <c r="U125" s="92" t="n">
        <v>5</v>
      </c>
      <c r="V125" s="92" t="inlineStr">
        <is>
          <t>نامشخص: تعداد کل اعلام شده در متن ثبت نشده</t>
        </is>
      </c>
      <c r="W125" s="92" t="inlineStr">
        <is>
          <t>SRC_PARS_1404_001</t>
        </is>
      </c>
      <c r="X125" s="92" t="inlineStr">
        <is>
          <t>1404/12/29</t>
        </is>
      </c>
      <c r="Y125" s="92" t="inlineStr"/>
      <c r="Z125" s="92" t="inlineStr"/>
      <c r="AA125" s="92" t="inlineStr">
        <is>
          <t>BR Independence v41 ردیف 35</t>
        </is>
      </c>
    </row>
    <row r="126" ht="30" customHeight="1" s="76">
      <c r="A126" s="92" t="inlineStr">
        <is>
          <t>SM0123</t>
        </is>
      </c>
      <c r="B126" s="92" t="inlineStr">
        <is>
          <t>F07</t>
        </is>
      </c>
      <c r="C126" s="92" t="inlineStr">
        <is>
          <t>پارس</t>
        </is>
      </c>
      <c r="D126" s="92" t="inlineStr">
        <is>
          <t>1404/12/29</t>
        </is>
      </c>
      <c r="E126" s="92" t="inlineStr">
        <is>
          <t>FYE1404 (v41)؛ بله (مقطع یکسان با پایان مشترک؛ فهرست مبنا نیست)</t>
        </is>
      </c>
      <c r="F126" s="92" t="inlineStr">
        <is>
          <t>نمای مالی</t>
        </is>
      </c>
      <c r="G126" s="92" t="inlineStr">
        <is>
          <t>P-3FA1FCDE</t>
        </is>
      </c>
      <c r="H126" s="92" t="inlineStr">
        <is>
          <t>یداله مصدقی فرد</t>
        </is>
      </c>
      <c r="I126" s="92" t="inlineStr">
        <is>
          <t>یداله مصدقی فرد</t>
        </is>
      </c>
      <c r="J126" s="92" t="inlineStr">
        <is>
          <t>NATIONAL_ID؛ هش 03F889F8</t>
        </is>
      </c>
      <c r="K126" s="92" t="inlineStr">
        <is>
          <t>عضو اصلی فعال</t>
        </is>
      </c>
      <c r="L126" s="92" t="inlineStr">
        <is>
          <t>رئیس هیئت مدیره</t>
        </is>
      </c>
      <c r="M126" s="92" t="inlineStr">
        <is>
          <t>خیر</t>
        </is>
      </c>
      <c r="N126" s="92" t="inlineStr">
        <is>
          <t>بله</t>
        </is>
      </c>
      <c r="O126" s="92" t="inlineStr">
        <is>
          <t>پتروشیمی کارون</t>
        </is>
      </c>
      <c r="P126" s="92" t="inlineStr">
        <is>
          <t>ندارد (فقط نام)</t>
        </is>
      </c>
      <c r="Q126" s="92" t="inlineStr">
        <is>
          <t>یداله مصدقی فرد</t>
        </is>
      </c>
      <c r="R126" s="92" t="inlineStr">
        <is>
          <t>پتروشیمی کارون</t>
        </is>
      </c>
      <c r="S126" s="92" t="inlineStr">
        <is>
          <t>نام دارنده حقوقی</t>
        </is>
      </c>
      <c r="T126" s="92" t="inlineStr"/>
      <c r="U126" s="92" t="n">
        <v>5</v>
      </c>
      <c r="V126" s="92" t="inlineStr">
        <is>
          <t>نامشخص: تعداد کل اعلام شده در متن ثبت نشده</t>
        </is>
      </c>
      <c r="W126" s="92" t="inlineStr">
        <is>
          <t>SRC_PARS_1404_001</t>
        </is>
      </c>
      <c r="X126" s="92" t="inlineStr">
        <is>
          <t>1404/12/29</t>
        </is>
      </c>
      <c r="Y126" s="92" t="inlineStr"/>
      <c r="Z126" s="92" t="inlineStr"/>
      <c r="AA126" s="92" t="inlineStr">
        <is>
          <t>BR Independence v41 ردیف 36</t>
        </is>
      </c>
    </row>
    <row r="127" ht="30" customHeight="1" s="76">
      <c r="A127" s="92" t="inlineStr">
        <is>
          <t>SM0124</t>
        </is>
      </c>
      <c r="B127" s="92" t="inlineStr">
        <is>
          <t>F07</t>
        </is>
      </c>
      <c r="C127" s="92" t="inlineStr">
        <is>
          <t>پارس</t>
        </is>
      </c>
      <c r="D127" s="92" t="inlineStr">
        <is>
          <t>1404/12/29</t>
        </is>
      </c>
      <c r="E127" s="92" t="inlineStr">
        <is>
          <t>FYE1404 (v41)؛ بله (مقطع یکسان با پایان مشترک؛ فهرست مبنا نیست)</t>
        </is>
      </c>
      <c r="F127" s="92" t="inlineStr">
        <is>
          <t>نمای مالی</t>
        </is>
      </c>
      <c r="G127" s="92" t="inlineStr">
        <is>
          <t>P-C29D144D</t>
        </is>
      </c>
      <c r="H127" s="92" t="inlineStr">
        <is>
          <t>محمدرضا حیدرزاده</t>
        </is>
      </c>
      <c r="I127" s="92" t="inlineStr">
        <is>
          <t>محمدرضا حیدرزاده</t>
        </is>
      </c>
      <c r="J127" s="92" t="inlineStr">
        <is>
          <t>NATIONAL_ID؛ هش 1D31CEC5</t>
        </is>
      </c>
      <c r="K127" s="92" t="inlineStr">
        <is>
          <t>عضو اصلی فعال</t>
        </is>
      </c>
      <c r="L127" s="92" t="inlineStr">
        <is>
          <t>عضو هیئت مدیره</t>
        </is>
      </c>
      <c r="M127" s="92" t="inlineStr">
        <is>
          <t>خیر</t>
        </is>
      </c>
      <c r="N127" s="92" t="inlineStr">
        <is>
          <t>خیر</t>
        </is>
      </c>
      <c r="O127" s="92" t="inlineStr">
        <is>
          <t>پتروشیمی هنگام</t>
        </is>
      </c>
      <c r="P127" s="92" t="inlineStr">
        <is>
          <t>ندارد (فقط نام)</t>
        </is>
      </c>
      <c r="Q127" s="92" t="inlineStr">
        <is>
          <t>محمدرضا حیدرزاده</t>
        </is>
      </c>
      <c r="R127" s="92" t="inlineStr">
        <is>
          <t>پتروشیمی هنگام</t>
        </is>
      </c>
      <c r="S127" s="92" t="inlineStr">
        <is>
          <t>نام دارنده حقوقی</t>
        </is>
      </c>
      <c r="T127" s="92" t="inlineStr"/>
      <c r="U127" s="92" t="n">
        <v>5</v>
      </c>
      <c r="V127" s="92" t="inlineStr">
        <is>
          <t>نامشخص: تعداد کل اعلام شده در متن ثبت نشده</t>
        </is>
      </c>
      <c r="W127" s="92" t="inlineStr">
        <is>
          <t>SRC_PARS_1404_001</t>
        </is>
      </c>
      <c r="X127" s="92" t="inlineStr">
        <is>
          <t>1404/12/29</t>
        </is>
      </c>
      <c r="Y127" s="92" t="inlineStr"/>
      <c r="Z127" s="92" t="inlineStr"/>
      <c r="AA127" s="92" t="inlineStr">
        <is>
          <t>BR Independence v41 ردیف 37</t>
        </is>
      </c>
    </row>
    <row r="128" ht="30" customHeight="1" s="76">
      <c r="A128" s="92" t="inlineStr">
        <is>
          <t>SM0125</t>
        </is>
      </c>
      <c r="B128" s="92" t="inlineStr">
        <is>
          <t>F07</t>
        </is>
      </c>
      <c r="C128" s="92" t="inlineStr">
        <is>
          <t>پارس</t>
        </is>
      </c>
      <c r="D128" s="92" t="inlineStr">
        <is>
          <t>1404/12/29</t>
        </is>
      </c>
      <c r="E128" s="92" t="inlineStr">
        <is>
          <t>FYE1404 (v41)؛ بله (مقطع یکسان با پایان مشترک؛ فهرست مبنا نیست)</t>
        </is>
      </c>
      <c r="F128" s="92" t="inlineStr">
        <is>
          <t>نمای مالی</t>
        </is>
      </c>
      <c r="G128" s="92" t="inlineStr">
        <is>
          <t>P-8897FAB1</t>
        </is>
      </c>
      <c r="H128" s="92" t="inlineStr">
        <is>
          <t>عبدالکریم پهلوانی</t>
        </is>
      </c>
      <c r="I128" s="92" t="inlineStr">
        <is>
          <t>عبدالکریم پهلوانی</t>
        </is>
      </c>
      <c r="J128" s="92" t="inlineStr">
        <is>
          <t>NATIONAL_ID؛ هش BD978E75</t>
        </is>
      </c>
      <c r="K128" s="92" t="inlineStr">
        <is>
          <t>عضو اصلی فعال</t>
        </is>
      </c>
      <c r="L128" s="92" t="inlineStr">
        <is>
          <t>نایب رئیس هیئت مدیره</t>
        </is>
      </c>
      <c r="M128" s="92" t="inlineStr">
        <is>
          <t>بله</t>
        </is>
      </c>
      <c r="N128" s="92" t="inlineStr">
        <is>
          <t>خیر</t>
        </is>
      </c>
      <c r="O128" s="92" t="inlineStr">
        <is>
          <t>پتروشیمی هرمز خلیج فارس</t>
        </is>
      </c>
      <c r="P128" s="92" t="inlineStr">
        <is>
          <t>ندارد (فقط نام)</t>
        </is>
      </c>
      <c r="Q128" s="92" t="inlineStr">
        <is>
          <t>عبدالکریم پهلوانی</t>
        </is>
      </c>
      <c r="R128" s="92" t="inlineStr">
        <is>
          <t>پتروشیمی هرمز خلیج فارس</t>
        </is>
      </c>
      <c r="S128" s="92" t="inlineStr">
        <is>
          <t>نام دارنده حقوقی</t>
        </is>
      </c>
      <c r="T128" s="92" t="inlineStr"/>
      <c r="U128" s="92" t="n">
        <v>5</v>
      </c>
      <c r="V128" s="92" t="inlineStr">
        <is>
          <t>نامشخص: تعداد کل اعلام شده در متن ثبت نشده</t>
        </is>
      </c>
      <c r="W128" s="92" t="inlineStr">
        <is>
          <t>SRC_PARS_1404_001</t>
        </is>
      </c>
      <c r="X128" s="92" t="inlineStr">
        <is>
          <t>1404/12/29</t>
        </is>
      </c>
      <c r="Y128" s="92" t="inlineStr"/>
      <c r="Z128" s="92" t="inlineStr"/>
      <c r="AA128" s="92" t="inlineStr">
        <is>
          <t>BR Independence v41 ردیف 38</t>
        </is>
      </c>
    </row>
    <row r="129" ht="30" customHeight="1" s="76">
      <c r="A129" s="92" t="inlineStr">
        <is>
          <t>SM0126</t>
        </is>
      </c>
      <c r="B129" s="92" t="inlineStr">
        <is>
          <t>F08</t>
        </is>
      </c>
      <c r="C129" s="92" t="inlineStr">
        <is>
          <t>شتران</t>
        </is>
      </c>
      <c r="D129" s="92" t="inlineStr">
        <is>
          <t>1404/12/29</t>
        </is>
      </c>
      <c r="E129" s="92" t="inlineStr">
        <is>
          <t>FYE1404 (v41)؛ بله (مقطع یکسان با پایان مشترک؛ فهرست مبنا نیست)</t>
        </is>
      </c>
      <c r="F129" s="92" t="inlineStr">
        <is>
          <t>نمای مالی</t>
        </is>
      </c>
      <c r="G129" s="92" t="inlineStr">
        <is>
          <t>P-F5ECB81D</t>
        </is>
      </c>
      <c r="H129" s="92" t="inlineStr">
        <is>
          <t>محمدعلی دادور</t>
        </is>
      </c>
      <c r="I129" s="92" t="inlineStr">
        <is>
          <t>محمدعلی دادور</t>
        </is>
      </c>
      <c r="J129" s="92" t="inlineStr">
        <is>
          <t>NATIONAL_ID؛ هش 6DA91A51</t>
        </is>
      </c>
      <c r="K129" s="92" t="inlineStr">
        <is>
          <t>عضو اصلی فعال</t>
        </is>
      </c>
      <c r="L129" s="92" t="inlineStr">
        <is>
          <t>رئیس هیئت مدیره</t>
        </is>
      </c>
      <c r="M129" s="92" t="inlineStr">
        <is>
          <t>خیر</t>
        </is>
      </c>
      <c r="N129" s="92" t="inlineStr">
        <is>
          <t>بله</t>
        </is>
      </c>
      <c r="O129" s="92" t="inlineStr">
        <is>
          <t>ملی پالایش و پخش فرآورده های نفتی ایران</t>
        </is>
      </c>
      <c r="P129" s="92" t="inlineStr">
        <is>
          <t>ندارد (فقط نام)</t>
        </is>
      </c>
      <c r="Q129" s="92" t="inlineStr">
        <is>
          <t>محمدعلی دادور</t>
        </is>
      </c>
      <c r="R129" s="92" t="inlineStr">
        <is>
          <t>ملی پالایش و پخش فرآورده های نفتی ایران</t>
        </is>
      </c>
      <c r="S129" s="92" t="inlineStr">
        <is>
          <t>نام دارنده حقوقی</t>
        </is>
      </c>
      <c r="T129" s="92" t="inlineStr"/>
      <c r="U129" s="92" t="n">
        <v>5</v>
      </c>
      <c r="V129" s="92" t="inlineStr">
        <is>
          <t>نامشخص: تعداد کل اعلام شده در متن ثبت نشده</t>
        </is>
      </c>
      <c r="W129" s="92" t="inlineStr">
        <is>
          <t>SRC_SHTR_1404_002</t>
        </is>
      </c>
      <c r="X129" s="92" t="inlineStr">
        <is>
          <t>1404/12/29</t>
        </is>
      </c>
      <c r="Y129" s="92" t="inlineStr"/>
      <c r="Z129" s="92" t="inlineStr"/>
      <c r="AA129" s="92" t="inlineStr">
        <is>
          <t>BR Independence v41 ردیف 39</t>
        </is>
      </c>
    </row>
    <row r="130" ht="30" customHeight="1" s="76">
      <c r="A130" s="92" t="inlineStr">
        <is>
          <t>SM0127</t>
        </is>
      </c>
      <c r="B130" s="92" t="inlineStr">
        <is>
          <t>F08</t>
        </is>
      </c>
      <c r="C130" s="92" t="inlineStr">
        <is>
          <t>شتران</t>
        </is>
      </c>
      <c r="D130" s="92" t="inlineStr">
        <is>
          <t>1404/12/29</t>
        </is>
      </c>
      <c r="E130" s="92" t="inlineStr">
        <is>
          <t>FYE1404 (v41)؛ بله (مقطع یکسان با پایان مشترک؛ فهرست مبنا نیست)</t>
        </is>
      </c>
      <c r="F130" s="92" t="inlineStr">
        <is>
          <t>نمای مالی</t>
        </is>
      </c>
      <c r="G130" s="92" t="inlineStr">
        <is>
          <t>P-58910B13</t>
        </is>
      </c>
      <c r="H130" s="92" t="inlineStr">
        <is>
          <t>میثم قاسمی</t>
        </is>
      </c>
      <c r="I130" s="92" t="inlineStr">
        <is>
          <t>میثم قاسمی</t>
        </is>
      </c>
      <c r="J130" s="92" t="inlineStr">
        <is>
          <t>NATIONAL_ID؛ هش 21DDB30C</t>
        </is>
      </c>
      <c r="K130" s="92" t="inlineStr">
        <is>
          <t>عضو اصلی فعال</t>
        </is>
      </c>
      <c r="L130" s="92" t="inlineStr">
        <is>
          <t>عضو هیئت مدیره</t>
        </is>
      </c>
      <c r="M130" s="92" t="inlineStr">
        <is>
          <t>خیر</t>
        </is>
      </c>
      <c r="N130" s="92" t="inlineStr">
        <is>
          <t>خیر</t>
        </is>
      </c>
      <c r="O130" s="92" t="inlineStr">
        <is>
          <t>سرمایه گذاری استان فارس</t>
        </is>
      </c>
      <c r="P130" s="92" t="inlineStr">
        <is>
          <t>ندارد (فقط نام)</t>
        </is>
      </c>
      <c r="Q130" s="92" t="inlineStr">
        <is>
          <t>میثم قاسمی</t>
        </is>
      </c>
      <c r="R130" s="92" t="inlineStr">
        <is>
          <t>سرمایه گذاری استان فارس</t>
        </is>
      </c>
      <c r="S130" s="92" t="inlineStr">
        <is>
          <t>نام دارنده حقوقی</t>
        </is>
      </c>
      <c r="T130" s="92" t="inlineStr"/>
      <c r="U130" s="92" t="n">
        <v>5</v>
      </c>
      <c r="V130" s="92" t="inlineStr">
        <is>
          <t>نامشخص: تعداد کل اعلام شده در متن ثبت نشده</t>
        </is>
      </c>
      <c r="W130" s="92" t="inlineStr">
        <is>
          <t>SRC_SHTR_1404_002</t>
        </is>
      </c>
      <c r="X130" s="92" t="inlineStr">
        <is>
          <t>1404/12/29</t>
        </is>
      </c>
      <c r="Y130" s="92" t="inlineStr"/>
      <c r="Z130" s="92" t="inlineStr"/>
      <c r="AA130" s="92" t="inlineStr">
        <is>
          <t>BR Independence v41 ردیف 40</t>
        </is>
      </c>
    </row>
    <row r="131" ht="30" customHeight="1" s="76">
      <c r="A131" s="92" t="inlineStr">
        <is>
          <t>SM0128</t>
        </is>
      </c>
      <c r="B131" s="92" t="inlineStr">
        <is>
          <t>F08</t>
        </is>
      </c>
      <c r="C131" s="92" t="inlineStr">
        <is>
          <t>شتران</t>
        </is>
      </c>
      <c r="D131" s="92" t="inlineStr">
        <is>
          <t>1404/12/29</t>
        </is>
      </c>
      <c r="E131" s="92" t="inlineStr">
        <is>
          <t>FYE1404 (v41)؛ بله (مقطع یکسان با پایان مشترک؛ فهرست مبنا نیست)</t>
        </is>
      </c>
      <c r="F131" s="92" t="inlineStr">
        <is>
          <t>نمای مالی</t>
        </is>
      </c>
      <c r="G131" s="92" t="inlineStr">
        <is>
          <t>P-D2927181</t>
        </is>
      </c>
      <c r="H131" s="92" t="inlineStr">
        <is>
          <t>عباس محسنی نیکوگفتار</t>
        </is>
      </c>
      <c r="I131" s="92" t="inlineStr">
        <is>
          <t>عباس محسنی نیکوگفتار</t>
        </is>
      </c>
      <c r="J131" s="92" t="inlineStr">
        <is>
          <t>NATIONAL_ID؛ هش 1542E50B</t>
        </is>
      </c>
      <c r="K131" s="92" t="inlineStr">
        <is>
          <t>عضو اصلی فعال</t>
        </is>
      </c>
      <c r="L131" s="92" t="inlineStr">
        <is>
          <t>عضو هیئت مدیره</t>
        </is>
      </c>
      <c r="M131" s="92" t="inlineStr">
        <is>
          <t>بله</t>
        </is>
      </c>
      <c r="N131" s="92" t="inlineStr">
        <is>
          <t>خیر</t>
        </is>
      </c>
      <c r="O131" s="92" t="inlineStr">
        <is>
          <t>سرمایه گذاری عدالت استان مازندران</t>
        </is>
      </c>
      <c r="P131" s="92" t="inlineStr">
        <is>
          <t>ندارد (فقط نام)</t>
        </is>
      </c>
      <c r="Q131" s="92" t="inlineStr">
        <is>
          <t>عباس محسنی نیکوگفتار</t>
        </is>
      </c>
      <c r="R131" s="92" t="inlineStr">
        <is>
          <t>سرمایه گذاری عدالت استان مازندران</t>
        </is>
      </c>
      <c r="S131" s="92" t="inlineStr">
        <is>
          <t>نام دارنده حقوقی</t>
        </is>
      </c>
      <c r="T131" s="92" t="inlineStr"/>
      <c r="U131" s="92" t="n">
        <v>5</v>
      </c>
      <c r="V131" s="92" t="inlineStr">
        <is>
          <t>نامشخص: تعداد کل اعلام شده در متن ثبت نشده</t>
        </is>
      </c>
      <c r="W131" s="92" t="inlineStr">
        <is>
          <t>SRC_SHTR_1404_002</t>
        </is>
      </c>
      <c r="X131" s="92" t="inlineStr">
        <is>
          <t>1404/12/29</t>
        </is>
      </c>
      <c r="Y131" s="92" t="inlineStr"/>
      <c r="Z131" s="92" t="inlineStr"/>
      <c r="AA131" s="92" t="inlineStr">
        <is>
          <t>BR Independence v41 ردیف 41</t>
        </is>
      </c>
    </row>
    <row r="132" ht="30" customHeight="1" s="76">
      <c r="A132" s="92" t="inlineStr">
        <is>
          <t>SM0129</t>
        </is>
      </c>
      <c r="B132" s="92" t="inlineStr">
        <is>
          <t>F08</t>
        </is>
      </c>
      <c r="C132" s="92" t="inlineStr">
        <is>
          <t>شتران</t>
        </is>
      </c>
      <c r="D132" s="92" t="inlineStr">
        <is>
          <t>1404/12/29</t>
        </is>
      </c>
      <c r="E132" s="92" t="inlineStr">
        <is>
          <t>FYE1404 (v41)؛ بله (مقطع یکسان با پایان مشترک؛ فهرست مبنا نیست)</t>
        </is>
      </c>
      <c r="F132" s="92" t="inlineStr">
        <is>
          <t>نمای مالی</t>
        </is>
      </c>
      <c r="G132" s="92" t="inlineStr">
        <is>
          <t>P-5224045D</t>
        </is>
      </c>
      <c r="H132" s="92" t="inlineStr">
        <is>
          <t>فریدون ورشوساز</t>
        </is>
      </c>
      <c r="I132" s="92" t="inlineStr">
        <is>
          <t>فریدون ورشوساز</t>
        </is>
      </c>
      <c r="J132" s="92" t="inlineStr">
        <is>
          <t>NATIONAL_ID؛ هش 02A080A9</t>
        </is>
      </c>
      <c r="K132" s="92" t="inlineStr">
        <is>
          <t>عضو اصلی فعال</t>
        </is>
      </c>
      <c r="L132" s="92" t="inlineStr">
        <is>
          <t>عضو هیئت مدیره</t>
        </is>
      </c>
      <c r="M132" s="92" t="inlineStr">
        <is>
          <t>خیر</t>
        </is>
      </c>
      <c r="N132" s="92" t="inlineStr">
        <is>
          <t>خیر</t>
        </is>
      </c>
      <c r="O132" s="92" t="inlineStr">
        <is>
          <t>سرمایه گذاری استان لرستان</t>
        </is>
      </c>
      <c r="P132" s="92" t="inlineStr">
        <is>
          <t>ندارد (فقط نام)</t>
        </is>
      </c>
      <c r="Q132" s="92" t="inlineStr">
        <is>
          <t>فریدون ورشوساز</t>
        </is>
      </c>
      <c r="R132" s="92" t="inlineStr">
        <is>
          <t>سرمایه گذاری استان لرستان</t>
        </is>
      </c>
      <c r="S132" s="92" t="inlineStr">
        <is>
          <t>نام دارنده حقوقی</t>
        </is>
      </c>
      <c r="T132" s="92" t="inlineStr"/>
      <c r="U132" s="92" t="n">
        <v>5</v>
      </c>
      <c r="V132" s="92" t="inlineStr">
        <is>
          <t>نامشخص: تعداد کل اعلام شده در متن ثبت نشده</t>
        </is>
      </c>
      <c r="W132" s="92" t="inlineStr">
        <is>
          <t>SRC_SHTR_1404_002</t>
        </is>
      </c>
      <c r="X132" s="92" t="inlineStr">
        <is>
          <t>1404/12/29</t>
        </is>
      </c>
      <c r="Y132" s="92" t="inlineStr"/>
      <c r="Z132" s="92" t="inlineStr"/>
      <c r="AA132" s="92" t="inlineStr">
        <is>
          <t>BR Independence v41 ردیف 42</t>
        </is>
      </c>
    </row>
    <row r="133" ht="30" customHeight="1" s="76">
      <c r="A133" s="92" t="inlineStr">
        <is>
          <t>SM0130</t>
        </is>
      </c>
      <c r="B133" s="92" t="inlineStr">
        <is>
          <t>F08</t>
        </is>
      </c>
      <c r="C133" s="92" t="inlineStr">
        <is>
          <t>شتران</t>
        </is>
      </c>
      <c r="D133" s="92" t="inlineStr">
        <is>
          <t>1404/12/29</t>
        </is>
      </c>
      <c r="E133" s="92" t="inlineStr">
        <is>
          <t>FYE1404 (v41)؛ بله (مقطع یکسان با پایان مشترک؛ فهرست مبنا نیست)</t>
        </is>
      </c>
      <c r="F133" s="92" t="inlineStr">
        <is>
          <t>نمای مالی</t>
        </is>
      </c>
      <c r="G133" s="92" t="inlineStr">
        <is>
          <t>P-74D62B30</t>
        </is>
      </c>
      <c r="H133" s="92" t="inlineStr">
        <is>
          <t>محمدمجتبی حاجی سالم</t>
        </is>
      </c>
      <c r="I133" s="92" t="inlineStr">
        <is>
          <t>محمدمجتبی حاجی سالم</t>
        </is>
      </c>
      <c r="J133" s="92" t="inlineStr">
        <is>
          <t>NATIONAL_ID؛ هش E272F100</t>
        </is>
      </c>
      <c r="K133" s="92" t="inlineStr">
        <is>
          <t>عضو اصلی فعال</t>
        </is>
      </c>
      <c r="L133" s="92" t="inlineStr">
        <is>
          <t>نایب رئیس هیئت مدیره</t>
        </is>
      </c>
      <c r="M133" s="92" t="inlineStr">
        <is>
          <t>خیر</t>
        </is>
      </c>
      <c r="N133" s="92" t="inlineStr">
        <is>
          <t>خیر</t>
        </is>
      </c>
      <c r="O133" s="92" t="inlineStr">
        <is>
          <t>سرمایه گذاری استان چهارمحال و بختیاری</t>
        </is>
      </c>
      <c r="P133" s="92" t="inlineStr">
        <is>
          <t>ندارد (فقط نام)</t>
        </is>
      </c>
      <c r="Q133" s="92" t="inlineStr">
        <is>
          <t>محمدمجتبی حاجی سالم</t>
        </is>
      </c>
      <c r="R133" s="92" t="inlineStr">
        <is>
          <t>سرمایه گذاری استان چهارمحال و بختیاری</t>
        </is>
      </c>
      <c r="S133" s="92" t="inlineStr">
        <is>
          <t>نام دارنده حقوقی</t>
        </is>
      </c>
      <c r="T133" s="92" t="inlineStr"/>
      <c r="U133" s="92" t="n">
        <v>5</v>
      </c>
      <c r="V133" s="92" t="inlineStr">
        <is>
          <t>نامشخص: تعداد کل اعلام شده در متن ثبت نشده</t>
        </is>
      </c>
      <c r="W133" s="92" t="inlineStr">
        <is>
          <t>SRC_SHTR_1404_002</t>
        </is>
      </c>
      <c r="X133" s="92" t="inlineStr">
        <is>
          <t>1404/12/29</t>
        </is>
      </c>
      <c r="Y133" s="92" t="inlineStr"/>
      <c r="Z133" s="92" t="inlineStr"/>
      <c r="AA133" s="92" t="inlineStr">
        <is>
          <t>BR Independence v41 ردیف 43</t>
        </is>
      </c>
    </row>
    <row r="134" ht="30" customHeight="1" s="76">
      <c r="A134" s="92" t="inlineStr">
        <is>
          <t>SM0131</t>
        </is>
      </c>
      <c r="B134" s="92" t="inlineStr">
        <is>
          <t>F09</t>
        </is>
      </c>
      <c r="C134" s="92" t="inlineStr">
        <is>
          <t>وتجارت</t>
        </is>
      </c>
      <c r="D134" s="92" t="inlineStr">
        <is>
          <t>1404/12/29</t>
        </is>
      </c>
      <c r="E134" s="92" t="inlineStr">
        <is>
          <t>FYE1404 (v41)؛ بله (مقطع یکسان با پایان مشترک؛ فهرست مبنا نیست)</t>
        </is>
      </c>
      <c r="F134" s="92" t="inlineStr">
        <is>
          <t>نمای مالی</t>
        </is>
      </c>
      <c r="G134" s="92" t="inlineStr">
        <is>
          <t>P-E99FCA72</t>
        </is>
      </c>
      <c r="H134" s="92" t="inlineStr">
        <is>
          <t>علی کی لانی</t>
        </is>
      </c>
      <c r="I134" s="92" t="inlineStr">
        <is>
          <t>علی کی لانی</t>
        </is>
      </c>
      <c r="J134" s="92" t="inlineStr">
        <is>
          <t>NATIONAL_ID؛ هش F996A209</t>
        </is>
      </c>
      <c r="K134" s="92" t="inlineStr">
        <is>
          <t>عضو اصلی فعال</t>
        </is>
      </c>
      <c r="L134" s="92" t="inlineStr">
        <is>
          <t>عضو هیئت مدیره</t>
        </is>
      </c>
      <c r="M134" s="92" t="inlineStr">
        <is>
          <t>خیر</t>
        </is>
      </c>
      <c r="N134" s="92" t="inlineStr">
        <is>
          <t>خیر</t>
        </is>
      </c>
      <c r="O134" s="92" t="inlineStr"/>
      <c r="P134" s="92" t="inlineStr">
        <is>
          <t>ندارد (فقط نام)</t>
        </is>
      </c>
      <c r="Q134" s="92" t="inlineStr"/>
      <c r="R134" s="92" t="inlineStr"/>
      <c r="S134" s="92" t="inlineStr">
        <is>
          <t>عضو حقیقی مستقیم؛ بدون تطبیق کرسی</t>
        </is>
      </c>
      <c r="T134" s="92" t="inlineStr"/>
      <c r="U134" s="92" t="n">
        <v>4</v>
      </c>
      <c r="V134" s="92" t="inlineStr">
        <is>
          <t>نامشخص: تعداد کل اعلام شده در متن ثبت نشده</t>
        </is>
      </c>
      <c r="W134" s="92" t="inlineStr">
        <is>
          <t>SRC_VTEJ_1404_001</t>
        </is>
      </c>
      <c r="X134" s="92" t="inlineStr">
        <is>
          <t>1404/12/29</t>
        </is>
      </c>
      <c r="Y134" s="92" t="inlineStr"/>
      <c r="Z134" s="92" t="inlineStr"/>
      <c r="AA134" s="92" t="inlineStr">
        <is>
          <t>BR Independence v41 ردیف 44</t>
        </is>
      </c>
    </row>
    <row r="135" ht="30" customHeight="1" s="76">
      <c r="A135" s="92" t="inlineStr">
        <is>
          <t>SM0132</t>
        </is>
      </c>
      <c r="B135" s="92" t="inlineStr">
        <is>
          <t>F09</t>
        </is>
      </c>
      <c r="C135" s="92" t="inlineStr">
        <is>
          <t>وتجارت</t>
        </is>
      </c>
      <c r="D135" s="92" t="inlineStr">
        <is>
          <t>1404/12/29</t>
        </is>
      </c>
      <c r="E135" s="92" t="inlineStr">
        <is>
          <t>FYE1404 (v41)؛ بله (مقطع یکسان با پایان مشترک؛ فهرست مبنا نیست)</t>
        </is>
      </c>
      <c r="F135" s="92" t="inlineStr">
        <is>
          <t>نمای مالی</t>
        </is>
      </c>
      <c r="G135" s="92" t="inlineStr">
        <is>
          <t>P-6A8D286D</t>
        </is>
      </c>
      <c r="H135" s="92" t="inlineStr">
        <is>
          <t>مرتضی ترک تبریزی</t>
        </is>
      </c>
      <c r="I135" s="92" t="inlineStr">
        <is>
          <t>مرتضی ترک تبریزی</t>
        </is>
      </c>
      <c r="J135" s="92" t="inlineStr">
        <is>
          <t>NATIONAL_ID؛ هش 539470E9</t>
        </is>
      </c>
      <c r="K135" s="92" t="inlineStr">
        <is>
          <t>عضو اصلی فعال</t>
        </is>
      </c>
      <c r="L135" s="92" t="inlineStr">
        <is>
          <t>رئیس هیئت مدیره</t>
        </is>
      </c>
      <c r="M135" s="92" t="inlineStr">
        <is>
          <t>خیر</t>
        </is>
      </c>
      <c r="N135" s="92" t="inlineStr">
        <is>
          <t>بله</t>
        </is>
      </c>
      <c r="O135" s="92" t="inlineStr"/>
      <c r="P135" s="92" t="inlineStr">
        <is>
          <t>ندارد (فقط نام)</t>
        </is>
      </c>
      <c r="Q135" s="92" t="inlineStr"/>
      <c r="R135" s="92" t="inlineStr"/>
      <c r="S135" s="92" t="inlineStr">
        <is>
          <t>عضو حقیقی مستقیم؛ بدون تطبیق کرسی</t>
        </is>
      </c>
      <c r="T135" s="92" t="inlineStr"/>
      <c r="U135" s="92" t="n">
        <v>4</v>
      </c>
      <c r="V135" s="92" t="inlineStr">
        <is>
          <t>نامشخص: تعداد کل اعلام شده در متن ثبت نشده</t>
        </is>
      </c>
      <c r="W135" s="92" t="inlineStr">
        <is>
          <t>SRC_VTEJ_1404_001</t>
        </is>
      </c>
      <c r="X135" s="92" t="inlineStr">
        <is>
          <t>1404/12/29</t>
        </is>
      </c>
      <c r="Y135" s="92" t="inlineStr"/>
      <c r="Z135" s="92" t="inlineStr"/>
      <c r="AA135" s="92" t="inlineStr">
        <is>
          <t>BR Independence v41 ردیف 45</t>
        </is>
      </c>
    </row>
    <row r="136" ht="30" customHeight="1" s="76">
      <c r="A136" s="92" t="inlineStr">
        <is>
          <t>SM0133</t>
        </is>
      </c>
      <c r="B136" s="92" t="inlineStr">
        <is>
          <t>F09</t>
        </is>
      </c>
      <c r="C136" s="92" t="inlineStr">
        <is>
          <t>وتجارت</t>
        </is>
      </c>
      <c r="D136" s="92" t="inlineStr">
        <is>
          <t>1404/12/29</t>
        </is>
      </c>
      <c r="E136" s="92" t="inlineStr">
        <is>
          <t>FYE1404 (v41)؛ بله (مقطع یکسان با پایان مشترک؛ فهرست مبنا نیست)</t>
        </is>
      </c>
      <c r="F136" s="92" t="inlineStr">
        <is>
          <t>نمای مالی</t>
        </is>
      </c>
      <c r="G136" s="92" t="inlineStr">
        <is>
          <t>P-072BEFB1</t>
        </is>
      </c>
      <c r="H136" s="92" t="inlineStr">
        <is>
          <t>هادی اخلاقی فیض آثار</t>
        </is>
      </c>
      <c r="I136" s="92" t="inlineStr">
        <is>
          <t>هادی اخلاقی فیض آثار</t>
        </is>
      </c>
      <c r="J136" s="92" t="inlineStr">
        <is>
          <t>NATIONAL_ID؛ هش C9DCA5E1</t>
        </is>
      </c>
      <c r="K136" s="92" t="inlineStr">
        <is>
          <t>عضو اصلی فعال</t>
        </is>
      </c>
      <c r="L136" s="92" t="inlineStr">
        <is>
          <t>عضو هیئت مدیره</t>
        </is>
      </c>
      <c r="M136" s="92" t="inlineStr">
        <is>
          <t>بله</t>
        </is>
      </c>
      <c r="N136" s="92" t="inlineStr">
        <is>
          <t>خیر</t>
        </is>
      </c>
      <c r="O136" s="92" t="inlineStr"/>
      <c r="P136" s="92" t="inlineStr">
        <is>
          <t>ندارد (فقط نام)</t>
        </is>
      </c>
      <c r="Q136" s="92" t="inlineStr"/>
      <c r="R136" s="92" t="inlineStr"/>
      <c r="S136" s="92" t="inlineStr">
        <is>
          <t>عضو حقیقی مستقیم؛ بدون تطبیق کرسی</t>
        </is>
      </c>
      <c r="T136" s="92" t="inlineStr"/>
      <c r="U136" s="92" t="n">
        <v>4</v>
      </c>
      <c r="V136" s="92" t="inlineStr">
        <is>
          <t>نامشخص: تعداد کل اعلام شده در متن ثبت نشده</t>
        </is>
      </c>
      <c r="W136" s="92" t="inlineStr">
        <is>
          <t>SRC_VTEJ_1404_001</t>
        </is>
      </c>
      <c r="X136" s="92" t="inlineStr">
        <is>
          <t>1404/12/29</t>
        </is>
      </c>
      <c r="Y136" s="92" t="inlineStr"/>
      <c r="Z136" s="92" t="inlineStr"/>
      <c r="AA136" s="92" t="inlineStr">
        <is>
          <t>BR Independence v41 ردیف 46</t>
        </is>
      </c>
    </row>
    <row r="137" ht="30" customHeight="1" s="76">
      <c r="A137" s="92" t="inlineStr">
        <is>
          <t>SM0134</t>
        </is>
      </c>
      <c r="B137" s="92" t="inlineStr">
        <is>
          <t>F09</t>
        </is>
      </c>
      <c r="C137" s="92" t="inlineStr">
        <is>
          <t>وتجارت</t>
        </is>
      </c>
      <c r="D137" s="92" t="inlineStr">
        <is>
          <t>1404/12/29</t>
        </is>
      </c>
      <c r="E137" s="92" t="inlineStr">
        <is>
          <t>FYE1404 (v41)؛ بله (مقطع یکسان با پایان مشترک؛ فهرست مبنا نیست)</t>
        </is>
      </c>
      <c r="F137" s="92" t="inlineStr">
        <is>
          <t>نمای مالی</t>
        </is>
      </c>
      <c r="G137" s="92" t="inlineStr">
        <is>
          <t>P-BA1065D0</t>
        </is>
      </c>
      <c r="H137" s="92" t="inlineStr">
        <is>
          <t>سیدمهدی حسینی دولت آبادی</t>
        </is>
      </c>
      <c r="I137" s="92" t="inlineStr">
        <is>
          <t>سیدمهدی حسینی دولت آبادی</t>
        </is>
      </c>
      <c r="J137" s="92" t="inlineStr">
        <is>
          <t>NATIONAL_ID؛ هش DBF35289</t>
        </is>
      </c>
      <c r="K137" s="92" t="inlineStr">
        <is>
          <t>عضو اصلی فعال</t>
        </is>
      </c>
      <c r="L137" s="92" t="inlineStr">
        <is>
          <t>عضو هیئت مدیره</t>
        </is>
      </c>
      <c r="M137" s="92" t="inlineStr">
        <is>
          <t>خیر</t>
        </is>
      </c>
      <c r="N137" s="92" t="inlineStr">
        <is>
          <t>خیر</t>
        </is>
      </c>
      <c r="O137" s="92" t="inlineStr"/>
      <c r="P137" s="92" t="inlineStr">
        <is>
          <t>ندارد (فقط نام)</t>
        </is>
      </c>
      <c r="Q137" s="92" t="inlineStr"/>
      <c r="R137" s="92" t="inlineStr"/>
      <c r="S137" s="92" t="inlineStr">
        <is>
          <t>عضو حقیقی مستقیم؛ بدون تطبیق کرسی</t>
        </is>
      </c>
      <c r="T137" s="92" t="inlineStr"/>
      <c r="U137" s="92" t="n">
        <v>4</v>
      </c>
      <c r="V137" s="92" t="inlineStr">
        <is>
          <t>نامشخص: تعداد کل اعلام شده در متن ثبت نشده</t>
        </is>
      </c>
      <c r="W137" s="92" t="inlineStr">
        <is>
          <t>SRC_VTEJ_1404_001</t>
        </is>
      </c>
      <c r="X137" s="92" t="inlineStr">
        <is>
          <t>1404/12/29</t>
        </is>
      </c>
      <c r="Y137" s="92" t="inlineStr"/>
      <c r="Z137" s="92" t="inlineStr"/>
      <c r="AA137" s="92" t="inlineStr">
        <is>
          <t>BR Independence v41 ردیف 47</t>
        </is>
      </c>
    </row>
    <row r="138" ht="30" customHeight="1" s="76">
      <c r="A138" s="92" t="inlineStr">
        <is>
          <t>SM0135</t>
        </is>
      </c>
      <c r="B138" s="92" t="inlineStr">
        <is>
          <t>F10</t>
        </is>
      </c>
      <c r="C138" s="92" t="inlineStr">
        <is>
          <t>رمپنا</t>
        </is>
      </c>
      <c r="D138" s="92" t="inlineStr">
        <is>
          <t>1404/12/29</t>
        </is>
      </c>
      <c r="E138" s="92" t="inlineStr">
        <is>
          <t>FYE1404 (v41)؛ بله (مقطع یکسان با پایان مشترک؛ فهرست مبنا نیست)</t>
        </is>
      </c>
      <c r="F138" s="92" t="inlineStr">
        <is>
          <t>نمای مالی</t>
        </is>
      </c>
      <c r="G138" s="92" t="inlineStr">
        <is>
          <t>P-3AAB7315</t>
        </is>
      </c>
      <c r="H138" s="92" t="inlineStr">
        <is>
          <t>محمدرضا اولی</t>
        </is>
      </c>
      <c r="I138" s="92" t="inlineStr">
        <is>
          <t>محمدرضا اولی</t>
        </is>
      </c>
      <c r="J138" s="92" t="inlineStr">
        <is>
          <t>NATIONAL_ID؛ هش 1DFFC148</t>
        </is>
      </c>
      <c r="K138" s="92" t="inlineStr">
        <is>
          <t>عضو اصلی فعال</t>
        </is>
      </c>
      <c r="L138" s="92" t="inlineStr">
        <is>
          <t>رئیس هیئت مدیره</t>
        </is>
      </c>
      <c r="M138" s="92" t="inlineStr">
        <is>
          <t>خیر</t>
        </is>
      </c>
      <c r="N138" s="92" t="inlineStr">
        <is>
          <t>بله</t>
        </is>
      </c>
      <c r="O138" s="92" t="inlineStr">
        <is>
          <t>سرمایه گذاری ثروت آفرین صبا</t>
        </is>
      </c>
      <c r="P138" s="92" t="inlineStr">
        <is>
          <t>ندارد (فقط نام)</t>
        </is>
      </c>
      <c r="Q138" s="92" t="inlineStr">
        <is>
          <t>محمدرضا اولی</t>
        </is>
      </c>
      <c r="R138" s="92" t="inlineStr">
        <is>
          <t>سرمایه گذاری ثروت آفرین صبا</t>
        </is>
      </c>
      <c r="S138" s="92" t="inlineStr">
        <is>
          <t>نام دارنده حقوقی</t>
        </is>
      </c>
      <c r="T138" s="92" t="inlineStr"/>
      <c r="U138" s="92" t="n">
        <v>5</v>
      </c>
      <c r="V138" s="92" t="inlineStr">
        <is>
          <t>نامشخص: تعداد کل اعلام شده در متن ثبت نشده</t>
        </is>
      </c>
      <c r="W138" s="92" t="inlineStr">
        <is>
          <t>SRC_RMPN_1404_002</t>
        </is>
      </c>
      <c r="X138" s="92" t="inlineStr">
        <is>
          <t>1404/12/29</t>
        </is>
      </c>
      <c r="Y138" s="92" t="inlineStr"/>
      <c r="Z138" s="92" t="inlineStr"/>
      <c r="AA138" s="92" t="inlineStr">
        <is>
          <t>BR Independence v41 ردیف 48</t>
        </is>
      </c>
    </row>
    <row r="139" ht="30" customHeight="1" s="76">
      <c r="A139" s="92" t="inlineStr">
        <is>
          <t>SM0136</t>
        </is>
      </c>
      <c r="B139" s="92" t="inlineStr">
        <is>
          <t>F10</t>
        </is>
      </c>
      <c r="C139" s="92" t="inlineStr">
        <is>
          <t>رمپنا</t>
        </is>
      </c>
      <c r="D139" s="92" t="inlineStr">
        <is>
          <t>1404/12/29</t>
        </is>
      </c>
      <c r="E139" s="92" t="inlineStr">
        <is>
          <t>FYE1404 (v41)؛ بله (مقطع یکسان با پایان مشترک؛ فهرست مبنا نیست)</t>
        </is>
      </c>
      <c r="F139" s="92" t="inlineStr">
        <is>
          <t>نمای مالی</t>
        </is>
      </c>
      <c r="G139" s="92" t="inlineStr">
        <is>
          <t>P-9E271332</t>
        </is>
      </c>
      <c r="H139" s="92" t="inlineStr">
        <is>
          <t>ابوالفضل عسگری</t>
        </is>
      </c>
      <c r="I139" s="92" t="inlineStr">
        <is>
          <t>ابوالفضل عسگری</t>
        </is>
      </c>
      <c r="J139" s="92" t="inlineStr">
        <is>
          <t>NATIONAL_ID؛ هش 0454A2D9</t>
        </is>
      </c>
      <c r="K139" s="92" t="inlineStr">
        <is>
          <t>عضو اصلی فعال</t>
        </is>
      </c>
      <c r="L139" s="92" t="inlineStr">
        <is>
          <t>عضو هیئت مدیره</t>
        </is>
      </c>
      <c r="M139" s="92" t="inlineStr">
        <is>
          <t>خیر</t>
        </is>
      </c>
      <c r="N139" s="92" t="inlineStr">
        <is>
          <t>خیر</t>
        </is>
      </c>
      <c r="O139" s="92" t="inlineStr">
        <is>
          <t>سرمایه گذاری استان گلستان</t>
        </is>
      </c>
      <c r="P139" s="92" t="inlineStr">
        <is>
          <t>ندارد (فقط نام)</t>
        </is>
      </c>
      <c r="Q139" s="92" t="inlineStr">
        <is>
          <t>ابوالفضل عسگری</t>
        </is>
      </c>
      <c r="R139" s="92" t="inlineStr">
        <is>
          <t>سرمایه گذاری استان گلستان</t>
        </is>
      </c>
      <c r="S139" s="92" t="inlineStr">
        <is>
          <t>نام دارنده حقوقی</t>
        </is>
      </c>
      <c r="T139" s="92" t="inlineStr"/>
      <c r="U139" s="92" t="n">
        <v>5</v>
      </c>
      <c r="V139" s="92" t="inlineStr">
        <is>
          <t>نامشخص: تعداد کل اعلام شده در متن ثبت نشده</t>
        </is>
      </c>
      <c r="W139" s="92" t="inlineStr">
        <is>
          <t>SRC_RMPN_1404_002</t>
        </is>
      </c>
      <c r="X139" s="92" t="inlineStr">
        <is>
          <t>1404/12/29</t>
        </is>
      </c>
      <c r="Y139" s="92" t="inlineStr"/>
      <c r="Z139" s="92" t="inlineStr"/>
      <c r="AA139" s="92" t="inlineStr">
        <is>
          <t>BR Independence v41 ردیف 49</t>
        </is>
      </c>
    </row>
    <row r="140" ht="30" customHeight="1" s="76">
      <c r="A140" s="92" t="inlineStr">
        <is>
          <t>SM0137</t>
        </is>
      </c>
      <c r="B140" s="92" t="inlineStr">
        <is>
          <t>F10</t>
        </is>
      </c>
      <c r="C140" s="92" t="inlineStr">
        <is>
          <t>رمپنا</t>
        </is>
      </c>
      <c r="D140" s="92" t="inlineStr">
        <is>
          <t>1404/12/29</t>
        </is>
      </c>
      <c r="E140" s="92" t="inlineStr">
        <is>
          <t>FYE1404 (v41)؛ بله (مقطع یکسان با پایان مشترک؛ فهرست مبنا نیست)</t>
        </is>
      </c>
      <c r="F140" s="92" t="inlineStr">
        <is>
          <t>نمای مالی</t>
        </is>
      </c>
      <c r="G140" s="92" t="inlineStr">
        <is>
          <t>P-2BA180A8</t>
        </is>
      </c>
      <c r="H140" s="92" t="inlineStr">
        <is>
          <t>محمد اولیاء</t>
        </is>
      </c>
      <c r="I140" s="92" t="inlineStr">
        <is>
          <t>محمد اولیاء</t>
        </is>
      </c>
      <c r="J140" s="92" t="inlineStr">
        <is>
          <t>NATIONAL_ID؛ هش DE7AB626</t>
        </is>
      </c>
      <c r="K140" s="92" t="inlineStr">
        <is>
          <t>عضو اصلی فعال</t>
        </is>
      </c>
      <c r="L140" s="92" t="inlineStr">
        <is>
          <t>نایب رئیس هیئت مدیره</t>
        </is>
      </c>
      <c r="M140" s="92" t="inlineStr">
        <is>
          <t>بله</t>
        </is>
      </c>
      <c r="N140" s="92" t="inlineStr">
        <is>
          <t>خیر</t>
        </is>
      </c>
      <c r="O140" s="92" t="inlineStr">
        <is>
          <t>مدبر رضوی</t>
        </is>
      </c>
      <c r="P140" s="92" t="inlineStr">
        <is>
          <t>ندارد (فقط نام)</t>
        </is>
      </c>
      <c r="Q140" s="92" t="inlineStr">
        <is>
          <t>محمد اولیاء</t>
        </is>
      </c>
      <c r="R140" s="92" t="inlineStr">
        <is>
          <t>مدبر رضوی</t>
        </is>
      </c>
      <c r="S140" s="92" t="inlineStr">
        <is>
          <t>نام دارنده حقوقی</t>
        </is>
      </c>
      <c r="T140" s="92" t="inlineStr"/>
      <c r="U140" s="92" t="n">
        <v>5</v>
      </c>
      <c r="V140" s="92" t="inlineStr">
        <is>
          <t>نامشخص: تعداد کل اعلام شده در متن ثبت نشده</t>
        </is>
      </c>
      <c r="W140" s="92" t="inlineStr">
        <is>
          <t>SRC_RMPN_1404_002</t>
        </is>
      </c>
      <c r="X140" s="92" t="inlineStr">
        <is>
          <t>1404/12/29</t>
        </is>
      </c>
      <c r="Y140" s="92" t="inlineStr"/>
      <c r="Z140" s="92" t="inlineStr"/>
      <c r="AA140" s="92" t="inlineStr">
        <is>
          <t>BR Independence v41 ردیف 50</t>
        </is>
      </c>
    </row>
    <row r="141" ht="30" customHeight="1" s="76">
      <c r="A141" s="92" t="inlineStr">
        <is>
          <t>SM0138</t>
        </is>
      </c>
      <c r="B141" s="92" t="inlineStr">
        <is>
          <t>F10</t>
        </is>
      </c>
      <c r="C141" s="92" t="inlineStr">
        <is>
          <t>رمپنا</t>
        </is>
      </c>
      <c r="D141" s="92" t="inlineStr">
        <is>
          <t>1404/12/29</t>
        </is>
      </c>
      <c r="E141" s="92" t="inlineStr">
        <is>
          <t>FYE1404 (v41)؛ بله (مقطع یکسان با پایان مشترک؛ فهرست مبنا نیست)</t>
        </is>
      </c>
      <c r="F141" s="92" t="inlineStr">
        <is>
          <t>نمای مالی</t>
        </is>
      </c>
      <c r="G141" s="92" t="inlineStr">
        <is>
          <t>P-B4AF076B</t>
        </is>
      </c>
      <c r="H141" s="92" t="inlineStr">
        <is>
          <t>خلیل بهبهانی</t>
        </is>
      </c>
      <c r="I141" s="92" t="inlineStr">
        <is>
          <t>خلیل بهبهانی</t>
        </is>
      </c>
      <c r="J141" s="92" t="inlineStr">
        <is>
          <t>NATIONAL_ID؛ هش 3CD7A568</t>
        </is>
      </c>
      <c r="K141" s="92" t="inlineStr">
        <is>
          <t>عضو اصلی فعال</t>
        </is>
      </c>
      <c r="L141" s="92" t="inlineStr">
        <is>
          <t>عضو هیئت مدیره</t>
        </is>
      </c>
      <c r="M141" s="92" t="inlineStr">
        <is>
          <t>خیر</t>
        </is>
      </c>
      <c r="N141" s="92" t="inlineStr">
        <is>
          <t>خیر</t>
        </is>
      </c>
      <c r="O141" s="92" t="inlineStr">
        <is>
          <t>سرمایه گذاری پیشگامان سریر رضوی</t>
        </is>
      </c>
      <c r="P141" s="92" t="inlineStr">
        <is>
          <t>ندارد (فقط نام)</t>
        </is>
      </c>
      <c r="Q141" s="92" t="inlineStr">
        <is>
          <t>خلیل بهبهانی</t>
        </is>
      </c>
      <c r="R141" s="92" t="inlineStr">
        <is>
          <t>سرمایه گذاری پیشگامان سریر رضوی</t>
        </is>
      </c>
      <c r="S141" s="92" t="inlineStr">
        <is>
          <t>نام دارنده حقوقی</t>
        </is>
      </c>
      <c r="T141" s="92" t="inlineStr"/>
      <c r="U141" s="92" t="n">
        <v>5</v>
      </c>
      <c r="V141" s="92" t="inlineStr">
        <is>
          <t>نامشخص: تعداد کل اعلام شده در متن ثبت نشده</t>
        </is>
      </c>
      <c r="W141" s="92" t="inlineStr">
        <is>
          <t>SRC_RMPN_1404_002</t>
        </is>
      </c>
      <c r="X141" s="92" t="inlineStr">
        <is>
          <t>1404/12/29</t>
        </is>
      </c>
      <c r="Y141" s="92" t="inlineStr"/>
      <c r="Z141" s="92" t="inlineStr"/>
      <c r="AA141" s="92" t="inlineStr">
        <is>
          <t>BR Independence v41 ردیف 51</t>
        </is>
      </c>
    </row>
    <row r="142" ht="30" customHeight="1" s="76">
      <c r="A142" s="92" t="inlineStr">
        <is>
          <t>SM0139</t>
        </is>
      </c>
      <c r="B142" s="92" t="inlineStr">
        <is>
          <t>F10</t>
        </is>
      </c>
      <c r="C142" s="92" t="inlineStr">
        <is>
          <t>رمپنا</t>
        </is>
      </c>
      <c r="D142" s="92" t="inlineStr">
        <is>
          <t>1404/12/29</t>
        </is>
      </c>
      <c r="E142" s="92" t="inlineStr">
        <is>
          <t>FYE1404 (v41)؛ بله (مقطع یکسان با پایان مشترک؛ فهرست مبنا نیست)</t>
        </is>
      </c>
      <c r="F142" s="92" t="inlineStr">
        <is>
          <t>نمای مالی</t>
        </is>
      </c>
      <c r="G142" s="92" t="inlineStr">
        <is>
          <t>P-B08BF5E5</t>
        </is>
      </c>
      <c r="H142" s="92" t="inlineStr">
        <is>
          <t>امیر هامونی</t>
        </is>
      </c>
      <c r="I142" s="92" t="inlineStr">
        <is>
          <t>امیر هامونی</t>
        </is>
      </c>
      <c r="J142" s="92" t="inlineStr">
        <is>
          <t>NATIONAL_ID؛ هش FA6CDA1A</t>
        </is>
      </c>
      <c r="K142" s="92" t="inlineStr">
        <is>
          <t>عضو اصلی فعال</t>
        </is>
      </c>
      <c r="L142" s="92" t="inlineStr">
        <is>
          <t>عضو هیئت مدیره</t>
        </is>
      </c>
      <c r="M142" s="92" t="inlineStr">
        <is>
          <t>خیر</t>
        </is>
      </c>
      <c r="N142" s="92" t="inlineStr">
        <is>
          <t>خیر</t>
        </is>
      </c>
      <c r="O142" s="92" t="inlineStr">
        <is>
          <t>کسب و کار رضوی</t>
        </is>
      </c>
      <c r="P142" s="92" t="inlineStr">
        <is>
          <t>ندارد (فقط نام)</t>
        </is>
      </c>
      <c r="Q142" s="92" t="inlineStr">
        <is>
          <t>امیر هامونی</t>
        </is>
      </c>
      <c r="R142" s="92" t="inlineStr">
        <is>
          <t>کسب و کار رضوی</t>
        </is>
      </c>
      <c r="S142" s="92" t="inlineStr">
        <is>
          <t>نام دارنده حقوقی</t>
        </is>
      </c>
      <c r="T142" s="92" t="inlineStr"/>
      <c r="U142" s="92" t="n">
        <v>5</v>
      </c>
      <c r="V142" s="92" t="inlineStr">
        <is>
          <t>نامشخص: تعداد کل اعلام شده در متن ثبت نشده</t>
        </is>
      </c>
      <c r="W142" s="92" t="inlineStr">
        <is>
          <t>SRC_RMPN_1404_002</t>
        </is>
      </c>
      <c r="X142" s="92" t="inlineStr">
        <is>
          <t>1404/12/29</t>
        </is>
      </c>
      <c r="Y142" s="92" t="inlineStr"/>
      <c r="Z142" s="92" t="inlineStr"/>
      <c r="AA142" s="92" t="inlineStr">
        <is>
          <t>BR Independence v41 ردیف 52</t>
        </is>
      </c>
    </row>
    <row r="143" ht="30" customHeight="1" s="76">
      <c r="A143" s="92" t="inlineStr">
        <is>
          <t>SM0140</t>
        </is>
      </c>
      <c r="B143" s="92" t="inlineStr">
        <is>
          <t>F11</t>
        </is>
      </c>
      <c r="C143" s="92" t="inlineStr">
        <is>
          <t>فخوز</t>
        </is>
      </c>
      <c r="D143" s="92" t="inlineStr">
        <is>
          <t>1404/12/29</t>
        </is>
      </c>
      <c r="E143" s="92" t="inlineStr">
        <is>
          <t>FYE1404 (v41)؛ بله (مقطع یکسان با پایان مشترک؛ فهرست مبنا نیست)</t>
        </is>
      </c>
      <c r="F143" s="92" t="inlineStr">
        <is>
          <t>نمای مالی</t>
        </is>
      </c>
      <c r="G143" s="92" t="inlineStr">
        <is>
          <t>P-D5539B98</t>
        </is>
      </c>
      <c r="H143" s="92" t="inlineStr">
        <is>
          <t>امین ابراهیمی</t>
        </is>
      </c>
      <c r="I143" s="92" t="inlineStr">
        <is>
          <t>امین ابراهیمی</t>
        </is>
      </c>
      <c r="J143" s="92" t="inlineStr">
        <is>
          <t>NATIONAL_ID؛ هش FA92E7E5</t>
        </is>
      </c>
      <c r="K143" s="92" t="inlineStr">
        <is>
          <t>عضو اصلی فعال</t>
        </is>
      </c>
      <c r="L143" s="92" t="inlineStr">
        <is>
          <t>نایب رئیس هیئت مدیره</t>
        </is>
      </c>
      <c r="M143" s="92" t="inlineStr">
        <is>
          <t>بله</t>
        </is>
      </c>
      <c r="N143" s="92" t="inlineStr">
        <is>
          <t>خیر</t>
        </is>
      </c>
      <c r="O143" s="92" t="inlineStr">
        <is>
          <t>گروه توسعه اقتصادی پایندگان</t>
        </is>
      </c>
      <c r="P143" s="92" t="inlineStr">
        <is>
          <t>ندارد (فقط نام)</t>
        </is>
      </c>
      <c r="Q143" s="92" t="inlineStr">
        <is>
          <t>امین ابراهیمی</t>
        </is>
      </c>
      <c r="R143" s="92" t="inlineStr">
        <is>
          <t>گروه توسعه اقتصادی پایندگان</t>
        </is>
      </c>
      <c r="S143" s="92" t="inlineStr">
        <is>
          <t>نام دارنده حقوقی</t>
        </is>
      </c>
      <c r="T143" s="92" t="inlineStr"/>
      <c r="U143" s="92" t="n">
        <v>5</v>
      </c>
      <c r="V143" s="92" t="inlineStr">
        <is>
          <t>نامشخص: تعداد کل اعلام شده در متن ثبت نشده</t>
        </is>
      </c>
      <c r="W143" s="92" t="inlineStr">
        <is>
          <t>SRC_FKHZ_1404_001</t>
        </is>
      </c>
      <c r="X143" s="92" t="inlineStr">
        <is>
          <t>1404/12/29</t>
        </is>
      </c>
      <c r="Y143" s="92" t="inlineStr"/>
      <c r="Z143" s="92" t="inlineStr"/>
      <c r="AA143" s="92" t="inlineStr">
        <is>
          <t>BR Independence v41 ردیف 53</t>
        </is>
      </c>
    </row>
    <row r="144" ht="30" customHeight="1" s="76">
      <c r="A144" s="92" t="inlineStr">
        <is>
          <t>SM0141</t>
        </is>
      </c>
      <c r="B144" s="92" t="inlineStr">
        <is>
          <t>F11</t>
        </is>
      </c>
      <c r="C144" s="92" t="inlineStr">
        <is>
          <t>فخوز</t>
        </is>
      </c>
      <c r="D144" s="92" t="inlineStr">
        <is>
          <t>1404/12/29</t>
        </is>
      </c>
      <c r="E144" s="92" t="inlineStr">
        <is>
          <t>FYE1404 (v41)؛ بله (مقطع یکسان با پایان مشترک؛ فهرست مبنا نیست)</t>
        </is>
      </c>
      <c r="F144" s="92" t="inlineStr">
        <is>
          <t>نمای مالی</t>
        </is>
      </c>
      <c r="G144" s="92" t="inlineStr">
        <is>
          <t>P-15B3FD93</t>
        </is>
      </c>
      <c r="H144" s="92" t="inlineStr">
        <is>
          <t>عبدالمجید شریفی</t>
        </is>
      </c>
      <c r="I144" s="92" t="inlineStr">
        <is>
          <t>عبدالمجید شریفی</t>
        </is>
      </c>
      <c r="J144" s="92" t="inlineStr">
        <is>
          <t>NATIONAL_ID؛ هش 88EB8328</t>
        </is>
      </c>
      <c r="K144" s="92" t="inlineStr">
        <is>
          <t>عضو اصلی فعال</t>
        </is>
      </c>
      <c r="L144" s="92" t="inlineStr">
        <is>
          <t>عضو هیئت مدیره</t>
        </is>
      </c>
      <c r="M144" s="92" t="inlineStr">
        <is>
          <t>خیر</t>
        </is>
      </c>
      <c r="N144" s="92" t="inlineStr">
        <is>
          <t>خیر</t>
        </is>
      </c>
      <c r="O144" s="92" t="inlineStr">
        <is>
          <t>سرمایه گذاری استان خوزستان</t>
        </is>
      </c>
      <c r="P144" s="92" t="inlineStr">
        <is>
          <t>ندارد (فقط نام)</t>
        </is>
      </c>
      <c r="Q144" s="92" t="inlineStr">
        <is>
          <t>عبدالمجید شریفی</t>
        </is>
      </c>
      <c r="R144" s="92" t="inlineStr">
        <is>
          <t>سرمایه گذاری استان خوزستان</t>
        </is>
      </c>
      <c r="S144" s="92" t="inlineStr">
        <is>
          <t>نام دارنده حقوقی</t>
        </is>
      </c>
      <c r="T144" s="92" t="inlineStr"/>
      <c r="U144" s="92" t="n">
        <v>5</v>
      </c>
      <c r="V144" s="92" t="inlineStr">
        <is>
          <t>نامشخص: تعداد کل اعلام شده در متن ثبت نشده</t>
        </is>
      </c>
      <c r="W144" s="92" t="inlineStr">
        <is>
          <t>SRC_FKHZ_1404_001</t>
        </is>
      </c>
      <c r="X144" s="92" t="inlineStr">
        <is>
          <t>1404/12/29</t>
        </is>
      </c>
      <c r="Y144" s="92" t="inlineStr"/>
      <c r="Z144" s="92" t="inlineStr"/>
      <c r="AA144" s="92" t="inlineStr">
        <is>
          <t>BR Independence v41 ردیف 54</t>
        </is>
      </c>
    </row>
    <row r="145" ht="30" customHeight="1" s="76">
      <c r="A145" s="92" t="inlineStr">
        <is>
          <t>SM0142</t>
        </is>
      </c>
      <c r="B145" s="92" t="inlineStr">
        <is>
          <t>F11</t>
        </is>
      </c>
      <c r="C145" s="92" t="inlineStr">
        <is>
          <t>فخوز</t>
        </is>
      </c>
      <c r="D145" s="92" t="inlineStr">
        <is>
          <t>1404/12/29</t>
        </is>
      </c>
      <c r="E145" s="92" t="inlineStr">
        <is>
          <t>FYE1404 (v41)؛ بله (مقطع یکسان با پایان مشترک؛ فهرست مبنا نیست)</t>
        </is>
      </c>
      <c r="F145" s="92" t="inlineStr">
        <is>
          <t>نمای مالی</t>
        </is>
      </c>
      <c r="G145" s="92" t="inlineStr">
        <is>
          <t>P-4FBA696F</t>
        </is>
      </c>
      <c r="H145" s="92" t="inlineStr">
        <is>
          <t>محمد شهسواری</t>
        </is>
      </c>
      <c r="I145" s="92" t="inlineStr">
        <is>
          <t>محمد شهسواری</t>
        </is>
      </c>
      <c r="J145" s="92" t="inlineStr">
        <is>
          <t>NATIONAL_ID؛ هش 7F7D3147</t>
        </is>
      </c>
      <c r="K145" s="92" t="inlineStr">
        <is>
          <t>عضو اصلی فعال</t>
        </is>
      </c>
      <c r="L145" s="92" t="inlineStr">
        <is>
          <t>رئیس هیئت مدیره</t>
        </is>
      </c>
      <c r="M145" s="92" t="inlineStr">
        <is>
          <t>خیر</t>
        </is>
      </c>
      <c r="N145" s="92" t="inlineStr">
        <is>
          <t>بله</t>
        </is>
      </c>
      <c r="O145" s="92" t="inlineStr">
        <is>
          <t>سرمایه گذاری سامان مجد</t>
        </is>
      </c>
      <c r="P145" s="92" t="inlineStr">
        <is>
          <t>ندارد (فقط نام)</t>
        </is>
      </c>
      <c r="Q145" s="92" t="inlineStr">
        <is>
          <t>محمد شهسواری</t>
        </is>
      </c>
      <c r="R145" s="92" t="inlineStr">
        <is>
          <t>سرمایه گذاری سامان مجد</t>
        </is>
      </c>
      <c r="S145" s="92" t="inlineStr">
        <is>
          <t>نام دارنده حقوقی</t>
        </is>
      </c>
      <c r="T145" s="92" t="inlineStr"/>
      <c r="U145" s="92" t="n">
        <v>5</v>
      </c>
      <c r="V145" s="92" t="inlineStr">
        <is>
          <t>نامشخص: تعداد کل اعلام شده در متن ثبت نشده</t>
        </is>
      </c>
      <c r="W145" s="92" t="inlineStr">
        <is>
          <t>SRC_FKHZ_1404_001</t>
        </is>
      </c>
      <c r="X145" s="92" t="inlineStr">
        <is>
          <t>1404/12/29</t>
        </is>
      </c>
      <c r="Y145" s="92" t="inlineStr"/>
      <c r="Z145" s="92" t="inlineStr"/>
      <c r="AA145" s="92" t="inlineStr">
        <is>
          <t>BR Independence v41 ردیف 55</t>
        </is>
      </c>
    </row>
    <row r="146" ht="30" customHeight="1" s="76">
      <c r="A146" s="92" t="inlineStr">
        <is>
          <t>SM0143</t>
        </is>
      </c>
      <c r="B146" s="92" t="inlineStr">
        <is>
          <t>F11</t>
        </is>
      </c>
      <c r="C146" s="92" t="inlineStr">
        <is>
          <t>فخوز</t>
        </is>
      </c>
      <c r="D146" s="92" t="inlineStr">
        <is>
          <t>1404/12/29</t>
        </is>
      </c>
      <c r="E146" s="92" t="inlineStr">
        <is>
          <t>FYE1404 (v41)؛ بله (مقطع یکسان با پایان مشترک؛ فهرست مبنا نیست)</t>
        </is>
      </c>
      <c r="F146" s="92" t="inlineStr">
        <is>
          <t>نمای مالی</t>
        </is>
      </c>
      <c r="G146" s="92" t="inlineStr">
        <is>
          <t>P-A9B23241</t>
        </is>
      </c>
      <c r="H146" s="92" t="inlineStr">
        <is>
          <t>سیدمحسن هاطلی اصفهانی</t>
        </is>
      </c>
      <c r="I146" s="92" t="inlineStr">
        <is>
          <t>سیدمحسن هاطلی اصفهانی</t>
        </is>
      </c>
      <c r="J146" s="92" t="inlineStr">
        <is>
          <t>NATIONAL_ID؛ هش A09599FA</t>
        </is>
      </c>
      <c r="K146" s="92" t="inlineStr">
        <is>
          <t>عضو اصلی فعال</t>
        </is>
      </c>
      <c r="L146" s="92" t="inlineStr">
        <is>
          <t>عضو هیئت مدیره</t>
        </is>
      </c>
      <c r="M146" s="92" t="inlineStr">
        <is>
          <t>خیر</t>
        </is>
      </c>
      <c r="N146" s="92" t="inlineStr">
        <is>
          <t>خیر</t>
        </is>
      </c>
      <c r="O146" s="92" t="inlineStr">
        <is>
          <t>پیشران کسب و کار شریف</t>
        </is>
      </c>
      <c r="P146" s="92" t="inlineStr">
        <is>
          <t>ندارد (فقط نام)</t>
        </is>
      </c>
      <c r="Q146" s="92" t="inlineStr">
        <is>
          <t>سیدمحسن هاطلی اصفهانی</t>
        </is>
      </c>
      <c r="R146" s="92" t="inlineStr">
        <is>
          <t>پیشران کسب و کار شریف</t>
        </is>
      </c>
      <c r="S146" s="92" t="inlineStr">
        <is>
          <t>نام دارنده حقوقی</t>
        </is>
      </c>
      <c r="T146" s="92" t="inlineStr"/>
      <c r="U146" s="92" t="n">
        <v>5</v>
      </c>
      <c r="V146" s="92" t="inlineStr">
        <is>
          <t>نامشخص: تعداد کل اعلام شده در متن ثبت نشده</t>
        </is>
      </c>
      <c r="W146" s="92" t="inlineStr">
        <is>
          <t>SRC_FKHZ_1404_001</t>
        </is>
      </c>
      <c r="X146" s="92" t="inlineStr">
        <is>
          <t>1404/12/29</t>
        </is>
      </c>
      <c r="Y146" s="92" t="inlineStr"/>
      <c r="Z146" s="92" t="inlineStr"/>
      <c r="AA146" s="92" t="inlineStr">
        <is>
          <t>BR Independence v41 ردیف 56</t>
        </is>
      </c>
    </row>
    <row r="147" ht="30" customHeight="1" s="76">
      <c r="A147" s="92" t="inlineStr">
        <is>
          <t>SM0144</t>
        </is>
      </c>
      <c r="B147" s="92" t="inlineStr">
        <is>
          <t>F11</t>
        </is>
      </c>
      <c r="C147" s="92" t="inlineStr">
        <is>
          <t>فخوز</t>
        </is>
      </c>
      <c r="D147" s="92" t="inlineStr">
        <is>
          <t>1404/12/29</t>
        </is>
      </c>
      <c r="E147" s="92" t="inlineStr">
        <is>
          <t>FYE1404 (v41)؛ بله (مقطع یکسان با پایان مشترک؛ فهرست مبنا نیست)</t>
        </is>
      </c>
      <c r="F147" s="92" t="inlineStr">
        <is>
          <t>نمای مالی</t>
        </is>
      </c>
      <c r="G147" s="92" t="inlineStr">
        <is>
          <t>P-DED1FE19</t>
        </is>
      </c>
      <c r="H147" s="92" t="inlineStr">
        <is>
          <t>ابوذر شکری</t>
        </is>
      </c>
      <c r="I147" s="92" t="inlineStr">
        <is>
          <t>ابوذر شکری</t>
        </is>
      </c>
      <c r="J147" s="92" t="inlineStr">
        <is>
          <t>NATIONAL_ID؛ هش D648694A</t>
        </is>
      </c>
      <c r="K147" s="92" t="inlineStr">
        <is>
          <t>عضو اصلی فعال</t>
        </is>
      </c>
      <c r="L147" s="92" t="inlineStr">
        <is>
          <t>عضو هیئت مدیره</t>
        </is>
      </c>
      <c r="M147" s="92" t="inlineStr">
        <is>
          <t>خیر</t>
        </is>
      </c>
      <c r="N147" s="92" t="inlineStr">
        <is>
          <t>خیر</t>
        </is>
      </c>
      <c r="O147" s="92" t="inlineStr">
        <is>
          <t>همراه سیر فردیس</t>
        </is>
      </c>
      <c r="P147" s="92" t="inlineStr">
        <is>
          <t>ندارد (فقط نام)</t>
        </is>
      </c>
      <c r="Q147" s="92" t="inlineStr">
        <is>
          <t>ابوذر شکری</t>
        </is>
      </c>
      <c r="R147" s="92" t="inlineStr">
        <is>
          <t>همراه سیر فردیس</t>
        </is>
      </c>
      <c r="S147" s="92" t="inlineStr">
        <is>
          <t>نام دارنده حقوقی</t>
        </is>
      </c>
      <c r="T147" s="92" t="inlineStr"/>
      <c r="U147" s="92" t="n">
        <v>5</v>
      </c>
      <c r="V147" s="92" t="inlineStr">
        <is>
          <t>نامشخص: تعداد کل اعلام شده در متن ثبت نشده</t>
        </is>
      </c>
      <c r="W147" s="92" t="inlineStr">
        <is>
          <t>SRC_FKHZ_1404_001</t>
        </is>
      </c>
      <c r="X147" s="92" t="inlineStr">
        <is>
          <t>1404/12/29</t>
        </is>
      </c>
      <c r="Y147" s="92" t="inlineStr"/>
      <c r="Z147" s="92" t="inlineStr"/>
      <c r="AA147" s="92" t="inlineStr">
        <is>
          <t>BR Independence v41 ردیف 57</t>
        </is>
      </c>
    </row>
    <row r="148" ht="30" customHeight="1" s="76">
      <c r="A148" s="92" t="inlineStr">
        <is>
          <t>SM0145</t>
        </is>
      </c>
      <c r="B148" s="92" t="inlineStr">
        <is>
          <t>F12</t>
        </is>
      </c>
      <c r="C148" s="92" t="inlineStr">
        <is>
          <t>شستا</t>
        </is>
      </c>
      <c r="D148" s="92" t="inlineStr">
        <is>
          <t>1404/03/31</t>
        </is>
      </c>
      <c r="E148" s="92" t="inlineStr">
        <is>
          <t>FYE1404 (v41)؛ خیر (مقطع متفاوت)</t>
        </is>
      </c>
      <c r="F148" s="92" t="inlineStr">
        <is>
          <t>نمای مالی</t>
        </is>
      </c>
      <c r="G148" s="92" t="inlineStr">
        <is>
          <t>P-712AC9DA</t>
        </is>
      </c>
      <c r="H148" s="92" t="inlineStr">
        <is>
          <t>محمدرضا سعیدی</t>
        </is>
      </c>
      <c r="I148" s="92" t="inlineStr">
        <is>
          <t>محمدرضا سعیدی</t>
        </is>
      </c>
      <c r="J148" s="92" t="inlineStr">
        <is>
          <t>NATIONAL_ID؛ هش 499D35A7</t>
        </is>
      </c>
      <c r="K148" s="92" t="inlineStr">
        <is>
          <t>عضو اصلی فعال</t>
        </is>
      </c>
      <c r="L148" s="92" t="inlineStr">
        <is>
          <t>نایب رئیس هیئت مدیره</t>
        </is>
      </c>
      <c r="M148" s="92" t="inlineStr">
        <is>
          <t>بله</t>
        </is>
      </c>
      <c r="N148" s="92" t="inlineStr">
        <is>
          <t>خیر</t>
        </is>
      </c>
      <c r="O148" s="92" t="inlineStr">
        <is>
          <t>سازمان تامین اجتماعی</t>
        </is>
      </c>
      <c r="P148" s="92" t="inlineStr">
        <is>
          <t>ندارد (فقط نام)</t>
        </is>
      </c>
      <c r="Q148" s="92" t="inlineStr">
        <is>
          <t>محمدرضا سعیدی</t>
        </is>
      </c>
      <c r="R148" s="92" t="inlineStr">
        <is>
          <t>سازمان تامین اجتماعی</t>
        </is>
      </c>
      <c r="S148" s="92" t="inlineStr">
        <is>
          <t>نام دارنده حقوقی</t>
        </is>
      </c>
      <c r="T148" s="92" t="inlineStr"/>
      <c r="U148" s="92" t="n">
        <v>5</v>
      </c>
      <c r="V148" s="92" t="inlineStr">
        <is>
          <t>نامشخص: تعداد کل اعلام شده در متن ثبت نشده</t>
        </is>
      </c>
      <c r="W148" s="92" t="inlineStr">
        <is>
          <t>SRC_SHST_1404_001</t>
        </is>
      </c>
      <c r="X148" s="92" t="inlineStr">
        <is>
          <t>1404/03/31</t>
        </is>
      </c>
      <c r="Y148" s="92" t="inlineStr"/>
      <c r="Z148" s="92" t="inlineStr"/>
      <c r="AA148" s="92" t="inlineStr">
        <is>
          <t>BR Independence v41 ردیف 58</t>
        </is>
      </c>
    </row>
    <row r="149" ht="30" customHeight="1" s="76">
      <c r="A149" s="92" t="inlineStr">
        <is>
          <t>SM0146</t>
        </is>
      </c>
      <c r="B149" s="92" t="inlineStr">
        <is>
          <t>F12</t>
        </is>
      </c>
      <c r="C149" s="92" t="inlineStr">
        <is>
          <t>شستا</t>
        </is>
      </c>
      <c r="D149" s="92" t="inlineStr">
        <is>
          <t>1404/03/31</t>
        </is>
      </c>
      <c r="E149" s="92" t="inlineStr">
        <is>
          <t>FYE1404 (v41)؛ خیر (مقطع متفاوت)</t>
        </is>
      </c>
      <c r="F149" s="92" t="inlineStr">
        <is>
          <t>نمای مالی</t>
        </is>
      </c>
      <c r="G149" s="92" t="inlineStr">
        <is>
          <t>P-201E87C6</t>
        </is>
      </c>
      <c r="H149" s="92" t="inlineStr">
        <is>
          <t>سیاوش افضلی</t>
        </is>
      </c>
      <c r="I149" s="92" t="inlineStr">
        <is>
          <t>سیاوش افضلی</t>
        </is>
      </c>
      <c r="J149" s="92" t="inlineStr">
        <is>
          <t>NATIONAL_ID؛ هش 7BDFC40F</t>
        </is>
      </c>
      <c r="K149" s="92" t="inlineStr">
        <is>
          <t>عضو اصلی فعال</t>
        </is>
      </c>
      <c r="L149" s="92" t="inlineStr">
        <is>
          <t>عضو هیئت مدیره</t>
        </is>
      </c>
      <c r="M149" s="92" t="inlineStr">
        <is>
          <t>خیر</t>
        </is>
      </c>
      <c r="N149" s="92" t="inlineStr">
        <is>
          <t>خیر</t>
        </is>
      </c>
      <c r="O149" s="92" t="inlineStr">
        <is>
          <t>املاک ومستغلات تامین اجتماعی</t>
        </is>
      </c>
      <c r="P149" s="92" t="inlineStr">
        <is>
          <t>ندارد (فقط نام)</t>
        </is>
      </c>
      <c r="Q149" s="92" t="inlineStr">
        <is>
          <t>سیاوش افضلی</t>
        </is>
      </c>
      <c r="R149" s="92" t="inlineStr">
        <is>
          <t>املاک ومستغلات تامین اجتماعی</t>
        </is>
      </c>
      <c r="S149" s="92" t="inlineStr">
        <is>
          <t>نام دارنده حقوقی</t>
        </is>
      </c>
      <c r="T149" s="92" t="inlineStr"/>
      <c r="U149" s="92" t="n">
        <v>5</v>
      </c>
      <c r="V149" s="92" t="inlineStr">
        <is>
          <t>نامشخص: تعداد کل اعلام شده در متن ثبت نشده</t>
        </is>
      </c>
      <c r="W149" s="92" t="inlineStr">
        <is>
          <t>SRC_SHST_1404_001</t>
        </is>
      </c>
      <c r="X149" s="92" t="inlineStr">
        <is>
          <t>1404/03/31</t>
        </is>
      </c>
      <c r="Y149" s="92" t="inlineStr"/>
      <c r="Z149" s="92" t="inlineStr"/>
      <c r="AA149" s="92" t="inlineStr">
        <is>
          <t>BR Independence v41 ردیف 59</t>
        </is>
      </c>
    </row>
    <row r="150" ht="30" customHeight="1" s="76">
      <c r="A150" s="92" t="inlineStr">
        <is>
          <t>SM0147</t>
        </is>
      </c>
      <c r="B150" s="92" t="inlineStr">
        <is>
          <t>F12</t>
        </is>
      </c>
      <c r="C150" s="92" t="inlineStr">
        <is>
          <t>شستا</t>
        </is>
      </c>
      <c r="D150" s="92" t="inlineStr">
        <is>
          <t>1404/03/31</t>
        </is>
      </c>
      <c r="E150" s="92" t="inlineStr">
        <is>
          <t>FYE1404 (v41)؛ خیر (مقطع متفاوت)</t>
        </is>
      </c>
      <c r="F150" s="92" t="inlineStr">
        <is>
          <t>نمای مالی</t>
        </is>
      </c>
      <c r="G150" s="92" t="inlineStr">
        <is>
          <t>P-E43D3407</t>
        </is>
      </c>
      <c r="H150" s="92" t="inlineStr">
        <is>
          <t>غلام رضا رحیمی</t>
        </is>
      </c>
      <c r="I150" s="92" t="inlineStr">
        <is>
          <t>غلام رضا رحیمی</t>
        </is>
      </c>
      <c r="J150" s="92" t="inlineStr">
        <is>
          <t>NATIONAL_ID؛ هش 97A71464</t>
        </is>
      </c>
      <c r="K150" s="92" t="inlineStr">
        <is>
          <t>عضو اصلی فعال</t>
        </is>
      </c>
      <c r="L150" s="92" t="inlineStr">
        <is>
          <t>رئیس هیئت مدیره</t>
        </is>
      </c>
      <c r="M150" s="92" t="inlineStr">
        <is>
          <t>خیر</t>
        </is>
      </c>
      <c r="N150" s="92" t="inlineStr">
        <is>
          <t>بله</t>
        </is>
      </c>
      <c r="O150" s="92" t="inlineStr">
        <is>
          <t>سرمایه گذاری خانه سازی ایران</t>
        </is>
      </c>
      <c r="P150" s="92" t="inlineStr">
        <is>
          <t>ندارد (فقط نام)</t>
        </is>
      </c>
      <c r="Q150" s="92" t="inlineStr">
        <is>
          <t>غلام رضا رحیمی</t>
        </is>
      </c>
      <c r="R150" s="92" t="inlineStr">
        <is>
          <t>سرمایه گذاری خانه سازی ایران</t>
        </is>
      </c>
      <c r="S150" s="92" t="inlineStr">
        <is>
          <t>نام دارنده حقوقی</t>
        </is>
      </c>
      <c r="T150" s="92" t="inlineStr"/>
      <c r="U150" s="92" t="n">
        <v>5</v>
      </c>
      <c r="V150" s="92" t="inlineStr">
        <is>
          <t>نامشخص: تعداد کل اعلام شده در متن ثبت نشده</t>
        </is>
      </c>
      <c r="W150" s="92" t="inlineStr">
        <is>
          <t>SRC_SHST_1404_001</t>
        </is>
      </c>
      <c r="X150" s="92" t="inlineStr">
        <is>
          <t>1404/03/31</t>
        </is>
      </c>
      <c r="Y150" s="92" t="inlineStr"/>
      <c r="Z150" s="92" t="inlineStr"/>
      <c r="AA150" s="92" t="inlineStr">
        <is>
          <t>BR Independence v41 ردیف 60</t>
        </is>
      </c>
    </row>
    <row r="151" ht="30" customHeight="1" s="76">
      <c r="A151" s="92" t="inlineStr">
        <is>
          <t>SM0148</t>
        </is>
      </c>
      <c r="B151" s="92" t="inlineStr">
        <is>
          <t>F12</t>
        </is>
      </c>
      <c r="C151" s="92" t="inlineStr">
        <is>
          <t>شستا</t>
        </is>
      </c>
      <c r="D151" s="92" t="inlineStr">
        <is>
          <t>1404/03/31</t>
        </is>
      </c>
      <c r="E151" s="92" t="inlineStr">
        <is>
          <t>FYE1404 (v41)؛ خیر (مقطع متفاوت)</t>
        </is>
      </c>
      <c r="F151" s="92" t="inlineStr">
        <is>
          <t>نمای مالی</t>
        </is>
      </c>
      <c r="G151" s="92" t="inlineStr">
        <is>
          <t>P-3B3C75C2</t>
        </is>
      </c>
      <c r="H151" s="92" t="inlineStr">
        <is>
          <t>عادل دهدشتی</t>
        </is>
      </c>
      <c r="I151" s="92" t="inlineStr">
        <is>
          <t>عادل دهدشتی</t>
        </is>
      </c>
      <c r="J151" s="92" t="inlineStr">
        <is>
          <t>NATIONAL_ID؛ هش DFCC1D75</t>
        </is>
      </c>
      <c r="K151" s="92" t="inlineStr">
        <is>
          <t>عضو اصلی فعال</t>
        </is>
      </c>
      <c r="L151" s="92" t="inlineStr">
        <is>
          <t>عضو هیئت مدیره</t>
        </is>
      </c>
      <c r="M151" s="92" t="inlineStr">
        <is>
          <t>خیر</t>
        </is>
      </c>
      <c r="N151" s="92" t="inlineStr">
        <is>
          <t>خیر</t>
        </is>
      </c>
      <c r="O151" s="92" t="inlineStr">
        <is>
          <t>خدمات بهداشتی درمانی میلاد سلامت تهران</t>
        </is>
      </c>
      <c r="P151" s="92" t="inlineStr">
        <is>
          <t>ندارد (فقط نام)</t>
        </is>
      </c>
      <c r="Q151" s="92" t="inlineStr">
        <is>
          <t>عادل دهدشتی</t>
        </is>
      </c>
      <c r="R151" s="92" t="inlineStr">
        <is>
          <t>خدمات بهداشتی درمانی میلاد سلامت تهران</t>
        </is>
      </c>
      <c r="S151" s="92" t="inlineStr">
        <is>
          <t>نام دارنده حقوقی</t>
        </is>
      </c>
      <c r="T151" s="92" t="inlineStr"/>
      <c r="U151" s="92" t="n">
        <v>5</v>
      </c>
      <c r="V151" s="92" t="inlineStr">
        <is>
          <t>نامشخص: تعداد کل اعلام شده در متن ثبت نشده</t>
        </is>
      </c>
      <c r="W151" s="92" t="inlineStr">
        <is>
          <t>SRC_SHST_1404_001</t>
        </is>
      </c>
      <c r="X151" s="92" t="inlineStr">
        <is>
          <t>1404/03/31</t>
        </is>
      </c>
      <c r="Y151" s="92" t="inlineStr"/>
      <c r="Z151" s="92" t="inlineStr"/>
      <c r="AA151" s="92" t="inlineStr">
        <is>
          <t>BR Independence v41 ردیف 61</t>
        </is>
      </c>
    </row>
    <row r="152" ht="30" customHeight="1" s="76">
      <c r="A152" s="92" t="inlineStr">
        <is>
          <t>SM0149</t>
        </is>
      </c>
      <c r="B152" s="92" t="inlineStr">
        <is>
          <t>F12</t>
        </is>
      </c>
      <c r="C152" s="92" t="inlineStr">
        <is>
          <t>شستا</t>
        </is>
      </c>
      <c r="D152" s="92" t="inlineStr">
        <is>
          <t>1404/03/31</t>
        </is>
      </c>
      <c r="E152" s="92" t="inlineStr">
        <is>
          <t>FYE1404 (v41)؛ خیر (مقطع متفاوت)</t>
        </is>
      </c>
      <c r="F152" s="92" t="inlineStr">
        <is>
          <t>نمای مالی</t>
        </is>
      </c>
      <c r="G152" s="92" t="inlineStr">
        <is>
          <t>P-26E7897E</t>
        </is>
      </c>
      <c r="H152" s="92" t="inlineStr">
        <is>
          <t>علیرضا چناری</t>
        </is>
      </c>
      <c r="I152" s="92" t="inlineStr">
        <is>
          <t>علیرضا چناری</t>
        </is>
      </c>
      <c r="J152" s="92" t="inlineStr">
        <is>
          <t>NATIONAL_ID؛ هش A44A49BE</t>
        </is>
      </c>
      <c r="K152" s="92" t="inlineStr">
        <is>
          <t>عضو اصلی فعال</t>
        </is>
      </c>
      <c r="L152" s="92" t="inlineStr">
        <is>
          <t>عضو هیئت مدیره</t>
        </is>
      </c>
      <c r="M152" s="92" t="inlineStr">
        <is>
          <t>خیر</t>
        </is>
      </c>
      <c r="N152" s="92" t="inlineStr">
        <is>
          <t>خیر</t>
        </is>
      </c>
      <c r="O152" s="92" t="inlineStr">
        <is>
          <t>رفاه گستر تامین اجتماعی</t>
        </is>
      </c>
      <c r="P152" s="92" t="inlineStr">
        <is>
          <t>ندارد (فقط نام)</t>
        </is>
      </c>
      <c r="Q152" s="92" t="inlineStr">
        <is>
          <t>علیرضا چناری</t>
        </is>
      </c>
      <c r="R152" s="92" t="inlineStr">
        <is>
          <t>رفاه گستر تامین اجتماعی</t>
        </is>
      </c>
      <c r="S152" s="92" t="inlineStr">
        <is>
          <t>نام دارنده حقوقی</t>
        </is>
      </c>
      <c r="T152" s="92" t="inlineStr"/>
      <c r="U152" s="92" t="n">
        <v>5</v>
      </c>
      <c r="V152" s="92" t="inlineStr">
        <is>
          <t>نامشخص: تعداد کل اعلام شده در متن ثبت نشده</t>
        </is>
      </c>
      <c r="W152" s="92" t="inlineStr">
        <is>
          <t>SRC_SHST_1404_001</t>
        </is>
      </c>
      <c r="X152" s="92" t="inlineStr">
        <is>
          <t>1404/03/31</t>
        </is>
      </c>
      <c r="Y152" s="92" t="inlineStr"/>
      <c r="Z152" s="92" t="inlineStr"/>
      <c r="AA152" s="92" t="inlineStr">
        <is>
          <t>BR Independence v41 ردیف 62</t>
        </is>
      </c>
    </row>
    <row r="153" ht="30" customHeight="1" s="76">
      <c r="A153" s="92" t="inlineStr">
        <is>
          <t>SM0150</t>
        </is>
      </c>
      <c r="B153" s="92" t="inlineStr">
        <is>
          <t>F13</t>
        </is>
      </c>
      <c r="C153" s="92" t="inlineStr">
        <is>
          <t>شپنا</t>
        </is>
      </c>
      <c r="D153" s="92" t="inlineStr">
        <is>
          <t>1404/12/29</t>
        </is>
      </c>
      <c r="E153" s="92" t="inlineStr">
        <is>
          <t>FYE1404 (v41)؛ بله (مقطع یکسان با پایان مشترک؛ فهرست مبنا نیست)</t>
        </is>
      </c>
      <c r="F153" s="92" t="inlineStr">
        <is>
          <t>نمای مالی</t>
        </is>
      </c>
      <c r="G153" s="92" t="inlineStr">
        <is>
          <t>P-25F0221C</t>
        </is>
      </c>
      <c r="H153" s="92" t="inlineStr">
        <is>
          <t>عنایت اله نصیری جهان آباد</t>
        </is>
      </c>
      <c r="I153" s="92" t="inlineStr">
        <is>
          <t>عنایت اله نصیری جهان آباد</t>
        </is>
      </c>
      <c r="J153" s="92" t="inlineStr">
        <is>
          <t>NATIONAL_ID؛ هش FF64ED9C</t>
        </is>
      </c>
      <c r="K153" s="92" t="inlineStr">
        <is>
          <t>عضو اصلی فعال</t>
        </is>
      </c>
      <c r="L153" s="92" t="inlineStr">
        <is>
          <t>عضو هیئت مدیره</t>
        </is>
      </c>
      <c r="M153" s="92" t="inlineStr">
        <is>
          <t>خیر</t>
        </is>
      </c>
      <c r="N153" s="92" t="inlineStr">
        <is>
          <t>خیر</t>
        </is>
      </c>
      <c r="O153" s="92" t="inlineStr">
        <is>
          <t>سرمایه گذاری استان چهارمحال و بختیاری</t>
        </is>
      </c>
      <c r="P153" s="92" t="inlineStr">
        <is>
          <t>ندارد (فقط نام)</t>
        </is>
      </c>
      <c r="Q153" s="92" t="inlineStr">
        <is>
          <t>عنایت اله نصیری جهان آباد</t>
        </is>
      </c>
      <c r="R153" s="92" t="inlineStr">
        <is>
          <t>سرمایه گذاری استان چهارمحال و بختیاری</t>
        </is>
      </c>
      <c r="S153" s="92" t="inlineStr">
        <is>
          <t>نام دارنده حقوقی</t>
        </is>
      </c>
      <c r="T153" s="92" t="inlineStr"/>
      <c r="U153" s="92" t="n">
        <v>5</v>
      </c>
      <c r="V153" s="92" t="inlineStr">
        <is>
          <t>نامشخص: تعداد کل اعلام شده در متن ثبت نشده</t>
        </is>
      </c>
      <c r="W153" s="92" t="inlineStr">
        <is>
          <t>SRC_SHPN_1404_001</t>
        </is>
      </c>
      <c r="X153" s="92" t="inlineStr">
        <is>
          <t>1404/12/29</t>
        </is>
      </c>
      <c r="Y153" s="92" t="inlineStr"/>
      <c r="Z153" s="92" t="inlineStr"/>
      <c r="AA153" s="92" t="inlineStr">
        <is>
          <t>BR Independence v41 ردیف 63</t>
        </is>
      </c>
    </row>
    <row r="154" ht="30" customHeight="1" s="76">
      <c r="A154" s="92" t="inlineStr">
        <is>
          <t>SM0151</t>
        </is>
      </c>
      <c r="B154" s="92" t="inlineStr">
        <is>
          <t>F13</t>
        </is>
      </c>
      <c r="C154" s="92" t="inlineStr">
        <is>
          <t>شپنا</t>
        </is>
      </c>
      <c r="D154" s="92" t="inlineStr">
        <is>
          <t>1404/12/29</t>
        </is>
      </c>
      <c r="E154" s="92" t="inlineStr">
        <is>
          <t>FYE1404 (v41)؛ بله (مقطع یکسان با پایان مشترک؛ فهرست مبنا نیست)</t>
        </is>
      </c>
      <c r="F154" s="92" t="inlineStr">
        <is>
          <t>نمای مالی</t>
        </is>
      </c>
      <c r="G154" s="92" t="inlineStr">
        <is>
          <t>P-A059CE49</t>
        </is>
      </c>
      <c r="H154" s="92" t="inlineStr">
        <is>
          <t>سیدمحمود سیدی</t>
        </is>
      </c>
      <c r="I154" s="92" t="inlineStr">
        <is>
          <t>سیدمحمود سیدی</t>
        </is>
      </c>
      <c r="J154" s="92" t="inlineStr">
        <is>
          <t>NATIONAL_ID؛ هش 2BB29257</t>
        </is>
      </c>
      <c r="K154" s="92" t="inlineStr">
        <is>
          <t>عضو اصلی فعال</t>
        </is>
      </c>
      <c r="L154" s="92" t="inlineStr">
        <is>
          <t>عضو هیئت مدیره</t>
        </is>
      </c>
      <c r="M154" s="92" t="inlineStr">
        <is>
          <t>خیر</t>
        </is>
      </c>
      <c r="N154" s="92" t="inlineStr">
        <is>
          <t>خیر</t>
        </is>
      </c>
      <c r="O154" s="92" t="inlineStr">
        <is>
          <t>آوای پردیس سلامت</t>
        </is>
      </c>
      <c r="P154" s="92" t="inlineStr">
        <is>
          <t>ندارد (فقط نام)</t>
        </is>
      </c>
      <c r="Q154" s="92" t="inlineStr">
        <is>
          <t>سیدمحمود سیدی</t>
        </is>
      </c>
      <c r="R154" s="92" t="inlineStr">
        <is>
          <t>آوای پردیس سلامت</t>
        </is>
      </c>
      <c r="S154" s="92" t="inlineStr">
        <is>
          <t>نام دارنده حقوقی</t>
        </is>
      </c>
      <c r="T154" s="92" t="inlineStr"/>
      <c r="U154" s="92" t="n">
        <v>5</v>
      </c>
      <c r="V154" s="92" t="inlineStr">
        <is>
          <t>نامشخص: تعداد کل اعلام شده در متن ثبت نشده</t>
        </is>
      </c>
      <c r="W154" s="92" t="inlineStr">
        <is>
          <t>SRC_SHPN_1404_001</t>
        </is>
      </c>
      <c r="X154" s="92" t="inlineStr">
        <is>
          <t>1404/12/29</t>
        </is>
      </c>
      <c r="Y154" s="92" t="inlineStr"/>
      <c r="Z154" s="92" t="inlineStr"/>
      <c r="AA154" s="92" t="inlineStr">
        <is>
          <t>BR Independence v41 ردیف 64</t>
        </is>
      </c>
    </row>
    <row r="155" ht="30" customHeight="1" s="76">
      <c r="A155" s="92" t="inlineStr">
        <is>
          <t>SM0152</t>
        </is>
      </c>
      <c r="B155" s="92" t="inlineStr">
        <is>
          <t>F13</t>
        </is>
      </c>
      <c r="C155" s="92" t="inlineStr">
        <is>
          <t>شپنا</t>
        </is>
      </c>
      <c r="D155" s="92" t="inlineStr">
        <is>
          <t>1404/12/29</t>
        </is>
      </c>
      <c r="E155" s="92" t="inlineStr">
        <is>
          <t>FYE1404 (v41)؛ بله (مقطع یکسان با پایان مشترک؛ فهرست مبنا نیست)</t>
        </is>
      </c>
      <c r="F155" s="92" t="inlineStr">
        <is>
          <t>نمای مالی</t>
        </is>
      </c>
      <c r="G155" s="92" t="inlineStr">
        <is>
          <t>P-611638D3</t>
        </is>
      </c>
      <c r="H155" s="92" t="inlineStr">
        <is>
          <t>امید جلیل پور</t>
        </is>
      </c>
      <c r="I155" s="92" t="inlineStr">
        <is>
          <t>امید جلیل پور</t>
        </is>
      </c>
      <c r="J155" s="92" t="inlineStr">
        <is>
          <t>NATIONAL_ID؛ هش C5F48904</t>
        </is>
      </c>
      <c r="K155" s="92" t="inlineStr">
        <is>
          <t>عضو اصلی فعال</t>
        </is>
      </c>
      <c r="L155" s="92" t="inlineStr">
        <is>
          <t>عضو هیئت مدیره</t>
        </is>
      </c>
      <c r="M155" s="92" t="inlineStr">
        <is>
          <t>خیر</t>
        </is>
      </c>
      <c r="N155" s="92" t="inlineStr">
        <is>
          <t>خیر</t>
        </is>
      </c>
      <c r="O155" s="92" t="inlineStr">
        <is>
          <t>توسعه سرمایه رفاه</t>
        </is>
      </c>
      <c r="P155" s="92" t="inlineStr">
        <is>
          <t>ندارد (فقط نام)</t>
        </is>
      </c>
      <c r="Q155" s="92" t="inlineStr">
        <is>
          <t>امید جلیل پور</t>
        </is>
      </c>
      <c r="R155" s="92" t="inlineStr">
        <is>
          <t>توسعه سرمایه رفاه</t>
        </is>
      </c>
      <c r="S155" s="92" t="inlineStr">
        <is>
          <t>نام دارنده حقوقی</t>
        </is>
      </c>
      <c r="T155" s="92" t="inlineStr"/>
      <c r="U155" s="92" t="n">
        <v>5</v>
      </c>
      <c r="V155" s="92" t="inlineStr">
        <is>
          <t>نامشخص: تعداد کل اعلام شده در متن ثبت نشده</t>
        </is>
      </c>
      <c r="W155" s="92" t="inlineStr">
        <is>
          <t>SRC_SHPN_1404_001</t>
        </is>
      </c>
      <c r="X155" s="92" t="inlineStr">
        <is>
          <t>1404/12/29</t>
        </is>
      </c>
      <c r="Y155" s="92" t="inlineStr"/>
      <c r="Z155" s="92" t="inlineStr"/>
      <c r="AA155" s="92" t="inlineStr">
        <is>
          <t>BR Independence v41 ردیف 65</t>
        </is>
      </c>
    </row>
    <row r="156" ht="30" customHeight="1" s="76">
      <c r="A156" s="92" t="inlineStr">
        <is>
          <t>SM0153</t>
        </is>
      </c>
      <c r="B156" s="92" t="inlineStr">
        <is>
          <t>F13</t>
        </is>
      </c>
      <c r="C156" s="92" t="inlineStr">
        <is>
          <t>شپنا</t>
        </is>
      </c>
      <c r="D156" s="92" t="inlineStr">
        <is>
          <t>1404/12/29</t>
        </is>
      </c>
      <c r="E156" s="92" t="inlineStr">
        <is>
          <t>FYE1404 (v41)؛ بله (مقطع یکسان با پایان مشترک؛ فهرست مبنا نیست)</t>
        </is>
      </c>
      <c r="F156" s="92" t="inlineStr">
        <is>
          <t>نمای مالی</t>
        </is>
      </c>
      <c r="G156" s="92" t="inlineStr">
        <is>
          <t>P-8B3D450B</t>
        </is>
      </c>
      <c r="H156" s="92" t="inlineStr">
        <is>
          <t>غلامرضا باقری دیزج</t>
        </is>
      </c>
      <c r="I156" s="92" t="inlineStr">
        <is>
          <t>غلامرضا باقری دیزج</t>
        </is>
      </c>
      <c r="J156" s="92" t="inlineStr">
        <is>
          <t>NATIONAL_ID؛ هش 9F4E340F</t>
        </is>
      </c>
      <c r="K156" s="92" t="inlineStr">
        <is>
          <t>عضو اصلی فعال</t>
        </is>
      </c>
      <c r="L156" s="92" t="inlineStr">
        <is>
          <t>نایب رئیس هیئت مدیره</t>
        </is>
      </c>
      <c r="M156" s="92" t="inlineStr">
        <is>
          <t>بله</t>
        </is>
      </c>
      <c r="N156" s="92" t="inlineStr">
        <is>
          <t>خیر</t>
        </is>
      </c>
      <c r="O156" s="92" t="inlineStr">
        <is>
          <t>سرمایه گذاری ایرانیان</t>
        </is>
      </c>
      <c r="P156" s="92" t="inlineStr">
        <is>
          <t>ندارد (فقط نام)</t>
        </is>
      </c>
      <c r="Q156" s="92" t="inlineStr">
        <is>
          <t>غلامرضا باقری دیزج</t>
        </is>
      </c>
      <c r="R156" s="92" t="inlineStr">
        <is>
          <t>سرمایه گذاری ایرانیان</t>
        </is>
      </c>
      <c r="S156" s="92" t="inlineStr">
        <is>
          <t>نام دارنده حقوقی</t>
        </is>
      </c>
      <c r="T156" s="92" t="inlineStr"/>
      <c r="U156" s="92" t="n">
        <v>5</v>
      </c>
      <c r="V156" s="92" t="inlineStr">
        <is>
          <t>نامشخص: تعداد کل اعلام شده در متن ثبت نشده</t>
        </is>
      </c>
      <c r="W156" s="92" t="inlineStr">
        <is>
          <t>SRC_SHPN_1404_001</t>
        </is>
      </c>
      <c r="X156" s="92" t="inlineStr">
        <is>
          <t>1404/12/29</t>
        </is>
      </c>
      <c r="Y156" s="92" t="inlineStr"/>
      <c r="Z156" s="92" t="inlineStr"/>
      <c r="AA156" s="92" t="inlineStr">
        <is>
          <t>BR Independence v41 ردیف 66</t>
        </is>
      </c>
    </row>
    <row r="157" ht="30" customHeight="1" s="76">
      <c r="A157" s="92" t="inlineStr">
        <is>
          <t>SM0154</t>
        </is>
      </c>
      <c r="B157" s="92" t="inlineStr">
        <is>
          <t>F13</t>
        </is>
      </c>
      <c r="C157" s="92" t="inlineStr">
        <is>
          <t>شپنا</t>
        </is>
      </c>
      <c r="D157" s="92" t="inlineStr">
        <is>
          <t>1404/12/29</t>
        </is>
      </c>
      <c r="E157" s="92" t="inlineStr">
        <is>
          <t>FYE1404 (v41)؛ بله (مقطع یکسان با پایان مشترک؛ فهرست مبنا نیست)</t>
        </is>
      </c>
      <c r="F157" s="92" t="inlineStr">
        <is>
          <t>نمای مالی</t>
        </is>
      </c>
      <c r="G157" s="92" t="inlineStr">
        <is>
          <t>P-556DA804</t>
        </is>
      </c>
      <c r="H157" s="92" t="inlineStr">
        <is>
          <t>فرهاد امین دهقان</t>
        </is>
      </c>
      <c r="I157" s="92" t="inlineStr">
        <is>
          <t>فرهاد امین دهقان</t>
        </is>
      </c>
      <c r="J157" s="92" t="inlineStr">
        <is>
          <t>NATIONAL_ID؛ هش 6FDA273B</t>
        </is>
      </c>
      <c r="K157" s="92" t="inlineStr">
        <is>
          <t>عضو اصلی فعال</t>
        </is>
      </c>
      <c r="L157" s="92" t="inlineStr">
        <is>
          <t>رئیس هیئت مدیره</t>
        </is>
      </c>
      <c r="M157" s="92" t="inlineStr">
        <is>
          <t>خیر</t>
        </is>
      </c>
      <c r="N157" s="92" t="inlineStr">
        <is>
          <t>بله</t>
        </is>
      </c>
      <c r="O157" s="92" t="inlineStr">
        <is>
          <t>گروه پتروشیمی تابان فردا</t>
        </is>
      </c>
      <c r="P157" s="92" t="inlineStr">
        <is>
          <t>ندارد (فقط نام)</t>
        </is>
      </c>
      <c r="Q157" s="92" t="inlineStr">
        <is>
          <t>فرهاد امین دهقان</t>
        </is>
      </c>
      <c r="R157" s="92" t="inlineStr">
        <is>
          <t>گروه پتروشیمی تابان فردا</t>
        </is>
      </c>
      <c r="S157" s="92" t="inlineStr">
        <is>
          <t>نام دارنده حقوقی</t>
        </is>
      </c>
      <c r="T157" s="92" t="inlineStr"/>
      <c r="U157" s="92" t="n">
        <v>5</v>
      </c>
      <c r="V157" s="92" t="inlineStr">
        <is>
          <t>نامشخص: تعداد کل اعلام شده در متن ثبت نشده</t>
        </is>
      </c>
      <c r="W157" s="92" t="inlineStr">
        <is>
          <t>SRC_SHPN_1404_001</t>
        </is>
      </c>
      <c r="X157" s="92" t="inlineStr">
        <is>
          <t>1404/12/29</t>
        </is>
      </c>
      <c r="Y157" s="92" t="inlineStr"/>
      <c r="Z157" s="92" t="inlineStr"/>
      <c r="AA157" s="92" t="inlineStr">
        <is>
          <t>BR Independence v41 ردیف 67</t>
        </is>
      </c>
    </row>
    <row r="158" ht="30" customHeight="1" s="76">
      <c r="A158" s="92" t="inlineStr">
        <is>
          <t>SM0155</t>
        </is>
      </c>
      <c r="B158" s="92" t="inlineStr">
        <is>
          <t>F14</t>
        </is>
      </c>
      <c r="C158" s="92" t="inlineStr">
        <is>
          <t>وغدیر</t>
        </is>
      </c>
      <c r="D158" s="92" t="inlineStr">
        <is>
          <t>1404/09/30</t>
        </is>
      </c>
      <c r="E158" s="92" t="inlineStr">
        <is>
          <t>FYE1404 (v41)؛ خیر (مقطع متفاوت)</t>
        </is>
      </c>
      <c r="F158" s="92" t="inlineStr">
        <is>
          <t>نمای مالی</t>
        </is>
      </c>
      <c r="G158" s="92" t="inlineStr">
        <is>
          <t>P-A854A8DF</t>
        </is>
      </c>
      <c r="H158" s="92" t="inlineStr">
        <is>
          <t>متین دیداری</t>
        </is>
      </c>
      <c r="I158" s="92" t="inlineStr">
        <is>
          <t>متین دیداری</t>
        </is>
      </c>
      <c r="J158" s="92" t="inlineStr">
        <is>
          <t>NATIONAL_ID؛ هش A3E3C90E</t>
        </is>
      </c>
      <c r="K158" s="92" t="inlineStr">
        <is>
          <t>عضو اصلی فعال</t>
        </is>
      </c>
      <c r="L158" s="92" t="inlineStr">
        <is>
          <t>عضو هیئت مدیره</t>
        </is>
      </c>
      <c r="M158" s="92" t="inlineStr">
        <is>
          <t>خیر</t>
        </is>
      </c>
      <c r="N158" s="92" t="inlineStr">
        <is>
          <t>خیر</t>
        </is>
      </c>
      <c r="O158" s="92" t="inlineStr">
        <is>
          <t>توسعه و مدیریت سرمایه صبا</t>
        </is>
      </c>
      <c r="P158" s="92" t="inlineStr">
        <is>
          <t>ندارد (فقط نام)</t>
        </is>
      </c>
      <c r="Q158" s="92" t="inlineStr">
        <is>
          <t>متین دیداری</t>
        </is>
      </c>
      <c r="R158" s="92" t="inlineStr">
        <is>
          <t>توسعه و مدیریت سرمایه صبا</t>
        </is>
      </c>
      <c r="S158" s="92" t="inlineStr">
        <is>
          <t>نام دارنده حقوقی</t>
        </is>
      </c>
      <c r="T158" s="92" t="inlineStr"/>
      <c r="U158" s="92" t="n">
        <v>5</v>
      </c>
      <c r="V158" s="92" t="inlineStr">
        <is>
          <t>نامشخص: تعداد کل اعلام شده در متن ثبت نشده</t>
        </is>
      </c>
      <c r="W158" s="92" t="inlineStr">
        <is>
          <t>SRC_VGHD_1404_001</t>
        </is>
      </c>
      <c r="X158" s="92" t="inlineStr">
        <is>
          <t>1404/09/30</t>
        </is>
      </c>
      <c r="Y158" s="92" t="inlineStr"/>
      <c r="Z158" s="92" t="inlineStr"/>
      <c r="AA158" s="92" t="inlineStr">
        <is>
          <t>BR Independence v41 ردیف 68</t>
        </is>
      </c>
    </row>
    <row r="159" ht="30" customHeight="1" s="76">
      <c r="A159" s="92" t="inlineStr">
        <is>
          <t>SM0156</t>
        </is>
      </c>
      <c r="B159" s="92" t="inlineStr">
        <is>
          <t>F14</t>
        </is>
      </c>
      <c r="C159" s="92" t="inlineStr">
        <is>
          <t>وغدیر</t>
        </is>
      </c>
      <c r="D159" s="92" t="inlineStr">
        <is>
          <t>1404/09/30</t>
        </is>
      </c>
      <c r="E159" s="92" t="inlineStr">
        <is>
          <t>FYE1404 (v41)؛ خیر (مقطع متفاوت)</t>
        </is>
      </c>
      <c r="F159" s="92" t="inlineStr">
        <is>
          <t>نمای مالی</t>
        </is>
      </c>
      <c r="G159" s="92" t="inlineStr">
        <is>
          <t>P-4023C653</t>
        </is>
      </c>
      <c r="H159" s="92" t="inlineStr">
        <is>
          <t>مهدی ریاضی کلاهدوزمحله</t>
        </is>
      </c>
      <c r="I159" s="92" t="inlineStr">
        <is>
          <t>مهدی ریاضی کلاهدوزمحله</t>
        </is>
      </c>
      <c r="J159" s="92" t="inlineStr">
        <is>
          <t>NATIONAL_ID؛ هش 24C536D8</t>
        </is>
      </c>
      <c r="K159" s="92" t="inlineStr">
        <is>
          <t>عضو اصلی فعال</t>
        </is>
      </c>
      <c r="L159" s="92" t="inlineStr">
        <is>
          <t>عضو هیئت مدیره</t>
        </is>
      </c>
      <c r="M159" s="92" t="inlineStr">
        <is>
          <t>خیر</t>
        </is>
      </c>
      <c r="N159" s="92" t="inlineStr">
        <is>
          <t>خیر</t>
        </is>
      </c>
      <c r="O159" s="92" t="inlineStr">
        <is>
          <t>سرمایه گذاری تجاری شستان</t>
        </is>
      </c>
      <c r="P159" s="92" t="inlineStr">
        <is>
          <t>ندارد (فقط نام)</t>
        </is>
      </c>
      <c r="Q159" s="92" t="inlineStr">
        <is>
          <t>مهدی ریاضی کلاهدوزمحله</t>
        </is>
      </c>
      <c r="R159" s="92" t="inlineStr">
        <is>
          <t>سرمایه گذاری تجاری شستان</t>
        </is>
      </c>
      <c r="S159" s="92" t="inlineStr">
        <is>
          <t>نام دارنده حقوقی</t>
        </is>
      </c>
      <c r="T159" s="92" t="inlineStr"/>
      <c r="U159" s="92" t="n">
        <v>5</v>
      </c>
      <c r="V159" s="92" t="inlineStr">
        <is>
          <t>نامشخص: تعداد کل اعلام شده در متن ثبت نشده</t>
        </is>
      </c>
      <c r="W159" s="92" t="inlineStr">
        <is>
          <t>SRC_VGHD_1404_001</t>
        </is>
      </c>
      <c r="X159" s="92" t="inlineStr">
        <is>
          <t>1404/09/30</t>
        </is>
      </c>
      <c r="Y159" s="92" t="inlineStr"/>
      <c r="Z159" s="92" t="inlineStr"/>
      <c r="AA159" s="92" t="inlineStr">
        <is>
          <t>BR Independence v41 ردیف 69</t>
        </is>
      </c>
    </row>
    <row r="160" ht="30" customHeight="1" s="76">
      <c r="A160" s="92" t="inlineStr">
        <is>
          <t>SM0157</t>
        </is>
      </c>
      <c r="B160" s="92" t="inlineStr">
        <is>
          <t>F14</t>
        </is>
      </c>
      <c r="C160" s="92" t="inlineStr">
        <is>
          <t>وغدیر</t>
        </is>
      </c>
      <c r="D160" s="92" t="inlineStr">
        <is>
          <t>1404/09/30</t>
        </is>
      </c>
      <c r="E160" s="92" t="inlineStr">
        <is>
          <t>FYE1404 (v41)؛ خیر (مقطع متفاوت)</t>
        </is>
      </c>
      <c r="F160" s="92" t="inlineStr">
        <is>
          <t>نمای مالی</t>
        </is>
      </c>
      <c r="G160" s="92" t="inlineStr">
        <is>
          <t>P-57DCC37B</t>
        </is>
      </c>
      <c r="H160" s="92" t="inlineStr">
        <is>
          <t>علی اکبر مصطفی پور</t>
        </is>
      </c>
      <c r="I160" s="92" t="inlineStr">
        <is>
          <t>علی اکبر مصطفی پور</t>
        </is>
      </c>
      <c r="J160" s="92" t="inlineStr">
        <is>
          <t>NATIONAL_ID؛ هش 62C3D2FF</t>
        </is>
      </c>
      <c r="K160" s="92" t="inlineStr">
        <is>
          <t>عضو اصلی فعال</t>
        </is>
      </c>
      <c r="L160" s="92" t="inlineStr">
        <is>
          <t>نایب رئیس هیئت مدیره</t>
        </is>
      </c>
      <c r="M160" s="92" t="inlineStr">
        <is>
          <t>خیر</t>
        </is>
      </c>
      <c r="N160" s="92" t="inlineStr">
        <is>
          <t>خیر</t>
        </is>
      </c>
      <c r="O160" s="92" t="inlineStr">
        <is>
          <t>صندوق بازنشستگی وظیفه از کار افتادگی و پس انداز کارکنان بانکهای ملی و ادغام شده</t>
        </is>
      </c>
      <c r="P160" s="92" t="inlineStr">
        <is>
          <t>ندارد (فقط نام)</t>
        </is>
      </c>
      <c r="Q160" s="92" t="inlineStr">
        <is>
          <t>علی اکبر مصطفی پور</t>
        </is>
      </c>
      <c r="R160" s="92" t="inlineStr">
        <is>
          <t>صندوق بازنشستگی وظیفه از کار افتادگی و پس انداز کارکنان بانکهای ملی و ادغام شده</t>
        </is>
      </c>
      <c r="S160" s="92" t="inlineStr">
        <is>
          <t>نام دارنده حقوقی</t>
        </is>
      </c>
      <c r="T160" s="92" t="inlineStr"/>
      <c r="U160" s="92" t="n">
        <v>5</v>
      </c>
      <c r="V160" s="92" t="inlineStr">
        <is>
          <t>نامشخص: تعداد کل اعلام شده در متن ثبت نشده</t>
        </is>
      </c>
      <c r="W160" s="92" t="inlineStr">
        <is>
          <t>SRC_VGHD_1404_001</t>
        </is>
      </c>
      <c r="X160" s="92" t="inlineStr">
        <is>
          <t>1404/09/30</t>
        </is>
      </c>
      <c r="Y160" s="92" t="inlineStr"/>
      <c r="Z160" s="92" t="inlineStr"/>
      <c r="AA160" s="92" t="inlineStr">
        <is>
          <t>BR Independence v41 ردیف 70</t>
        </is>
      </c>
    </row>
    <row r="161" ht="30" customHeight="1" s="76">
      <c r="A161" s="92" t="inlineStr">
        <is>
          <t>SM0158</t>
        </is>
      </c>
      <c r="B161" s="92" t="inlineStr">
        <is>
          <t>F14</t>
        </is>
      </c>
      <c r="C161" s="92" t="inlineStr">
        <is>
          <t>وغدیر</t>
        </is>
      </c>
      <c r="D161" s="92" t="inlineStr">
        <is>
          <t>1404/09/30</t>
        </is>
      </c>
      <c r="E161" s="92" t="inlineStr">
        <is>
          <t>FYE1404 (v41)؛ خیر (مقطع متفاوت)</t>
        </is>
      </c>
      <c r="F161" s="92" t="inlineStr">
        <is>
          <t>نمای مالی</t>
        </is>
      </c>
      <c r="G161" s="92" t="inlineStr">
        <is>
          <t>P-64FD769A</t>
        </is>
      </c>
      <c r="H161" s="92" t="inlineStr">
        <is>
          <t>سیدمجید هدایت</t>
        </is>
      </c>
      <c r="I161" s="92" t="inlineStr">
        <is>
          <t>سیدمجید هدایت</t>
        </is>
      </c>
      <c r="J161" s="92" t="inlineStr">
        <is>
          <t>NATIONAL_ID؛ هش 5D310C9E</t>
        </is>
      </c>
      <c r="K161" s="92" t="inlineStr">
        <is>
          <t>عضو اصلی فعال</t>
        </is>
      </c>
      <c r="L161" s="92" t="inlineStr">
        <is>
          <t>عضو هیئت مدیره</t>
        </is>
      </c>
      <c r="M161" s="92" t="inlineStr">
        <is>
          <t>بله</t>
        </is>
      </c>
      <c r="N161" s="92" t="inlineStr">
        <is>
          <t>خیر</t>
        </is>
      </c>
      <c r="O161" s="92" t="inlineStr">
        <is>
          <t>صندوق بازنشستگی نیروهای مسلح</t>
        </is>
      </c>
      <c r="P161" s="92" t="inlineStr">
        <is>
          <t>ندارد (فقط نام)</t>
        </is>
      </c>
      <c r="Q161" s="92" t="inlineStr">
        <is>
          <t>سیدمجید هدایت</t>
        </is>
      </c>
      <c r="R161" s="92" t="inlineStr">
        <is>
          <t>صندوق بازنشستگی نیروهای مسلح</t>
        </is>
      </c>
      <c r="S161" s="92" t="inlineStr">
        <is>
          <t>نام دارنده حقوقی</t>
        </is>
      </c>
      <c r="T161" s="92" t="inlineStr"/>
      <c r="U161" s="92" t="n">
        <v>5</v>
      </c>
      <c r="V161" s="92" t="inlineStr">
        <is>
          <t>نامشخص: تعداد کل اعلام شده در متن ثبت نشده</t>
        </is>
      </c>
      <c r="W161" s="92" t="inlineStr">
        <is>
          <t>SRC_VGHD_1404_001</t>
        </is>
      </c>
      <c r="X161" s="92" t="inlineStr">
        <is>
          <t>1404/09/30</t>
        </is>
      </c>
      <c r="Y161" s="92" t="inlineStr"/>
      <c r="Z161" s="92" t="inlineStr"/>
      <c r="AA161" s="92" t="inlineStr">
        <is>
          <t>BR Independence v41 ردیف 71</t>
        </is>
      </c>
    </row>
    <row r="162" ht="30" customHeight="1" s="76">
      <c r="A162" s="92" t="inlineStr">
        <is>
          <t>SM0159</t>
        </is>
      </c>
      <c r="B162" s="92" t="inlineStr">
        <is>
          <t>F14</t>
        </is>
      </c>
      <c r="C162" s="92" t="inlineStr">
        <is>
          <t>وغدیر</t>
        </is>
      </c>
      <c r="D162" s="92" t="inlineStr">
        <is>
          <t>1404/09/30</t>
        </is>
      </c>
      <c r="E162" s="92" t="inlineStr">
        <is>
          <t>FYE1404 (v41)؛ خیر (مقطع متفاوت)</t>
        </is>
      </c>
      <c r="F162" s="92" t="inlineStr">
        <is>
          <t>نمای مالی</t>
        </is>
      </c>
      <c r="G162" s="92" t="inlineStr">
        <is>
          <t>P-78E3D929</t>
        </is>
      </c>
      <c r="H162" s="92" t="inlineStr">
        <is>
          <t>احد امیری</t>
        </is>
      </c>
      <c r="I162" s="92" t="inlineStr">
        <is>
          <t>احد امیری</t>
        </is>
      </c>
      <c r="J162" s="92" t="inlineStr">
        <is>
          <t>NATIONAL_ID؛ هش E0BD85B9</t>
        </is>
      </c>
      <c r="K162" s="92" t="inlineStr">
        <is>
          <t>عضو اصلی فعال</t>
        </is>
      </c>
      <c r="L162" s="92" t="inlineStr">
        <is>
          <t>رئیس هیئت مدیره</t>
        </is>
      </c>
      <c r="M162" s="92" t="inlineStr">
        <is>
          <t>خیر</t>
        </is>
      </c>
      <c r="N162" s="92" t="inlineStr">
        <is>
          <t>بله</t>
        </is>
      </c>
      <c r="O162" s="92" t="inlineStr">
        <is>
          <t>صندوق بیمه عمر و حوادث نیروهای مسلح</t>
        </is>
      </c>
      <c r="P162" s="92" t="inlineStr">
        <is>
          <t>ندارد (فقط نام)</t>
        </is>
      </c>
      <c r="Q162" s="92" t="inlineStr">
        <is>
          <t>احد امیری</t>
        </is>
      </c>
      <c r="R162" s="92" t="inlineStr">
        <is>
          <t>صندوق بیمه عمر و حوادث نیروهای مسلح</t>
        </is>
      </c>
      <c r="S162" s="92" t="inlineStr">
        <is>
          <t>نام دارنده حقوقی</t>
        </is>
      </c>
      <c r="T162" s="92" t="inlineStr"/>
      <c r="U162" s="92" t="n">
        <v>5</v>
      </c>
      <c r="V162" s="92" t="inlineStr">
        <is>
          <t>نامشخص: تعداد کل اعلام شده در متن ثبت نشده</t>
        </is>
      </c>
      <c r="W162" s="92" t="inlineStr">
        <is>
          <t>SRC_VGHD_1404_001</t>
        </is>
      </c>
      <c r="X162" s="92" t="inlineStr">
        <is>
          <t>1404/09/30</t>
        </is>
      </c>
      <c r="Y162" s="92" t="inlineStr"/>
      <c r="Z162" s="92" t="inlineStr"/>
      <c r="AA162" s="92" t="inlineStr">
        <is>
          <t>BR Independence v41 ردیف 72</t>
        </is>
      </c>
    </row>
    <row r="163" ht="30" customHeight="1" s="76">
      <c r="A163" s="92" t="inlineStr">
        <is>
          <t>SM0160</t>
        </is>
      </c>
      <c r="B163" s="92" t="inlineStr">
        <is>
          <t>F15</t>
        </is>
      </c>
      <c r="C163" s="92" t="inlineStr">
        <is>
          <t>نوری</t>
        </is>
      </c>
      <c r="D163" s="92" t="inlineStr">
        <is>
          <t>1404/12/29</t>
        </is>
      </c>
      <c r="E163" s="92" t="inlineStr">
        <is>
          <t>FYE1404 (v41)؛ بله (مقطع یکسان با پایان مشترک؛ فهرست مبنا نیست)</t>
        </is>
      </c>
      <c r="F163" s="92" t="inlineStr">
        <is>
          <t>نمای مالی</t>
        </is>
      </c>
      <c r="G163" s="92" t="inlineStr">
        <is>
          <t>P-0542BA62</t>
        </is>
      </c>
      <c r="H163" s="92" t="inlineStr">
        <is>
          <t>صالح رحیمی</t>
        </is>
      </c>
      <c r="I163" s="92" t="inlineStr">
        <is>
          <t>صالح رحیمی</t>
        </is>
      </c>
      <c r="J163" s="92" t="inlineStr">
        <is>
          <t>NATIONAL_ID؛ هش 9069E6BF</t>
        </is>
      </c>
      <c r="K163" s="92" t="inlineStr">
        <is>
          <t>عضو اصلی فعال</t>
        </is>
      </c>
      <c r="L163" s="92" t="inlineStr">
        <is>
          <t>عضو هیئت مدیره</t>
        </is>
      </c>
      <c r="M163" s="92" t="inlineStr">
        <is>
          <t>خیر</t>
        </is>
      </c>
      <c r="N163" s="92" t="inlineStr">
        <is>
          <t>خیر</t>
        </is>
      </c>
      <c r="O163" s="92" t="inlineStr">
        <is>
          <t>سرمایه گذاری نفت و گاز و پتروشیمی تامین</t>
        </is>
      </c>
      <c r="P163" s="92" t="inlineStr">
        <is>
          <t>ندارد (فقط نام)</t>
        </is>
      </c>
      <c r="Q163" s="92" t="inlineStr">
        <is>
          <t>صالح رحیمی</t>
        </is>
      </c>
      <c r="R163" s="92" t="inlineStr">
        <is>
          <t>سرمایه گذاری نفت و گاز و پتروشیمی تامین</t>
        </is>
      </c>
      <c r="S163" s="92" t="inlineStr">
        <is>
          <t>نام دارنده حقوقی</t>
        </is>
      </c>
      <c r="T163" s="92" t="inlineStr"/>
      <c r="U163" s="92" t="n">
        <v>5</v>
      </c>
      <c r="V163" s="92" t="inlineStr">
        <is>
          <t>نامشخص: تعداد کل اعلام شده در متن ثبت نشده</t>
        </is>
      </c>
      <c r="W163" s="92" t="inlineStr">
        <is>
          <t>SRC_NOOR_1404_007</t>
        </is>
      </c>
      <c r="X163" s="92" t="inlineStr">
        <is>
          <t>1404/12/29</t>
        </is>
      </c>
      <c r="Y163" s="92" t="inlineStr"/>
      <c r="Z163" s="92" t="inlineStr"/>
      <c r="AA163" s="92" t="inlineStr">
        <is>
          <t>BR Independence v41 ردیف 73</t>
        </is>
      </c>
    </row>
    <row r="164" ht="30" customHeight="1" s="76">
      <c r="A164" s="92" t="inlineStr">
        <is>
          <t>SM0161</t>
        </is>
      </c>
      <c r="B164" s="92" t="inlineStr">
        <is>
          <t>F15</t>
        </is>
      </c>
      <c r="C164" s="92" t="inlineStr">
        <is>
          <t>نوری</t>
        </is>
      </c>
      <c r="D164" s="92" t="inlineStr">
        <is>
          <t>1404/12/29</t>
        </is>
      </c>
      <c r="E164" s="92" t="inlineStr">
        <is>
          <t>FYE1404 (v41)؛ بله (مقطع یکسان با پایان مشترک؛ فهرست مبنا نیست)</t>
        </is>
      </c>
      <c r="F164" s="92" t="inlineStr">
        <is>
          <t>نمای مالی</t>
        </is>
      </c>
      <c r="G164" s="92" t="inlineStr">
        <is>
          <t>P-829A2410</t>
        </is>
      </c>
      <c r="H164" s="92" t="inlineStr">
        <is>
          <t>حسام خوشبین فر</t>
        </is>
      </c>
      <c r="I164" s="92" t="inlineStr">
        <is>
          <t>حسام خوشبین فر</t>
        </is>
      </c>
      <c r="J164" s="92" t="inlineStr">
        <is>
          <t>NATIONAL_ID؛ هش 9C4FF8BF</t>
        </is>
      </c>
      <c r="K164" s="92" t="inlineStr">
        <is>
          <t>عضو اصلی فعال</t>
        </is>
      </c>
      <c r="L164" s="92" t="inlineStr">
        <is>
          <t>عضو هیئت مدیره</t>
        </is>
      </c>
      <c r="M164" s="92" t="inlineStr">
        <is>
          <t>خیر</t>
        </is>
      </c>
      <c r="N164" s="92" t="inlineStr">
        <is>
          <t>خیر</t>
        </is>
      </c>
      <c r="O164" s="92" t="inlineStr">
        <is>
          <t>صنایع پتروشیمی دهدشت</t>
        </is>
      </c>
      <c r="P164" s="92" t="inlineStr">
        <is>
          <t>ندارد (فقط نام)</t>
        </is>
      </c>
      <c r="Q164" s="92" t="inlineStr">
        <is>
          <t>حسام خوشبین فر</t>
        </is>
      </c>
      <c r="R164" s="92" t="inlineStr">
        <is>
          <t>صنایع پتروشیمی دهدشت</t>
        </is>
      </c>
      <c r="S164" s="92" t="inlineStr">
        <is>
          <t>نام دارنده حقوقی</t>
        </is>
      </c>
      <c r="T164" s="92" t="inlineStr"/>
      <c r="U164" s="92" t="n">
        <v>5</v>
      </c>
      <c r="V164" s="92" t="inlineStr">
        <is>
          <t>نامشخص: تعداد کل اعلام شده در متن ثبت نشده</t>
        </is>
      </c>
      <c r="W164" s="92" t="inlineStr">
        <is>
          <t>SRC_NOOR_1404_007</t>
        </is>
      </c>
      <c r="X164" s="92" t="inlineStr">
        <is>
          <t>1404/12/29</t>
        </is>
      </c>
      <c r="Y164" s="92" t="inlineStr"/>
      <c r="Z164" s="92" t="inlineStr"/>
      <c r="AA164" s="92" t="inlineStr">
        <is>
          <t>BR Independence v41 ردیف 74</t>
        </is>
      </c>
    </row>
    <row r="165" ht="30" customHeight="1" s="76">
      <c r="A165" s="92" t="inlineStr">
        <is>
          <t>SM0162</t>
        </is>
      </c>
      <c r="B165" s="92" t="inlineStr">
        <is>
          <t>F15</t>
        </is>
      </c>
      <c r="C165" s="92" t="inlineStr">
        <is>
          <t>نوری</t>
        </is>
      </c>
      <c r="D165" s="92" t="inlineStr">
        <is>
          <t>1404/12/29</t>
        </is>
      </c>
      <c r="E165" s="92" t="inlineStr">
        <is>
          <t>FYE1404 (v41)؛ بله (مقطع یکسان با پایان مشترک؛ فهرست مبنا نیست)</t>
        </is>
      </c>
      <c r="F165" s="92" t="inlineStr">
        <is>
          <t>نمای مالی</t>
        </is>
      </c>
      <c r="G165" s="92" t="inlineStr">
        <is>
          <t>P-EF4AA99A</t>
        </is>
      </c>
      <c r="H165" s="92" t="inlineStr">
        <is>
          <t>تقی صانعی</t>
        </is>
      </c>
      <c r="I165" s="92" t="inlineStr">
        <is>
          <t>تقی صانعی</t>
        </is>
      </c>
      <c r="J165" s="92" t="inlineStr">
        <is>
          <t>NATIONAL_ID؛ هش 476E45A4</t>
        </is>
      </c>
      <c r="K165" s="92" t="inlineStr">
        <is>
          <t>عضو اصلی فعال</t>
        </is>
      </c>
      <c r="L165" s="92" t="inlineStr">
        <is>
          <t>رئیس هیئت مدیره</t>
        </is>
      </c>
      <c r="M165" s="92" t="inlineStr">
        <is>
          <t>خیر</t>
        </is>
      </c>
      <c r="N165" s="92" t="inlineStr">
        <is>
          <t>بله</t>
        </is>
      </c>
      <c r="O165" s="92" t="inlineStr">
        <is>
          <t>پالایش گاز هویزه خلیج فارس</t>
        </is>
      </c>
      <c r="P165" s="92" t="inlineStr">
        <is>
          <t>ندارد (فقط نام)</t>
        </is>
      </c>
      <c r="Q165" s="92" t="inlineStr">
        <is>
          <t>تقی صانعی</t>
        </is>
      </c>
      <c r="R165" s="92" t="inlineStr">
        <is>
          <t>پالایش گاز هویزه خلیج فارس</t>
        </is>
      </c>
      <c r="S165" s="92" t="inlineStr">
        <is>
          <t>نام دارنده حقوقی</t>
        </is>
      </c>
      <c r="T165" s="92" t="inlineStr"/>
      <c r="U165" s="92" t="n">
        <v>5</v>
      </c>
      <c r="V165" s="92" t="inlineStr">
        <is>
          <t>نامشخص: تعداد کل اعلام شده در متن ثبت نشده</t>
        </is>
      </c>
      <c r="W165" s="92" t="inlineStr">
        <is>
          <t>SRC_NOOR_1404_007</t>
        </is>
      </c>
      <c r="X165" s="92" t="inlineStr">
        <is>
          <t>1404/12/29</t>
        </is>
      </c>
      <c r="Y165" s="92" t="inlineStr"/>
      <c r="Z165" s="92" t="inlineStr"/>
      <c r="AA165" s="92" t="inlineStr">
        <is>
          <t>BR Independence v41 ردیف 75</t>
        </is>
      </c>
    </row>
    <row r="166" ht="30" customHeight="1" s="76">
      <c r="A166" s="92" t="inlineStr">
        <is>
          <t>SM0163</t>
        </is>
      </c>
      <c r="B166" s="92" t="inlineStr">
        <is>
          <t>F15</t>
        </is>
      </c>
      <c r="C166" s="92" t="inlineStr">
        <is>
          <t>نوری</t>
        </is>
      </c>
      <c r="D166" s="92" t="inlineStr">
        <is>
          <t>1404/12/29</t>
        </is>
      </c>
      <c r="E166" s="92" t="inlineStr">
        <is>
          <t>FYE1404 (v41)؛ بله (مقطع یکسان با پایان مشترک؛ فهرست مبنا نیست)</t>
        </is>
      </c>
      <c r="F166" s="92" t="inlineStr">
        <is>
          <t>نمای مالی</t>
        </is>
      </c>
      <c r="G166" s="92" t="inlineStr">
        <is>
          <t>P-7BC22E05</t>
        </is>
      </c>
      <c r="H166" s="92" t="inlineStr">
        <is>
          <t>فریدون امیری</t>
        </is>
      </c>
      <c r="I166" s="92" t="inlineStr">
        <is>
          <t>فریدون امیری</t>
        </is>
      </c>
      <c r="J166" s="92" t="inlineStr">
        <is>
          <t>NATIONAL_ID؛ هش 069121A2</t>
        </is>
      </c>
      <c r="K166" s="92" t="inlineStr">
        <is>
          <t>عضو اصلی فعال</t>
        </is>
      </c>
      <c r="L166" s="92" t="inlineStr">
        <is>
          <t>عضو هیئت مدیره</t>
        </is>
      </c>
      <c r="M166" s="92" t="inlineStr">
        <is>
          <t>خیر</t>
        </is>
      </c>
      <c r="N166" s="92" t="inlineStr">
        <is>
          <t>خیر</t>
        </is>
      </c>
      <c r="O166" s="92" t="inlineStr">
        <is>
          <t>پتروشیمی الماس ماهشهر</t>
        </is>
      </c>
      <c r="P166" s="92" t="inlineStr">
        <is>
          <t>ندارد (فقط نام)</t>
        </is>
      </c>
      <c r="Q166" s="92" t="inlineStr">
        <is>
          <t>فریدون امیری</t>
        </is>
      </c>
      <c r="R166" s="92" t="inlineStr">
        <is>
          <t>پتروشیمی الماس ماهشهر</t>
        </is>
      </c>
      <c r="S166" s="92" t="inlineStr">
        <is>
          <t>نام دارنده حقوقی</t>
        </is>
      </c>
      <c r="T166" s="92" t="inlineStr"/>
      <c r="U166" s="92" t="n">
        <v>5</v>
      </c>
      <c r="V166" s="92" t="inlineStr">
        <is>
          <t>نامشخص: تعداد کل اعلام شده در متن ثبت نشده</t>
        </is>
      </c>
      <c r="W166" s="92" t="inlineStr">
        <is>
          <t>SRC_NOOR_1404_007</t>
        </is>
      </c>
      <c r="X166" s="92" t="inlineStr">
        <is>
          <t>1404/12/29</t>
        </is>
      </c>
      <c r="Y166" s="92" t="inlineStr"/>
      <c r="Z166" s="92" t="inlineStr"/>
      <c r="AA166" s="92" t="inlineStr">
        <is>
          <t>BR Independence v41 ردیف 76</t>
        </is>
      </c>
    </row>
    <row r="167" ht="30" customHeight="1" s="76">
      <c r="A167" s="92" t="inlineStr">
        <is>
          <t>SM0164</t>
        </is>
      </c>
      <c r="B167" s="92" t="inlineStr">
        <is>
          <t>F15</t>
        </is>
      </c>
      <c r="C167" s="92" t="inlineStr">
        <is>
          <t>نوری</t>
        </is>
      </c>
      <c r="D167" s="92" t="inlineStr">
        <is>
          <t>1404/12/29</t>
        </is>
      </c>
      <c r="E167" s="92" t="inlineStr">
        <is>
          <t>FYE1404 (v41)؛ بله (مقطع یکسان با پایان مشترک؛ فهرست مبنا نیست)</t>
        </is>
      </c>
      <c r="F167" s="92" t="inlineStr">
        <is>
          <t>نمای مالی</t>
        </is>
      </c>
      <c r="G167" s="92" t="inlineStr">
        <is>
          <t>P-1A147860</t>
        </is>
      </c>
      <c r="H167" s="92" t="inlineStr">
        <is>
          <t>غلامرضا جمشیدی</t>
        </is>
      </c>
      <c r="I167" s="92" t="inlineStr">
        <is>
          <t>غلامرضا جمشیدی</t>
        </is>
      </c>
      <c r="J167" s="92" t="inlineStr">
        <is>
          <t>NATIONAL_ID؛ هش 2BBA85DE</t>
        </is>
      </c>
      <c r="K167" s="92" t="inlineStr">
        <is>
          <t>عضو اصلی فعال</t>
        </is>
      </c>
      <c r="L167" s="92" t="inlineStr">
        <is>
          <t>نایب رئیس هیئت مدیره</t>
        </is>
      </c>
      <c r="M167" s="92" t="inlineStr">
        <is>
          <t>بله</t>
        </is>
      </c>
      <c r="N167" s="92" t="inlineStr">
        <is>
          <t>خیر</t>
        </is>
      </c>
      <c r="O167" s="92" t="inlineStr">
        <is>
          <t>پالایش گاز بیدبلند خلیج فارس</t>
        </is>
      </c>
      <c r="P167" s="92" t="inlineStr">
        <is>
          <t>ندارد (فقط نام)</t>
        </is>
      </c>
      <c r="Q167" s="92" t="inlineStr">
        <is>
          <t>غلامرضا جمشیدی</t>
        </is>
      </c>
      <c r="R167" s="92" t="inlineStr">
        <is>
          <t>پالایش گاز بیدبلند خلیج فارس</t>
        </is>
      </c>
      <c r="S167" s="92" t="inlineStr">
        <is>
          <t>نام دارنده حقوقی</t>
        </is>
      </c>
      <c r="T167" s="92" t="inlineStr"/>
      <c r="U167" s="92" t="n">
        <v>5</v>
      </c>
      <c r="V167" s="92" t="inlineStr">
        <is>
          <t>نامشخص: تعداد کل اعلام شده در متن ثبت نشده</t>
        </is>
      </c>
      <c r="W167" s="92" t="inlineStr">
        <is>
          <t>SRC_NOOR_1404_007</t>
        </is>
      </c>
      <c r="X167" s="92" t="inlineStr">
        <is>
          <t>1404/12/29</t>
        </is>
      </c>
      <c r="Y167" s="92" t="inlineStr"/>
      <c r="Z167" s="92" t="inlineStr"/>
      <c r="AA167" s="92" t="inlineStr">
        <is>
          <t>BR Independence v41 ردیف 77</t>
        </is>
      </c>
    </row>
    <row r="168" ht="30" customHeight="1" s="76">
      <c r="A168" s="92" t="inlineStr">
        <is>
          <t>SM0165</t>
        </is>
      </c>
      <c r="B168" s="92" t="inlineStr">
        <is>
          <t>F16</t>
        </is>
      </c>
      <c r="C168" s="92" t="inlineStr">
        <is>
          <t>فولاد</t>
        </is>
      </c>
      <c r="D168" s="92" t="inlineStr">
        <is>
          <t>1404/12/29</t>
        </is>
      </c>
      <c r="E168" s="92" t="inlineStr">
        <is>
          <t>FYE1404 (v41)؛ بله (مقطع یکسان با پایان مشترک؛ فهرست مبنا نیست)</t>
        </is>
      </c>
      <c r="F168" s="92" t="inlineStr">
        <is>
          <t>نمای مالی</t>
        </is>
      </c>
      <c r="G168" s="92" t="inlineStr">
        <is>
          <t>P-45E1713F</t>
        </is>
      </c>
      <c r="H168" s="92" t="inlineStr">
        <is>
          <t>محسن صالحی نیا</t>
        </is>
      </c>
      <c r="I168" s="92" t="inlineStr">
        <is>
          <t>محسن صالحی نیا</t>
        </is>
      </c>
      <c r="J168" s="92" t="inlineStr">
        <is>
          <t>NATIONAL_ID؛ هش 0D415D50</t>
        </is>
      </c>
      <c r="K168" s="92" t="inlineStr">
        <is>
          <t>عضو اصلی فعال</t>
        </is>
      </c>
      <c r="L168" s="92" t="inlineStr">
        <is>
          <t>نایب رئیس هیئت مدیره</t>
        </is>
      </c>
      <c r="M168" s="92" t="inlineStr">
        <is>
          <t>خیر</t>
        </is>
      </c>
      <c r="N168" s="92" t="inlineStr">
        <is>
          <t>خیر</t>
        </is>
      </c>
      <c r="O168" s="92" t="inlineStr">
        <is>
          <t>سازمان توسعه و نوسازی معادن و صنایع معدنی ایران</t>
        </is>
      </c>
      <c r="P168" s="92" t="inlineStr">
        <is>
          <t>ندارد (فقط نام)</t>
        </is>
      </c>
      <c r="Q168" s="92" t="inlineStr">
        <is>
          <t>محسن صالحی نیا</t>
        </is>
      </c>
      <c r="R168" s="92" t="inlineStr">
        <is>
          <t>سازمان توسعه و نوسازی معادن و صنایع معدنی ایران</t>
        </is>
      </c>
      <c r="S168" s="92" t="inlineStr">
        <is>
          <t>نام دارنده حقوقی</t>
        </is>
      </c>
      <c r="T168" s="92" t="inlineStr"/>
      <c r="U168" s="92" t="n">
        <v>5</v>
      </c>
      <c r="V168" s="92" t="inlineStr">
        <is>
          <t>نامشخص: تعداد کل اعلام شده در متن ثبت نشده</t>
        </is>
      </c>
      <c r="W168" s="92" t="inlineStr">
        <is>
          <t>SRC_FOLD_1404_002</t>
        </is>
      </c>
      <c r="X168" s="92" t="inlineStr">
        <is>
          <t>1404/12/29</t>
        </is>
      </c>
      <c r="Y168" s="92" t="inlineStr"/>
      <c r="Z168" s="92" t="inlineStr"/>
      <c r="AA168" s="92" t="inlineStr">
        <is>
          <t>BR Independence v41 ردیف 78</t>
        </is>
      </c>
    </row>
    <row r="169" ht="30" customHeight="1" s="76">
      <c r="A169" s="92" t="inlineStr">
        <is>
          <t>SM0166</t>
        </is>
      </c>
      <c r="B169" s="92" t="inlineStr">
        <is>
          <t>F16</t>
        </is>
      </c>
      <c r="C169" s="92" t="inlineStr">
        <is>
          <t>فولاد</t>
        </is>
      </c>
      <c r="D169" s="92" t="inlineStr">
        <is>
          <t>1404/12/29</t>
        </is>
      </c>
      <c r="E169" s="92" t="inlineStr">
        <is>
          <t>FYE1404 (v41)؛ بله (مقطع یکسان با پایان مشترک؛ فهرست مبنا نیست)</t>
        </is>
      </c>
      <c r="F169" s="92" t="inlineStr">
        <is>
          <t>نمای مالی</t>
        </is>
      </c>
      <c r="G169" s="92" t="inlineStr">
        <is>
          <t>P-DFDD856D</t>
        </is>
      </c>
      <c r="H169" s="92" t="inlineStr">
        <is>
          <t>محمدحسین مقیمی</t>
        </is>
      </c>
      <c r="I169" s="92" t="inlineStr">
        <is>
          <t>محمدحسین مقیمی</t>
        </is>
      </c>
      <c r="J169" s="92" t="inlineStr">
        <is>
          <t>NATIONAL_ID؛ هش 2B9665C3</t>
        </is>
      </c>
      <c r="K169" s="92" t="inlineStr">
        <is>
          <t>عضو اصلی فعال</t>
        </is>
      </c>
      <c r="L169" s="92" t="inlineStr">
        <is>
          <t>رئیس هیئت مدیره</t>
        </is>
      </c>
      <c r="M169" s="92" t="inlineStr">
        <is>
          <t>خیر</t>
        </is>
      </c>
      <c r="N169" s="92" t="inlineStr">
        <is>
          <t>بله</t>
        </is>
      </c>
      <c r="O169" s="92" t="inlineStr">
        <is>
          <t>سرمایه گذاری استان اصفهان</t>
        </is>
      </c>
      <c r="P169" s="92" t="inlineStr">
        <is>
          <t>ندارد (فقط نام)</t>
        </is>
      </c>
      <c r="Q169" s="92" t="inlineStr">
        <is>
          <t>محمدحسین مقیمی</t>
        </is>
      </c>
      <c r="R169" s="92" t="inlineStr">
        <is>
          <t>سرمایه گذاری استان اصفهان</t>
        </is>
      </c>
      <c r="S169" s="92" t="inlineStr">
        <is>
          <t>نام دارنده حقوقی</t>
        </is>
      </c>
      <c r="T169" s="92" t="inlineStr"/>
      <c r="U169" s="92" t="n">
        <v>5</v>
      </c>
      <c r="V169" s="92" t="inlineStr">
        <is>
          <t>نامشخص: تعداد کل اعلام شده در متن ثبت نشده</t>
        </is>
      </c>
      <c r="W169" s="92" t="inlineStr">
        <is>
          <t>SRC_FOLD_1404_002</t>
        </is>
      </c>
      <c r="X169" s="92" t="inlineStr">
        <is>
          <t>1404/12/29</t>
        </is>
      </c>
      <c r="Y169" s="92" t="inlineStr"/>
      <c r="Z169" s="92" t="inlineStr"/>
      <c r="AA169" s="92" t="inlineStr">
        <is>
          <t>BR Independence v41 ردیف 79</t>
        </is>
      </c>
    </row>
    <row r="170" ht="30" customHeight="1" s="76">
      <c r="A170" s="92" t="inlineStr">
        <is>
          <t>SM0167</t>
        </is>
      </c>
      <c r="B170" s="92" t="inlineStr">
        <is>
          <t>F16</t>
        </is>
      </c>
      <c r="C170" s="92" t="inlineStr">
        <is>
          <t>فولاد</t>
        </is>
      </c>
      <c r="D170" s="92" t="inlineStr">
        <is>
          <t>1404/12/29</t>
        </is>
      </c>
      <c r="E170" s="92" t="inlineStr">
        <is>
          <t>FYE1404 (v41)؛ بله (مقطع یکسان با پایان مشترک؛ فهرست مبنا نیست)</t>
        </is>
      </c>
      <c r="F170" s="92" t="inlineStr">
        <is>
          <t>نمای مالی</t>
        </is>
      </c>
      <c r="G170" s="92" t="inlineStr">
        <is>
          <t>P-77FAEC56</t>
        </is>
      </c>
      <c r="H170" s="92" t="inlineStr">
        <is>
          <t>علی افشین</t>
        </is>
      </c>
      <c r="I170" s="92" t="inlineStr">
        <is>
          <t>علی افشین</t>
        </is>
      </c>
      <c r="J170" s="92" t="inlineStr">
        <is>
          <t>NATIONAL_ID؛ هش C30BBE71</t>
        </is>
      </c>
      <c r="K170" s="92" t="inlineStr">
        <is>
          <t>عضو اصلی فعال</t>
        </is>
      </c>
      <c r="L170" s="92" t="inlineStr">
        <is>
          <t>عضو هیئت مدیره</t>
        </is>
      </c>
      <c r="M170" s="92" t="inlineStr">
        <is>
          <t>خیر</t>
        </is>
      </c>
      <c r="N170" s="92" t="inlineStr">
        <is>
          <t>خیر</t>
        </is>
      </c>
      <c r="O170" s="92" t="inlineStr">
        <is>
          <t>بهسازان انرژی تدبیر زنگان</t>
        </is>
      </c>
      <c r="P170" s="92" t="inlineStr">
        <is>
          <t>ندارد (فقط نام)</t>
        </is>
      </c>
      <c r="Q170" s="92" t="inlineStr">
        <is>
          <t>علی افشین</t>
        </is>
      </c>
      <c r="R170" s="92" t="inlineStr">
        <is>
          <t>بهسازان انرژی تدبیر زنگان</t>
        </is>
      </c>
      <c r="S170" s="92" t="inlineStr">
        <is>
          <t>نام دارنده حقوقی</t>
        </is>
      </c>
      <c r="T170" s="92" t="inlineStr"/>
      <c r="U170" s="92" t="n">
        <v>5</v>
      </c>
      <c r="V170" s="92" t="inlineStr">
        <is>
          <t>نامشخص: تعداد کل اعلام شده در متن ثبت نشده</t>
        </is>
      </c>
      <c r="W170" s="92" t="inlineStr">
        <is>
          <t>SRC_FOLD_1404_002</t>
        </is>
      </c>
      <c r="X170" s="92" t="inlineStr">
        <is>
          <t>1404/12/29</t>
        </is>
      </c>
      <c r="Y170" s="92" t="inlineStr"/>
      <c r="Z170" s="92" t="inlineStr"/>
      <c r="AA170" s="92" t="inlineStr">
        <is>
          <t>BR Independence v41 ردیف 80</t>
        </is>
      </c>
    </row>
    <row r="171" ht="30" customHeight="1" s="76">
      <c r="A171" s="92" t="inlineStr">
        <is>
          <t>SM0168</t>
        </is>
      </c>
      <c r="B171" s="92" t="inlineStr">
        <is>
          <t>F16</t>
        </is>
      </c>
      <c r="C171" s="92" t="inlineStr">
        <is>
          <t>فولاد</t>
        </is>
      </c>
      <c r="D171" s="92" t="inlineStr">
        <is>
          <t>1404/12/29</t>
        </is>
      </c>
      <c r="E171" s="92" t="inlineStr">
        <is>
          <t>FYE1404 (v41)؛ بله (مقطع یکسان با پایان مشترک؛ فهرست مبنا نیست)</t>
        </is>
      </c>
      <c r="F171" s="92" t="inlineStr">
        <is>
          <t>نمای مالی</t>
        </is>
      </c>
      <c r="G171" s="92" t="inlineStr">
        <is>
          <t>P-EB53E173</t>
        </is>
      </c>
      <c r="H171" s="92" t="inlineStr">
        <is>
          <t>سعید زرندی</t>
        </is>
      </c>
      <c r="I171" s="92" t="inlineStr">
        <is>
          <t>سعید زرندی</t>
        </is>
      </c>
      <c r="J171" s="92" t="inlineStr">
        <is>
          <t>NATIONAL_ID؛ هش 300BBFDB</t>
        </is>
      </c>
      <c r="K171" s="92" t="inlineStr">
        <is>
          <t>عضو اصلی فعال</t>
        </is>
      </c>
      <c r="L171" s="92" t="inlineStr">
        <is>
          <t>عضو هیئت مدیره</t>
        </is>
      </c>
      <c r="M171" s="92" t="inlineStr">
        <is>
          <t>بله</t>
        </is>
      </c>
      <c r="N171" s="92" t="inlineStr">
        <is>
          <t>خیر</t>
        </is>
      </c>
      <c r="O171" s="92" t="inlineStr">
        <is>
          <t>ملی صنایع مس ایران</t>
        </is>
      </c>
      <c r="P171" s="92" t="inlineStr">
        <is>
          <t>ندارد (فقط نام)</t>
        </is>
      </c>
      <c r="Q171" s="92" t="inlineStr">
        <is>
          <t>سعید زرندی</t>
        </is>
      </c>
      <c r="R171" s="92" t="inlineStr">
        <is>
          <t>ملی صنایع مس ایران</t>
        </is>
      </c>
      <c r="S171" s="92" t="inlineStr">
        <is>
          <t>نام دارنده حقوقی</t>
        </is>
      </c>
      <c r="T171" s="92" t="inlineStr"/>
      <c r="U171" s="92" t="n">
        <v>5</v>
      </c>
      <c r="V171" s="92" t="inlineStr">
        <is>
          <t>نامشخص: تعداد کل اعلام شده در متن ثبت نشده</t>
        </is>
      </c>
      <c r="W171" s="92" t="inlineStr">
        <is>
          <t>SRC_FOLD_1404_002</t>
        </is>
      </c>
      <c r="X171" s="92" t="inlineStr">
        <is>
          <t>1404/12/29</t>
        </is>
      </c>
      <c r="Y171" s="92" t="inlineStr"/>
      <c r="Z171" s="92" t="inlineStr"/>
      <c r="AA171" s="92" t="inlineStr">
        <is>
          <t>BR Independence v41 ردیف 81</t>
        </is>
      </c>
    </row>
    <row r="172" ht="30" customHeight="1" s="76">
      <c r="A172" s="92" t="inlineStr">
        <is>
          <t>SM0169</t>
        </is>
      </c>
      <c r="B172" s="92" t="inlineStr">
        <is>
          <t>F16</t>
        </is>
      </c>
      <c r="C172" s="92" t="inlineStr">
        <is>
          <t>فولاد</t>
        </is>
      </c>
      <c r="D172" s="92" t="inlineStr">
        <is>
          <t>1404/12/29</t>
        </is>
      </c>
      <c r="E172" s="92" t="inlineStr">
        <is>
          <t>FYE1404 (v41)؛ بله (مقطع یکسان با پایان مشترک؛ فهرست مبنا نیست)</t>
        </is>
      </c>
      <c r="F172" s="92" t="inlineStr">
        <is>
          <t>نمای مالی</t>
        </is>
      </c>
      <c r="G172" s="92" t="inlineStr">
        <is>
          <t>P-95DA13BF</t>
        </is>
      </c>
      <c r="H172" s="92" t="inlineStr">
        <is>
          <t>مهدی زحمت کش</t>
        </is>
      </c>
      <c r="I172" s="92" t="inlineStr">
        <is>
          <t>مهدی زحمت کش</t>
        </is>
      </c>
      <c r="J172" s="92" t="inlineStr">
        <is>
          <t>NATIONAL_ID؛ هش 6342FBA8</t>
        </is>
      </c>
      <c r="K172" s="92" t="inlineStr">
        <is>
          <t>عضو اصلی فعال</t>
        </is>
      </c>
      <c r="L172" s="92" t="inlineStr">
        <is>
          <t>عضو هیئت مدیره</t>
        </is>
      </c>
      <c r="M172" s="92" t="inlineStr">
        <is>
          <t>خیر</t>
        </is>
      </c>
      <c r="N172" s="92" t="inlineStr">
        <is>
          <t>خیر</t>
        </is>
      </c>
      <c r="O172" s="92" t="inlineStr">
        <is>
          <t>سرمایه گذاری توسعه سرمایه رفاه</t>
        </is>
      </c>
      <c r="P172" s="92" t="inlineStr">
        <is>
          <t>ندارد (فقط نام)</t>
        </is>
      </c>
      <c r="Q172" s="92" t="inlineStr">
        <is>
          <t>مهدی زحمت کش</t>
        </is>
      </c>
      <c r="R172" s="92" t="inlineStr">
        <is>
          <t>سرمایه گذاری توسعه سرمایه رفاه</t>
        </is>
      </c>
      <c r="S172" s="92" t="inlineStr">
        <is>
          <t>نام دارنده حقوقی</t>
        </is>
      </c>
      <c r="T172" s="92" t="inlineStr"/>
      <c r="U172" s="92" t="n">
        <v>5</v>
      </c>
      <c r="V172" s="92" t="inlineStr">
        <is>
          <t>نامشخص: تعداد کل اعلام شده در متن ثبت نشده</t>
        </is>
      </c>
      <c r="W172" s="92" t="inlineStr">
        <is>
          <t>SRC_FOLD_1404_002</t>
        </is>
      </c>
      <c r="X172" s="92" t="inlineStr">
        <is>
          <t>1404/12/29</t>
        </is>
      </c>
      <c r="Y172" s="92" t="inlineStr"/>
      <c r="Z172" s="92" t="inlineStr"/>
      <c r="AA172" s="92" t="inlineStr">
        <is>
          <t>BR Independence v41 ردیف 82</t>
        </is>
      </c>
    </row>
    <row r="173" ht="30" customHeight="1" s="76">
      <c r="A173" s="92" t="inlineStr">
        <is>
          <t>SM0170</t>
        </is>
      </c>
      <c r="B173" s="92" t="inlineStr">
        <is>
          <t>F17</t>
        </is>
      </c>
      <c r="C173" s="92" t="inlineStr">
        <is>
          <t>کچاد</t>
        </is>
      </c>
      <c r="D173" s="92" t="inlineStr">
        <is>
          <t>1404/09/30</t>
        </is>
      </c>
      <c r="E173" s="92" t="inlineStr">
        <is>
          <t>FYE1404 (v41)؛ خیر (مقطع متفاوت)</t>
        </is>
      </c>
      <c r="F173" s="92" t="inlineStr">
        <is>
          <t>نمای مالی</t>
        </is>
      </c>
      <c r="G173" s="92" t="inlineStr">
        <is>
          <t>P-B63B45D6</t>
        </is>
      </c>
      <c r="H173" s="92" t="inlineStr">
        <is>
          <t>محمدرضا تابش</t>
        </is>
      </c>
      <c r="I173" s="92" t="inlineStr">
        <is>
          <t>محمدرضا تابش</t>
        </is>
      </c>
      <c r="J173" s="92" t="inlineStr">
        <is>
          <t>NATIONAL_ID؛ هش BF9304E7</t>
        </is>
      </c>
      <c r="K173" s="92" t="inlineStr">
        <is>
          <t>عضو اصلی فعال</t>
        </is>
      </c>
      <c r="L173" s="92" t="inlineStr">
        <is>
          <t>رئیس هیئت مدیره</t>
        </is>
      </c>
      <c r="M173" s="92" t="inlineStr">
        <is>
          <t>خیر</t>
        </is>
      </c>
      <c r="N173" s="92" t="inlineStr">
        <is>
          <t>بله</t>
        </is>
      </c>
      <c r="O173" s="92" t="inlineStr">
        <is>
          <t>گروه مدیریت سرمایه گذاری امید</t>
        </is>
      </c>
      <c r="P173" s="92" t="inlineStr">
        <is>
          <t>ندارد (فقط نام)</t>
        </is>
      </c>
      <c r="Q173" s="92" t="inlineStr">
        <is>
          <t>محمدرضا تابش</t>
        </is>
      </c>
      <c r="R173" s="92" t="inlineStr">
        <is>
          <t>گروه مدیریت سرمایه گذاری امید</t>
        </is>
      </c>
      <c r="S173" s="92" t="inlineStr">
        <is>
          <t>نام دارنده حقوقی</t>
        </is>
      </c>
      <c r="T173" s="92" t="inlineStr"/>
      <c r="U173" s="92" t="n">
        <v>5</v>
      </c>
      <c r="V173" s="92" t="inlineStr">
        <is>
          <t>نامشخص: تعداد کل اعلام شده در متن ثبت نشده</t>
        </is>
      </c>
      <c r="W173" s="92" t="inlineStr">
        <is>
          <t>SRC_KCHD_1404_001</t>
        </is>
      </c>
      <c r="X173" s="92" t="inlineStr">
        <is>
          <t>1404/09/30</t>
        </is>
      </c>
      <c r="Y173" s="92" t="inlineStr"/>
      <c r="Z173" s="92" t="inlineStr"/>
      <c r="AA173" s="92" t="inlineStr">
        <is>
          <t>BR Independence v41 ردیف 83</t>
        </is>
      </c>
    </row>
    <row r="174" ht="30" customHeight="1" s="76">
      <c r="A174" s="92" t="inlineStr">
        <is>
          <t>SM0171</t>
        </is>
      </c>
      <c r="B174" s="92" t="inlineStr">
        <is>
          <t>F17</t>
        </is>
      </c>
      <c r="C174" s="92" t="inlineStr">
        <is>
          <t>کچاد</t>
        </is>
      </c>
      <c r="D174" s="92" t="inlineStr">
        <is>
          <t>1404/09/30</t>
        </is>
      </c>
      <c r="E174" s="92" t="inlineStr">
        <is>
          <t>FYE1404 (v41)؛ خیر (مقطع متفاوت)</t>
        </is>
      </c>
      <c r="F174" s="92" t="inlineStr">
        <is>
          <t>نمای مالی</t>
        </is>
      </c>
      <c r="G174" s="92" t="inlineStr">
        <is>
          <t>P-F92AE52D</t>
        </is>
      </c>
      <c r="H174" s="92" t="inlineStr">
        <is>
          <t>فرید دهقانی</t>
        </is>
      </c>
      <c r="I174" s="92" t="inlineStr">
        <is>
          <t>فرید دهقانی</t>
        </is>
      </c>
      <c r="J174" s="92" t="inlineStr">
        <is>
          <t>NATIONAL_ID؛ هش FFE4C633</t>
        </is>
      </c>
      <c r="K174" s="92" t="inlineStr">
        <is>
          <t>عضو اصلی فعال</t>
        </is>
      </c>
      <c r="L174" s="92" t="inlineStr">
        <is>
          <t>عضو هیئت مدیره</t>
        </is>
      </c>
      <c r="M174" s="92" t="inlineStr">
        <is>
          <t>بله</t>
        </is>
      </c>
      <c r="N174" s="92" t="inlineStr">
        <is>
          <t>خیر</t>
        </is>
      </c>
      <c r="O174" s="92" t="inlineStr">
        <is>
          <t>سرمایه گذاری توسعه معادن و فلزات</t>
        </is>
      </c>
      <c r="P174" s="92" t="inlineStr">
        <is>
          <t>ندارد (فقط نام)</t>
        </is>
      </c>
      <c r="Q174" s="92" t="inlineStr">
        <is>
          <t>فرید دهقانی</t>
        </is>
      </c>
      <c r="R174" s="92" t="inlineStr">
        <is>
          <t>سرمایه گذاری توسعه معادن و فلزات</t>
        </is>
      </c>
      <c r="S174" s="92" t="inlineStr">
        <is>
          <t>نام دارنده حقوقی</t>
        </is>
      </c>
      <c r="T174" s="92" t="inlineStr"/>
      <c r="U174" s="92" t="n">
        <v>5</v>
      </c>
      <c r="V174" s="92" t="inlineStr">
        <is>
          <t>نامشخص: تعداد کل اعلام شده در متن ثبت نشده</t>
        </is>
      </c>
      <c r="W174" s="92" t="inlineStr">
        <is>
          <t>SRC_KCHD_1404_001</t>
        </is>
      </c>
      <c r="X174" s="92" t="inlineStr">
        <is>
          <t>1404/09/30</t>
        </is>
      </c>
      <c r="Y174" s="92" t="inlineStr"/>
      <c r="Z174" s="92" t="inlineStr"/>
      <c r="AA174" s="92" t="inlineStr">
        <is>
          <t>BR Independence v41 ردیف 84</t>
        </is>
      </c>
    </row>
    <row r="175" ht="30" customHeight="1" s="76">
      <c r="A175" s="92" t="inlineStr">
        <is>
          <t>SM0172</t>
        </is>
      </c>
      <c r="B175" s="92" t="inlineStr">
        <is>
          <t>F17</t>
        </is>
      </c>
      <c r="C175" s="92" t="inlineStr">
        <is>
          <t>کچاد</t>
        </is>
      </c>
      <c r="D175" s="92" t="inlineStr">
        <is>
          <t>1404/09/30</t>
        </is>
      </c>
      <c r="E175" s="92" t="inlineStr">
        <is>
          <t>FYE1404 (v41)؛ خیر (مقطع متفاوت)</t>
        </is>
      </c>
      <c r="F175" s="92" t="inlineStr">
        <is>
          <t>نمای مالی</t>
        </is>
      </c>
      <c r="G175" s="92" t="inlineStr">
        <is>
          <t>P-7C2D49A0</t>
        </is>
      </c>
      <c r="H175" s="92" t="inlineStr">
        <is>
          <t>حامد دهقانان</t>
        </is>
      </c>
      <c r="I175" s="92" t="inlineStr">
        <is>
          <t>حامد دهقانان</t>
        </is>
      </c>
      <c r="J175" s="92" t="inlineStr">
        <is>
          <t>NATIONAL_ID؛ هش A2FCB00B</t>
        </is>
      </c>
      <c r="K175" s="92" t="inlineStr">
        <is>
          <t>عضو اصلی فعال</t>
        </is>
      </c>
      <c r="L175" s="92" t="inlineStr">
        <is>
          <t>نایب رئیس هیئت مدیره</t>
        </is>
      </c>
      <c r="M175" s="92" t="inlineStr">
        <is>
          <t>خیر</t>
        </is>
      </c>
      <c r="N175" s="92" t="inlineStr">
        <is>
          <t>خیر</t>
        </is>
      </c>
      <c r="O175" s="92" t="inlineStr">
        <is>
          <t>سرمایه گذاری سپه</t>
        </is>
      </c>
      <c r="P175" s="92" t="inlineStr">
        <is>
          <t>ندارد (فقط نام)</t>
        </is>
      </c>
      <c r="Q175" s="92" t="inlineStr">
        <is>
          <t>حامد دهقانان</t>
        </is>
      </c>
      <c r="R175" s="92" t="inlineStr">
        <is>
          <t>سرمایه گذاری سپه</t>
        </is>
      </c>
      <c r="S175" s="92" t="inlineStr">
        <is>
          <t>نام دارنده حقوقی</t>
        </is>
      </c>
      <c r="T175" s="92" t="inlineStr"/>
      <c r="U175" s="92" t="n">
        <v>5</v>
      </c>
      <c r="V175" s="92" t="inlineStr">
        <is>
          <t>نامشخص: تعداد کل اعلام شده در متن ثبت نشده</t>
        </is>
      </c>
      <c r="W175" s="92" t="inlineStr">
        <is>
          <t>SRC_KCHD_1404_001</t>
        </is>
      </c>
      <c r="X175" s="92" t="inlineStr">
        <is>
          <t>1404/09/30</t>
        </is>
      </c>
      <c r="Y175" s="92" t="inlineStr"/>
      <c r="Z175" s="92" t="inlineStr"/>
      <c r="AA175" s="92" t="inlineStr">
        <is>
          <t>BR Independence v41 ردیف 85</t>
        </is>
      </c>
    </row>
    <row r="176" ht="30" customHeight="1" s="76">
      <c r="A176" s="92" t="inlineStr">
        <is>
          <t>SM0173</t>
        </is>
      </c>
      <c r="B176" s="92" t="inlineStr">
        <is>
          <t>F17</t>
        </is>
      </c>
      <c r="C176" s="92" t="inlineStr">
        <is>
          <t>کچاد</t>
        </is>
      </c>
      <c r="D176" s="92" t="inlineStr">
        <is>
          <t>1404/09/30</t>
        </is>
      </c>
      <c r="E176" s="92" t="inlineStr">
        <is>
          <t>FYE1404 (v41)؛ خیر (مقطع متفاوت)</t>
        </is>
      </c>
      <c r="F176" s="92" t="inlineStr">
        <is>
          <t>نمای مالی</t>
        </is>
      </c>
      <c r="G176" s="92" t="inlineStr">
        <is>
          <t>P-F29146EF</t>
        </is>
      </c>
      <c r="H176" s="92" t="inlineStr">
        <is>
          <t>مهدی آقاپوربی شک</t>
        </is>
      </c>
      <c r="I176" s="92" t="inlineStr">
        <is>
          <t>مهدی آقاپوربی شک</t>
        </is>
      </c>
      <c r="J176" s="92" t="inlineStr">
        <is>
          <t>NATIONAL_ID؛ هش 542478A0</t>
        </is>
      </c>
      <c r="K176" s="92" t="inlineStr">
        <is>
          <t>عضو اصلی فعال</t>
        </is>
      </c>
      <c r="L176" s="92" t="inlineStr">
        <is>
          <t>عضو هیئت مدیره</t>
        </is>
      </c>
      <c r="M176" s="92" t="inlineStr">
        <is>
          <t>خیر</t>
        </is>
      </c>
      <c r="N176" s="92" t="inlineStr">
        <is>
          <t>خیر</t>
        </is>
      </c>
      <c r="O176" s="92" t="inlineStr">
        <is>
          <t>فولاد مبارکه اصفهان</t>
        </is>
      </c>
      <c r="P176" s="92" t="inlineStr">
        <is>
          <t>ندارد (فقط نام)</t>
        </is>
      </c>
      <c r="Q176" s="92" t="inlineStr">
        <is>
          <t>مهدی آقاپوربی شک</t>
        </is>
      </c>
      <c r="R176" s="92" t="inlineStr">
        <is>
          <t>فولاد مبارکه اصفهان</t>
        </is>
      </c>
      <c r="S176" s="92" t="inlineStr">
        <is>
          <t>نام دارنده حقوقی</t>
        </is>
      </c>
      <c r="T176" s="92" t="inlineStr"/>
      <c r="U176" s="92" t="n">
        <v>5</v>
      </c>
      <c r="V176" s="92" t="inlineStr">
        <is>
          <t>نامشخص: تعداد کل اعلام شده در متن ثبت نشده</t>
        </is>
      </c>
      <c r="W176" s="92" t="inlineStr">
        <is>
          <t>SRC_KCHD_1404_001</t>
        </is>
      </c>
      <c r="X176" s="92" t="inlineStr">
        <is>
          <t>1404/09/30</t>
        </is>
      </c>
      <c r="Y176" s="92" t="inlineStr"/>
      <c r="Z176" s="92" t="inlineStr"/>
      <c r="AA176" s="92" t="inlineStr">
        <is>
          <t>BR Independence v41 ردیف 86</t>
        </is>
      </c>
    </row>
    <row r="177" ht="30" customHeight="1" s="76">
      <c r="A177" s="92" t="inlineStr">
        <is>
          <t>SM0174</t>
        </is>
      </c>
      <c r="B177" s="92" t="inlineStr">
        <is>
          <t>F17</t>
        </is>
      </c>
      <c r="C177" s="92" t="inlineStr">
        <is>
          <t>کچاد</t>
        </is>
      </c>
      <c r="D177" s="92" t="inlineStr">
        <is>
          <t>1404/09/30</t>
        </is>
      </c>
      <c r="E177" s="92" t="inlineStr">
        <is>
          <t>FYE1404 (v41)؛ خیر (مقطع متفاوت)</t>
        </is>
      </c>
      <c r="F177" s="92" t="inlineStr">
        <is>
          <t>نمای مالی</t>
        </is>
      </c>
      <c r="G177" s="92" t="inlineStr">
        <is>
          <t>P-4884FFEB</t>
        </is>
      </c>
      <c r="H177" s="92" t="inlineStr">
        <is>
          <t>خدایار کریم نژادسرخی</t>
        </is>
      </c>
      <c r="I177" s="92" t="inlineStr">
        <is>
          <t>خدایار کریم نژادسرخی</t>
        </is>
      </c>
      <c r="J177" s="92" t="inlineStr">
        <is>
          <t>NATIONAL_ID؛ هش 9561AED1</t>
        </is>
      </c>
      <c r="K177" s="92" t="inlineStr">
        <is>
          <t>عضو اصلی فعال</t>
        </is>
      </c>
      <c r="L177" s="92" t="inlineStr">
        <is>
          <t>عضو هیئت مدیره</t>
        </is>
      </c>
      <c r="M177" s="92" t="inlineStr">
        <is>
          <t>خیر</t>
        </is>
      </c>
      <c r="N177" s="92" t="inlineStr">
        <is>
          <t>خیر</t>
        </is>
      </c>
      <c r="O177" s="92" t="inlineStr">
        <is>
          <t>سرمایه گذاری استان خوزستان</t>
        </is>
      </c>
      <c r="P177" s="92" t="inlineStr">
        <is>
          <t>ندارد (فقط نام)</t>
        </is>
      </c>
      <c r="Q177" s="92" t="inlineStr">
        <is>
          <t>خدایار کریم نژادسرخی</t>
        </is>
      </c>
      <c r="R177" s="92" t="inlineStr">
        <is>
          <t>سرمایه گذاری استان خوزستان</t>
        </is>
      </c>
      <c r="S177" s="92" t="inlineStr">
        <is>
          <t>نام دارنده حقوقی</t>
        </is>
      </c>
      <c r="T177" s="92" t="inlineStr"/>
      <c r="U177" s="92" t="n">
        <v>5</v>
      </c>
      <c r="V177" s="92" t="inlineStr">
        <is>
          <t>نامشخص: تعداد کل اعلام شده در متن ثبت نشده</t>
        </is>
      </c>
      <c r="W177" s="92" t="inlineStr">
        <is>
          <t>SRC_KCHD_1404_001</t>
        </is>
      </c>
      <c r="X177" s="92" t="inlineStr">
        <is>
          <t>1404/09/30</t>
        </is>
      </c>
      <c r="Y177" s="92" t="inlineStr"/>
      <c r="Z177" s="92" t="inlineStr"/>
      <c r="AA177" s="92" t="inlineStr">
        <is>
          <t>BR Independence v41 ردیف 87</t>
        </is>
      </c>
    </row>
    <row r="178" ht="30" customHeight="1" s="76">
      <c r="A178" s="92" t="inlineStr">
        <is>
          <t>SM0175</t>
        </is>
      </c>
      <c r="B178" s="92" t="inlineStr">
        <is>
          <t>F18</t>
        </is>
      </c>
      <c r="C178" s="92" t="inlineStr">
        <is>
          <t>کگل</t>
        </is>
      </c>
      <c r="D178" s="92" t="inlineStr">
        <is>
          <t>1404/09/30</t>
        </is>
      </c>
      <c r="E178" s="92" t="inlineStr">
        <is>
          <t>FYE1404 (v41)؛ خیر (مقطع متفاوت)</t>
        </is>
      </c>
      <c r="F178" s="92" t="inlineStr">
        <is>
          <t>نمای مالی</t>
        </is>
      </c>
      <c r="G178" s="92" t="inlineStr">
        <is>
          <t>P-C3B5F85A</t>
        </is>
      </c>
      <c r="H178" s="92" t="inlineStr">
        <is>
          <t>حمیدرضا فولادگر</t>
        </is>
      </c>
      <c r="I178" s="92" t="inlineStr">
        <is>
          <t>حمیدرضا فولادگر</t>
        </is>
      </c>
      <c r="J178" s="92" t="inlineStr">
        <is>
          <t>NATIONAL_ID؛ هش A95ECB5A</t>
        </is>
      </c>
      <c r="K178" s="92" t="inlineStr">
        <is>
          <t>عضو اصلی فعال</t>
        </is>
      </c>
      <c r="L178" s="92" t="inlineStr">
        <is>
          <t>عضو هیئت مدیره</t>
        </is>
      </c>
      <c r="M178" s="92" t="inlineStr">
        <is>
          <t>خیر</t>
        </is>
      </c>
      <c r="N178" s="92" t="inlineStr">
        <is>
          <t>خیر</t>
        </is>
      </c>
      <c r="O178" s="92" t="inlineStr">
        <is>
          <t>فولاد مبارکه اصفهان</t>
        </is>
      </c>
      <c r="P178" s="92" t="inlineStr">
        <is>
          <t>ندارد (فقط نام)</t>
        </is>
      </c>
      <c r="Q178" s="92" t="inlineStr">
        <is>
          <t>حمیدرضا فولادگر</t>
        </is>
      </c>
      <c r="R178" s="92" t="inlineStr">
        <is>
          <t>فولاد مبارکه اصفهان</t>
        </is>
      </c>
      <c r="S178" s="92" t="inlineStr">
        <is>
          <t>نام دارنده حقوقی</t>
        </is>
      </c>
      <c r="T178" s="92" t="inlineStr"/>
      <c r="U178" s="92" t="n">
        <v>5</v>
      </c>
      <c r="V178" s="92" t="inlineStr">
        <is>
          <t>نامشخص: تعداد کل اعلام شده در متن ثبت نشده</t>
        </is>
      </c>
      <c r="W178" s="92" t="inlineStr">
        <is>
          <t>SRC_KGOL_1404_001</t>
        </is>
      </c>
      <c r="X178" s="92" t="inlineStr">
        <is>
          <t>1404/09/30</t>
        </is>
      </c>
      <c r="Y178" s="92" t="inlineStr"/>
      <c r="Z178" s="92" t="inlineStr"/>
      <c r="AA178" s="92" t="inlineStr">
        <is>
          <t>BR Independence v41 ردیف 88</t>
        </is>
      </c>
    </row>
    <row r="179" ht="30" customHeight="1" s="76">
      <c r="A179" s="92" t="inlineStr">
        <is>
          <t>SM0176</t>
        </is>
      </c>
      <c r="B179" s="92" t="inlineStr">
        <is>
          <t>F18</t>
        </is>
      </c>
      <c r="C179" s="92" t="inlineStr">
        <is>
          <t>کگل</t>
        </is>
      </c>
      <c r="D179" s="92" t="inlineStr">
        <is>
          <t>1404/09/30</t>
        </is>
      </c>
      <c r="E179" s="92" t="inlineStr">
        <is>
          <t>FYE1404 (v41)؛ خیر (مقطع متفاوت)</t>
        </is>
      </c>
      <c r="F179" s="92" t="inlineStr">
        <is>
          <t>نمای مالی</t>
        </is>
      </c>
      <c r="G179" s="92" t="inlineStr">
        <is>
          <t>P-D304E39A</t>
        </is>
      </c>
      <c r="H179" s="92" t="inlineStr">
        <is>
          <t>مجتبی رضاخواه</t>
        </is>
      </c>
      <c r="I179" s="92" t="inlineStr">
        <is>
          <t>مجتبی رضاخواه</t>
        </is>
      </c>
      <c r="J179" s="92" t="inlineStr">
        <is>
          <t>NATIONAL_ID؛ هش 82742591</t>
        </is>
      </c>
      <c r="K179" s="92" t="inlineStr">
        <is>
          <t>عضو اصلی فعال</t>
        </is>
      </c>
      <c r="L179" s="92" t="inlineStr">
        <is>
          <t>رئیس هیئت مدیره</t>
        </is>
      </c>
      <c r="M179" s="92" t="inlineStr">
        <is>
          <t>خیر</t>
        </is>
      </c>
      <c r="N179" s="92" t="inlineStr">
        <is>
          <t>بله</t>
        </is>
      </c>
      <c r="O179" s="92" t="inlineStr">
        <is>
          <t>گروه مدیریت سرمایه گذاری امید</t>
        </is>
      </c>
      <c r="P179" s="92" t="inlineStr">
        <is>
          <t>ندارد (فقط نام)</t>
        </is>
      </c>
      <c r="Q179" s="92" t="inlineStr">
        <is>
          <t>مجتبی رضاخواه</t>
        </is>
      </c>
      <c r="R179" s="92" t="inlineStr">
        <is>
          <t>گروه مدیریت سرمایه گذاری امید</t>
        </is>
      </c>
      <c r="S179" s="92" t="inlineStr">
        <is>
          <t>نام دارنده حقوقی</t>
        </is>
      </c>
      <c r="T179" s="92" t="inlineStr"/>
      <c r="U179" s="92" t="n">
        <v>5</v>
      </c>
      <c r="V179" s="92" t="inlineStr">
        <is>
          <t>نامشخص: تعداد کل اعلام شده در متن ثبت نشده</t>
        </is>
      </c>
      <c r="W179" s="92" t="inlineStr">
        <is>
          <t>SRC_KGOL_1404_001</t>
        </is>
      </c>
      <c r="X179" s="92" t="inlineStr">
        <is>
          <t>1404/09/30</t>
        </is>
      </c>
      <c r="Y179" s="92" t="inlineStr"/>
      <c r="Z179" s="92" t="inlineStr"/>
      <c r="AA179" s="92" t="inlineStr">
        <is>
          <t>BR Independence v41 ردیف 89</t>
        </is>
      </c>
    </row>
    <row r="180" ht="30" customHeight="1" s="76">
      <c r="A180" s="92" t="inlineStr">
        <is>
          <t>SM0177</t>
        </is>
      </c>
      <c r="B180" s="92" t="inlineStr">
        <is>
          <t>F18</t>
        </is>
      </c>
      <c r="C180" s="92" t="inlineStr">
        <is>
          <t>کگل</t>
        </is>
      </c>
      <c r="D180" s="92" t="inlineStr">
        <is>
          <t>1404/09/30</t>
        </is>
      </c>
      <c r="E180" s="92" t="inlineStr">
        <is>
          <t>FYE1404 (v41)؛ خیر (مقطع متفاوت)</t>
        </is>
      </c>
      <c r="F180" s="92" t="inlineStr">
        <is>
          <t>نمای مالی</t>
        </is>
      </c>
      <c r="G180" s="92" t="inlineStr">
        <is>
          <t>P-51A5F75D</t>
        </is>
      </c>
      <c r="H180" s="92" t="inlineStr">
        <is>
          <t>ایمان عتیقی</t>
        </is>
      </c>
      <c r="I180" s="92" t="inlineStr">
        <is>
          <t>ایمان عتیقی</t>
        </is>
      </c>
      <c r="J180" s="92" t="inlineStr">
        <is>
          <t>NATIONAL_ID؛ هش 903A1198</t>
        </is>
      </c>
      <c r="K180" s="92" t="inlineStr">
        <is>
          <t>عضو اصلی فعال</t>
        </is>
      </c>
      <c r="L180" s="92" t="inlineStr">
        <is>
          <t>عضو هیئت مدیره</t>
        </is>
      </c>
      <c r="M180" s="92" t="inlineStr">
        <is>
          <t>بله</t>
        </is>
      </c>
      <c r="N180" s="92" t="inlineStr">
        <is>
          <t>خیر</t>
        </is>
      </c>
      <c r="O180" s="92" t="inlineStr">
        <is>
          <t>سرمایه گذاری توسعه معادن و فلزات</t>
        </is>
      </c>
      <c r="P180" s="92" t="inlineStr">
        <is>
          <t>ندارد (فقط نام)</t>
        </is>
      </c>
      <c r="Q180" s="92" t="inlineStr">
        <is>
          <t>ایمان عتیقی</t>
        </is>
      </c>
      <c r="R180" s="92" t="inlineStr">
        <is>
          <t>سرمایه گذاری توسعه معادن و فلزات</t>
        </is>
      </c>
      <c r="S180" s="92" t="inlineStr">
        <is>
          <t>نام دارنده حقوقی</t>
        </is>
      </c>
      <c r="T180" s="92" t="inlineStr"/>
      <c r="U180" s="92" t="n">
        <v>5</v>
      </c>
      <c r="V180" s="92" t="inlineStr">
        <is>
          <t>نامشخص: تعداد کل اعلام شده در متن ثبت نشده</t>
        </is>
      </c>
      <c r="W180" s="92" t="inlineStr">
        <is>
          <t>SRC_KGOL_1404_001</t>
        </is>
      </c>
      <c r="X180" s="92" t="inlineStr">
        <is>
          <t>1404/09/30</t>
        </is>
      </c>
      <c r="Y180" s="92" t="inlineStr"/>
      <c r="Z180" s="92" t="inlineStr"/>
      <c r="AA180" s="92" t="inlineStr">
        <is>
          <t>BR Independence v41 ردیف 90</t>
        </is>
      </c>
    </row>
    <row r="181" ht="30" customHeight="1" s="76">
      <c r="A181" s="92" t="inlineStr">
        <is>
          <t>SM0178</t>
        </is>
      </c>
      <c r="B181" s="92" t="inlineStr">
        <is>
          <t>F18</t>
        </is>
      </c>
      <c r="C181" s="92" t="inlineStr">
        <is>
          <t>کگل</t>
        </is>
      </c>
      <c r="D181" s="92" t="inlineStr">
        <is>
          <t>1404/09/30</t>
        </is>
      </c>
      <c r="E181" s="92" t="inlineStr">
        <is>
          <t>FYE1404 (v41)؛ خیر (مقطع متفاوت)</t>
        </is>
      </c>
      <c r="F181" s="92" t="inlineStr">
        <is>
          <t>نمای مالی</t>
        </is>
      </c>
      <c r="G181" s="92" t="inlineStr">
        <is>
          <t>P-33D5FD2A</t>
        </is>
      </c>
      <c r="H181" s="92" t="inlineStr">
        <is>
          <t>محمد امید</t>
        </is>
      </c>
      <c r="I181" s="92" t="inlineStr">
        <is>
          <t>محمد امید</t>
        </is>
      </c>
      <c r="J181" s="92" t="inlineStr">
        <is>
          <t>NATIONAL_ID؛ هش B0EEF607</t>
        </is>
      </c>
      <c r="K181" s="92" t="inlineStr">
        <is>
          <t>عضو اصلی فعال</t>
        </is>
      </c>
      <c r="L181" s="92" t="inlineStr">
        <is>
          <t>عضو هیئت مدیره</t>
        </is>
      </c>
      <c r="M181" s="92" t="inlineStr">
        <is>
          <t>خیر</t>
        </is>
      </c>
      <c r="N181" s="92" t="inlineStr">
        <is>
          <t>خیر</t>
        </is>
      </c>
      <c r="O181" s="92" t="inlineStr">
        <is>
          <t>توسعه معدنی و صنعتی صبانور</t>
        </is>
      </c>
      <c r="P181" s="92" t="inlineStr">
        <is>
          <t>ندارد (فقط نام)</t>
        </is>
      </c>
      <c r="Q181" s="92" t="inlineStr">
        <is>
          <t>محمد امید</t>
        </is>
      </c>
      <c r="R181" s="92" t="inlineStr">
        <is>
          <t>توسعه معدنی و صنعتی صبانور</t>
        </is>
      </c>
      <c r="S181" s="92" t="inlineStr">
        <is>
          <t>نام دارنده حقوقی</t>
        </is>
      </c>
      <c r="T181" s="92" t="inlineStr"/>
      <c r="U181" s="92" t="n">
        <v>5</v>
      </c>
      <c r="V181" s="92" t="inlineStr">
        <is>
          <t>نامشخص: تعداد کل اعلام شده در متن ثبت نشده</t>
        </is>
      </c>
      <c r="W181" s="92" t="inlineStr">
        <is>
          <t>SRC_KGOL_1404_001</t>
        </is>
      </c>
      <c r="X181" s="92" t="inlineStr">
        <is>
          <t>1404/09/30</t>
        </is>
      </c>
      <c r="Y181" s="92" t="inlineStr"/>
      <c r="Z181" s="92" t="inlineStr"/>
      <c r="AA181" s="92" t="inlineStr">
        <is>
          <t>BR Independence v41 ردیف 91</t>
        </is>
      </c>
    </row>
    <row r="182" ht="30" customHeight="1" s="76">
      <c r="A182" s="92" t="inlineStr">
        <is>
          <t>SM0179</t>
        </is>
      </c>
      <c r="B182" s="92" t="inlineStr">
        <is>
          <t>F18</t>
        </is>
      </c>
      <c r="C182" s="92" t="inlineStr">
        <is>
          <t>کگل</t>
        </is>
      </c>
      <c r="D182" s="92" t="inlineStr">
        <is>
          <t>1404/09/30</t>
        </is>
      </c>
      <c r="E182" s="92" t="inlineStr">
        <is>
          <t>FYE1404 (v41)؛ خیر (مقطع متفاوت)</t>
        </is>
      </c>
      <c r="F182" s="92" t="inlineStr">
        <is>
          <t>نمای مالی</t>
        </is>
      </c>
      <c r="G182" s="92" t="inlineStr">
        <is>
          <t>P-94BFE904</t>
        </is>
      </c>
      <c r="H182" s="92" t="inlineStr">
        <is>
          <t>محمدحسین ایران منش</t>
        </is>
      </c>
      <c r="I182" s="92" t="inlineStr">
        <is>
          <t>محمدحسین ایران منش</t>
        </is>
      </c>
      <c r="J182" s="92" t="inlineStr">
        <is>
          <t>NATIONAL_ID؛ هش E1712878</t>
        </is>
      </c>
      <c r="K182" s="92" t="inlineStr">
        <is>
          <t>عضو اصلی فعال</t>
        </is>
      </c>
      <c r="L182" s="92" t="inlineStr">
        <is>
          <t>نایب رئیس هیئت مدیره</t>
        </is>
      </c>
      <c r="M182" s="92" t="inlineStr">
        <is>
          <t>خیر</t>
        </is>
      </c>
      <c r="N182" s="92" t="inlineStr">
        <is>
          <t>خیر</t>
        </is>
      </c>
      <c r="O182" s="92" t="inlineStr">
        <is>
          <t>سرمایه گذاری سپه</t>
        </is>
      </c>
      <c r="P182" s="92" t="inlineStr">
        <is>
          <t>ندارد (فقط نام)</t>
        </is>
      </c>
      <c r="Q182" s="92" t="inlineStr">
        <is>
          <t>محمدحسین ایران منش</t>
        </is>
      </c>
      <c r="R182" s="92" t="inlineStr">
        <is>
          <t>سرمایه گذاری سپه</t>
        </is>
      </c>
      <c r="S182" s="92" t="inlineStr">
        <is>
          <t>نام دارنده حقوقی</t>
        </is>
      </c>
      <c r="T182" s="92" t="inlineStr"/>
      <c r="U182" s="92" t="n">
        <v>5</v>
      </c>
      <c r="V182" s="92" t="inlineStr">
        <is>
          <t>نامشخص: تعداد کل اعلام شده در متن ثبت نشده</t>
        </is>
      </c>
      <c r="W182" s="92" t="inlineStr">
        <is>
          <t>SRC_KGOL_1404_001</t>
        </is>
      </c>
      <c r="X182" s="92" t="inlineStr">
        <is>
          <t>1404/09/30</t>
        </is>
      </c>
      <c r="Y182" s="92" t="inlineStr"/>
      <c r="Z182" s="92" t="inlineStr"/>
      <c r="AA182" s="92" t="inlineStr">
        <is>
          <t>BR Independence v41 ردیف 92</t>
        </is>
      </c>
    </row>
    <row r="183" ht="30" customHeight="1" s="76">
      <c r="A183" s="92" t="inlineStr">
        <is>
          <t>SM0180</t>
        </is>
      </c>
      <c r="B183" s="92" t="inlineStr">
        <is>
          <t>F19</t>
        </is>
      </c>
      <c r="C183" s="92" t="inlineStr">
        <is>
          <t>پارسان</t>
        </is>
      </c>
      <c r="D183" s="92" t="inlineStr">
        <is>
          <t>1404/06/31</t>
        </is>
      </c>
      <c r="E183" s="92" t="inlineStr">
        <is>
          <t>FYE1404 (v41)؛ خیر (مقطع متفاوت)</t>
        </is>
      </c>
      <c r="F183" s="92" t="inlineStr">
        <is>
          <t>نمای مالی</t>
        </is>
      </c>
      <c r="G183" s="92" t="inlineStr">
        <is>
          <t>P-F09275F4</t>
        </is>
      </c>
      <c r="H183" s="92" t="inlineStr">
        <is>
          <t>سیدجعفر هاشمی</t>
        </is>
      </c>
      <c r="I183" s="92" t="inlineStr">
        <is>
          <t>سیدجعفر هاشمی</t>
        </is>
      </c>
      <c r="J183" s="92" t="inlineStr">
        <is>
          <t>NATIONAL_ID؛ هش EB6DCDEC</t>
        </is>
      </c>
      <c r="K183" s="92" t="inlineStr">
        <is>
          <t>عضو اصلی فعال</t>
        </is>
      </c>
      <c r="L183" s="92" t="inlineStr">
        <is>
          <t>عضو هیئت مدیره</t>
        </is>
      </c>
      <c r="M183" s="92" t="inlineStr">
        <is>
          <t>بله</t>
        </is>
      </c>
      <c r="N183" s="92" t="inlineStr">
        <is>
          <t>خیر</t>
        </is>
      </c>
      <c r="O183" s="92" t="inlineStr">
        <is>
          <t>سرمایه گذاری غدیر</t>
        </is>
      </c>
      <c r="P183" s="92" t="inlineStr">
        <is>
          <t>ندارد (فقط نام)</t>
        </is>
      </c>
      <c r="Q183" s="92" t="inlineStr">
        <is>
          <t>سیدجعفر هاشمی</t>
        </is>
      </c>
      <c r="R183" s="92" t="inlineStr">
        <is>
          <t>سرمایه گذاری غدیر</t>
        </is>
      </c>
      <c r="S183" s="92" t="inlineStr">
        <is>
          <t>نام دارنده حقوقی</t>
        </is>
      </c>
      <c r="T183" s="92" t="inlineStr"/>
      <c r="U183" s="92" t="n">
        <v>5</v>
      </c>
      <c r="V183" s="92" t="inlineStr">
        <is>
          <t>نامشخص: تعداد کل اعلام شده در متن ثبت نشده</t>
        </is>
      </c>
      <c r="W183" s="92" t="inlineStr">
        <is>
          <t>SRC_PRSN_1404_007</t>
        </is>
      </c>
      <c r="X183" s="92" t="inlineStr">
        <is>
          <t>1404/06/31</t>
        </is>
      </c>
      <c r="Y183" s="92" t="inlineStr"/>
      <c r="Z183" s="92" t="inlineStr"/>
      <c r="AA183" s="92" t="inlineStr">
        <is>
          <t>BR Independence v41 ردیف 93</t>
        </is>
      </c>
    </row>
    <row r="184" ht="30" customHeight="1" s="76">
      <c r="A184" s="92" t="inlineStr">
        <is>
          <t>SM0181</t>
        </is>
      </c>
      <c r="B184" s="92" t="inlineStr">
        <is>
          <t>F19</t>
        </is>
      </c>
      <c r="C184" s="92" t="inlineStr">
        <is>
          <t>پارسان</t>
        </is>
      </c>
      <c r="D184" s="92" t="inlineStr">
        <is>
          <t>1404/06/31</t>
        </is>
      </c>
      <c r="E184" s="92" t="inlineStr">
        <is>
          <t>FYE1404 (v41)؛ خیر (مقطع متفاوت)</t>
        </is>
      </c>
      <c r="F184" s="92" t="inlineStr">
        <is>
          <t>نمای مالی</t>
        </is>
      </c>
      <c r="G184" s="92" t="inlineStr">
        <is>
          <t>P-71B57E34</t>
        </is>
      </c>
      <c r="H184" s="92" t="inlineStr">
        <is>
          <t>رحیم اسماعیلی دانا</t>
        </is>
      </c>
      <c r="I184" s="92" t="inlineStr">
        <is>
          <t>رحیم اسماعیلی دانا</t>
        </is>
      </c>
      <c r="J184" s="92" t="inlineStr">
        <is>
          <t>NATIONAL_ID؛ هش 8EC31DA4</t>
        </is>
      </c>
      <c r="K184" s="92" t="inlineStr">
        <is>
          <t>عضو اصلی فعال</t>
        </is>
      </c>
      <c r="L184" s="92" t="inlineStr">
        <is>
          <t>نایب رئیس هیئت مدیره</t>
        </is>
      </c>
      <c r="M184" s="92" t="inlineStr">
        <is>
          <t>خیر</t>
        </is>
      </c>
      <c r="N184" s="92" t="inlineStr">
        <is>
          <t>خیر</t>
        </is>
      </c>
      <c r="O184" s="92" t="inlineStr">
        <is>
          <t>سرمایه گذاری اعتضاد غدیر</t>
        </is>
      </c>
      <c r="P184" s="92" t="inlineStr">
        <is>
          <t>ندارد (فقط نام)</t>
        </is>
      </c>
      <c r="Q184" s="92" t="inlineStr">
        <is>
          <t>رحیم اسماعیلی دانا</t>
        </is>
      </c>
      <c r="R184" s="92" t="inlineStr">
        <is>
          <t>سرمایه گذاری اعتضاد غدیر</t>
        </is>
      </c>
      <c r="S184" s="92" t="inlineStr">
        <is>
          <t>نام دارنده حقوقی</t>
        </is>
      </c>
      <c r="T184" s="92" t="inlineStr"/>
      <c r="U184" s="92" t="n">
        <v>5</v>
      </c>
      <c r="V184" s="92" t="inlineStr">
        <is>
          <t>نامشخص: تعداد کل اعلام شده در متن ثبت نشده</t>
        </is>
      </c>
      <c r="W184" s="92" t="inlineStr">
        <is>
          <t>SRC_PRSN_1404_007</t>
        </is>
      </c>
      <c r="X184" s="92" t="inlineStr">
        <is>
          <t>1404/06/31</t>
        </is>
      </c>
      <c r="Y184" s="92" t="inlineStr"/>
      <c r="Z184" s="92" t="inlineStr"/>
      <c r="AA184" s="92" t="inlineStr">
        <is>
          <t>BR Independence v41 ردیف 94</t>
        </is>
      </c>
    </row>
    <row r="185" ht="30" customHeight="1" s="76">
      <c r="A185" s="92" t="inlineStr">
        <is>
          <t>SM0182</t>
        </is>
      </c>
      <c r="B185" s="92" t="inlineStr">
        <is>
          <t>F19</t>
        </is>
      </c>
      <c r="C185" s="92" t="inlineStr">
        <is>
          <t>پارسان</t>
        </is>
      </c>
      <c r="D185" s="92" t="inlineStr">
        <is>
          <t>1404/06/31</t>
        </is>
      </c>
      <c r="E185" s="92" t="inlineStr">
        <is>
          <t>FYE1404 (v41)؛ خیر (مقطع متفاوت)</t>
        </is>
      </c>
      <c r="F185" s="92" t="inlineStr">
        <is>
          <t>نمای مالی</t>
        </is>
      </c>
      <c r="G185" s="92" t="inlineStr">
        <is>
          <t>P-669EA9C7</t>
        </is>
      </c>
      <c r="H185" s="92" t="inlineStr">
        <is>
          <t>علی مهری پرگو</t>
        </is>
      </c>
      <c r="I185" s="92" t="inlineStr">
        <is>
          <t>علی مهری پرگو</t>
        </is>
      </c>
      <c r="J185" s="92" t="inlineStr">
        <is>
          <t>NATIONAL_ID؛ هش C7BCA96A</t>
        </is>
      </c>
      <c r="K185" s="92" t="inlineStr">
        <is>
          <t>عضو اصلی فعال</t>
        </is>
      </c>
      <c r="L185" s="92" t="inlineStr">
        <is>
          <t>عضو هیئت مدیره</t>
        </is>
      </c>
      <c r="M185" s="92" t="inlineStr">
        <is>
          <t>خیر</t>
        </is>
      </c>
      <c r="N185" s="92" t="inlineStr">
        <is>
          <t>خیر</t>
        </is>
      </c>
      <c r="O185" s="92" t="inlineStr">
        <is>
          <t>دریابان جنوب ایران کیش</t>
        </is>
      </c>
      <c r="P185" s="92" t="inlineStr">
        <is>
          <t>ندارد (فقط نام)</t>
        </is>
      </c>
      <c r="Q185" s="92" t="inlineStr">
        <is>
          <t>علی مهری پرگو</t>
        </is>
      </c>
      <c r="R185" s="92" t="inlineStr">
        <is>
          <t>دریابان جنوب ایران کیش</t>
        </is>
      </c>
      <c r="S185" s="92" t="inlineStr">
        <is>
          <t>نام دارنده حقوقی</t>
        </is>
      </c>
      <c r="T185" s="92" t="inlineStr"/>
      <c r="U185" s="92" t="n">
        <v>5</v>
      </c>
      <c r="V185" s="92" t="inlineStr">
        <is>
          <t>نامشخص: تعداد کل اعلام شده در متن ثبت نشده</t>
        </is>
      </c>
      <c r="W185" s="92" t="inlineStr">
        <is>
          <t>SRC_PRSN_1404_007</t>
        </is>
      </c>
      <c r="X185" s="92" t="inlineStr">
        <is>
          <t>1404/06/31</t>
        </is>
      </c>
      <c r="Y185" s="92" t="inlineStr"/>
      <c r="Z185" s="92" t="inlineStr"/>
      <c r="AA185" s="92" t="inlineStr">
        <is>
          <t>BR Independence v41 ردیف 95</t>
        </is>
      </c>
    </row>
    <row r="186" ht="30" customHeight="1" s="76">
      <c r="A186" s="92" t="inlineStr">
        <is>
          <t>SM0183</t>
        </is>
      </c>
      <c r="B186" s="92" t="inlineStr">
        <is>
          <t>F19</t>
        </is>
      </c>
      <c r="C186" s="92" t="inlineStr">
        <is>
          <t>پارسان</t>
        </is>
      </c>
      <c r="D186" s="92" t="inlineStr">
        <is>
          <t>1404/06/31</t>
        </is>
      </c>
      <c r="E186" s="92" t="inlineStr">
        <is>
          <t>FYE1404 (v41)؛ خیر (مقطع متفاوت)</t>
        </is>
      </c>
      <c r="F186" s="92" t="inlineStr">
        <is>
          <t>نمای مالی</t>
        </is>
      </c>
      <c r="G186" s="92" t="inlineStr">
        <is>
          <t>P-DFFE11D7</t>
        </is>
      </c>
      <c r="H186" s="92" t="inlineStr">
        <is>
          <t>علیرضا غلامی</t>
        </is>
      </c>
      <c r="I186" s="92" t="inlineStr">
        <is>
          <t>علیرضا غلامی</t>
        </is>
      </c>
      <c r="J186" s="92" t="inlineStr">
        <is>
          <t>NATIONAL_ID؛ هش ED56C3D7</t>
        </is>
      </c>
      <c r="K186" s="92" t="inlineStr">
        <is>
          <t>عضو اصلی فعال</t>
        </is>
      </c>
      <c r="L186" s="92" t="inlineStr">
        <is>
          <t>عضو هیئت مدیره</t>
        </is>
      </c>
      <c r="M186" s="92" t="inlineStr">
        <is>
          <t>خیر</t>
        </is>
      </c>
      <c r="N186" s="92" t="inlineStr">
        <is>
          <t>خیر</t>
        </is>
      </c>
      <c r="O186" s="92" t="inlineStr">
        <is>
          <t>صنعتی و بازرگانی غدیر</t>
        </is>
      </c>
      <c r="P186" s="92" t="inlineStr">
        <is>
          <t>ندارد (فقط نام)</t>
        </is>
      </c>
      <c r="Q186" s="92" t="inlineStr">
        <is>
          <t>علیرضا غلامی</t>
        </is>
      </c>
      <c r="R186" s="92" t="inlineStr">
        <is>
          <t>صنعتی و بازرگانی غدیر</t>
        </is>
      </c>
      <c r="S186" s="92" t="inlineStr">
        <is>
          <t>نام دارنده حقوقی</t>
        </is>
      </c>
      <c r="T186" s="92" t="inlineStr"/>
      <c r="U186" s="92" t="n">
        <v>5</v>
      </c>
      <c r="V186" s="92" t="inlineStr">
        <is>
          <t>نامشخص: تعداد کل اعلام شده در متن ثبت نشده</t>
        </is>
      </c>
      <c r="W186" s="92" t="inlineStr">
        <is>
          <t>SRC_PRSN_1404_007</t>
        </is>
      </c>
      <c r="X186" s="92" t="inlineStr">
        <is>
          <t>1404/06/31</t>
        </is>
      </c>
      <c r="Y186" s="92" t="inlineStr"/>
      <c r="Z186" s="92" t="inlineStr"/>
      <c r="AA186" s="92" t="inlineStr">
        <is>
          <t>BR Independence v41 ردیف 96</t>
        </is>
      </c>
    </row>
    <row r="187" ht="30" customHeight="1" s="76">
      <c r="A187" s="92" t="inlineStr">
        <is>
          <t>SM0184</t>
        </is>
      </c>
      <c r="B187" s="92" t="inlineStr">
        <is>
          <t>F19</t>
        </is>
      </c>
      <c r="C187" s="92" t="inlineStr">
        <is>
          <t>پارسان</t>
        </is>
      </c>
      <c r="D187" s="92" t="inlineStr">
        <is>
          <t>1404/06/31</t>
        </is>
      </c>
      <c r="E187" s="92" t="inlineStr">
        <is>
          <t>FYE1404 (v41)؛ خیر (مقطع متفاوت)</t>
        </is>
      </c>
      <c r="F187" s="92" t="inlineStr">
        <is>
          <t>نمای مالی</t>
        </is>
      </c>
      <c r="G187" s="92" t="inlineStr">
        <is>
          <t>P-EAB6FDB5</t>
        </is>
      </c>
      <c r="H187" s="92" t="inlineStr">
        <is>
          <t>احد امیری</t>
        </is>
      </c>
      <c r="I187" s="92" t="inlineStr">
        <is>
          <t>احد امیری</t>
        </is>
      </c>
      <c r="J187" s="92" t="inlineStr">
        <is>
          <t>NATIONAL_ID؛ هش E0BD85B9</t>
        </is>
      </c>
      <c r="K187" s="92" t="inlineStr">
        <is>
          <t>عضو اصلی فعال</t>
        </is>
      </c>
      <c r="L187" s="92" t="inlineStr">
        <is>
          <t>رئیس هیئت مدیره</t>
        </is>
      </c>
      <c r="M187" s="92" t="inlineStr">
        <is>
          <t>خیر</t>
        </is>
      </c>
      <c r="N187" s="92" t="inlineStr">
        <is>
          <t>بله</t>
        </is>
      </c>
      <c r="O187" s="92" t="inlineStr">
        <is>
          <t>سرمایه گذاری مهرگان تامین پارس</t>
        </is>
      </c>
      <c r="P187" s="92" t="inlineStr">
        <is>
          <t>ندارد (فقط نام)</t>
        </is>
      </c>
      <c r="Q187" s="92" t="inlineStr">
        <is>
          <t>احد امیری</t>
        </is>
      </c>
      <c r="R187" s="92" t="inlineStr">
        <is>
          <t>سرمایه گذاری مهرگان تامین پارس</t>
        </is>
      </c>
      <c r="S187" s="92" t="inlineStr">
        <is>
          <t>نام دارنده حقوقی</t>
        </is>
      </c>
      <c r="T187" s="92" t="inlineStr"/>
      <c r="U187" s="92" t="n">
        <v>5</v>
      </c>
      <c r="V187" s="92" t="inlineStr">
        <is>
          <t>نامشخص: تعداد کل اعلام شده در متن ثبت نشده</t>
        </is>
      </c>
      <c r="W187" s="92" t="inlineStr">
        <is>
          <t>SRC_PRSN_1404_007</t>
        </is>
      </c>
      <c r="X187" s="92" t="inlineStr">
        <is>
          <t>1404/06/31</t>
        </is>
      </c>
      <c r="Y187" s="92" t="inlineStr"/>
      <c r="Z187" s="92" t="inlineStr"/>
      <c r="AA187" s="92" t="inlineStr">
        <is>
          <t>BR Independence v41 ردیف 97</t>
        </is>
      </c>
    </row>
    <row r="188" ht="30" customHeight="1" s="76">
      <c r="A188" s="92" t="inlineStr">
        <is>
          <t>SM0185</t>
        </is>
      </c>
      <c r="B188" s="92" t="inlineStr">
        <is>
          <t>F20</t>
        </is>
      </c>
      <c r="C188" s="92" t="inlineStr">
        <is>
          <t>اخابر</t>
        </is>
      </c>
      <c r="D188" s="92" t="inlineStr">
        <is>
          <t>1404/12/29</t>
        </is>
      </c>
      <c r="E188" s="92" t="inlineStr">
        <is>
          <t>FYE1404 (v41)؛ بله (مقطع یکسان با پایان مشترک؛ فهرست مبنا نیست)</t>
        </is>
      </c>
      <c r="F188" s="92" t="inlineStr">
        <is>
          <t>نمای مالی</t>
        </is>
      </c>
      <c r="G188" s="92" t="inlineStr">
        <is>
          <t>P-6620C6FF</t>
        </is>
      </c>
      <c r="H188" s="92" t="inlineStr">
        <is>
          <t>محمد جعفرپورترشیزی</t>
        </is>
      </c>
      <c r="I188" s="92" t="inlineStr">
        <is>
          <t>محمد جعفرپورترشیزی</t>
        </is>
      </c>
      <c r="J188" s="92" t="inlineStr">
        <is>
          <t>NATIONAL_ID؛ هش B9E2F869</t>
        </is>
      </c>
      <c r="K188" s="92" t="inlineStr">
        <is>
          <t>عضو اصلی فعال</t>
        </is>
      </c>
      <c r="L188" s="92" t="inlineStr">
        <is>
          <t>عضو هیئت مدیره</t>
        </is>
      </c>
      <c r="M188" s="92" t="inlineStr">
        <is>
          <t>بله</t>
        </is>
      </c>
      <c r="N188" s="92" t="inlineStr">
        <is>
          <t>خیر</t>
        </is>
      </c>
      <c r="O188" s="92" t="inlineStr">
        <is>
          <t>وزارت امور اقتصادی و دارایی</t>
        </is>
      </c>
      <c r="P188" s="92" t="inlineStr">
        <is>
          <t>ندارد (فقط نام)</t>
        </is>
      </c>
      <c r="Q188" s="92" t="inlineStr">
        <is>
          <t>محمد جعفرپورترشیزی</t>
        </is>
      </c>
      <c r="R188" s="92" t="inlineStr">
        <is>
          <t>وزارت امور اقتصادی و دارایی</t>
        </is>
      </c>
      <c r="S188" s="92" t="inlineStr">
        <is>
          <t>نام دارنده حقوقی</t>
        </is>
      </c>
      <c r="T188" s="92" t="inlineStr"/>
      <c r="U188" s="92" t="n">
        <v>5</v>
      </c>
      <c r="V188" s="92" t="inlineStr">
        <is>
          <t>نامشخص: تعداد کل اعلام شده در متن ثبت نشده</t>
        </is>
      </c>
      <c r="W188" s="92" t="inlineStr">
        <is>
          <t>SRC_AKHB_1404_001</t>
        </is>
      </c>
      <c r="X188" s="92" t="inlineStr">
        <is>
          <t>1404/12/29</t>
        </is>
      </c>
      <c r="Y188" s="92" t="inlineStr"/>
      <c r="Z188" s="92" t="inlineStr"/>
      <c r="AA188" s="92" t="inlineStr">
        <is>
          <t>BR Independence v41 ردیف 98</t>
        </is>
      </c>
    </row>
    <row r="189" ht="30" customHeight="1" s="76">
      <c r="A189" s="92" t="inlineStr">
        <is>
          <t>SM0186</t>
        </is>
      </c>
      <c r="B189" s="92" t="inlineStr">
        <is>
          <t>F20</t>
        </is>
      </c>
      <c r="C189" s="92" t="inlineStr">
        <is>
          <t>اخابر</t>
        </is>
      </c>
      <c r="D189" s="92" t="inlineStr">
        <is>
          <t>1404/12/29</t>
        </is>
      </c>
      <c r="E189" s="92" t="inlineStr">
        <is>
          <t>FYE1404 (v41)؛ بله (مقطع یکسان با پایان مشترک؛ فهرست مبنا نیست)</t>
        </is>
      </c>
      <c r="F189" s="92" t="inlineStr">
        <is>
          <t>نمای مالی</t>
        </is>
      </c>
      <c r="G189" s="92" t="inlineStr">
        <is>
          <t>P-83AE22BE</t>
        </is>
      </c>
      <c r="H189" s="92" t="inlineStr">
        <is>
          <t>سیداسداله دهناد</t>
        </is>
      </c>
      <c r="I189" s="92" t="inlineStr">
        <is>
          <t>سیداسداله دهناد</t>
        </is>
      </c>
      <c r="J189" s="92" t="inlineStr">
        <is>
          <t>NATIONAL_ID؛ هش F6F44DDD</t>
        </is>
      </c>
      <c r="K189" s="92" t="inlineStr">
        <is>
          <t>عضو اصلی فعال</t>
        </is>
      </c>
      <c r="L189" s="92" t="inlineStr">
        <is>
          <t>نایب رئیس هیئت مدیره</t>
        </is>
      </c>
      <c r="M189" s="92" t="inlineStr">
        <is>
          <t>خیر</t>
        </is>
      </c>
      <c r="N189" s="92" t="inlineStr">
        <is>
          <t>خیر</t>
        </is>
      </c>
      <c r="O189" s="92" t="inlineStr">
        <is>
          <t>توسعه اعتماد مبین</t>
        </is>
      </c>
      <c r="P189" s="92" t="inlineStr">
        <is>
          <t>ندارد (فقط نام)</t>
        </is>
      </c>
      <c r="Q189" s="92" t="inlineStr">
        <is>
          <t>سیداسداله دهناد</t>
        </is>
      </c>
      <c r="R189" s="92" t="inlineStr">
        <is>
          <t>توسعه اعتماد مبین</t>
        </is>
      </c>
      <c r="S189" s="92" t="inlineStr">
        <is>
          <t>نام دارنده حقوقی</t>
        </is>
      </c>
      <c r="T189" s="92" t="inlineStr"/>
      <c r="U189" s="92" t="n">
        <v>5</v>
      </c>
      <c r="V189" s="92" t="inlineStr">
        <is>
          <t>نامشخص: تعداد کل اعلام شده در متن ثبت نشده</t>
        </is>
      </c>
      <c r="W189" s="92" t="inlineStr">
        <is>
          <t>SRC_AKHB_1404_001</t>
        </is>
      </c>
      <c r="X189" s="92" t="inlineStr">
        <is>
          <t>1404/12/29</t>
        </is>
      </c>
      <c r="Y189" s="92" t="inlineStr"/>
      <c r="Z189" s="92" t="inlineStr"/>
      <c r="AA189" s="92" t="inlineStr">
        <is>
          <t>BR Independence v41 ردیف 99</t>
        </is>
      </c>
    </row>
    <row r="190" ht="30" customHeight="1" s="76">
      <c r="A190" s="92" t="inlineStr">
        <is>
          <t>SM0187</t>
        </is>
      </c>
      <c r="B190" s="92" t="inlineStr">
        <is>
          <t>F20</t>
        </is>
      </c>
      <c r="C190" s="92" t="inlineStr">
        <is>
          <t>اخابر</t>
        </is>
      </c>
      <c r="D190" s="92" t="inlineStr">
        <is>
          <t>1404/12/29</t>
        </is>
      </c>
      <c r="E190" s="92" t="inlineStr">
        <is>
          <t>FYE1404 (v41)؛ بله (مقطع یکسان با پایان مشترک؛ فهرست مبنا نیست)</t>
        </is>
      </c>
      <c r="F190" s="92" t="inlineStr">
        <is>
          <t>نمای مالی</t>
        </is>
      </c>
      <c r="G190" s="92" t="inlineStr">
        <is>
          <t>P-295CE1B4</t>
        </is>
      </c>
      <c r="H190" s="92" t="inlineStr">
        <is>
          <t>رضا خضردوست</t>
        </is>
      </c>
      <c r="I190" s="92" t="inlineStr">
        <is>
          <t>رضا خضردوست</t>
        </is>
      </c>
      <c r="J190" s="92" t="inlineStr">
        <is>
          <t>NATIONAL_ID؛ هش 712ABA73</t>
        </is>
      </c>
      <c r="K190" s="92" t="inlineStr">
        <is>
          <t>عضو اصلی فعال</t>
        </is>
      </c>
      <c r="L190" s="92" t="inlineStr">
        <is>
          <t>عضو هیئت مدیره</t>
        </is>
      </c>
      <c r="M190" s="92" t="inlineStr">
        <is>
          <t>خیر</t>
        </is>
      </c>
      <c r="N190" s="92" t="inlineStr">
        <is>
          <t>خیر</t>
        </is>
      </c>
      <c r="O190" s="92" t="inlineStr">
        <is>
          <t>سرمایه گذاری استان تهران</t>
        </is>
      </c>
      <c r="P190" s="92" t="inlineStr">
        <is>
          <t>ندارد (فقط نام)</t>
        </is>
      </c>
      <c r="Q190" s="92" t="inlineStr">
        <is>
          <t>رضا خضردوست</t>
        </is>
      </c>
      <c r="R190" s="92" t="inlineStr">
        <is>
          <t>سرمایه گذاری استان تهران</t>
        </is>
      </c>
      <c r="S190" s="92" t="inlineStr">
        <is>
          <t>نام دارنده حقوقی</t>
        </is>
      </c>
      <c r="T190" s="92" t="inlineStr"/>
      <c r="U190" s="92" t="n">
        <v>5</v>
      </c>
      <c r="V190" s="92" t="inlineStr">
        <is>
          <t>نامشخص: تعداد کل اعلام شده در متن ثبت نشده</t>
        </is>
      </c>
      <c r="W190" s="92" t="inlineStr">
        <is>
          <t>SRC_AKHB_1404_001</t>
        </is>
      </c>
      <c r="X190" s="92" t="inlineStr">
        <is>
          <t>1404/12/29</t>
        </is>
      </c>
      <c r="Y190" s="92" t="inlineStr"/>
      <c r="Z190" s="92" t="inlineStr"/>
      <c r="AA190" s="92" t="inlineStr">
        <is>
          <t>BR Independence v41 ردیف 100</t>
        </is>
      </c>
    </row>
    <row r="191" ht="30" customHeight="1" s="76">
      <c r="A191" s="92" t="inlineStr">
        <is>
          <t>SM0188</t>
        </is>
      </c>
      <c r="B191" s="92" t="inlineStr">
        <is>
          <t>F20</t>
        </is>
      </c>
      <c r="C191" s="92" t="inlineStr">
        <is>
          <t>اخابر</t>
        </is>
      </c>
      <c r="D191" s="92" t="inlineStr">
        <is>
          <t>1404/12/29</t>
        </is>
      </c>
      <c r="E191" s="92" t="inlineStr">
        <is>
          <t>FYE1404 (v41)؛ بله (مقطع یکسان با پایان مشترک؛ فهرست مبنا نیست)</t>
        </is>
      </c>
      <c r="F191" s="92" t="inlineStr">
        <is>
          <t>نمای مالی</t>
        </is>
      </c>
      <c r="G191" s="92" t="inlineStr">
        <is>
          <t>P-49126898</t>
        </is>
      </c>
      <c r="H191" s="92" t="inlineStr">
        <is>
          <t>ابراهیم محمودزاده</t>
        </is>
      </c>
      <c r="I191" s="92" t="inlineStr">
        <is>
          <t>ابراهیم محمودزاده</t>
        </is>
      </c>
      <c r="J191" s="92" t="inlineStr">
        <is>
          <t>NATIONAL_ID؛ هش 20328EF4</t>
        </is>
      </c>
      <c r="K191" s="92" t="inlineStr">
        <is>
          <t>عضو اصلی فعال</t>
        </is>
      </c>
      <c r="L191" s="92" t="inlineStr">
        <is>
          <t>رئیس هیئت مدیره</t>
        </is>
      </c>
      <c r="M191" s="92" t="inlineStr">
        <is>
          <t>خیر</t>
        </is>
      </c>
      <c r="N191" s="92" t="inlineStr">
        <is>
          <t>بله</t>
        </is>
      </c>
      <c r="O191" s="92" t="inlineStr">
        <is>
          <t>فراز و فرود اقتصاد آینده</t>
        </is>
      </c>
      <c r="P191" s="92" t="inlineStr">
        <is>
          <t>ندارد (فقط نام)</t>
        </is>
      </c>
      <c r="Q191" s="92" t="inlineStr">
        <is>
          <t>ابراهیم محمودزاده</t>
        </is>
      </c>
      <c r="R191" s="92" t="inlineStr">
        <is>
          <t>فراز و فرود اقتصاد آینده</t>
        </is>
      </c>
      <c r="S191" s="92" t="inlineStr">
        <is>
          <t>نام دارنده حقوقی</t>
        </is>
      </c>
      <c r="T191" s="92" t="inlineStr"/>
      <c r="U191" s="92" t="n">
        <v>5</v>
      </c>
      <c r="V191" s="92" t="inlineStr">
        <is>
          <t>نامشخص: تعداد کل اعلام شده در متن ثبت نشده</t>
        </is>
      </c>
      <c r="W191" s="92" t="inlineStr">
        <is>
          <t>SRC_AKHB_1404_001</t>
        </is>
      </c>
      <c r="X191" s="92" t="inlineStr">
        <is>
          <t>1404/12/29</t>
        </is>
      </c>
      <c r="Y191" s="92" t="inlineStr"/>
      <c r="Z191" s="92" t="inlineStr"/>
      <c r="AA191" s="92" t="inlineStr">
        <is>
          <t>BR Independence v41 ردیف 101</t>
        </is>
      </c>
    </row>
    <row r="192" ht="30" customHeight="1" s="76">
      <c r="A192" s="92" t="inlineStr">
        <is>
          <t>SM0189</t>
        </is>
      </c>
      <c r="B192" s="92" t="inlineStr">
        <is>
          <t>F20</t>
        </is>
      </c>
      <c r="C192" s="92" t="inlineStr">
        <is>
          <t>اخابر</t>
        </is>
      </c>
      <c r="D192" s="92" t="inlineStr">
        <is>
          <t>1404/12/29</t>
        </is>
      </c>
      <c r="E192" s="92" t="inlineStr">
        <is>
          <t>FYE1404 (v41)؛ بله (مقطع یکسان با پایان مشترک؛ فهرست مبنا نیست)</t>
        </is>
      </c>
      <c r="F192" s="92" t="inlineStr">
        <is>
          <t>نمای مالی</t>
        </is>
      </c>
      <c r="G192" s="92" t="inlineStr">
        <is>
          <t>P-6DDE9BA1</t>
        </is>
      </c>
      <c r="H192" s="92" t="inlineStr">
        <is>
          <t>علی اصغر طراوتی</t>
        </is>
      </c>
      <c r="I192" s="92" t="inlineStr">
        <is>
          <t>علی اصغر طراوتی</t>
        </is>
      </c>
      <c r="J192" s="92" t="inlineStr">
        <is>
          <t>NATIONAL_ID؛ هش 94DACF51</t>
        </is>
      </c>
      <c r="K192" s="92" t="inlineStr">
        <is>
          <t>عضو اصلی فعال</t>
        </is>
      </c>
      <c r="L192" s="92" t="inlineStr">
        <is>
          <t>عضو هیئت مدیره</t>
        </is>
      </c>
      <c r="M192" s="92" t="inlineStr">
        <is>
          <t>خیر</t>
        </is>
      </c>
      <c r="N192" s="92" t="inlineStr">
        <is>
          <t>خیر</t>
        </is>
      </c>
      <c r="O192" s="92" t="inlineStr">
        <is>
          <t>امین اعتماد پیشرو</t>
        </is>
      </c>
      <c r="P192" s="92" t="inlineStr">
        <is>
          <t>ندارد (فقط نام)</t>
        </is>
      </c>
      <c r="Q192" s="92" t="inlineStr">
        <is>
          <t>علی اصغر طراوتی</t>
        </is>
      </c>
      <c r="R192" s="92" t="inlineStr">
        <is>
          <t>امین اعتماد پیشرو</t>
        </is>
      </c>
      <c r="S192" s="92" t="inlineStr">
        <is>
          <t>نام دارنده حقوقی</t>
        </is>
      </c>
      <c r="T192" s="92" t="inlineStr"/>
      <c r="U192" s="92" t="n">
        <v>5</v>
      </c>
      <c r="V192" s="92" t="inlineStr">
        <is>
          <t>نامشخص: تعداد کل اعلام شده در متن ثبت نشده</t>
        </is>
      </c>
      <c r="W192" s="92" t="inlineStr">
        <is>
          <t>SRC_AKHB_1404_001</t>
        </is>
      </c>
      <c r="X192" s="92" t="inlineStr">
        <is>
          <t>1404/12/29</t>
        </is>
      </c>
      <c r="Y192" s="92" t="inlineStr"/>
      <c r="Z192" s="92" t="inlineStr"/>
      <c r="AA192" s="92" t="inlineStr">
        <is>
          <t>BR Independence v41 ردیف 102</t>
        </is>
      </c>
    </row>
    <row r="193" ht="30" customHeight="1" s="76">
      <c r="A193" s="92" t="inlineStr">
        <is>
          <t>SM0190</t>
        </is>
      </c>
      <c r="B193" s="92" t="inlineStr">
        <is>
          <t>F21</t>
        </is>
      </c>
      <c r="C193" s="92" t="inlineStr">
        <is>
          <t>جم</t>
        </is>
      </c>
      <c r="D193" s="92" t="inlineStr">
        <is>
          <t>1404/12/29</t>
        </is>
      </c>
      <c r="E193" s="92" t="inlineStr">
        <is>
          <t>FYE1404 (v41)؛ بله (مقطع یکسان با پایان مشترک؛ فهرست مبنا نیست)</t>
        </is>
      </c>
      <c r="F193" s="92" t="inlineStr">
        <is>
          <t>نمای مالی</t>
        </is>
      </c>
      <c r="G193" s="92" t="inlineStr">
        <is>
          <t>P-036E3F71</t>
        </is>
      </c>
      <c r="H193" s="92" t="inlineStr">
        <is>
          <t>امیر اکبری</t>
        </is>
      </c>
      <c r="I193" s="92" t="inlineStr">
        <is>
          <t>امیر اکبری</t>
        </is>
      </c>
      <c r="J193" s="92" t="inlineStr">
        <is>
          <t>NATIONAL_ID؛ هش E277B1F4</t>
        </is>
      </c>
      <c r="K193" s="92" t="inlineStr">
        <is>
          <t>عضو اصلی فعال</t>
        </is>
      </c>
      <c r="L193" s="92" t="inlineStr">
        <is>
          <t>نایب رئیس هیئت مدیره</t>
        </is>
      </c>
      <c r="M193" s="92" t="inlineStr">
        <is>
          <t>بله</t>
        </is>
      </c>
      <c r="N193" s="92" t="inlineStr">
        <is>
          <t>خیر</t>
        </is>
      </c>
      <c r="O193" s="92" t="inlineStr">
        <is>
          <t>صبا انرژی جهان گستر</t>
        </is>
      </c>
      <c r="P193" s="92" t="inlineStr">
        <is>
          <t>ندارد (فقط نام)</t>
        </is>
      </c>
      <c r="Q193" s="92" t="inlineStr">
        <is>
          <t>امیر اکبری</t>
        </is>
      </c>
      <c r="R193" s="92" t="inlineStr">
        <is>
          <t>صبا انرژی جهان گستر</t>
        </is>
      </c>
      <c r="S193" s="92" t="inlineStr">
        <is>
          <t>نام دارنده حقوقی</t>
        </is>
      </c>
      <c r="T193" s="92" t="inlineStr"/>
      <c r="U193" s="92" t="n">
        <v>5</v>
      </c>
      <c r="V193" s="92" t="inlineStr">
        <is>
          <t>نامشخص: تعداد کل اعلام شده در متن ثبت نشده</t>
        </is>
      </c>
      <c r="W193" s="92" t="inlineStr">
        <is>
          <t>SRC_JAM_1404_001</t>
        </is>
      </c>
      <c r="X193" s="92" t="inlineStr">
        <is>
          <t>1404/12/29</t>
        </is>
      </c>
      <c r="Y193" s="92" t="inlineStr"/>
      <c r="Z193" s="92" t="inlineStr"/>
      <c r="AA193" s="92" t="inlineStr">
        <is>
          <t>BR Independence v41 ردیف 103</t>
        </is>
      </c>
    </row>
    <row r="194" ht="30" customHeight="1" s="76">
      <c r="A194" s="92" t="inlineStr">
        <is>
          <t>SM0191</t>
        </is>
      </c>
      <c r="B194" s="92" t="inlineStr">
        <is>
          <t>F21</t>
        </is>
      </c>
      <c r="C194" s="92" t="inlineStr">
        <is>
          <t>جم</t>
        </is>
      </c>
      <c r="D194" s="92" t="inlineStr">
        <is>
          <t>1404/12/29</t>
        </is>
      </c>
      <c r="E194" s="92" t="inlineStr">
        <is>
          <t>FYE1404 (v41)؛ بله (مقطع یکسان با پایان مشترک؛ فهرست مبنا نیست)</t>
        </is>
      </c>
      <c r="F194" s="92" t="inlineStr">
        <is>
          <t>نمای مالی</t>
        </is>
      </c>
      <c r="G194" s="92" t="inlineStr">
        <is>
          <t>P-381F6276</t>
        </is>
      </c>
      <c r="H194" s="92" t="inlineStr">
        <is>
          <t>محمدسجاد سیاهکارزاده</t>
        </is>
      </c>
      <c r="I194" s="92" t="inlineStr">
        <is>
          <t>محمدسجاد سیاهکارزاده</t>
        </is>
      </c>
      <c r="J194" s="92" t="inlineStr">
        <is>
          <t>NATIONAL_ID؛ هش 83478ACD</t>
        </is>
      </c>
      <c r="K194" s="92" t="inlineStr">
        <is>
          <t>عضو اصلی فعال</t>
        </is>
      </c>
      <c r="L194" s="92" t="inlineStr">
        <is>
          <t>رئیس هیئت مدیره</t>
        </is>
      </c>
      <c r="M194" s="92" t="inlineStr">
        <is>
          <t>خیر</t>
        </is>
      </c>
      <c r="N194" s="92" t="inlineStr">
        <is>
          <t>بله</t>
        </is>
      </c>
      <c r="O194" s="92" t="inlineStr">
        <is>
          <t>کاوشگران بازار سرمایه</t>
        </is>
      </c>
      <c r="P194" s="92" t="inlineStr">
        <is>
          <t>ندارد (فقط نام)</t>
        </is>
      </c>
      <c r="Q194" s="92" t="inlineStr">
        <is>
          <t>محمدسجاد سیاهکارزاده</t>
        </is>
      </c>
      <c r="R194" s="92" t="inlineStr">
        <is>
          <t>کاوشگران بازار سرمایه</t>
        </is>
      </c>
      <c r="S194" s="92" t="inlineStr">
        <is>
          <t>نام دارنده حقوقی</t>
        </is>
      </c>
      <c r="T194" s="92" t="inlineStr"/>
      <c r="U194" s="92" t="n">
        <v>5</v>
      </c>
      <c r="V194" s="92" t="inlineStr">
        <is>
          <t>نامشخص: تعداد کل اعلام شده در متن ثبت نشده</t>
        </is>
      </c>
      <c r="W194" s="92" t="inlineStr">
        <is>
          <t>SRC_JAM_1404_001</t>
        </is>
      </c>
      <c r="X194" s="92" t="inlineStr">
        <is>
          <t>1404/12/29</t>
        </is>
      </c>
      <c r="Y194" s="92" t="inlineStr"/>
      <c r="Z194" s="92" t="inlineStr"/>
      <c r="AA194" s="92" t="inlineStr">
        <is>
          <t>BR Independence v41 ردیف 104</t>
        </is>
      </c>
    </row>
    <row r="195" ht="30" customHeight="1" s="76">
      <c r="A195" s="92" t="inlineStr">
        <is>
          <t>SM0192</t>
        </is>
      </c>
      <c r="B195" s="92" t="inlineStr">
        <is>
          <t>F21</t>
        </is>
      </c>
      <c r="C195" s="92" t="inlineStr">
        <is>
          <t>جم</t>
        </is>
      </c>
      <c r="D195" s="92" t="inlineStr">
        <is>
          <t>1404/12/29</t>
        </is>
      </c>
      <c r="E195" s="92" t="inlineStr">
        <is>
          <t>FYE1404 (v41)؛ بله (مقطع یکسان با پایان مشترک؛ فهرست مبنا نیست)</t>
        </is>
      </c>
      <c r="F195" s="92" t="inlineStr">
        <is>
          <t>نمای مالی</t>
        </is>
      </c>
      <c r="G195" s="92" t="inlineStr">
        <is>
          <t>P-AC090FE6</t>
        </is>
      </c>
      <c r="H195" s="92" t="inlineStr">
        <is>
          <t>مهدی قربانی</t>
        </is>
      </c>
      <c r="I195" s="92" t="inlineStr">
        <is>
          <t>مهدی قربانی</t>
        </is>
      </c>
      <c r="J195" s="92" t="inlineStr">
        <is>
          <t>NATIONAL_ID؛ هش 690BB416</t>
        </is>
      </c>
      <c r="K195" s="92" t="inlineStr">
        <is>
          <t>عضو اصلی فعال</t>
        </is>
      </c>
      <c r="L195" s="92" t="inlineStr">
        <is>
          <t>عضو هیئت مدیره</t>
        </is>
      </c>
      <c r="M195" s="92" t="inlineStr">
        <is>
          <t>خیر</t>
        </is>
      </c>
      <c r="N195" s="92" t="inlineStr">
        <is>
          <t>خیر</t>
        </is>
      </c>
      <c r="O195" s="92" t="inlineStr">
        <is>
          <t>سرمایه گذاری استان اردبیل</t>
        </is>
      </c>
      <c r="P195" s="92" t="inlineStr">
        <is>
          <t>ندارد (فقط نام)</t>
        </is>
      </c>
      <c r="Q195" s="92" t="inlineStr">
        <is>
          <t>مهدی قربانی</t>
        </is>
      </c>
      <c r="R195" s="92" t="inlineStr">
        <is>
          <t>سرمایه گذاری استان اردبیل</t>
        </is>
      </c>
      <c r="S195" s="92" t="inlineStr">
        <is>
          <t>نام دارنده حقوقی</t>
        </is>
      </c>
      <c r="T195" s="92" t="inlineStr"/>
      <c r="U195" s="92" t="n">
        <v>5</v>
      </c>
      <c r="V195" s="92" t="inlineStr">
        <is>
          <t>نامشخص: تعداد کل اعلام شده در متن ثبت نشده</t>
        </is>
      </c>
      <c r="W195" s="92" t="inlineStr">
        <is>
          <t>SRC_JAM_1404_001</t>
        </is>
      </c>
      <c r="X195" s="92" t="inlineStr">
        <is>
          <t>1404/12/29</t>
        </is>
      </c>
      <c r="Y195" s="92" t="inlineStr"/>
      <c r="Z195" s="92" t="inlineStr"/>
      <c r="AA195" s="92" t="inlineStr">
        <is>
          <t>BR Independence v41 ردیف 105</t>
        </is>
      </c>
    </row>
    <row r="196" ht="30" customHeight="1" s="76">
      <c r="A196" s="92" t="inlineStr">
        <is>
          <t>SM0193</t>
        </is>
      </c>
      <c r="B196" s="92" t="inlineStr">
        <is>
          <t>F21</t>
        </is>
      </c>
      <c r="C196" s="92" t="inlineStr">
        <is>
          <t>جم</t>
        </is>
      </c>
      <c r="D196" s="92" t="inlineStr">
        <is>
          <t>1404/12/29</t>
        </is>
      </c>
      <c r="E196" s="92" t="inlineStr">
        <is>
          <t>FYE1404 (v41)؛ بله (مقطع یکسان با پایان مشترک؛ فهرست مبنا نیست)</t>
        </is>
      </c>
      <c r="F196" s="92" t="inlineStr">
        <is>
          <t>نمای مالی</t>
        </is>
      </c>
      <c r="G196" s="92" t="inlineStr">
        <is>
          <t>P-4CA95D51</t>
        </is>
      </c>
      <c r="H196" s="92" t="inlineStr">
        <is>
          <t>حسن معینی</t>
        </is>
      </c>
      <c r="I196" s="92" t="inlineStr">
        <is>
          <t>حسن معینی</t>
        </is>
      </c>
      <c r="J196" s="92" t="inlineStr">
        <is>
          <t>NATIONAL_ID؛ هش 475F67F4</t>
        </is>
      </c>
      <c r="K196" s="92" t="inlineStr">
        <is>
          <t>عضو اصلی فعال</t>
        </is>
      </c>
      <c r="L196" s="92" t="inlineStr">
        <is>
          <t>عضو هیئت مدیره</t>
        </is>
      </c>
      <c r="M196" s="92" t="inlineStr">
        <is>
          <t>خیر</t>
        </is>
      </c>
      <c r="N196" s="92" t="inlineStr">
        <is>
          <t>خیر</t>
        </is>
      </c>
      <c r="O196" s="92" t="inlineStr">
        <is>
          <t>خدمات گستر صبا انرژی</t>
        </is>
      </c>
      <c r="P196" s="92" t="inlineStr">
        <is>
          <t>ندارد (فقط نام)</t>
        </is>
      </c>
      <c r="Q196" s="92" t="inlineStr">
        <is>
          <t>حسن معینی</t>
        </is>
      </c>
      <c r="R196" s="92" t="inlineStr">
        <is>
          <t>خدمات گستر صبا انرژی</t>
        </is>
      </c>
      <c r="S196" s="92" t="inlineStr">
        <is>
          <t>نام دارنده حقوقی</t>
        </is>
      </c>
      <c r="T196" s="92" t="inlineStr"/>
      <c r="U196" s="92" t="n">
        <v>5</v>
      </c>
      <c r="V196" s="92" t="inlineStr">
        <is>
          <t>نامشخص: تعداد کل اعلام شده در متن ثبت نشده</t>
        </is>
      </c>
      <c r="W196" s="92" t="inlineStr">
        <is>
          <t>SRC_JAM_1404_001</t>
        </is>
      </c>
      <c r="X196" s="92" t="inlineStr">
        <is>
          <t>1404/12/29</t>
        </is>
      </c>
      <c r="Y196" s="92" t="inlineStr"/>
      <c r="Z196" s="92" t="inlineStr"/>
      <c r="AA196" s="92" t="inlineStr">
        <is>
          <t>BR Independence v41 ردیف 106</t>
        </is>
      </c>
    </row>
    <row r="197" ht="30" customHeight="1" s="76">
      <c r="A197" s="92" t="inlineStr">
        <is>
          <t>SM0194</t>
        </is>
      </c>
      <c r="B197" s="92" t="inlineStr">
        <is>
          <t>F21</t>
        </is>
      </c>
      <c r="C197" s="92" t="inlineStr">
        <is>
          <t>جم</t>
        </is>
      </c>
      <c r="D197" s="92" t="inlineStr">
        <is>
          <t>1404/12/29</t>
        </is>
      </c>
      <c r="E197" s="92" t="inlineStr">
        <is>
          <t>FYE1404 (v41)؛ بله (مقطع یکسان با پایان مشترک؛ فهرست مبنا نیست)</t>
        </is>
      </c>
      <c r="F197" s="92" t="inlineStr">
        <is>
          <t>نمای مالی</t>
        </is>
      </c>
      <c r="G197" s="92" t="inlineStr">
        <is>
          <t>P-FF72D32A</t>
        </is>
      </c>
      <c r="H197" s="92" t="inlineStr">
        <is>
          <t>متین دیداری</t>
        </is>
      </c>
      <c r="I197" s="92" t="inlineStr">
        <is>
          <t>متین دیداری</t>
        </is>
      </c>
      <c r="J197" s="92" t="inlineStr">
        <is>
          <t>NATIONAL_ID؛ هش A3E3C90E</t>
        </is>
      </c>
      <c r="K197" s="92" t="inlineStr">
        <is>
          <t>عضو اصلی فعال</t>
        </is>
      </c>
      <c r="L197" s="92" t="inlineStr">
        <is>
          <t>عضو هیئت مدیره</t>
        </is>
      </c>
      <c r="M197" s="92" t="inlineStr">
        <is>
          <t>خیر</t>
        </is>
      </c>
      <c r="N197" s="92" t="inlineStr">
        <is>
          <t>خیر</t>
        </is>
      </c>
      <c r="O197" s="92" t="inlineStr">
        <is>
          <t>گسترش تجارت هامون</t>
        </is>
      </c>
      <c r="P197" s="92" t="inlineStr">
        <is>
          <t>ندارد (فقط نام)</t>
        </is>
      </c>
      <c r="Q197" s="92" t="inlineStr">
        <is>
          <t>متین دیداری</t>
        </is>
      </c>
      <c r="R197" s="92" t="inlineStr">
        <is>
          <t>گسترش تجارت هامون</t>
        </is>
      </c>
      <c r="S197" s="92" t="inlineStr">
        <is>
          <t>نام دارنده حقوقی</t>
        </is>
      </c>
      <c r="T197" s="92" t="inlineStr"/>
      <c r="U197" s="92" t="n">
        <v>5</v>
      </c>
      <c r="V197" s="92" t="inlineStr">
        <is>
          <t>نامشخص: تعداد کل اعلام شده در متن ثبت نشده</t>
        </is>
      </c>
      <c r="W197" s="92" t="inlineStr">
        <is>
          <t>SRC_JAM_1404_001</t>
        </is>
      </c>
      <c r="X197" s="92" t="inlineStr">
        <is>
          <t>1404/12/29</t>
        </is>
      </c>
      <c r="Y197" s="92" t="inlineStr"/>
      <c r="Z197" s="92" t="inlineStr"/>
      <c r="AA197" s="92" t="inlineStr">
        <is>
          <t>BR Independence v41 ردیف 107</t>
        </is>
      </c>
    </row>
    <row r="198" ht="30" customHeight="1" s="76">
      <c r="A198" s="92" t="inlineStr">
        <is>
          <t>SM0195</t>
        </is>
      </c>
      <c r="B198" s="92" t="inlineStr">
        <is>
          <t>F22</t>
        </is>
      </c>
      <c r="C198" s="92" t="inlineStr">
        <is>
          <t>ومعادن</t>
        </is>
      </c>
      <c r="D198" s="92" t="inlineStr">
        <is>
          <t>1404/12/29</t>
        </is>
      </c>
      <c r="E198" s="92" t="inlineStr">
        <is>
          <t>FYE1404 (v41)؛ بله (مقطع یکسان با پایان مشترک؛ فهرست مبنا نیست)</t>
        </is>
      </c>
      <c r="F198" s="92" t="inlineStr">
        <is>
          <t>نمای مالی</t>
        </is>
      </c>
      <c r="G198" s="92" t="inlineStr">
        <is>
          <t>P-4CB95C87</t>
        </is>
      </c>
      <c r="H198" s="92" t="inlineStr">
        <is>
          <t>محمد آقاجانلو</t>
        </is>
      </c>
      <c r="I198" s="92" t="inlineStr">
        <is>
          <t>محمد آقاجانلو</t>
        </is>
      </c>
      <c r="J198" s="92" t="inlineStr">
        <is>
          <t>NATIONAL_ID؛ هش 0FCA7012</t>
        </is>
      </c>
      <c r="K198" s="92" t="inlineStr">
        <is>
          <t>عضو اصلی فعال</t>
        </is>
      </c>
      <c r="L198" s="92" t="inlineStr">
        <is>
          <t>رئیس هیئت مدیره</t>
        </is>
      </c>
      <c r="M198" s="92" t="inlineStr">
        <is>
          <t>خیر</t>
        </is>
      </c>
      <c r="N198" s="92" t="inlineStr">
        <is>
          <t>بله</t>
        </is>
      </c>
      <c r="O198" s="92" t="inlineStr">
        <is>
          <t>فولاد مبارکه اصفهان</t>
        </is>
      </c>
      <c r="P198" s="92" t="inlineStr">
        <is>
          <t>ندارد (فقط نام)</t>
        </is>
      </c>
      <c r="Q198" s="92" t="inlineStr">
        <is>
          <t>محمد آقاجانلو</t>
        </is>
      </c>
      <c r="R198" s="92" t="inlineStr">
        <is>
          <t>فولاد مبارکه اصفهان</t>
        </is>
      </c>
      <c r="S198" s="92" t="inlineStr">
        <is>
          <t>نام دارنده حقوقی</t>
        </is>
      </c>
      <c r="T198" s="92" t="inlineStr"/>
      <c r="U198" s="92" t="n">
        <v>5</v>
      </c>
      <c r="V198" s="92" t="inlineStr">
        <is>
          <t>نامشخص: تعداد کل اعلام شده در متن ثبت نشده</t>
        </is>
      </c>
      <c r="W198" s="92" t="inlineStr">
        <is>
          <t>SRC_VMDN_1404_001</t>
        </is>
      </c>
      <c r="X198" s="92" t="inlineStr">
        <is>
          <t>1404/12/29</t>
        </is>
      </c>
      <c r="Y198" s="92" t="inlineStr"/>
      <c r="Z198" s="92" t="inlineStr"/>
      <c r="AA198" s="92" t="inlineStr">
        <is>
          <t>BR Independence v41 ردیف 108</t>
        </is>
      </c>
    </row>
    <row r="199" ht="30" customHeight="1" s="76">
      <c r="A199" s="92" t="inlineStr">
        <is>
          <t>SM0196</t>
        </is>
      </c>
      <c r="B199" s="92" t="inlineStr">
        <is>
          <t>F22</t>
        </is>
      </c>
      <c r="C199" s="92" t="inlineStr">
        <is>
          <t>ومعادن</t>
        </is>
      </c>
      <c r="D199" s="92" t="inlineStr">
        <is>
          <t>1404/12/29</t>
        </is>
      </c>
      <c r="E199" s="92" t="inlineStr">
        <is>
          <t>FYE1404 (v41)؛ بله (مقطع یکسان با پایان مشترک؛ فهرست مبنا نیست)</t>
        </is>
      </c>
      <c r="F199" s="92" t="inlineStr">
        <is>
          <t>نمای مالی</t>
        </is>
      </c>
      <c r="G199" s="92" t="inlineStr">
        <is>
          <t>P-E6EE6AD7</t>
        </is>
      </c>
      <c r="H199" s="92" t="inlineStr">
        <is>
          <t>سجاد طهماسبی</t>
        </is>
      </c>
      <c r="I199" s="92" t="inlineStr">
        <is>
          <t>سجاد طهماسبی</t>
        </is>
      </c>
      <c r="J199" s="92" t="inlineStr">
        <is>
          <t>NATIONAL_ID؛ هش 73667103</t>
        </is>
      </c>
      <c r="K199" s="92" t="inlineStr">
        <is>
          <t>عضو اصلی فعال</t>
        </is>
      </c>
      <c r="L199" s="92" t="inlineStr">
        <is>
          <t>عضو هیئت مدیره</t>
        </is>
      </c>
      <c r="M199" s="92" t="inlineStr">
        <is>
          <t>خیر</t>
        </is>
      </c>
      <c r="N199" s="92" t="inlineStr">
        <is>
          <t>خیر</t>
        </is>
      </c>
      <c r="O199" s="92" t="inlineStr">
        <is>
          <t>معدنی و صنعتی فولاد سنگ مبارکه اصفهان</t>
        </is>
      </c>
      <c r="P199" s="92" t="inlineStr">
        <is>
          <t>ندارد (فقط نام)</t>
        </is>
      </c>
      <c r="Q199" s="92" t="inlineStr">
        <is>
          <t>سجاد طهماسبی</t>
        </is>
      </c>
      <c r="R199" s="92" t="inlineStr">
        <is>
          <t>معدنی و صنعتی فولاد سنگ مبارکه اصفهان</t>
        </is>
      </c>
      <c r="S199" s="92" t="inlineStr">
        <is>
          <t>نام دارنده حقوقی</t>
        </is>
      </c>
      <c r="T199" s="92" t="inlineStr"/>
      <c r="U199" s="92" t="n">
        <v>5</v>
      </c>
      <c r="V199" s="92" t="inlineStr">
        <is>
          <t>نامشخص: تعداد کل اعلام شده در متن ثبت نشده</t>
        </is>
      </c>
      <c r="W199" s="92" t="inlineStr">
        <is>
          <t>SRC_VMDN_1404_001</t>
        </is>
      </c>
      <c r="X199" s="92" t="inlineStr">
        <is>
          <t>1404/12/29</t>
        </is>
      </c>
      <c r="Y199" s="92" t="inlineStr"/>
      <c r="Z199" s="92" t="inlineStr"/>
      <c r="AA199" s="92" t="inlineStr">
        <is>
          <t>BR Independence v41 ردیف 109</t>
        </is>
      </c>
    </row>
    <row r="200" ht="30" customHeight="1" s="76">
      <c r="A200" s="92" t="inlineStr">
        <is>
          <t>SM0197</t>
        </is>
      </c>
      <c r="B200" s="92" t="inlineStr">
        <is>
          <t>F22</t>
        </is>
      </c>
      <c r="C200" s="92" t="inlineStr">
        <is>
          <t>ومعادن</t>
        </is>
      </c>
      <c r="D200" s="92" t="inlineStr">
        <is>
          <t>1404/12/29</t>
        </is>
      </c>
      <c r="E200" s="92" t="inlineStr">
        <is>
          <t>FYE1404 (v41)؛ بله (مقطع یکسان با پایان مشترک؛ فهرست مبنا نیست)</t>
        </is>
      </c>
      <c r="F200" s="92" t="inlineStr">
        <is>
          <t>نمای مالی</t>
        </is>
      </c>
      <c r="G200" s="92" t="inlineStr">
        <is>
          <t>P-9CE971ED</t>
        </is>
      </c>
      <c r="H200" s="92" t="inlineStr">
        <is>
          <t>اردشیر سعدمحمدی</t>
        </is>
      </c>
      <c r="I200" s="92" t="inlineStr">
        <is>
          <t>اردشیر سعدمحمدی</t>
        </is>
      </c>
      <c r="J200" s="92" t="inlineStr">
        <is>
          <t>NATIONAL_ID؛ هش 37FEC0F7</t>
        </is>
      </c>
      <c r="K200" s="92" t="inlineStr">
        <is>
          <t>عضو اصلی فعال</t>
        </is>
      </c>
      <c r="L200" s="92" t="inlineStr">
        <is>
          <t>عضو هیئت مدیره</t>
        </is>
      </c>
      <c r="M200" s="92" t="inlineStr">
        <is>
          <t>بله</t>
        </is>
      </c>
      <c r="N200" s="92" t="inlineStr">
        <is>
          <t>خیر</t>
        </is>
      </c>
      <c r="O200" s="92" t="inlineStr">
        <is>
          <t>فولاد هرمزگان جنوب</t>
        </is>
      </c>
      <c r="P200" s="92" t="inlineStr">
        <is>
          <t>ندارد (فقط نام)</t>
        </is>
      </c>
      <c r="Q200" s="92" t="inlineStr">
        <is>
          <t>اردشیر سعدمحمدی</t>
        </is>
      </c>
      <c r="R200" s="92" t="inlineStr">
        <is>
          <t>فولاد هرمزگان جنوب</t>
        </is>
      </c>
      <c r="S200" s="92" t="inlineStr">
        <is>
          <t>نام دارنده حقوقی</t>
        </is>
      </c>
      <c r="T200" s="92" t="inlineStr"/>
      <c r="U200" s="92" t="n">
        <v>5</v>
      </c>
      <c r="V200" s="92" t="inlineStr">
        <is>
          <t>نامشخص: تعداد کل اعلام شده در متن ثبت نشده</t>
        </is>
      </c>
      <c r="W200" s="92" t="inlineStr">
        <is>
          <t>SRC_VMDN_1404_001</t>
        </is>
      </c>
      <c r="X200" s="92" t="inlineStr">
        <is>
          <t>1404/12/29</t>
        </is>
      </c>
      <c r="Y200" s="92" t="inlineStr"/>
      <c r="Z200" s="92" t="inlineStr"/>
      <c r="AA200" s="92" t="inlineStr">
        <is>
          <t>BR Independence v41 ردیف 110</t>
        </is>
      </c>
    </row>
    <row r="201" ht="30" customHeight="1" s="76">
      <c r="A201" s="92" t="inlineStr">
        <is>
          <t>SM0198</t>
        </is>
      </c>
      <c r="B201" s="92" t="inlineStr">
        <is>
          <t>F22</t>
        </is>
      </c>
      <c r="C201" s="92" t="inlineStr">
        <is>
          <t>ومعادن</t>
        </is>
      </c>
      <c r="D201" s="92" t="inlineStr">
        <is>
          <t>1404/12/29</t>
        </is>
      </c>
      <c r="E201" s="92" t="inlineStr">
        <is>
          <t>FYE1404 (v41)؛ بله (مقطع یکسان با پایان مشترک؛ فهرست مبنا نیست)</t>
        </is>
      </c>
      <c r="F201" s="92" t="inlineStr">
        <is>
          <t>نمای مالی</t>
        </is>
      </c>
      <c r="G201" s="92" t="inlineStr">
        <is>
          <t>P-8B53F35D</t>
        </is>
      </c>
      <c r="H201" s="92" t="inlineStr">
        <is>
          <t>محمدرضا درخشنده</t>
        </is>
      </c>
      <c r="I201" s="92" t="inlineStr">
        <is>
          <t>محمدرضا درخشنده</t>
        </is>
      </c>
      <c r="J201" s="92" t="inlineStr">
        <is>
          <t>NATIONAL_ID؛ هش 9C826E7B</t>
        </is>
      </c>
      <c r="K201" s="92" t="inlineStr">
        <is>
          <t>عضو اصلی فعال</t>
        </is>
      </c>
      <c r="L201" s="92" t="inlineStr">
        <is>
          <t>عضو هیئت مدیره</t>
        </is>
      </c>
      <c r="M201" s="92" t="inlineStr">
        <is>
          <t>خیر</t>
        </is>
      </c>
      <c r="N201" s="92" t="inlineStr">
        <is>
          <t>خیر</t>
        </is>
      </c>
      <c r="O201" s="92" t="inlineStr">
        <is>
          <t>سرمایه گذاری ملی ایران</t>
        </is>
      </c>
      <c r="P201" s="92" t="inlineStr">
        <is>
          <t>ندارد (فقط نام)</t>
        </is>
      </c>
      <c r="Q201" s="92" t="inlineStr">
        <is>
          <t>محمدرضا درخشنده</t>
        </is>
      </c>
      <c r="R201" s="92" t="inlineStr">
        <is>
          <t>سرمایه گذاری ملی ایران</t>
        </is>
      </c>
      <c r="S201" s="92" t="inlineStr">
        <is>
          <t>نام دارنده حقوقی</t>
        </is>
      </c>
      <c r="T201" s="92" t="inlineStr"/>
      <c r="U201" s="92" t="n">
        <v>5</v>
      </c>
      <c r="V201" s="92" t="inlineStr">
        <is>
          <t>نامشخص: تعداد کل اعلام شده در متن ثبت نشده</t>
        </is>
      </c>
      <c r="W201" s="92" t="inlineStr">
        <is>
          <t>SRC_VMDN_1404_001</t>
        </is>
      </c>
      <c r="X201" s="92" t="inlineStr">
        <is>
          <t>1404/12/29</t>
        </is>
      </c>
      <c r="Y201" s="92" t="inlineStr"/>
      <c r="Z201" s="92" t="inlineStr"/>
      <c r="AA201" s="92" t="inlineStr">
        <is>
          <t>BR Independence v41 ردیف 111</t>
        </is>
      </c>
    </row>
    <row r="202" ht="30" customHeight="1" s="76">
      <c r="A202" s="92" t="inlineStr">
        <is>
          <t>SM0199</t>
        </is>
      </c>
      <c r="B202" s="92" t="inlineStr">
        <is>
          <t>F22</t>
        </is>
      </c>
      <c r="C202" s="92" t="inlineStr">
        <is>
          <t>ومعادن</t>
        </is>
      </c>
      <c r="D202" s="92" t="inlineStr">
        <is>
          <t>1404/12/29</t>
        </is>
      </c>
      <c r="E202" s="92" t="inlineStr">
        <is>
          <t>FYE1404 (v41)؛ بله (مقطع یکسان با پایان مشترک؛ فهرست مبنا نیست)</t>
        </is>
      </c>
      <c r="F202" s="92" t="inlineStr">
        <is>
          <t>نمای مالی</t>
        </is>
      </c>
      <c r="G202" s="92" t="inlineStr">
        <is>
          <t>P-72E09ACB</t>
        </is>
      </c>
      <c r="H202" s="92" t="inlineStr">
        <is>
          <t>محمد کلانتری</t>
        </is>
      </c>
      <c r="I202" s="92" t="inlineStr">
        <is>
          <t>محمد کلانتری</t>
        </is>
      </c>
      <c r="J202" s="92" t="inlineStr">
        <is>
          <t>NATIONAL_ID؛ هش 45F05B28</t>
        </is>
      </c>
      <c r="K202" s="92" t="inlineStr">
        <is>
          <t>عضو اصلی فعال</t>
        </is>
      </c>
      <c r="L202" s="92" t="inlineStr">
        <is>
          <t>نایب رئیس هیئت مدیره</t>
        </is>
      </c>
      <c r="M202" s="92" t="inlineStr">
        <is>
          <t>خیر</t>
        </is>
      </c>
      <c r="N202" s="92" t="inlineStr">
        <is>
          <t>خیر</t>
        </is>
      </c>
      <c r="O202" s="92" t="inlineStr">
        <is>
          <t>سرمایه گذاری ارشک</t>
        </is>
      </c>
      <c r="P202" s="92" t="inlineStr">
        <is>
          <t>ندارد (فقط نام)</t>
        </is>
      </c>
      <c r="Q202" s="92" t="inlineStr">
        <is>
          <t>محمد کلانتری</t>
        </is>
      </c>
      <c r="R202" s="92" t="inlineStr">
        <is>
          <t>سرمایه گذاری ارشک</t>
        </is>
      </c>
      <c r="S202" s="92" t="inlineStr">
        <is>
          <t>نام دارنده حقوقی</t>
        </is>
      </c>
      <c r="T202" s="92" t="inlineStr"/>
      <c r="U202" s="92" t="n">
        <v>5</v>
      </c>
      <c r="V202" s="92" t="inlineStr">
        <is>
          <t>نامشخص: تعداد کل اعلام شده در متن ثبت نشده</t>
        </is>
      </c>
      <c r="W202" s="92" t="inlineStr">
        <is>
          <t>SRC_VMDN_1404_001</t>
        </is>
      </c>
      <c r="X202" s="92" t="inlineStr">
        <is>
          <t>1404/12/29</t>
        </is>
      </c>
      <c r="Y202" s="92" t="inlineStr"/>
      <c r="Z202" s="92" t="inlineStr"/>
      <c r="AA202" s="92" t="inlineStr">
        <is>
          <t>BR Independence v41 ردیف 112</t>
        </is>
      </c>
    </row>
    <row r="203" ht="30" customHeight="1" s="76">
      <c r="A203" s="92" t="inlineStr">
        <is>
          <t>SM0200</t>
        </is>
      </c>
      <c r="B203" s="92" t="inlineStr">
        <is>
          <t>F23</t>
        </is>
      </c>
      <c r="C203" s="92" t="inlineStr">
        <is>
          <t>وامید</t>
        </is>
      </c>
      <c r="D203" s="92" t="inlineStr">
        <is>
          <t>1404/10/30</t>
        </is>
      </c>
      <c r="E203" s="92" t="inlineStr">
        <is>
          <t>FYE1404 (v41)؛ خیر (مقطع متفاوت)</t>
        </is>
      </c>
      <c r="F203" s="92" t="inlineStr">
        <is>
          <t>نمای مالی</t>
        </is>
      </c>
      <c r="G203" s="92" t="inlineStr">
        <is>
          <t>P-8B90FFB8</t>
        </is>
      </c>
      <c r="H203" s="92" t="inlineStr">
        <is>
          <t>سیدبابک ابراهیمی</t>
        </is>
      </c>
      <c r="I203" s="92" t="inlineStr">
        <is>
          <t>سیدبابک ابراهیمی</t>
        </is>
      </c>
      <c r="J203" s="92" t="inlineStr">
        <is>
          <t>NATIONAL_ID؛ هش 47E211F7</t>
        </is>
      </c>
      <c r="K203" s="92" t="inlineStr">
        <is>
          <t>عضو اصلی فعال</t>
        </is>
      </c>
      <c r="L203" s="92" t="inlineStr">
        <is>
          <t>عضو هیئت مدیره</t>
        </is>
      </c>
      <c r="M203" s="92" t="inlineStr">
        <is>
          <t>بله</t>
        </is>
      </c>
      <c r="N203" s="92" t="inlineStr">
        <is>
          <t>خیر</t>
        </is>
      </c>
      <c r="O203" s="92" t="inlineStr">
        <is>
          <t>بانک سپه</t>
        </is>
      </c>
      <c r="P203" s="92" t="inlineStr">
        <is>
          <t>ندارد (فقط نام)</t>
        </is>
      </c>
      <c r="Q203" s="92" t="inlineStr">
        <is>
          <t>سیدبابک ابراهیمی</t>
        </is>
      </c>
      <c r="R203" s="92" t="inlineStr">
        <is>
          <t>بانک سپه</t>
        </is>
      </c>
      <c r="S203" s="92" t="inlineStr">
        <is>
          <t>نام دارنده حقوقی</t>
        </is>
      </c>
      <c r="T203" s="92" t="inlineStr"/>
      <c r="U203" s="92" t="n">
        <v>5</v>
      </c>
      <c r="V203" s="92" t="inlineStr">
        <is>
          <t>نامشخص: تعداد کل اعلام شده در متن ثبت نشده</t>
        </is>
      </c>
      <c r="W203" s="92" t="inlineStr">
        <is>
          <t>SRC_VAMD_1404_001</t>
        </is>
      </c>
      <c r="X203" s="92" t="inlineStr">
        <is>
          <t>1404/10/30</t>
        </is>
      </c>
      <c r="Y203" s="92" t="inlineStr"/>
      <c r="Z203" s="92" t="inlineStr"/>
      <c r="AA203" s="92" t="inlineStr">
        <is>
          <t>BR Independence v41 ردیف 113</t>
        </is>
      </c>
    </row>
    <row r="204" ht="30" customHeight="1" s="76">
      <c r="A204" s="92" t="inlineStr">
        <is>
          <t>SM0201</t>
        </is>
      </c>
      <c r="B204" s="92" t="inlineStr">
        <is>
          <t>F23</t>
        </is>
      </c>
      <c r="C204" s="92" t="inlineStr">
        <is>
          <t>وامید</t>
        </is>
      </c>
      <c r="D204" s="92" t="inlineStr">
        <is>
          <t>1404/10/30</t>
        </is>
      </c>
      <c r="E204" s="92" t="inlineStr">
        <is>
          <t>FYE1404 (v41)؛ خیر (مقطع متفاوت)</t>
        </is>
      </c>
      <c r="F204" s="92" t="inlineStr">
        <is>
          <t>نمای مالی</t>
        </is>
      </c>
      <c r="G204" s="92" t="inlineStr">
        <is>
          <t>P-8312307B</t>
        </is>
      </c>
      <c r="H204" s="92" t="inlineStr">
        <is>
          <t>محمدعلی یزدان جو</t>
        </is>
      </c>
      <c r="I204" s="92" t="inlineStr">
        <is>
          <t>محمدعلی یزدان جو</t>
        </is>
      </c>
      <c r="J204" s="92" t="inlineStr">
        <is>
          <t>NATIONAL_ID؛ هش C50A0B2D</t>
        </is>
      </c>
      <c r="K204" s="92" t="inlineStr">
        <is>
          <t>عضو اصلی فعال</t>
        </is>
      </c>
      <c r="L204" s="92" t="inlineStr">
        <is>
          <t>نایب رئیس هیئت مدیره</t>
        </is>
      </c>
      <c r="M204" s="92" t="inlineStr">
        <is>
          <t>خیر</t>
        </is>
      </c>
      <c r="N204" s="92" t="inlineStr">
        <is>
          <t>خیر</t>
        </is>
      </c>
      <c r="O204" s="92" t="inlineStr">
        <is>
          <t>گروه مالی سپه</t>
        </is>
      </c>
      <c r="P204" s="92" t="inlineStr">
        <is>
          <t>ندارد (فقط نام)</t>
        </is>
      </c>
      <c r="Q204" s="92" t="inlineStr">
        <is>
          <t>محمدعلی یزدان جو</t>
        </is>
      </c>
      <c r="R204" s="92" t="inlineStr">
        <is>
          <t>گروه مالی سپه</t>
        </is>
      </c>
      <c r="S204" s="92" t="inlineStr">
        <is>
          <t>نام دارنده حقوقی</t>
        </is>
      </c>
      <c r="T204" s="92" t="inlineStr"/>
      <c r="U204" s="92" t="n">
        <v>5</v>
      </c>
      <c r="V204" s="92" t="inlineStr">
        <is>
          <t>نامشخص: تعداد کل اعلام شده در متن ثبت نشده</t>
        </is>
      </c>
      <c r="W204" s="92" t="inlineStr">
        <is>
          <t>SRC_VAMD_1404_001</t>
        </is>
      </c>
      <c r="X204" s="92" t="inlineStr">
        <is>
          <t>1404/10/30</t>
        </is>
      </c>
      <c r="Y204" s="92" t="inlineStr"/>
      <c r="Z204" s="92" t="inlineStr"/>
      <c r="AA204" s="92" t="inlineStr">
        <is>
          <t>BR Independence v41 ردیف 114</t>
        </is>
      </c>
    </row>
    <row r="205" ht="30" customHeight="1" s="76">
      <c r="A205" s="92" t="inlineStr">
        <is>
          <t>SM0202</t>
        </is>
      </c>
      <c r="B205" s="92" t="inlineStr">
        <is>
          <t>F23</t>
        </is>
      </c>
      <c r="C205" s="92" t="inlineStr">
        <is>
          <t>وامید</t>
        </is>
      </c>
      <c r="D205" s="92" t="inlineStr">
        <is>
          <t>1404/10/30</t>
        </is>
      </c>
      <c r="E205" s="92" t="inlineStr">
        <is>
          <t>FYE1404 (v41)؛ خیر (مقطع متفاوت)</t>
        </is>
      </c>
      <c r="F205" s="92" t="inlineStr">
        <is>
          <t>نمای مالی</t>
        </is>
      </c>
      <c r="G205" s="92" t="inlineStr">
        <is>
          <t>P-A4B3162C</t>
        </is>
      </c>
      <c r="H205" s="92" t="inlineStr">
        <is>
          <t>حامد دهقانان</t>
        </is>
      </c>
      <c r="I205" s="92" t="inlineStr">
        <is>
          <t>حامد دهقانان</t>
        </is>
      </c>
      <c r="J205" s="92" t="inlineStr">
        <is>
          <t>NATIONAL_ID؛ هش A2FCB00B</t>
        </is>
      </c>
      <c r="K205" s="92" t="inlineStr">
        <is>
          <t>عضو اصلی فعال</t>
        </is>
      </c>
      <c r="L205" s="92" t="inlineStr">
        <is>
          <t>عضو هیئت مدیره</t>
        </is>
      </c>
      <c r="M205" s="92" t="inlineStr">
        <is>
          <t>خیر</t>
        </is>
      </c>
      <c r="N205" s="92" t="inlineStr">
        <is>
          <t>خیر</t>
        </is>
      </c>
      <c r="O205" s="92" t="inlineStr">
        <is>
          <t>صندوق بازنشستگی وظیفه از کار افتادگی و پس انداز کارکنان بانکهای ملی و ادغام شده</t>
        </is>
      </c>
      <c r="P205" s="92" t="inlineStr">
        <is>
          <t>ندارد (فقط نام)</t>
        </is>
      </c>
      <c r="Q205" s="92" t="inlineStr">
        <is>
          <t>حامد دهقانان</t>
        </is>
      </c>
      <c r="R205" s="92" t="inlineStr">
        <is>
          <t>صندوق بازنشستگی وظیفه از کار افتادگی و پس انداز کارکنان بانکهای ملی و ادغام شده</t>
        </is>
      </c>
      <c r="S205" s="92" t="inlineStr">
        <is>
          <t>نام دارنده حقوقی</t>
        </is>
      </c>
      <c r="T205" s="92" t="inlineStr"/>
      <c r="U205" s="92" t="n">
        <v>5</v>
      </c>
      <c r="V205" s="92" t="inlineStr">
        <is>
          <t>نامشخص: تعداد کل اعلام شده در متن ثبت نشده</t>
        </is>
      </c>
      <c r="W205" s="92" t="inlineStr">
        <is>
          <t>SRC_VAMD_1404_001</t>
        </is>
      </c>
      <c r="X205" s="92" t="inlineStr">
        <is>
          <t>1404/10/30</t>
        </is>
      </c>
      <c r="Y205" s="92" t="inlineStr"/>
      <c r="Z205" s="92" t="inlineStr"/>
      <c r="AA205" s="92" t="inlineStr">
        <is>
          <t>BR Independence v41 ردیف 115</t>
        </is>
      </c>
    </row>
    <row r="206" ht="30" customHeight="1" s="76">
      <c r="A206" s="92" t="inlineStr">
        <is>
          <t>SM0203</t>
        </is>
      </c>
      <c r="B206" s="92" t="inlineStr">
        <is>
          <t>F23</t>
        </is>
      </c>
      <c r="C206" s="92" t="inlineStr">
        <is>
          <t>وامید</t>
        </is>
      </c>
      <c r="D206" s="92" t="inlineStr">
        <is>
          <t>1404/10/30</t>
        </is>
      </c>
      <c r="E206" s="92" t="inlineStr">
        <is>
          <t>FYE1404 (v41)؛ خیر (مقطع متفاوت)</t>
        </is>
      </c>
      <c r="F206" s="92" t="inlineStr">
        <is>
          <t>نمای مالی</t>
        </is>
      </c>
      <c r="G206" s="92" t="inlineStr">
        <is>
          <t>P-800E8DF9</t>
        </is>
      </c>
      <c r="H206" s="92" t="inlineStr">
        <is>
          <t>سیدمصطفی سیدهاشمی</t>
        </is>
      </c>
      <c r="I206" s="92" t="inlineStr">
        <is>
          <t>سیدمصطفی سیدهاشمی</t>
        </is>
      </c>
      <c r="J206" s="92" t="inlineStr">
        <is>
          <t>NATIONAL_ID؛ هش 4A21F36C</t>
        </is>
      </c>
      <c r="K206" s="92" t="inlineStr">
        <is>
          <t>عضو اصلی فعال</t>
        </is>
      </c>
      <c r="L206" s="92" t="inlineStr">
        <is>
          <t>رئیس هیئت مدیره</t>
        </is>
      </c>
      <c r="M206" s="92" t="inlineStr">
        <is>
          <t>خیر</t>
        </is>
      </c>
      <c r="N206" s="92" t="inlineStr">
        <is>
          <t>بله</t>
        </is>
      </c>
      <c r="O206" s="92" t="inlineStr">
        <is>
          <t>گروه خدمات کارکنان سپه نوین</t>
        </is>
      </c>
      <c r="P206" s="92" t="inlineStr">
        <is>
          <t>ندارد (فقط نام)</t>
        </is>
      </c>
      <c r="Q206" s="92" t="inlineStr">
        <is>
          <t>سیدمصطفی سیدهاشمی</t>
        </is>
      </c>
      <c r="R206" s="92" t="inlineStr">
        <is>
          <t>گروه خدمات کارکنان سپه نوین</t>
        </is>
      </c>
      <c r="S206" s="92" t="inlineStr">
        <is>
          <t>نام دارنده حقوقی</t>
        </is>
      </c>
      <c r="T206" s="92" t="inlineStr"/>
      <c r="U206" s="92" t="n">
        <v>5</v>
      </c>
      <c r="V206" s="92" t="inlineStr">
        <is>
          <t>نامشخص: تعداد کل اعلام شده در متن ثبت نشده</t>
        </is>
      </c>
      <c r="W206" s="92" t="inlineStr">
        <is>
          <t>SRC_VAMD_1404_001</t>
        </is>
      </c>
      <c r="X206" s="92" t="inlineStr">
        <is>
          <t>1404/10/30</t>
        </is>
      </c>
      <c r="Y206" s="92" t="inlineStr"/>
      <c r="Z206" s="92" t="inlineStr"/>
      <c r="AA206" s="92" t="inlineStr">
        <is>
          <t>BR Independence v41 ردیف 116</t>
        </is>
      </c>
    </row>
    <row r="207" ht="30" customHeight="1" s="76">
      <c r="A207" s="92" t="inlineStr">
        <is>
          <t>SM0204</t>
        </is>
      </c>
      <c r="B207" s="92" t="inlineStr">
        <is>
          <t>F23</t>
        </is>
      </c>
      <c r="C207" s="92" t="inlineStr">
        <is>
          <t>وامید</t>
        </is>
      </c>
      <c r="D207" s="92" t="inlineStr">
        <is>
          <t>1404/10/30</t>
        </is>
      </c>
      <c r="E207" s="92" t="inlineStr">
        <is>
          <t>FYE1404 (v41)؛ خیر (مقطع متفاوت)</t>
        </is>
      </c>
      <c r="F207" s="92" t="inlineStr">
        <is>
          <t>نمای مالی</t>
        </is>
      </c>
      <c r="G207" s="92" t="inlineStr">
        <is>
          <t>P-649D002B</t>
        </is>
      </c>
      <c r="H207" s="92" t="inlineStr">
        <is>
          <t>وحید خاشعی ورنامخواستی</t>
        </is>
      </c>
      <c r="I207" s="92" t="inlineStr">
        <is>
          <t>وحید خاشعی ورنامخواستی</t>
        </is>
      </c>
      <c r="J207" s="92" t="inlineStr">
        <is>
          <t>NATIONAL_ID؛ هش 92127CB4</t>
        </is>
      </c>
      <c r="K207" s="92" t="inlineStr">
        <is>
          <t>عضو اصلی فعال</t>
        </is>
      </c>
      <c r="L207" s="92" t="inlineStr">
        <is>
          <t>عضو هیئت مدیره</t>
        </is>
      </c>
      <c r="M207" s="92" t="inlineStr">
        <is>
          <t>خیر</t>
        </is>
      </c>
      <c r="N207" s="92" t="inlineStr">
        <is>
          <t>خیر</t>
        </is>
      </c>
      <c r="O207" s="92" t="inlineStr">
        <is>
          <t>توسعه کسب و کار مهستان</t>
        </is>
      </c>
      <c r="P207" s="92" t="inlineStr">
        <is>
          <t>ندارد (فقط نام)</t>
        </is>
      </c>
      <c r="Q207" s="92" t="inlineStr">
        <is>
          <t>وحید خاشعی ورنامخواستی</t>
        </is>
      </c>
      <c r="R207" s="92" t="inlineStr">
        <is>
          <t>توسعه کسب و کار مهستان</t>
        </is>
      </c>
      <c r="S207" s="92" t="inlineStr">
        <is>
          <t>نام دارنده حقوقی</t>
        </is>
      </c>
      <c r="T207" s="92" t="inlineStr"/>
      <c r="U207" s="92" t="n">
        <v>5</v>
      </c>
      <c r="V207" s="92" t="inlineStr">
        <is>
          <t>نامشخص: تعداد کل اعلام شده در متن ثبت نشده</t>
        </is>
      </c>
      <c r="W207" s="92" t="inlineStr">
        <is>
          <t>SRC_VAMD_1404_001</t>
        </is>
      </c>
      <c r="X207" s="92" t="inlineStr">
        <is>
          <t>1404/10/30</t>
        </is>
      </c>
      <c r="Y207" s="92" t="inlineStr"/>
      <c r="Z207" s="92" t="inlineStr"/>
      <c r="AA207" s="92" t="inlineStr">
        <is>
          <t>BR Independence v41 ردیف 117</t>
        </is>
      </c>
    </row>
    <row r="208" ht="30" customHeight="1" s="76">
      <c r="A208" s="92" t="inlineStr">
        <is>
          <t>SM0205</t>
        </is>
      </c>
      <c r="B208" s="92" t="inlineStr">
        <is>
          <t>F24</t>
        </is>
      </c>
      <c r="C208" s="92" t="inlineStr">
        <is>
          <t>خساپا</t>
        </is>
      </c>
      <c r="D208" s="92" t="inlineStr">
        <is>
          <t>1404/12/29</t>
        </is>
      </c>
      <c r="E208" s="92" t="inlineStr">
        <is>
          <t>FYE1404 (v41)؛ بله (مقطع یکسان با پایان مشترک؛ فهرست مبنا نیست)</t>
        </is>
      </c>
      <c r="F208" s="92" t="inlineStr">
        <is>
          <t>نمای مالی</t>
        </is>
      </c>
      <c r="G208" s="92" t="inlineStr">
        <is>
          <t>P-EA1F4570</t>
        </is>
      </c>
      <c r="H208" s="92" t="inlineStr">
        <is>
          <t>رحیم علیشاهی</t>
        </is>
      </c>
      <c r="I208" s="92" t="inlineStr">
        <is>
          <t>رحیم علیشاهی</t>
        </is>
      </c>
      <c r="J208" s="92" t="inlineStr">
        <is>
          <t>NATIONAL_ID؛ هش 94200F78</t>
        </is>
      </c>
      <c r="K208" s="92" t="inlineStr">
        <is>
          <t>عضو اصلی فعال</t>
        </is>
      </c>
      <c r="L208" s="92" t="inlineStr">
        <is>
          <t>عضو هیئت مدیره</t>
        </is>
      </c>
      <c r="M208" s="92" t="inlineStr">
        <is>
          <t>خیر</t>
        </is>
      </c>
      <c r="N208" s="92" t="inlineStr">
        <is>
          <t>خیر</t>
        </is>
      </c>
      <c r="O208" s="92" t="inlineStr">
        <is>
          <t>سرمایه گذاری گروه صنعتی رنا</t>
        </is>
      </c>
      <c r="P208" s="92" t="inlineStr">
        <is>
          <t>ندارد (فقط نام)</t>
        </is>
      </c>
      <c r="Q208" s="92" t="inlineStr">
        <is>
          <t>رحیم علیشاهی</t>
        </is>
      </c>
      <c r="R208" s="92" t="inlineStr">
        <is>
          <t>سرمایه گذاری گروه صنعتی رنا</t>
        </is>
      </c>
      <c r="S208" s="92" t="inlineStr">
        <is>
          <t>نام دارنده حقوقی</t>
        </is>
      </c>
      <c r="T208" s="92" t="inlineStr"/>
      <c r="U208" s="92" t="n">
        <v>5</v>
      </c>
      <c r="V208" s="92" t="inlineStr">
        <is>
          <t>نامشخص: تعداد کل اعلام شده در متن ثبت نشده</t>
        </is>
      </c>
      <c r="W208" s="92" t="inlineStr">
        <is>
          <t>SRC_KHSP_1404_001</t>
        </is>
      </c>
      <c r="X208" s="92" t="inlineStr">
        <is>
          <t>1404/12/29</t>
        </is>
      </c>
      <c r="Y208" s="92" t="inlineStr"/>
      <c r="Z208" s="92" t="inlineStr"/>
      <c r="AA208" s="92" t="inlineStr">
        <is>
          <t>BR Independence v41 ردیف 118</t>
        </is>
      </c>
    </row>
    <row r="209" ht="30" customHeight="1" s="76">
      <c r="A209" s="92" t="inlineStr">
        <is>
          <t>SM0206</t>
        </is>
      </c>
      <c r="B209" s="92" t="inlineStr">
        <is>
          <t>F24</t>
        </is>
      </c>
      <c r="C209" s="92" t="inlineStr">
        <is>
          <t>خساپا</t>
        </is>
      </c>
      <c r="D209" s="92" t="inlineStr">
        <is>
          <t>1404/12/29</t>
        </is>
      </c>
      <c r="E209" s="92" t="inlineStr">
        <is>
          <t>FYE1404 (v41)؛ بله (مقطع یکسان با پایان مشترک؛ فهرست مبنا نیست)</t>
        </is>
      </c>
      <c r="F209" s="92" t="inlineStr">
        <is>
          <t>نمای مالی</t>
        </is>
      </c>
      <c r="G209" s="92" t="inlineStr">
        <is>
          <t>P-48E12B91</t>
        </is>
      </c>
      <c r="H209" s="92" t="inlineStr">
        <is>
          <t>علی شیخ زاده</t>
        </is>
      </c>
      <c r="I209" s="92" t="inlineStr">
        <is>
          <t>علی شیخ زاده</t>
        </is>
      </c>
      <c r="J209" s="92" t="inlineStr">
        <is>
          <t>NATIONAL_ID؛ هش D34AB942</t>
        </is>
      </c>
      <c r="K209" s="92" t="inlineStr">
        <is>
          <t>عضو اصلی فعال</t>
        </is>
      </c>
      <c r="L209" s="92" t="inlineStr">
        <is>
          <t>نایب رئیس هیئت مدیره</t>
        </is>
      </c>
      <c r="M209" s="92" t="inlineStr">
        <is>
          <t>بله</t>
        </is>
      </c>
      <c r="N209" s="92" t="inlineStr">
        <is>
          <t>خیر</t>
        </is>
      </c>
      <c r="O209" s="92" t="inlineStr">
        <is>
          <t>گروه سرمایه گذاری کارکنان سایپا</t>
        </is>
      </c>
      <c r="P209" s="92" t="inlineStr">
        <is>
          <t>ندارد (فقط نام)</t>
        </is>
      </c>
      <c r="Q209" s="92" t="inlineStr">
        <is>
          <t>علی شیخ زاده</t>
        </is>
      </c>
      <c r="R209" s="92" t="inlineStr">
        <is>
          <t>گروه سرمایه گذاری کارکنان سایپا</t>
        </is>
      </c>
      <c r="S209" s="92" t="inlineStr">
        <is>
          <t>نام دارنده حقوقی</t>
        </is>
      </c>
      <c r="T209" s="92" t="inlineStr"/>
      <c r="U209" s="92" t="n">
        <v>5</v>
      </c>
      <c r="V209" s="92" t="inlineStr">
        <is>
          <t>نامشخص: تعداد کل اعلام شده در متن ثبت نشده</t>
        </is>
      </c>
      <c r="W209" s="92" t="inlineStr">
        <is>
          <t>SRC_KHSP_1404_001</t>
        </is>
      </c>
      <c r="X209" s="92" t="inlineStr">
        <is>
          <t>1404/12/29</t>
        </is>
      </c>
      <c r="Y209" s="92" t="inlineStr"/>
      <c r="Z209" s="92" t="inlineStr"/>
      <c r="AA209" s="92" t="inlineStr">
        <is>
          <t>BR Independence v41 ردیف 119</t>
        </is>
      </c>
    </row>
    <row r="210" ht="30" customHeight="1" s="76">
      <c r="A210" s="92" t="inlineStr">
        <is>
          <t>SM0207</t>
        </is>
      </c>
      <c r="B210" s="92" t="inlineStr">
        <is>
          <t>F24</t>
        </is>
      </c>
      <c r="C210" s="92" t="inlineStr">
        <is>
          <t>خساپا</t>
        </is>
      </c>
      <c r="D210" s="92" t="inlineStr">
        <is>
          <t>1404/12/29</t>
        </is>
      </c>
      <c r="E210" s="92" t="inlineStr">
        <is>
          <t>FYE1404 (v41)؛ بله (مقطع یکسان با پایان مشترک؛ فهرست مبنا نیست)</t>
        </is>
      </c>
      <c r="F210" s="92" t="inlineStr">
        <is>
          <t>نمای مالی</t>
        </is>
      </c>
      <c r="G210" s="92" t="inlineStr">
        <is>
          <t>P-73F3BD4A</t>
        </is>
      </c>
      <c r="H210" s="92" t="inlineStr">
        <is>
          <t>مجید بهرامی</t>
        </is>
      </c>
      <c r="I210" s="92" t="inlineStr">
        <is>
          <t>مجید بهرامی</t>
        </is>
      </c>
      <c r="J210" s="92" t="inlineStr">
        <is>
          <t>NATIONAL_ID؛ هش 30470B5F</t>
        </is>
      </c>
      <c r="K210" s="92" t="inlineStr">
        <is>
          <t>عضو اصلی فعال</t>
        </is>
      </c>
      <c r="L210" s="92" t="inlineStr">
        <is>
          <t>عضو هیئت مدیره</t>
        </is>
      </c>
      <c r="M210" s="92" t="inlineStr">
        <is>
          <t>خیر</t>
        </is>
      </c>
      <c r="N210" s="92" t="inlineStr">
        <is>
          <t>خیر</t>
        </is>
      </c>
      <c r="O210" s="92" t="inlineStr">
        <is>
          <t>صندوق حمایت وبازنشستگی کارکنان فولاد</t>
        </is>
      </c>
      <c r="P210" s="92" t="inlineStr">
        <is>
          <t>ندارد (فقط نام)</t>
        </is>
      </c>
      <c r="Q210" s="92" t="inlineStr">
        <is>
          <t>مجید بهرامی</t>
        </is>
      </c>
      <c r="R210" s="92" t="inlineStr">
        <is>
          <t>صندوق حمایت وبازنشستگی کارکنان فولاد</t>
        </is>
      </c>
      <c r="S210" s="92" t="inlineStr">
        <is>
          <t>نام دارنده حقوقی</t>
        </is>
      </c>
      <c r="T210" s="92" t="inlineStr"/>
      <c r="U210" s="92" t="n">
        <v>5</v>
      </c>
      <c r="V210" s="92" t="inlineStr">
        <is>
          <t>نامشخص: تعداد کل اعلام شده در متن ثبت نشده</t>
        </is>
      </c>
      <c r="W210" s="92" t="inlineStr">
        <is>
          <t>SRC_KHSP_1404_001</t>
        </is>
      </c>
      <c r="X210" s="92" t="inlineStr">
        <is>
          <t>1404/12/29</t>
        </is>
      </c>
      <c r="Y210" s="92" t="inlineStr"/>
      <c r="Z210" s="92" t="inlineStr"/>
      <c r="AA210" s="92" t="inlineStr">
        <is>
          <t>BR Independence v41 ردیف 120</t>
        </is>
      </c>
    </row>
    <row r="211" ht="30" customHeight="1" s="76">
      <c r="A211" s="92" t="inlineStr">
        <is>
          <t>SM0208</t>
        </is>
      </c>
      <c r="B211" s="92" t="inlineStr">
        <is>
          <t>F24</t>
        </is>
      </c>
      <c r="C211" s="92" t="inlineStr">
        <is>
          <t>خساپا</t>
        </is>
      </c>
      <c r="D211" s="92" t="inlineStr">
        <is>
          <t>1404/12/29</t>
        </is>
      </c>
      <c r="E211" s="92" t="inlineStr">
        <is>
          <t>FYE1404 (v41)؛ بله (مقطع یکسان با پایان مشترک؛ فهرست مبنا نیست)</t>
        </is>
      </c>
      <c r="F211" s="92" t="inlineStr">
        <is>
          <t>نمای مالی</t>
        </is>
      </c>
      <c r="G211" s="92" t="inlineStr">
        <is>
          <t>P-2020B14C</t>
        </is>
      </c>
      <c r="H211" s="92" t="inlineStr">
        <is>
          <t>مهدی رادمنش</t>
        </is>
      </c>
      <c r="I211" s="92" t="inlineStr">
        <is>
          <t>مهدی رادمنش</t>
        </is>
      </c>
      <c r="J211" s="92" t="inlineStr">
        <is>
          <t>NATIONAL_ID؛ هش C5A10052</t>
        </is>
      </c>
      <c r="K211" s="92" t="inlineStr">
        <is>
          <t>عضو اصلی فعال</t>
        </is>
      </c>
      <c r="L211" s="92" t="inlineStr">
        <is>
          <t>عضو هیئت مدیره</t>
        </is>
      </c>
      <c r="M211" s="92" t="inlineStr">
        <is>
          <t>خیر</t>
        </is>
      </c>
      <c r="N211" s="92" t="inlineStr">
        <is>
          <t>خیر</t>
        </is>
      </c>
      <c r="O211" s="92" t="inlineStr">
        <is>
          <t>توسعه سرمایه رادین</t>
        </is>
      </c>
      <c r="P211" s="92" t="inlineStr">
        <is>
          <t>ندارد (فقط نام)</t>
        </is>
      </c>
      <c r="Q211" s="92" t="inlineStr">
        <is>
          <t>مهدی رادمنش</t>
        </is>
      </c>
      <c r="R211" s="92" t="inlineStr">
        <is>
          <t>توسعه سرمایه رادین</t>
        </is>
      </c>
      <c r="S211" s="92" t="inlineStr">
        <is>
          <t>نام دارنده حقوقی</t>
        </is>
      </c>
      <c r="T211" s="92" t="inlineStr"/>
      <c r="U211" s="92" t="n">
        <v>5</v>
      </c>
      <c r="V211" s="92" t="inlineStr">
        <is>
          <t>نامشخص: تعداد کل اعلام شده در متن ثبت نشده</t>
        </is>
      </c>
      <c r="W211" s="92" t="inlineStr">
        <is>
          <t>SRC_KHSP_1404_001</t>
        </is>
      </c>
      <c r="X211" s="92" t="inlineStr">
        <is>
          <t>1404/12/29</t>
        </is>
      </c>
      <c r="Y211" s="92" t="inlineStr"/>
      <c r="Z211" s="92" t="inlineStr"/>
      <c r="AA211" s="92" t="inlineStr">
        <is>
          <t>BR Independence v41 ردیف 121</t>
        </is>
      </c>
    </row>
    <row r="212" ht="30" customHeight="1" s="76">
      <c r="A212" s="92" t="inlineStr">
        <is>
          <t>SM0209</t>
        </is>
      </c>
      <c r="B212" s="92" t="inlineStr">
        <is>
          <t>F24</t>
        </is>
      </c>
      <c r="C212" s="92" t="inlineStr">
        <is>
          <t>خساپا</t>
        </is>
      </c>
      <c r="D212" s="92" t="inlineStr">
        <is>
          <t>1404/12/29</t>
        </is>
      </c>
      <c r="E212" s="92" t="inlineStr">
        <is>
          <t>FYE1404 (v41)؛ بله (مقطع یکسان با پایان مشترک؛ فهرست مبنا نیست)</t>
        </is>
      </c>
      <c r="F212" s="92" t="inlineStr">
        <is>
          <t>نمای مالی</t>
        </is>
      </c>
      <c r="G212" s="92" t="inlineStr">
        <is>
          <t>P-729F47F7</t>
        </is>
      </c>
      <c r="H212" s="92" t="inlineStr">
        <is>
          <t>کورش پرویزیان</t>
        </is>
      </c>
      <c r="I212" s="92" t="inlineStr">
        <is>
          <t>کورش پرویزیان</t>
        </is>
      </c>
      <c r="J212" s="92" t="inlineStr">
        <is>
          <t>NATIONAL_ID؛ هش 94F11CA2</t>
        </is>
      </c>
      <c r="K212" s="92" t="inlineStr">
        <is>
          <t>عضو اصلی فعال</t>
        </is>
      </c>
      <c r="L212" s="92" t="inlineStr">
        <is>
          <t>رئیس هیئت مدیره</t>
        </is>
      </c>
      <c r="M212" s="92" t="inlineStr">
        <is>
          <t>خیر</t>
        </is>
      </c>
      <c r="N212" s="92" t="inlineStr">
        <is>
          <t>بله</t>
        </is>
      </c>
      <c r="O212" s="92" t="inlineStr">
        <is>
          <t>سازمان مدیریت صنعتی</t>
        </is>
      </c>
      <c r="P212" s="92" t="inlineStr">
        <is>
          <t>ندارد (فقط نام)</t>
        </is>
      </c>
      <c r="Q212" s="92" t="inlineStr">
        <is>
          <t>کورش پرویزیان</t>
        </is>
      </c>
      <c r="R212" s="92" t="inlineStr">
        <is>
          <t>سازمان مدیریت صنعتی</t>
        </is>
      </c>
      <c r="S212" s="92" t="inlineStr">
        <is>
          <t>نام دارنده حقوقی</t>
        </is>
      </c>
      <c r="T212" s="92" t="inlineStr"/>
      <c r="U212" s="92" t="n">
        <v>5</v>
      </c>
      <c r="V212" s="92" t="inlineStr">
        <is>
          <t>نامشخص: تعداد کل اعلام شده در متن ثبت نشده</t>
        </is>
      </c>
      <c r="W212" s="92" t="inlineStr">
        <is>
          <t>SRC_KHSP_1404_001</t>
        </is>
      </c>
      <c r="X212" s="92" t="inlineStr">
        <is>
          <t>1404/12/29</t>
        </is>
      </c>
      <c r="Y212" s="92" t="inlineStr"/>
      <c r="Z212" s="92" t="inlineStr"/>
      <c r="AA212" s="92" t="inlineStr">
        <is>
          <t>BR Independence v41 ردیف 122</t>
        </is>
      </c>
    </row>
    <row r="213" ht="30" customHeight="1" s="76">
      <c r="A213" s="92" t="inlineStr">
        <is>
          <t>SM0210</t>
        </is>
      </c>
      <c r="B213" s="92" t="inlineStr">
        <is>
          <t>F25</t>
        </is>
      </c>
      <c r="C213" s="92" t="inlineStr">
        <is>
          <t>همراه</t>
        </is>
      </c>
      <c r="D213" s="92" t="inlineStr">
        <is>
          <t>1404/12/29</t>
        </is>
      </c>
      <c r="E213" s="92" t="inlineStr">
        <is>
          <t>FYE1404 (v41)؛ بله (مقطع یکسان با پایان مشترک؛ فهرست مبنا نیست)</t>
        </is>
      </c>
      <c r="F213" s="92" t="inlineStr">
        <is>
          <t>نمای مالی</t>
        </is>
      </c>
      <c r="G213" s="92" t="inlineStr">
        <is>
          <t>P-49165FDB</t>
        </is>
      </c>
      <c r="H213" s="92" t="inlineStr">
        <is>
          <t>حجت اله نیکی ملکی</t>
        </is>
      </c>
      <c r="I213" s="92" t="inlineStr">
        <is>
          <t>حجت اله نیکی ملکی</t>
        </is>
      </c>
      <c r="J213" s="92" t="inlineStr">
        <is>
          <t>NATIONAL_ID؛ هش 7F7B4C89</t>
        </is>
      </c>
      <c r="K213" s="92" t="inlineStr">
        <is>
          <t>عضو اصلی فعال</t>
        </is>
      </c>
      <c r="L213" s="92" t="inlineStr">
        <is>
          <t>عضو هیئت مدیره</t>
        </is>
      </c>
      <c r="M213" s="92" t="inlineStr">
        <is>
          <t>خیر</t>
        </is>
      </c>
      <c r="N213" s="92" t="inlineStr">
        <is>
          <t>خیر</t>
        </is>
      </c>
      <c r="O213" s="92" t="inlineStr">
        <is>
          <t>مخابرات ایران</t>
        </is>
      </c>
      <c r="P213" s="92" t="inlineStr">
        <is>
          <t>ندارد (فقط نام)</t>
        </is>
      </c>
      <c r="Q213" s="92" t="inlineStr">
        <is>
          <t>حجت اله نیکی ملکی</t>
        </is>
      </c>
      <c r="R213" s="92" t="inlineStr">
        <is>
          <t>مخابرات ایران</t>
        </is>
      </c>
      <c r="S213" s="92" t="inlineStr">
        <is>
          <t>نام دارنده حقوقی</t>
        </is>
      </c>
      <c r="T213" s="92" t="inlineStr"/>
      <c r="U213" s="92" t="n">
        <v>5</v>
      </c>
      <c r="V213" s="92" t="inlineStr">
        <is>
          <t>نامشخص: تعداد کل اعلام شده در متن ثبت نشده</t>
        </is>
      </c>
      <c r="W213" s="92" t="inlineStr">
        <is>
          <t>SRC_HMRH_1404_001</t>
        </is>
      </c>
      <c r="X213" s="92" t="inlineStr">
        <is>
          <t>1404/12/29</t>
        </is>
      </c>
      <c r="Y213" s="92" t="inlineStr"/>
      <c r="Z213" s="92" t="inlineStr"/>
      <c r="AA213" s="92" t="inlineStr">
        <is>
          <t>BR Independence v41 ردیف 123</t>
        </is>
      </c>
    </row>
    <row r="214" ht="30" customHeight="1" s="76">
      <c r="A214" s="92" t="inlineStr">
        <is>
          <t>SM0211</t>
        </is>
      </c>
      <c r="B214" s="92" t="inlineStr">
        <is>
          <t>F25</t>
        </is>
      </c>
      <c r="C214" s="92" t="inlineStr">
        <is>
          <t>همراه</t>
        </is>
      </c>
      <c r="D214" s="92" t="inlineStr">
        <is>
          <t>1404/12/29</t>
        </is>
      </c>
      <c r="E214" s="92" t="inlineStr">
        <is>
          <t>FYE1404 (v41)؛ بله (مقطع یکسان با پایان مشترک؛ فهرست مبنا نیست)</t>
        </is>
      </c>
      <c r="F214" s="92" t="inlineStr">
        <is>
          <t>نمای مالی</t>
        </is>
      </c>
      <c r="G214" s="92" t="inlineStr">
        <is>
          <t>P-5362B087</t>
        </is>
      </c>
      <c r="H214" s="92" t="inlineStr">
        <is>
          <t>محمد پیری</t>
        </is>
      </c>
      <c r="I214" s="92" t="inlineStr">
        <is>
          <t>محمد پیری</t>
        </is>
      </c>
      <c r="J214" s="92" t="inlineStr">
        <is>
          <t>NATIONAL_ID؛ هش 08FE9E94</t>
        </is>
      </c>
      <c r="K214" s="92" t="inlineStr">
        <is>
          <t>عضو اصلی فعال</t>
        </is>
      </c>
      <c r="L214" s="92" t="inlineStr">
        <is>
          <t>نایب رئیس هیئت مدیره</t>
        </is>
      </c>
      <c r="M214" s="92" t="inlineStr">
        <is>
          <t>خیر</t>
        </is>
      </c>
      <c r="N214" s="92" t="inlineStr">
        <is>
          <t>خیر</t>
        </is>
      </c>
      <c r="O214" s="92" t="inlineStr">
        <is>
          <t>سرمایه گذاری مهر اقتصاد مبین</t>
        </is>
      </c>
      <c r="P214" s="92" t="inlineStr">
        <is>
          <t>ندارد (فقط نام)</t>
        </is>
      </c>
      <c r="Q214" s="92" t="inlineStr">
        <is>
          <t>محمد پیری</t>
        </is>
      </c>
      <c r="R214" s="92" t="inlineStr">
        <is>
          <t>سرمایه گذاری مهر اقتصاد مبین</t>
        </is>
      </c>
      <c r="S214" s="92" t="inlineStr">
        <is>
          <t>نام دارنده حقوقی</t>
        </is>
      </c>
      <c r="T214" s="92" t="inlineStr"/>
      <c r="U214" s="92" t="n">
        <v>5</v>
      </c>
      <c r="V214" s="92" t="inlineStr">
        <is>
          <t>نامشخص: تعداد کل اعلام شده در متن ثبت نشده</t>
        </is>
      </c>
      <c r="W214" s="92" t="inlineStr">
        <is>
          <t>SRC_HMRH_1404_001</t>
        </is>
      </c>
      <c r="X214" s="92" t="inlineStr">
        <is>
          <t>1404/12/29</t>
        </is>
      </c>
      <c r="Y214" s="92" t="inlineStr"/>
      <c r="Z214" s="92" t="inlineStr"/>
      <c r="AA214" s="92" t="inlineStr">
        <is>
          <t>BR Independence v41 ردیف 124</t>
        </is>
      </c>
    </row>
    <row r="215" ht="30" customHeight="1" s="76">
      <c r="A215" s="92" t="inlineStr">
        <is>
          <t>SM0212</t>
        </is>
      </c>
      <c r="B215" s="92" t="inlineStr">
        <is>
          <t>F25</t>
        </is>
      </c>
      <c r="C215" s="92" t="inlineStr">
        <is>
          <t>همراه</t>
        </is>
      </c>
      <c r="D215" s="92" t="inlineStr">
        <is>
          <t>1404/12/29</t>
        </is>
      </c>
      <c r="E215" s="92" t="inlineStr">
        <is>
          <t>FYE1404 (v41)؛ بله (مقطع یکسان با پایان مشترک؛ فهرست مبنا نیست)</t>
        </is>
      </c>
      <c r="F215" s="92" t="inlineStr">
        <is>
          <t>نمای مالی</t>
        </is>
      </c>
      <c r="G215" s="92" t="inlineStr">
        <is>
          <t>P-D596CC82</t>
        </is>
      </c>
      <c r="H215" s="92" t="inlineStr">
        <is>
          <t>علی بقائی</t>
        </is>
      </c>
      <c r="I215" s="92" t="inlineStr">
        <is>
          <t>علی بقائی</t>
        </is>
      </c>
      <c r="J215" s="92" t="inlineStr">
        <is>
          <t>NATIONAL_ID؛ هش CB2524F6</t>
        </is>
      </c>
      <c r="K215" s="92" t="inlineStr">
        <is>
          <t>عضو اصلی فعال</t>
        </is>
      </c>
      <c r="L215" s="92" t="inlineStr">
        <is>
          <t>رئیس هیئت مدیره</t>
        </is>
      </c>
      <c r="M215" s="92" t="inlineStr">
        <is>
          <t>خیر</t>
        </is>
      </c>
      <c r="N215" s="92" t="inlineStr">
        <is>
          <t>بله</t>
        </is>
      </c>
      <c r="O215" s="92" t="inlineStr">
        <is>
          <t>گسترش الکترونیک تدبیر ایران</t>
        </is>
      </c>
      <c r="P215" s="92" t="inlineStr">
        <is>
          <t>ندارد (فقط نام)</t>
        </is>
      </c>
      <c r="Q215" s="92" t="inlineStr">
        <is>
          <t>علی بقائی</t>
        </is>
      </c>
      <c r="R215" s="92" t="inlineStr">
        <is>
          <t>گسترش الکترونیک تدبیر ایران</t>
        </is>
      </c>
      <c r="S215" s="92" t="inlineStr">
        <is>
          <t>نام دارنده حقوقی</t>
        </is>
      </c>
      <c r="T215" s="92" t="inlineStr"/>
      <c r="U215" s="92" t="n">
        <v>5</v>
      </c>
      <c r="V215" s="92" t="inlineStr">
        <is>
          <t>نامشخص: تعداد کل اعلام شده در متن ثبت نشده</t>
        </is>
      </c>
      <c r="W215" s="92" t="inlineStr">
        <is>
          <t>SRC_HMRH_1404_001</t>
        </is>
      </c>
      <c r="X215" s="92" t="inlineStr">
        <is>
          <t>1404/12/29</t>
        </is>
      </c>
      <c r="Y215" s="92" t="inlineStr"/>
      <c r="Z215" s="92" t="inlineStr"/>
      <c r="AA215" s="92" t="inlineStr">
        <is>
          <t>BR Independence v41 ردیف 125</t>
        </is>
      </c>
    </row>
    <row r="216" ht="30" customHeight="1" s="76">
      <c r="A216" s="92" t="inlineStr">
        <is>
          <t>SM0213</t>
        </is>
      </c>
      <c r="B216" s="92" t="inlineStr">
        <is>
          <t>F25</t>
        </is>
      </c>
      <c r="C216" s="92" t="inlineStr">
        <is>
          <t>همراه</t>
        </is>
      </c>
      <c r="D216" s="92" t="inlineStr">
        <is>
          <t>1404/12/29</t>
        </is>
      </c>
      <c r="E216" s="92" t="inlineStr">
        <is>
          <t>FYE1404 (v41)؛ بله (مقطع یکسان با پایان مشترک؛ فهرست مبنا نیست)</t>
        </is>
      </c>
      <c r="F216" s="92" t="inlineStr">
        <is>
          <t>نمای مالی</t>
        </is>
      </c>
      <c r="G216" s="92" t="inlineStr">
        <is>
          <t>P-5ACF5317</t>
        </is>
      </c>
      <c r="H216" s="92" t="inlineStr">
        <is>
          <t>حسین میرزاپور</t>
        </is>
      </c>
      <c r="I216" s="92" t="inlineStr">
        <is>
          <t>حسین میرزاپور</t>
        </is>
      </c>
      <c r="J216" s="92" t="inlineStr">
        <is>
          <t>NATIONAL_ID؛ هش 8156C121</t>
        </is>
      </c>
      <c r="K216" s="92" t="inlineStr">
        <is>
          <t>عضو اصلی فعال</t>
        </is>
      </c>
      <c r="L216" s="92" t="inlineStr">
        <is>
          <t>عضو هیئت مدیره</t>
        </is>
      </c>
      <c r="M216" s="92" t="inlineStr">
        <is>
          <t>خیر</t>
        </is>
      </c>
      <c r="N216" s="92" t="inlineStr">
        <is>
          <t>خیر</t>
        </is>
      </c>
      <c r="O216" s="92" t="inlineStr">
        <is>
          <t>گسترش خدمات ارتباطات کارا شاب</t>
        </is>
      </c>
      <c r="P216" s="92" t="inlineStr">
        <is>
          <t>ندارد (فقط نام)</t>
        </is>
      </c>
      <c r="Q216" s="92" t="inlineStr">
        <is>
          <t>حسین میرزاپور</t>
        </is>
      </c>
      <c r="R216" s="92" t="inlineStr">
        <is>
          <t>گسترش خدمات ارتباطات کارا شاب</t>
        </is>
      </c>
      <c r="S216" s="92" t="inlineStr">
        <is>
          <t>نام دارنده حقوقی</t>
        </is>
      </c>
      <c r="T216" s="92" t="inlineStr"/>
      <c r="U216" s="92" t="n">
        <v>5</v>
      </c>
      <c r="V216" s="92" t="inlineStr">
        <is>
          <t>نامشخص: تعداد کل اعلام شده در متن ثبت نشده</t>
        </is>
      </c>
      <c r="W216" s="92" t="inlineStr">
        <is>
          <t>SRC_HMRH_1404_001</t>
        </is>
      </c>
      <c r="X216" s="92" t="inlineStr">
        <is>
          <t>1404/12/29</t>
        </is>
      </c>
      <c r="Y216" s="92" t="inlineStr"/>
      <c r="Z216" s="92" t="inlineStr"/>
      <c r="AA216" s="92" t="inlineStr">
        <is>
          <t>BR Independence v41 ردیف 126</t>
        </is>
      </c>
    </row>
    <row r="217" ht="30" customHeight="1" s="76">
      <c r="A217" s="92" t="inlineStr">
        <is>
          <t>SM0214</t>
        </is>
      </c>
      <c r="B217" s="92" t="inlineStr">
        <is>
          <t>F25</t>
        </is>
      </c>
      <c r="C217" s="92" t="inlineStr">
        <is>
          <t>همراه</t>
        </is>
      </c>
      <c r="D217" s="92" t="inlineStr">
        <is>
          <t>1404/12/29</t>
        </is>
      </c>
      <c r="E217" s="92" t="inlineStr">
        <is>
          <t>FYE1404 (v41)؛ بله (مقطع یکسان با پایان مشترک؛ فهرست مبنا نیست)</t>
        </is>
      </c>
      <c r="F217" s="92" t="inlineStr">
        <is>
          <t>نمای مالی</t>
        </is>
      </c>
      <c r="G217" s="92" t="inlineStr">
        <is>
          <t>P-2E4ED336</t>
        </is>
      </c>
      <c r="H217" s="92" t="inlineStr">
        <is>
          <t>مهدی اخوان بهابادی</t>
        </is>
      </c>
      <c r="I217" s="92" t="inlineStr">
        <is>
          <t>مهدی اخوان بهابادی</t>
        </is>
      </c>
      <c r="J217" s="92" t="inlineStr">
        <is>
          <t>NATIONAL_ID؛ هش 68AE5E04</t>
        </is>
      </c>
      <c r="K217" s="92" t="inlineStr">
        <is>
          <t>عضو اصلی فعال</t>
        </is>
      </c>
      <c r="L217" s="92" t="inlineStr">
        <is>
          <t>عضو هیئت مدیره</t>
        </is>
      </c>
      <c r="M217" s="92" t="inlineStr">
        <is>
          <t>بله</t>
        </is>
      </c>
      <c r="N217" s="92" t="inlineStr">
        <is>
          <t>خیر</t>
        </is>
      </c>
      <c r="O217" s="92" t="inlineStr">
        <is>
          <t>مدیریت سامان سازه غدیر</t>
        </is>
      </c>
      <c r="P217" s="92" t="inlineStr">
        <is>
          <t>ندارد (فقط نام)</t>
        </is>
      </c>
      <c r="Q217" s="92" t="inlineStr">
        <is>
          <t>مهدی اخوان بهابادی</t>
        </is>
      </c>
      <c r="R217" s="92" t="inlineStr">
        <is>
          <t>مدیریت سامان سازه غدیر</t>
        </is>
      </c>
      <c r="S217" s="92" t="inlineStr">
        <is>
          <t>نام دارنده حقوقی</t>
        </is>
      </c>
      <c r="T217" s="92" t="inlineStr"/>
      <c r="U217" s="92" t="n">
        <v>5</v>
      </c>
      <c r="V217" s="92" t="inlineStr">
        <is>
          <t>نامشخص: تعداد کل اعلام شده در متن ثبت نشده</t>
        </is>
      </c>
      <c r="W217" s="92" t="inlineStr">
        <is>
          <t>SRC_HMRH_1404_001</t>
        </is>
      </c>
      <c r="X217" s="92" t="inlineStr">
        <is>
          <t>1404/12/29</t>
        </is>
      </c>
      <c r="Y217" s="92" t="inlineStr"/>
      <c r="Z217" s="92" t="inlineStr"/>
      <c r="AA217" s="92" t="inlineStr">
        <is>
          <t>BR Independence v41 ردیف 127</t>
        </is>
      </c>
    </row>
    <row r="218" ht="30" customHeight="1" s="76">
      <c r="A218" s="92" t="inlineStr">
        <is>
          <t>SM0215</t>
        </is>
      </c>
      <c r="B218" s="92" t="inlineStr">
        <is>
          <t>F26</t>
        </is>
      </c>
      <c r="C218" s="92" t="inlineStr">
        <is>
          <t>وبملت</t>
        </is>
      </c>
      <c r="D218" s="92" t="inlineStr">
        <is>
          <t>1404/12/29</t>
        </is>
      </c>
      <c r="E218" s="92" t="inlineStr">
        <is>
          <t>FYE1404 (v41)؛ بله (مقطع یکسان با پایان مشترک؛ فهرست مبنا نیست)</t>
        </is>
      </c>
      <c r="F218" s="92" t="inlineStr">
        <is>
          <t>نمای مالی</t>
        </is>
      </c>
      <c r="G218" s="92" t="inlineStr">
        <is>
          <t>P-6A7A31EC</t>
        </is>
      </c>
      <c r="H218" s="92" t="inlineStr">
        <is>
          <t>سیدکاظم چاوشی</t>
        </is>
      </c>
      <c r="I218" s="92" t="inlineStr">
        <is>
          <t>سیدکاظم چاوشی</t>
        </is>
      </c>
      <c r="J218" s="92" t="inlineStr">
        <is>
          <t>NATIONAL_ID؛ هش EBBC2CBB</t>
        </is>
      </c>
      <c r="K218" s="92" t="inlineStr">
        <is>
          <t>عضو اصلی فعال</t>
        </is>
      </c>
      <c r="L218" s="92" t="inlineStr">
        <is>
          <t>نایب رئیس هیئت مدیره</t>
        </is>
      </c>
      <c r="M218" s="92" t="inlineStr">
        <is>
          <t>خیر</t>
        </is>
      </c>
      <c r="N218" s="92" t="inlineStr">
        <is>
          <t>خیر</t>
        </is>
      </c>
      <c r="O218" s="92" t="inlineStr"/>
      <c r="P218" s="92" t="inlineStr">
        <is>
          <t>ندارد (فقط نام)</t>
        </is>
      </c>
      <c r="Q218" s="92" t="inlineStr"/>
      <c r="R218" s="92" t="inlineStr"/>
      <c r="S218" s="92" t="inlineStr">
        <is>
          <t>عضو حقیقی مستقیم؛ بدون تطبیق کرسی</t>
        </is>
      </c>
      <c r="T218" s="92" t="inlineStr"/>
      <c r="U218" s="92" t="n">
        <v>5</v>
      </c>
      <c r="V218" s="92" t="inlineStr">
        <is>
          <t>نامشخص: تعداد کل اعلام شده در متن ثبت نشده</t>
        </is>
      </c>
      <c r="W218" s="92" t="inlineStr">
        <is>
          <t>SRC_MELT_1404_002</t>
        </is>
      </c>
      <c r="X218" s="92" t="inlineStr">
        <is>
          <t>1404/12/29</t>
        </is>
      </c>
      <c r="Y218" s="92" t="inlineStr"/>
      <c r="Z218" s="92" t="inlineStr"/>
      <c r="AA218" s="92" t="inlineStr">
        <is>
          <t>BR Independence v41 ردیف 128</t>
        </is>
      </c>
    </row>
    <row r="219" ht="30" customHeight="1" s="76">
      <c r="A219" s="92" t="inlineStr">
        <is>
          <t>SM0216</t>
        </is>
      </c>
      <c r="B219" s="92" t="inlineStr">
        <is>
          <t>F26</t>
        </is>
      </c>
      <c r="C219" s="92" t="inlineStr">
        <is>
          <t>وبملت</t>
        </is>
      </c>
      <c r="D219" s="92" t="inlineStr">
        <is>
          <t>1404/12/29</t>
        </is>
      </c>
      <c r="E219" s="92" t="inlineStr">
        <is>
          <t>FYE1404 (v41)؛ بله (مقطع یکسان با پایان مشترک؛ فهرست مبنا نیست)</t>
        </is>
      </c>
      <c r="F219" s="92" t="inlineStr">
        <is>
          <t>نمای مالی</t>
        </is>
      </c>
      <c r="G219" s="92" t="inlineStr">
        <is>
          <t>P-0EB0796A</t>
        </is>
      </c>
      <c r="H219" s="92" t="inlineStr">
        <is>
          <t>مسعود نصراصفهانی</t>
        </is>
      </c>
      <c r="I219" s="92" t="inlineStr">
        <is>
          <t>مسعود نصراصفهانی</t>
        </is>
      </c>
      <c r="J219" s="92" t="inlineStr">
        <is>
          <t>NATIONAL_ID؛ هش 166F33E2</t>
        </is>
      </c>
      <c r="K219" s="92" t="inlineStr">
        <is>
          <t>عضو اصلی فعال</t>
        </is>
      </c>
      <c r="L219" s="92" t="inlineStr">
        <is>
          <t>رئیس هیئت مدیره</t>
        </is>
      </c>
      <c r="M219" s="92" t="inlineStr">
        <is>
          <t>خیر</t>
        </is>
      </c>
      <c r="N219" s="92" t="inlineStr">
        <is>
          <t>بله</t>
        </is>
      </c>
      <c r="O219" s="92" t="inlineStr"/>
      <c r="P219" s="92" t="inlineStr">
        <is>
          <t>ندارد (فقط نام)</t>
        </is>
      </c>
      <c r="Q219" s="92" t="inlineStr"/>
      <c r="R219" s="92" t="inlineStr"/>
      <c r="S219" s="92" t="inlineStr">
        <is>
          <t>عضو حقیقی مستقیم؛ بدون تطبیق کرسی</t>
        </is>
      </c>
      <c r="T219" s="92" t="inlineStr"/>
      <c r="U219" s="92" t="n">
        <v>5</v>
      </c>
      <c r="V219" s="92" t="inlineStr">
        <is>
          <t>نامشخص: تعداد کل اعلام شده در متن ثبت نشده</t>
        </is>
      </c>
      <c r="W219" s="92" t="inlineStr">
        <is>
          <t>SRC_MELT_1404_002</t>
        </is>
      </c>
      <c r="X219" s="92" t="inlineStr">
        <is>
          <t>1404/12/29</t>
        </is>
      </c>
      <c r="Y219" s="92" t="inlineStr"/>
      <c r="Z219" s="92" t="inlineStr"/>
      <c r="AA219" s="92" t="inlineStr">
        <is>
          <t>BR Independence v41 ردیف 129</t>
        </is>
      </c>
    </row>
    <row r="220" ht="30" customHeight="1" s="76">
      <c r="A220" s="92" t="inlineStr">
        <is>
          <t>SM0217</t>
        </is>
      </c>
      <c r="B220" s="92" t="inlineStr">
        <is>
          <t>F26</t>
        </is>
      </c>
      <c r="C220" s="92" t="inlineStr">
        <is>
          <t>وبملت</t>
        </is>
      </c>
      <c r="D220" s="92" t="inlineStr">
        <is>
          <t>1404/12/29</t>
        </is>
      </c>
      <c r="E220" s="92" t="inlineStr">
        <is>
          <t>FYE1404 (v41)؛ بله (مقطع یکسان با پایان مشترک؛ فهرست مبنا نیست)</t>
        </is>
      </c>
      <c r="F220" s="92" t="inlineStr">
        <is>
          <t>نمای مالی</t>
        </is>
      </c>
      <c r="G220" s="92" t="inlineStr">
        <is>
          <t>P-1905BDE9</t>
        </is>
      </c>
      <c r="H220" s="92" t="inlineStr">
        <is>
          <t>عباس اشرف نژاد</t>
        </is>
      </c>
      <c r="I220" s="92" t="inlineStr">
        <is>
          <t>عباس اشرف نژاد</t>
        </is>
      </c>
      <c r="J220" s="92" t="inlineStr">
        <is>
          <t>NATIONAL_ID؛ هش EF3454D7</t>
        </is>
      </c>
      <c r="K220" s="92" t="inlineStr">
        <is>
          <t>عضو اصلی فعال</t>
        </is>
      </c>
      <c r="L220" s="92" t="inlineStr">
        <is>
          <t>عضو هیئت مدیره</t>
        </is>
      </c>
      <c r="M220" s="92" t="inlineStr">
        <is>
          <t>خیر</t>
        </is>
      </c>
      <c r="N220" s="92" t="inlineStr">
        <is>
          <t>خیر</t>
        </is>
      </c>
      <c r="O220" s="92" t="inlineStr"/>
      <c r="P220" s="92" t="inlineStr">
        <is>
          <t>ندارد (فقط نام)</t>
        </is>
      </c>
      <c r="Q220" s="92" t="inlineStr"/>
      <c r="R220" s="92" t="inlineStr"/>
      <c r="S220" s="92" t="inlineStr">
        <is>
          <t>عضو حقیقی مستقیم؛ بدون تطبیق کرسی</t>
        </is>
      </c>
      <c r="T220" s="92" t="inlineStr"/>
      <c r="U220" s="92" t="n">
        <v>5</v>
      </c>
      <c r="V220" s="92" t="inlineStr">
        <is>
          <t>نامشخص: تعداد کل اعلام شده در متن ثبت نشده</t>
        </is>
      </c>
      <c r="W220" s="92" t="inlineStr">
        <is>
          <t>SRC_MELT_1404_002</t>
        </is>
      </c>
      <c r="X220" s="92" t="inlineStr">
        <is>
          <t>1404/12/29</t>
        </is>
      </c>
      <c r="Y220" s="92" t="inlineStr"/>
      <c r="Z220" s="92" t="inlineStr"/>
      <c r="AA220" s="92" t="inlineStr">
        <is>
          <t>BR Independence v41 ردیف 130</t>
        </is>
      </c>
    </row>
    <row r="221" ht="30" customHeight="1" s="76">
      <c r="A221" s="92" t="inlineStr">
        <is>
          <t>SM0218</t>
        </is>
      </c>
      <c r="B221" s="92" t="inlineStr">
        <is>
          <t>F26</t>
        </is>
      </c>
      <c r="C221" s="92" t="inlineStr">
        <is>
          <t>وبملت</t>
        </is>
      </c>
      <c r="D221" s="92" t="inlineStr">
        <is>
          <t>1404/12/29</t>
        </is>
      </c>
      <c r="E221" s="92" t="inlineStr">
        <is>
          <t>FYE1404 (v41)؛ بله (مقطع یکسان با پایان مشترک؛ فهرست مبنا نیست)</t>
        </is>
      </c>
      <c r="F221" s="92" t="inlineStr">
        <is>
          <t>نمای مالی</t>
        </is>
      </c>
      <c r="G221" s="92" t="inlineStr">
        <is>
          <t>P-981A53E0</t>
        </is>
      </c>
      <c r="H221" s="92" t="inlineStr">
        <is>
          <t>سیدرضا موسوی</t>
        </is>
      </c>
      <c r="I221" s="92" t="inlineStr">
        <is>
          <t>سیدرضا موسوی</t>
        </is>
      </c>
      <c r="J221" s="92" t="inlineStr">
        <is>
          <t>NATIONAL_ID؛ هش 615EE44A</t>
        </is>
      </c>
      <c r="K221" s="92" t="inlineStr">
        <is>
          <t>عضو اصلی فعال</t>
        </is>
      </c>
      <c r="L221" s="92" t="inlineStr">
        <is>
          <t>عضو هیئت مدیره</t>
        </is>
      </c>
      <c r="M221" s="92" t="inlineStr">
        <is>
          <t>خیر</t>
        </is>
      </c>
      <c r="N221" s="92" t="inlineStr">
        <is>
          <t>خیر</t>
        </is>
      </c>
      <c r="O221" s="92" t="inlineStr"/>
      <c r="P221" s="92" t="inlineStr">
        <is>
          <t>ندارد (فقط نام)</t>
        </is>
      </c>
      <c r="Q221" s="92" t="inlineStr"/>
      <c r="R221" s="92" t="inlineStr"/>
      <c r="S221" s="92" t="inlineStr">
        <is>
          <t>عضو حقیقی مستقیم؛ بدون تطبیق کرسی</t>
        </is>
      </c>
      <c r="T221" s="92" t="inlineStr"/>
      <c r="U221" s="92" t="n">
        <v>5</v>
      </c>
      <c r="V221" s="92" t="inlineStr">
        <is>
          <t>نامشخص: تعداد کل اعلام شده در متن ثبت نشده</t>
        </is>
      </c>
      <c r="W221" s="92" t="inlineStr">
        <is>
          <t>SRC_MELT_1404_002</t>
        </is>
      </c>
      <c r="X221" s="92" t="inlineStr">
        <is>
          <t>1404/12/29</t>
        </is>
      </c>
      <c r="Y221" s="92" t="inlineStr"/>
      <c r="Z221" s="92" t="inlineStr"/>
      <c r="AA221" s="92" t="inlineStr">
        <is>
          <t>BR Independence v41 ردیف 131</t>
        </is>
      </c>
    </row>
    <row r="222" ht="30" customHeight="1" s="76">
      <c r="A222" s="92" t="inlineStr">
        <is>
          <t>SM0219</t>
        </is>
      </c>
      <c r="B222" s="92" t="inlineStr">
        <is>
          <t>F26</t>
        </is>
      </c>
      <c r="C222" s="92" t="inlineStr">
        <is>
          <t>وبملت</t>
        </is>
      </c>
      <c r="D222" s="92" t="inlineStr">
        <is>
          <t>1404/12/29</t>
        </is>
      </c>
      <c r="E222" s="92" t="inlineStr">
        <is>
          <t>FYE1404 (v41)؛ بله (مقطع یکسان با پایان مشترک؛ فهرست مبنا نیست)</t>
        </is>
      </c>
      <c r="F222" s="92" t="inlineStr">
        <is>
          <t>نمای مالی</t>
        </is>
      </c>
      <c r="G222" s="92" t="inlineStr">
        <is>
          <t>P-B3DB11C8</t>
        </is>
      </c>
      <c r="H222" s="92" t="inlineStr">
        <is>
          <t>فرشید فرخ نژاد</t>
        </is>
      </c>
      <c r="I222" s="92" t="inlineStr">
        <is>
          <t>فرشید فرخ نژاد</t>
        </is>
      </c>
      <c r="J222" s="92" t="inlineStr">
        <is>
          <t>NATIONAL_ID؛ هش 8626F0E0</t>
        </is>
      </c>
      <c r="K222" s="92" t="inlineStr">
        <is>
          <t>عضو اصلی فعال</t>
        </is>
      </c>
      <c r="L222" s="92" t="inlineStr">
        <is>
          <t>عضو هیئت مدیره</t>
        </is>
      </c>
      <c r="M222" s="92" t="inlineStr">
        <is>
          <t>بله</t>
        </is>
      </c>
      <c r="N222" s="92" t="inlineStr">
        <is>
          <t>خیر</t>
        </is>
      </c>
      <c r="O222" s="92" t="inlineStr"/>
      <c r="P222" s="92" t="inlineStr">
        <is>
          <t>ندارد (فقط نام)</t>
        </is>
      </c>
      <c r="Q222" s="92" t="inlineStr"/>
      <c r="R222" s="92" t="inlineStr"/>
      <c r="S222" s="92" t="inlineStr">
        <is>
          <t>عضو حقیقی مستقیم؛ بدون تطبیق کرسی</t>
        </is>
      </c>
      <c r="T222" s="92" t="inlineStr"/>
      <c r="U222" s="92" t="n">
        <v>5</v>
      </c>
      <c r="V222" s="92" t="inlineStr">
        <is>
          <t>نامشخص: تعداد کل اعلام شده در متن ثبت نشده</t>
        </is>
      </c>
      <c r="W222" s="92" t="inlineStr">
        <is>
          <t>SRC_MELT_1404_002</t>
        </is>
      </c>
      <c r="X222" s="92" t="inlineStr">
        <is>
          <t>1404/12/29</t>
        </is>
      </c>
      <c r="Y222" s="92" t="inlineStr"/>
      <c r="Z222" s="92" t="inlineStr"/>
      <c r="AA222" s="92" t="inlineStr">
        <is>
          <t>BR Independence v41 ردیف 132</t>
        </is>
      </c>
    </row>
    <row r="223" ht="30" customHeight="1" s="76">
      <c r="A223" s="92" t="inlineStr">
        <is>
          <t>SM0220</t>
        </is>
      </c>
      <c r="B223" s="92" t="inlineStr">
        <is>
          <t>F27</t>
        </is>
      </c>
      <c r="C223" s="92" t="inlineStr">
        <is>
          <t>وبصادر</t>
        </is>
      </c>
      <c r="D223" s="92" t="inlineStr">
        <is>
          <t>1404/12/29</t>
        </is>
      </c>
      <c r="E223" s="92" t="inlineStr">
        <is>
          <t>FYE1404 (v41)؛ بله (مقطع یکسان با پایان مشترک؛ فهرست مبنا نیست)</t>
        </is>
      </c>
      <c r="F223" s="92" t="inlineStr">
        <is>
          <t>نمای مالی</t>
        </is>
      </c>
      <c r="G223" s="92" t="inlineStr">
        <is>
          <t>P-8C988BBF</t>
        </is>
      </c>
      <c r="H223" s="92" t="inlineStr">
        <is>
          <t>یاسر مرادی</t>
        </is>
      </c>
      <c r="I223" s="92" t="inlineStr">
        <is>
          <t>یاسر مرادی</t>
        </is>
      </c>
      <c r="J223" s="92" t="inlineStr">
        <is>
          <t>NATIONAL_ID؛ هش 52CC7BE3</t>
        </is>
      </c>
      <c r="K223" s="92" t="inlineStr">
        <is>
          <t>عضو اصلی فعال</t>
        </is>
      </c>
      <c r="L223" s="92" t="inlineStr">
        <is>
          <t>عضو هیئت مدیره</t>
        </is>
      </c>
      <c r="M223" s="92" t="inlineStr">
        <is>
          <t>خیر</t>
        </is>
      </c>
      <c r="N223" s="92" t="inlineStr">
        <is>
          <t>خیر</t>
        </is>
      </c>
      <c r="O223" s="92" t="inlineStr"/>
      <c r="P223" s="92" t="inlineStr">
        <is>
          <t>ندارد (فقط نام)</t>
        </is>
      </c>
      <c r="Q223" s="92" t="inlineStr"/>
      <c r="R223" s="92" t="inlineStr"/>
      <c r="S223" s="92" t="inlineStr">
        <is>
          <t>عضو حقیقی مستقیم؛ بدون تطبیق کرسی</t>
        </is>
      </c>
      <c r="T223" s="92" t="inlineStr"/>
      <c r="U223" s="92" t="n">
        <v>5</v>
      </c>
      <c r="V223" s="92" t="inlineStr">
        <is>
          <t>نامشخص: تعداد کل اعلام شده در متن ثبت نشده</t>
        </is>
      </c>
      <c r="W223" s="92" t="inlineStr">
        <is>
          <t>SRC_VBSD_1404_001</t>
        </is>
      </c>
      <c r="X223" s="92" t="inlineStr">
        <is>
          <t>1404/12/29</t>
        </is>
      </c>
      <c r="Y223" s="92" t="inlineStr"/>
      <c r="Z223" s="92" t="inlineStr"/>
      <c r="AA223" s="92" t="inlineStr">
        <is>
          <t>BR Independence v41 ردیف 133</t>
        </is>
      </c>
    </row>
    <row r="224" ht="30" customHeight="1" s="76">
      <c r="A224" s="92" t="inlineStr">
        <is>
          <t>SM0221</t>
        </is>
      </c>
      <c r="B224" s="92" t="inlineStr">
        <is>
          <t>F27</t>
        </is>
      </c>
      <c r="C224" s="92" t="inlineStr">
        <is>
          <t>وبصادر</t>
        </is>
      </c>
      <c r="D224" s="92" t="inlineStr">
        <is>
          <t>1404/12/29</t>
        </is>
      </c>
      <c r="E224" s="92" t="inlineStr">
        <is>
          <t>FYE1404 (v41)؛ بله (مقطع یکسان با پایان مشترک؛ فهرست مبنا نیست)</t>
        </is>
      </c>
      <c r="F224" s="92" t="inlineStr">
        <is>
          <t>نمای مالی</t>
        </is>
      </c>
      <c r="G224" s="92" t="inlineStr">
        <is>
          <t>P-683645D8</t>
        </is>
      </c>
      <c r="H224" s="92" t="inlineStr">
        <is>
          <t>محسن سیفی کفشگری</t>
        </is>
      </c>
      <c r="I224" s="92" t="inlineStr">
        <is>
          <t>محسن سیفی کفشگری</t>
        </is>
      </c>
      <c r="J224" s="92" t="inlineStr">
        <is>
          <t>NATIONAL_ID؛ هش 9A80F57A</t>
        </is>
      </c>
      <c r="K224" s="92" t="inlineStr">
        <is>
          <t>عضو اصلی فعال</t>
        </is>
      </c>
      <c r="L224" s="92" t="inlineStr">
        <is>
          <t>عضو هیئت مدیره</t>
        </is>
      </c>
      <c r="M224" s="92" t="inlineStr">
        <is>
          <t>بله</t>
        </is>
      </c>
      <c r="N224" s="92" t="inlineStr">
        <is>
          <t>خیر</t>
        </is>
      </c>
      <c r="O224" s="92" t="inlineStr"/>
      <c r="P224" s="92" t="inlineStr">
        <is>
          <t>ندارد (فقط نام)</t>
        </is>
      </c>
      <c r="Q224" s="92" t="inlineStr"/>
      <c r="R224" s="92" t="inlineStr"/>
      <c r="S224" s="92" t="inlineStr">
        <is>
          <t>عضو حقیقی مستقیم؛ بدون تطبیق کرسی</t>
        </is>
      </c>
      <c r="T224" s="92" t="inlineStr"/>
      <c r="U224" s="92" t="n">
        <v>5</v>
      </c>
      <c r="V224" s="92" t="inlineStr">
        <is>
          <t>نامشخص: تعداد کل اعلام شده در متن ثبت نشده</t>
        </is>
      </c>
      <c r="W224" s="92" t="inlineStr">
        <is>
          <t>SRC_VBSD_1404_001</t>
        </is>
      </c>
      <c r="X224" s="92" t="inlineStr">
        <is>
          <t>1404/12/29</t>
        </is>
      </c>
      <c r="Y224" s="92" t="inlineStr"/>
      <c r="Z224" s="92" t="inlineStr"/>
      <c r="AA224" s="92" t="inlineStr">
        <is>
          <t>BR Independence v41 ردیف 134</t>
        </is>
      </c>
    </row>
    <row r="225" ht="30" customHeight="1" s="76">
      <c r="A225" s="92" t="inlineStr">
        <is>
          <t>SM0222</t>
        </is>
      </c>
      <c r="B225" s="92" t="inlineStr">
        <is>
          <t>F27</t>
        </is>
      </c>
      <c r="C225" s="92" t="inlineStr">
        <is>
          <t>وبصادر</t>
        </is>
      </c>
      <c r="D225" s="92" t="inlineStr">
        <is>
          <t>1404/12/29</t>
        </is>
      </c>
      <c r="E225" s="92" t="inlineStr">
        <is>
          <t>FYE1404 (v41)؛ بله (مقطع یکسان با پایان مشترک؛ فهرست مبنا نیست)</t>
        </is>
      </c>
      <c r="F225" s="92" t="inlineStr">
        <is>
          <t>نمای مالی</t>
        </is>
      </c>
      <c r="G225" s="92" t="inlineStr">
        <is>
          <t>P-555BD450</t>
        </is>
      </c>
      <c r="H225" s="92" t="inlineStr">
        <is>
          <t>قربان اسکندری کبودان</t>
        </is>
      </c>
      <c r="I225" s="92" t="inlineStr">
        <is>
          <t>قربان اسکندری کبودان</t>
        </is>
      </c>
      <c r="J225" s="92" t="inlineStr">
        <is>
          <t>NATIONAL_ID؛ هش 5620FCC2</t>
        </is>
      </c>
      <c r="K225" s="92" t="inlineStr">
        <is>
          <t>عضو اصلی فعال</t>
        </is>
      </c>
      <c r="L225" s="92" t="inlineStr">
        <is>
          <t>رئیس هیئت مدیره</t>
        </is>
      </c>
      <c r="M225" s="92" t="inlineStr">
        <is>
          <t>خیر</t>
        </is>
      </c>
      <c r="N225" s="92" t="inlineStr">
        <is>
          <t>بله</t>
        </is>
      </c>
      <c r="O225" s="92" t="inlineStr"/>
      <c r="P225" s="92" t="inlineStr">
        <is>
          <t>ندارد (فقط نام)</t>
        </is>
      </c>
      <c r="Q225" s="92" t="inlineStr"/>
      <c r="R225" s="92" t="inlineStr"/>
      <c r="S225" s="92" t="inlineStr">
        <is>
          <t>عضو حقیقی مستقیم؛ بدون تطبیق کرسی</t>
        </is>
      </c>
      <c r="T225" s="92" t="inlineStr"/>
      <c r="U225" s="92" t="n">
        <v>5</v>
      </c>
      <c r="V225" s="92" t="inlineStr">
        <is>
          <t>نامشخص: تعداد کل اعلام شده در متن ثبت نشده</t>
        </is>
      </c>
      <c r="W225" s="92" t="inlineStr">
        <is>
          <t>SRC_VBSD_1404_001</t>
        </is>
      </c>
      <c r="X225" s="92" t="inlineStr">
        <is>
          <t>1404/12/29</t>
        </is>
      </c>
      <c r="Y225" s="92" t="inlineStr"/>
      <c r="Z225" s="92" t="inlineStr"/>
      <c r="AA225" s="92" t="inlineStr">
        <is>
          <t>BR Independence v41 ردیف 135</t>
        </is>
      </c>
    </row>
    <row r="226" ht="30" customHeight="1" s="76">
      <c r="A226" s="92" t="inlineStr">
        <is>
          <t>SM0223</t>
        </is>
      </c>
      <c r="B226" s="92" t="inlineStr">
        <is>
          <t>F27</t>
        </is>
      </c>
      <c r="C226" s="92" t="inlineStr">
        <is>
          <t>وبصادر</t>
        </is>
      </c>
      <c r="D226" s="92" t="inlineStr">
        <is>
          <t>1404/12/29</t>
        </is>
      </c>
      <c r="E226" s="92" t="inlineStr">
        <is>
          <t>FYE1404 (v41)؛ بله (مقطع یکسان با پایان مشترک؛ فهرست مبنا نیست)</t>
        </is>
      </c>
      <c r="F226" s="92" t="inlineStr">
        <is>
          <t>نمای مالی</t>
        </is>
      </c>
      <c r="G226" s="92" t="inlineStr">
        <is>
          <t>P-BCE8A3F9</t>
        </is>
      </c>
      <c r="H226" s="92" t="inlineStr">
        <is>
          <t>محمد وطن پور</t>
        </is>
      </c>
      <c r="I226" s="92" t="inlineStr">
        <is>
          <t>محمد وطن پور</t>
        </is>
      </c>
      <c r="J226" s="92" t="inlineStr">
        <is>
          <t>NATIONAL_ID؛ هش FC9AA5AF</t>
        </is>
      </c>
      <c r="K226" s="92" t="inlineStr">
        <is>
          <t>عضو اصلی فعال</t>
        </is>
      </c>
      <c r="L226" s="92" t="inlineStr">
        <is>
          <t>عضو هیئت مدیره</t>
        </is>
      </c>
      <c r="M226" s="92" t="inlineStr">
        <is>
          <t>خیر</t>
        </is>
      </c>
      <c r="N226" s="92" t="inlineStr">
        <is>
          <t>خیر</t>
        </is>
      </c>
      <c r="O226" s="92" t="inlineStr"/>
      <c r="P226" s="92" t="inlineStr">
        <is>
          <t>ندارد (فقط نام)</t>
        </is>
      </c>
      <c r="Q226" s="92" t="inlineStr"/>
      <c r="R226" s="92" t="inlineStr"/>
      <c r="S226" s="92" t="inlineStr">
        <is>
          <t>عضو حقیقی مستقیم؛ بدون تطبیق کرسی</t>
        </is>
      </c>
      <c r="T226" s="92" t="inlineStr"/>
      <c r="U226" s="92" t="n">
        <v>5</v>
      </c>
      <c r="V226" s="92" t="inlineStr">
        <is>
          <t>نامشخص: تعداد کل اعلام شده در متن ثبت نشده</t>
        </is>
      </c>
      <c r="W226" s="92" t="inlineStr">
        <is>
          <t>SRC_VBSD_1404_001</t>
        </is>
      </c>
      <c r="X226" s="92" t="inlineStr">
        <is>
          <t>1404/12/29</t>
        </is>
      </c>
      <c r="Y226" s="92" t="inlineStr"/>
      <c r="Z226" s="92" t="inlineStr"/>
      <c r="AA226" s="92" t="inlineStr">
        <is>
          <t>BR Independence v41 ردیف 136</t>
        </is>
      </c>
    </row>
    <row r="227" ht="30" customHeight="1" s="76">
      <c r="A227" s="92" t="inlineStr">
        <is>
          <t>SM0224</t>
        </is>
      </c>
      <c r="B227" s="92" t="inlineStr">
        <is>
          <t>F27</t>
        </is>
      </c>
      <c r="C227" s="92" t="inlineStr">
        <is>
          <t>وبصادر</t>
        </is>
      </c>
      <c r="D227" s="92" t="inlineStr">
        <is>
          <t>1404/12/29</t>
        </is>
      </c>
      <c r="E227" s="92" t="inlineStr">
        <is>
          <t>FYE1404 (v41)؛ بله (مقطع یکسان با پایان مشترک؛ فهرست مبنا نیست)</t>
        </is>
      </c>
      <c r="F227" s="92" t="inlineStr">
        <is>
          <t>نمای مالی</t>
        </is>
      </c>
      <c r="G227" s="92" t="inlineStr">
        <is>
          <t>P-4838EF44</t>
        </is>
      </c>
      <c r="H227" s="92" t="inlineStr">
        <is>
          <t>مهدی اقبالی راد</t>
        </is>
      </c>
      <c r="I227" s="92" t="inlineStr">
        <is>
          <t>مهدی اقبالی راد</t>
        </is>
      </c>
      <c r="J227" s="92" t="inlineStr">
        <is>
          <t>NATIONAL_ID؛ هش 7C0AE239</t>
        </is>
      </c>
      <c r="K227" s="92" t="inlineStr">
        <is>
          <t>عضو اصلی فعال</t>
        </is>
      </c>
      <c r="L227" s="92" t="inlineStr">
        <is>
          <t>نایب رئیس هیئت مدیره</t>
        </is>
      </c>
      <c r="M227" s="92" t="inlineStr">
        <is>
          <t>خیر</t>
        </is>
      </c>
      <c r="N227" s="92" t="inlineStr">
        <is>
          <t>خیر</t>
        </is>
      </c>
      <c r="O227" s="92" t="inlineStr"/>
      <c r="P227" s="92" t="inlineStr">
        <is>
          <t>ندارد (فقط نام)</t>
        </is>
      </c>
      <c r="Q227" s="92" t="inlineStr"/>
      <c r="R227" s="92" t="inlineStr"/>
      <c r="S227" s="92" t="inlineStr">
        <is>
          <t>عضو حقیقی مستقیم؛ بدون تطبیق کرسی</t>
        </is>
      </c>
      <c r="T227" s="92" t="inlineStr"/>
      <c r="U227" s="92" t="n">
        <v>5</v>
      </c>
      <c r="V227" s="92" t="inlineStr">
        <is>
          <t>نامشخص: تعداد کل اعلام شده در متن ثبت نشده</t>
        </is>
      </c>
      <c r="W227" s="92" t="inlineStr">
        <is>
          <t>SRC_VBSD_1404_001</t>
        </is>
      </c>
      <c r="X227" s="92" t="inlineStr">
        <is>
          <t>1404/12/29</t>
        </is>
      </c>
      <c r="Y227" s="92" t="inlineStr"/>
      <c r="Z227" s="92" t="inlineStr"/>
      <c r="AA227" s="92" t="inlineStr">
        <is>
          <t>BR Independence v41 ردیف 137</t>
        </is>
      </c>
    </row>
    <row r="228" ht="30" customHeight="1" s="76">
      <c r="A228" s="94" t="inlineStr">
        <is>
          <t>SM0225</t>
        </is>
      </c>
      <c r="B228" s="94" t="inlineStr">
        <is>
          <t>F28</t>
        </is>
      </c>
      <c r="C228" s="94" t="inlineStr">
        <is>
          <t>وپاسار</t>
        </is>
      </c>
      <c r="D228" s="94" t="inlineStr">
        <is>
          <t>1404/12/29</t>
        </is>
      </c>
      <c r="E228" s="94" t="inlineStr">
        <is>
          <t>FYE1404 (v41)</t>
        </is>
      </c>
      <c r="F228" s="94" t="inlineStr">
        <is>
          <t>نمای مالی</t>
        </is>
      </c>
      <c r="G228" s="94" t="inlineStr"/>
      <c r="H228" s="94" t="inlineStr"/>
      <c r="I228" s="94" t="inlineStr"/>
      <c r="J228" s="94" t="inlineStr"/>
      <c r="K228" s="94" t="inlineStr">
        <is>
          <t>فهرست ندارد</t>
        </is>
      </c>
      <c r="L228" s="94" t="inlineStr"/>
      <c r="M228" s="94" t="inlineStr"/>
      <c r="N228" s="94" t="inlineStr"/>
      <c r="O228" s="94" t="inlineStr"/>
      <c r="P228" s="94" t="inlineStr"/>
      <c r="Q228" s="94" t="inlineStr"/>
      <c r="R228" s="94" t="inlineStr"/>
      <c r="S228" s="94" t="inlineStr"/>
      <c r="T228" s="94" t="inlineStr"/>
      <c r="U228" s="94" t="n">
        <v>0</v>
      </c>
      <c r="V228" s="94" t="inlineStr">
        <is>
          <t>ندارد</t>
        </is>
      </c>
      <c r="W228" s="94" t="inlineStr"/>
      <c r="X228" s="94" t="inlineStr"/>
      <c r="Y228" s="94" t="inlineStr"/>
      <c r="Z228" s="94" t="inlineStr">
        <is>
          <t>NO_ROSTER_AT_ASOF</t>
        </is>
      </c>
      <c r="AA228" s="94" t="inlineStr">
        <is>
          <t>گزارش FY1404 و اطلاعیه ن۴۵ در آرشیو نیست</t>
        </is>
      </c>
    </row>
    <row r="229" ht="30" customHeight="1" s="76">
      <c r="A229" s="92" t="inlineStr">
        <is>
          <t>SM0226</t>
        </is>
      </c>
      <c r="B229" s="92" t="inlineStr">
        <is>
          <t>F29</t>
        </is>
      </c>
      <c r="C229" s="92" t="inlineStr">
        <is>
          <t>حکشتی</t>
        </is>
      </c>
      <c r="D229" s="92" t="inlineStr">
        <is>
          <t>1404/03/31</t>
        </is>
      </c>
      <c r="E229" s="92" t="inlineStr">
        <is>
          <t>FYE1404 (v41)؛ خیر (مقطع متفاوت)</t>
        </is>
      </c>
      <c r="F229" s="92" t="inlineStr">
        <is>
          <t>نمای مالی</t>
        </is>
      </c>
      <c r="G229" s="92" t="inlineStr"/>
      <c r="H229" s="92" t="inlineStr">
        <is>
          <t>(نماینده نامشخص)</t>
        </is>
      </c>
      <c r="I229" s="92" t="inlineStr"/>
      <c r="J229" s="92" t="inlineStr">
        <is>
          <t xml:space="preserve">NAME_ONLY؛ هش </t>
        </is>
      </c>
      <c r="K229" s="92" t="inlineStr">
        <is>
          <t>نماینده نامشخص؛ خالی بودن واقعی مستند نیست</t>
        </is>
      </c>
      <c r="L229" s="92" t="inlineStr">
        <is>
          <t>نایب رئیس هیئت مدیره</t>
        </is>
      </c>
      <c r="M229" s="92" t="inlineStr">
        <is>
          <t>خیر</t>
        </is>
      </c>
      <c r="N229" s="92" t="inlineStr">
        <is>
          <t>خیر</t>
        </is>
      </c>
      <c r="O229" s="92" t="inlineStr">
        <is>
          <t>سرمایه گذاری تأمین اجتماعی</t>
        </is>
      </c>
      <c r="P229" s="92" t="inlineStr">
        <is>
          <t>ندارد (فقط نام)</t>
        </is>
      </c>
      <c r="Q229" s="92" t="inlineStr">
        <is>
          <t>(نماینده نامشخص)</t>
        </is>
      </c>
      <c r="R229" s="92" t="inlineStr">
        <is>
          <t>سرمایه گذاری تامین اجتماعی</t>
        </is>
      </c>
      <c r="S229" s="92" t="inlineStr">
        <is>
          <t>نام دارنده حقوقی</t>
        </is>
      </c>
      <c r="T229" s="92" t="inlineStr"/>
      <c r="U229" s="92" t="n">
        <v>5</v>
      </c>
      <c r="V229" s="92" t="inlineStr">
        <is>
          <t>نامشخص: تعداد کل اعلام شده در متن ثبت نشده</t>
        </is>
      </c>
      <c r="W229" s="92" t="inlineStr">
        <is>
          <t>SRC_HKSH_1404_002</t>
        </is>
      </c>
      <c r="X229" s="92" t="inlineStr">
        <is>
          <t>1404/03/31</t>
        </is>
      </c>
      <c r="Y229" s="92" t="inlineStr"/>
      <c r="Z229" s="92" t="inlineStr"/>
      <c r="AA229" s="92" t="inlineStr">
        <is>
          <t>BR Independence v41 ردیف 139</t>
        </is>
      </c>
    </row>
    <row r="230" ht="30" customHeight="1" s="76">
      <c r="A230" s="92" t="inlineStr">
        <is>
          <t>SM0227</t>
        </is>
      </c>
      <c r="B230" s="92" t="inlineStr">
        <is>
          <t>F29</t>
        </is>
      </c>
      <c r="C230" s="92" t="inlineStr">
        <is>
          <t>حکشتی</t>
        </is>
      </c>
      <c r="D230" s="92" t="inlineStr">
        <is>
          <t>1404/03/31</t>
        </is>
      </c>
      <c r="E230" s="92" t="inlineStr">
        <is>
          <t>FYE1404 (v41)؛ خیر (مقطع متفاوت)</t>
        </is>
      </c>
      <c r="F230" s="92" t="inlineStr">
        <is>
          <t>نمای مالی</t>
        </is>
      </c>
      <c r="G230" s="92" t="inlineStr"/>
      <c r="H230" s="92" t="inlineStr">
        <is>
          <t>(نماینده نامشخص)</t>
        </is>
      </c>
      <c r="I230" s="92" t="inlineStr"/>
      <c r="J230" s="92" t="inlineStr">
        <is>
          <t xml:space="preserve">NAME_ONLY؛ هش </t>
        </is>
      </c>
      <c r="K230" s="92" t="inlineStr">
        <is>
          <t>نماینده نامشخص؛ خالی بودن واقعی مستند نیست</t>
        </is>
      </c>
      <c r="L230" s="92" t="inlineStr">
        <is>
          <t>رئیس هیئت مدیره</t>
        </is>
      </c>
      <c r="M230" s="92" t="inlineStr">
        <is>
          <t>خیر</t>
        </is>
      </c>
      <c r="N230" s="92" t="inlineStr">
        <is>
          <t>بله</t>
        </is>
      </c>
      <c r="O230" s="92" t="inlineStr">
        <is>
          <t>مادر تخصصی بازرگانی دولتی ایران</t>
        </is>
      </c>
      <c r="P230" s="92" t="inlineStr">
        <is>
          <t>ندارد (فقط نام)</t>
        </is>
      </c>
      <c r="Q230" s="92" t="inlineStr">
        <is>
          <t>(نماینده نامشخص)</t>
        </is>
      </c>
      <c r="R230" s="92" t="inlineStr">
        <is>
          <t>مادر تخصصی بازرگانی دولتی ایران</t>
        </is>
      </c>
      <c r="S230" s="92" t="inlineStr">
        <is>
          <t>نام دارنده حقوقی</t>
        </is>
      </c>
      <c r="T230" s="92" t="inlineStr"/>
      <c r="U230" s="92" t="n">
        <v>5</v>
      </c>
      <c r="V230" s="92" t="inlineStr">
        <is>
          <t>نامشخص: تعداد کل اعلام شده در متن ثبت نشده</t>
        </is>
      </c>
      <c r="W230" s="92" t="inlineStr">
        <is>
          <t>SRC_HKSH_1404_002</t>
        </is>
      </c>
      <c r="X230" s="92" t="inlineStr">
        <is>
          <t>1404/03/31</t>
        </is>
      </c>
      <c r="Y230" s="92" t="inlineStr"/>
      <c r="Z230" s="92" t="inlineStr"/>
      <c r="AA230" s="92" t="inlineStr">
        <is>
          <t>BR Independence v41 ردیف 140</t>
        </is>
      </c>
    </row>
    <row r="231" ht="30" customHeight="1" s="76">
      <c r="A231" s="92" t="inlineStr">
        <is>
          <t>SM0228</t>
        </is>
      </c>
      <c r="B231" s="92" t="inlineStr">
        <is>
          <t>F29</t>
        </is>
      </c>
      <c r="C231" s="92" t="inlineStr">
        <is>
          <t>حکشتی</t>
        </is>
      </c>
      <c r="D231" s="92" t="inlineStr">
        <is>
          <t>1404/03/31</t>
        </is>
      </c>
      <c r="E231" s="92" t="inlineStr">
        <is>
          <t>FYE1404 (v41)؛ خیر (مقطع متفاوت)</t>
        </is>
      </c>
      <c r="F231" s="92" t="inlineStr">
        <is>
          <t>نمای مالی</t>
        </is>
      </c>
      <c r="G231" s="92" t="inlineStr"/>
      <c r="H231" s="92" t="inlineStr">
        <is>
          <t>(نماینده نامشخص)</t>
        </is>
      </c>
      <c r="I231" s="92" t="inlineStr"/>
      <c r="J231" s="92" t="inlineStr">
        <is>
          <t xml:space="preserve">NAME_ONLY؛ هش </t>
        </is>
      </c>
      <c r="K231" s="92" t="inlineStr">
        <is>
          <t>نماینده نامشخص؛ خالی بودن واقعی مستند نیست</t>
        </is>
      </c>
      <c r="L231" s="92" t="inlineStr">
        <is>
          <t>عضو هیئت مدیره</t>
        </is>
      </c>
      <c r="M231" s="92" t="inlineStr">
        <is>
          <t>خیر</t>
        </is>
      </c>
      <c r="N231" s="92" t="inlineStr">
        <is>
          <t>خیر</t>
        </is>
      </c>
      <c r="O231" s="92" t="inlineStr">
        <is>
          <t>سرمایه گذاری صباتأمین</t>
        </is>
      </c>
      <c r="P231" s="92" t="inlineStr">
        <is>
          <t>ندارد (فقط نام)</t>
        </is>
      </c>
      <c r="Q231" s="92" t="inlineStr">
        <is>
          <t>(نماینده نامشخص)</t>
        </is>
      </c>
      <c r="R231" s="92" t="inlineStr">
        <is>
          <t>سرمایه گذاری صباتامین</t>
        </is>
      </c>
      <c r="S231" s="92" t="inlineStr">
        <is>
          <t>نام دارنده حقوقی</t>
        </is>
      </c>
      <c r="T231" s="92" t="inlineStr"/>
      <c r="U231" s="92" t="n">
        <v>5</v>
      </c>
      <c r="V231" s="92" t="inlineStr">
        <is>
          <t>نامشخص: تعداد کل اعلام شده در متن ثبت نشده</t>
        </is>
      </c>
      <c r="W231" s="92" t="inlineStr">
        <is>
          <t>SRC_HKSH_1404_002</t>
        </is>
      </c>
      <c r="X231" s="92" t="inlineStr">
        <is>
          <t>1404/03/31</t>
        </is>
      </c>
      <c r="Y231" s="92" t="inlineStr"/>
      <c r="Z231" s="92" t="inlineStr"/>
      <c r="AA231" s="92" t="inlineStr">
        <is>
          <t>BR Independence v41 ردیف 141</t>
        </is>
      </c>
    </row>
    <row r="232" ht="30" customHeight="1" s="76">
      <c r="A232" s="92" t="inlineStr">
        <is>
          <t>SM0229</t>
        </is>
      </c>
      <c r="B232" s="92" t="inlineStr">
        <is>
          <t>F29</t>
        </is>
      </c>
      <c r="C232" s="92" t="inlineStr">
        <is>
          <t>حکشتی</t>
        </is>
      </c>
      <c r="D232" s="92" t="inlineStr">
        <is>
          <t>1404/03/31</t>
        </is>
      </c>
      <c r="E232" s="92" t="inlineStr">
        <is>
          <t>FYE1404 (v41)؛ خیر (مقطع متفاوت)</t>
        </is>
      </c>
      <c r="F232" s="92" t="inlineStr">
        <is>
          <t>نمای مالی</t>
        </is>
      </c>
      <c r="G232" s="92" t="inlineStr"/>
      <c r="H232" s="92" t="inlineStr">
        <is>
          <t>(نماینده نامشخص)</t>
        </is>
      </c>
      <c r="I232" s="92" t="inlineStr"/>
      <c r="J232" s="92" t="inlineStr">
        <is>
          <t xml:space="preserve">NAME_ONLY؛ هش </t>
        </is>
      </c>
      <c r="K232" s="92" t="inlineStr">
        <is>
          <t>نماینده نامشخص؛ خالی بودن واقعی مستند نیست</t>
        </is>
      </c>
      <c r="L232" s="92" t="inlineStr">
        <is>
          <t>عضو هیئت مدیره</t>
        </is>
      </c>
      <c r="M232" s="92" t="inlineStr">
        <is>
          <t>خیر</t>
        </is>
      </c>
      <c r="N232" s="92" t="inlineStr">
        <is>
          <t>خیر</t>
        </is>
      </c>
      <c r="O232" s="92" t="inlineStr">
        <is>
          <t>صندوق بازنشستگی کشوری</t>
        </is>
      </c>
      <c r="P232" s="92" t="inlineStr">
        <is>
          <t>ندارد (فقط نام)</t>
        </is>
      </c>
      <c r="Q232" s="92" t="inlineStr">
        <is>
          <t>(نماینده نامشخص)</t>
        </is>
      </c>
      <c r="R232" s="92" t="inlineStr">
        <is>
          <t>صندوق بازنشستگی کشوری</t>
        </is>
      </c>
      <c r="S232" s="92" t="inlineStr">
        <is>
          <t>نام دارنده حقوقی</t>
        </is>
      </c>
      <c r="T232" s="92" t="inlineStr"/>
      <c r="U232" s="92" t="n">
        <v>5</v>
      </c>
      <c r="V232" s="92" t="inlineStr">
        <is>
          <t>نامشخص: تعداد کل اعلام شده در متن ثبت نشده</t>
        </is>
      </c>
      <c r="W232" s="92" t="inlineStr">
        <is>
          <t>SRC_HKSH_1404_002</t>
        </is>
      </c>
      <c r="X232" s="92" t="inlineStr">
        <is>
          <t>1404/03/31</t>
        </is>
      </c>
      <c r="Y232" s="92" t="inlineStr"/>
      <c r="Z232" s="92" t="inlineStr"/>
      <c r="AA232" s="92" t="inlineStr">
        <is>
          <t>BR Independence v41 ردیف 142</t>
        </is>
      </c>
    </row>
    <row r="233" ht="30" customHeight="1" s="76">
      <c r="A233" s="92" t="inlineStr">
        <is>
          <t>SM0230</t>
        </is>
      </c>
      <c r="B233" s="92" t="inlineStr">
        <is>
          <t>F29</t>
        </is>
      </c>
      <c r="C233" s="92" t="inlineStr">
        <is>
          <t>حکشتی</t>
        </is>
      </c>
      <c r="D233" s="92" t="inlineStr">
        <is>
          <t>1404/03/31</t>
        </is>
      </c>
      <c r="E233" s="92" t="inlineStr">
        <is>
          <t>FYE1404 (v41)؛ خیر (مقطع متفاوت)</t>
        </is>
      </c>
      <c r="F233" s="92" t="inlineStr">
        <is>
          <t>نمای مالی</t>
        </is>
      </c>
      <c r="G233" s="92" t="inlineStr"/>
      <c r="H233" s="92" t="inlineStr">
        <is>
          <t>(نماینده نامشخص)</t>
        </is>
      </c>
      <c r="I233" s="92" t="inlineStr"/>
      <c r="J233" s="92" t="inlineStr">
        <is>
          <t xml:space="preserve">NAME_ONLY؛ هش </t>
        </is>
      </c>
      <c r="K233" s="92" t="inlineStr">
        <is>
          <t>نماینده نامشخص؛ خالی بودن واقعی مستند نیست</t>
        </is>
      </c>
      <c r="L233" s="92" t="inlineStr">
        <is>
          <t>عضو هیئت مدیره</t>
        </is>
      </c>
      <c r="M233" s="92" t="inlineStr">
        <is>
          <t>خیر</t>
        </is>
      </c>
      <c r="N233" s="92" t="inlineStr">
        <is>
          <t>خیر</t>
        </is>
      </c>
      <c r="O233" s="92" t="inlineStr">
        <is>
          <t>سرمایه گذاری استان گیلان</t>
        </is>
      </c>
      <c r="P233" s="92" t="inlineStr">
        <is>
          <t>ندارد (فقط نام)</t>
        </is>
      </c>
      <c r="Q233" s="92" t="inlineStr">
        <is>
          <t>(نماینده نامشخص)</t>
        </is>
      </c>
      <c r="R233" s="92" t="inlineStr">
        <is>
          <t>سرمایه گذاری استان گیلان</t>
        </is>
      </c>
      <c r="S233" s="92" t="inlineStr">
        <is>
          <t>نام دارنده حقوقی</t>
        </is>
      </c>
      <c r="T233" s="92" t="inlineStr"/>
      <c r="U233" s="92" t="n">
        <v>5</v>
      </c>
      <c r="V233" s="92" t="inlineStr">
        <is>
          <t>نامشخص: تعداد کل اعلام شده در متن ثبت نشده</t>
        </is>
      </c>
      <c r="W233" s="92" t="inlineStr">
        <is>
          <t>SRC_HKSH_1404_002</t>
        </is>
      </c>
      <c r="X233" s="92" t="inlineStr">
        <is>
          <t>1404/03/31</t>
        </is>
      </c>
      <c r="Y233" s="92" t="inlineStr"/>
      <c r="Z233" s="92" t="inlineStr"/>
      <c r="AA233" s="92" t="inlineStr">
        <is>
          <t>BR Independence v41 ردیف 143</t>
        </is>
      </c>
    </row>
    <row r="234" ht="30" customHeight="1" s="76">
      <c r="A234" s="92" t="inlineStr">
        <is>
          <t>SM0231</t>
        </is>
      </c>
      <c r="B234" s="92" t="inlineStr">
        <is>
          <t>F30</t>
        </is>
      </c>
      <c r="C234" s="92" t="inlineStr">
        <is>
          <t>شپدیس</t>
        </is>
      </c>
      <c r="D234" s="92" t="inlineStr">
        <is>
          <t>1404/06/31</t>
        </is>
      </c>
      <c r="E234" s="92" t="inlineStr">
        <is>
          <t>FYE1404 (v41)؛ خیر (مقطع متفاوت)</t>
        </is>
      </c>
      <c r="F234" s="92" t="inlineStr">
        <is>
          <t>نمای مالی</t>
        </is>
      </c>
      <c r="G234" s="92" t="inlineStr">
        <is>
          <t>P-0D107FC5</t>
        </is>
      </c>
      <c r="H234" s="92" t="inlineStr">
        <is>
          <t>عبدالرحیم قنبریان</t>
        </is>
      </c>
      <c r="I234" s="92" t="inlineStr">
        <is>
          <t>عبدالرحیم قنبریان</t>
        </is>
      </c>
      <c r="J234" s="92" t="inlineStr">
        <is>
          <t>NATIONAL_ID؛ هش F1D05F7B</t>
        </is>
      </c>
      <c r="K234" s="92" t="inlineStr">
        <is>
          <t>عضو اصلی فعال</t>
        </is>
      </c>
      <c r="L234" s="92" t="inlineStr">
        <is>
          <t>نایب رئیس هیئت مدیره</t>
        </is>
      </c>
      <c r="M234" s="92" t="inlineStr">
        <is>
          <t>بله</t>
        </is>
      </c>
      <c r="N234" s="92" t="inlineStr">
        <is>
          <t>خیر</t>
        </is>
      </c>
      <c r="O234" s="92" t="inlineStr">
        <is>
          <t>گروه گسترش نفت و گاز پارسیان</t>
        </is>
      </c>
      <c r="P234" s="92" t="inlineStr">
        <is>
          <t>ندارد (فقط نام)</t>
        </is>
      </c>
      <c r="Q234" s="92" t="inlineStr">
        <is>
          <t>عبدالرحیم قنبریان</t>
        </is>
      </c>
      <c r="R234" s="92" t="inlineStr">
        <is>
          <t>گروه گسترش نفت و گاز پارسیان</t>
        </is>
      </c>
      <c r="S234" s="92" t="inlineStr">
        <is>
          <t>نام دارنده حقوقی</t>
        </is>
      </c>
      <c r="T234" s="92" t="inlineStr"/>
      <c r="U234" s="92" t="n">
        <v>5</v>
      </c>
      <c r="V234" s="92" t="inlineStr">
        <is>
          <t>نامشخص: تعداد کل اعلام شده در متن ثبت نشده</t>
        </is>
      </c>
      <c r="W234" s="92" t="inlineStr">
        <is>
          <t>SRC_SHPD_1404_001</t>
        </is>
      </c>
      <c r="X234" s="92" t="inlineStr">
        <is>
          <t>1404/06/31</t>
        </is>
      </c>
      <c r="Y234" s="92" t="inlineStr"/>
      <c r="Z234" s="92" t="inlineStr"/>
      <c r="AA234" s="92" t="inlineStr">
        <is>
          <t>BR Independence v41 ردیف 144</t>
        </is>
      </c>
    </row>
    <row r="235" ht="30" customHeight="1" s="76">
      <c r="A235" s="92" t="inlineStr">
        <is>
          <t>SM0232</t>
        </is>
      </c>
      <c r="B235" s="92" t="inlineStr">
        <is>
          <t>F30</t>
        </is>
      </c>
      <c r="C235" s="92" t="inlineStr">
        <is>
          <t>شپدیس</t>
        </is>
      </c>
      <c r="D235" s="92" t="inlineStr">
        <is>
          <t>1404/06/31</t>
        </is>
      </c>
      <c r="E235" s="92" t="inlineStr">
        <is>
          <t>FYE1404 (v41)؛ خیر (مقطع متفاوت)</t>
        </is>
      </c>
      <c r="F235" s="92" t="inlineStr">
        <is>
          <t>نمای مالی</t>
        </is>
      </c>
      <c r="G235" s="92" t="inlineStr">
        <is>
          <t>P-280FA4EB</t>
        </is>
      </c>
      <c r="H235" s="92" t="inlineStr">
        <is>
          <t>سعید کاردار</t>
        </is>
      </c>
      <c r="I235" s="92" t="inlineStr">
        <is>
          <t>سعید کاردار</t>
        </is>
      </c>
      <c r="J235" s="92" t="inlineStr">
        <is>
          <t>NATIONAL_ID؛ هش 3FB05217</t>
        </is>
      </c>
      <c r="K235" s="92" t="inlineStr">
        <is>
          <t>عضو اصلی فعال</t>
        </is>
      </c>
      <c r="L235" s="92" t="inlineStr">
        <is>
          <t>عضو هیئت مدیره</t>
        </is>
      </c>
      <c r="M235" s="92" t="inlineStr">
        <is>
          <t>خیر</t>
        </is>
      </c>
      <c r="N235" s="92" t="inlineStr">
        <is>
          <t>خیر</t>
        </is>
      </c>
      <c r="O235" s="92" t="inlineStr">
        <is>
          <t>بازرگانی پتروشیمی</t>
        </is>
      </c>
      <c r="P235" s="92" t="inlineStr">
        <is>
          <t>ندارد (فقط نام)</t>
        </is>
      </c>
      <c r="Q235" s="92" t="inlineStr">
        <is>
          <t>سعید کاردار</t>
        </is>
      </c>
      <c r="R235" s="92" t="inlineStr">
        <is>
          <t>بازرگانی پتروشیمی</t>
        </is>
      </c>
      <c r="S235" s="92" t="inlineStr">
        <is>
          <t>نام دارنده حقوقی</t>
        </is>
      </c>
      <c r="T235" s="92" t="inlineStr"/>
      <c r="U235" s="92" t="n">
        <v>5</v>
      </c>
      <c r="V235" s="92" t="inlineStr">
        <is>
          <t>نامشخص: تعداد کل اعلام شده در متن ثبت نشده</t>
        </is>
      </c>
      <c r="W235" s="92" t="inlineStr">
        <is>
          <t>SRC_SHPD_1404_001</t>
        </is>
      </c>
      <c r="X235" s="92" t="inlineStr">
        <is>
          <t>1404/06/31</t>
        </is>
      </c>
      <c r="Y235" s="92" t="inlineStr"/>
      <c r="Z235" s="92" t="inlineStr"/>
      <c r="AA235" s="92" t="inlineStr">
        <is>
          <t>BR Independence v41 ردیف 145</t>
        </is>
      </c>
    </row>
    <row r="236" ht="30" customHeight="1" s="76">
      <c r="A236" s="92" t="inlineStr">
        <is>
          <t>SM0233</t>
        </is>
      </c>
      <c r="B236" s="92" t="inlineStr">
        <is>
          <t>F30</t>
        </is>
      </c>
      <c r="C236" s="92" t="inlineStr">
        <is>
          <t>شپدیس</t>
        </is>
      </c>
      <c r="D236" s="92" t="inlineStr">
        <is>
          <t>1404/06/31</t>
        </is>
      </c>
      <c r="E236" s="92" t="inlineStr">
        <is>
          <t>FYE1404 (v41)؛ خیر (مقطع متفاوت)</t>
        </is>
      </c>
      <c r="F236" s="92" t="inlineStr">
        <is>
          <t>نمای مالی</t>
        </is>
      </c>
      <c r="G236" s="92" t="inlineStr">
        <is>
          <t>P-97503F36</t>
        </is>
      </c>
      <c r="H236" s="92" t="inlineStr">
        <is>
          <t>هوشنگ گودرزی</t>
        </is>
      </c>
      <c r="I236" s="92" t="inlineStr">
        <is>
          <t>هوشنگ گودرزی</t>
        </is>
      </c>
      <c r="J236" s="92" t="inlineStr">
        <is>
          <t>NATIONAL_ID؛ هش A6C774F7</t>
        </is>
      </c>
      <c r="K236" s="92" t="inlineStr">
        <is>
          <t>عضو اصلی فعال</t>
        </is>
      </c>
      <c r="L236" s="92" t="inlineStr">
        <is>
          <t>رئیس هیئت مدیره</t>
        </is>
      </c>
      <c r="M236" s="92" t="inlineStr">
        <is>
          <t>خیر</t>
        </is>
      </c>
      <c r="N236" s="92" t="inlineStr">
        <is>
          <t>بله</t>
        </is>
      </c>
      <c r="O236" s="92" t="inlineStr">
        <is>
          <t>خدمات مدیریت هامون سپاهان</t>
        </is>
      </c>
      <c r="P236" s="92" t="inlineStr">
        <is>
          <t>ندارد (فقط نام)</t>
        </is>
      </c>
      <c r="Q236" s="92" t="inlineStr">
        <is>
          <t>هوشنگ گودرزی</t>
        </is>
      </c>
      <c r="R236" s="92" t="inlineStr">
        <is>
          <t>خدمات مدیریت هامون سپاهان</t>
        </is>
      </c>
      <c r="S236" s="92" t="inlineStr">
        <is>
          <t>نام دارنده حقوقی</t>
        </is>
      </c>
      <c r="T236" s="92" t="inlineStr"/>
      <c r="U236" s="92" t="n">
        <v>5</v>
      </c>
      <c r="V236" s="92" t="inlineStr">
        <is>
          <t>نامشخص: تعداد کل اعلام شده در متن ثبت نشده</t>
        </is>
      </c>
      <c r="W236" s="92" t="inlineStr">
        <is>
          <t>SRC_SHPD_1404_001</t>
        </is>
      </c>
      <c r="X236" s="92" t="inlineStr">
        <is>
          <t>1404/06/31</t>
        </is>
      </c>
      <c r="Y236" s="92" t="inlineStr"/>
      <c r="Z236" s="92" t="inlineStr"/>
      <c r="AA236" s="92" t="inlineStr">
        <is>
          <t>BR Independence v41 ردیف 146</t>
        </is>
      </c>
    </row>
    <row r="237" ht="30" customHeight="1" s="76">
      <c r="A237" s="92" t="inlineStr">
        <is>
          <t>SM0234</t>
        </is>
      </c>
      <c r="B237" s="92" t="inlineStr">
        <is>
          <t>F30</t>
        </is>
      </c>
      <c r="C237" s="92" t="inlineStr">
        <is>
          <t>شپدیس</t>
        </is>
      </c>
      <c r="D237" s="92" t="inlineStr">
        <is>
          <t>1404/06/31</t>
        </is>
      </c>
      <c r="E237" s="92" t="inlineStr">
        <is>
          <t>FYE1404 (v41)؛ خیر (مقطع متفاوت)</t>
        </is>
      </c>
      <c r="F237" s="92" t="inlineStr">
        <is>
          <t>نمای مالی</t>
        </is>
      </c>
      <c r="G237" s="92" t="inlineStr"/>
      <c r="H237" s="92" t="inlineStr">
        <is>
          <t>(نماینده نامشخص)</t>
        </is>
      </c>
      <c r="I237" s="92" t="inlineStr"/>
      <c r="J237" s="92" t="inlineStr">
        <is>
          <t xml:space="preserve">NAME_ONLY؛ هش </t>
        </is>
      </c>
      <c r="K237" s="92" t="inlineStr">
        <is>
          <t>نماینده نامشخص؛ خالی بودن واقعی مستند نیست</t>
        </is>
      </c>
      <c r="L237" s="92" t="inlineStr">
        <is>
          <t>عضو هیئت مدیره</t>
        </is>
      </c>
      <c r="M237" s="92" t="inlineStr">
        <is>
          <t>خیر</t>
        </is>
      </c>
      <c r="N237" s="92" t="inlineStr">
        <is>
          <t>خیر</t>
        </is>
      </c>
      <c r="O237" s="92" t="inlineStr">
        <is>
          <t>سرمایه گذاری هامون سپاهان</t>
        </is>
      </c>
      <c r="P237" s="92" t="inlineStr">
        <is>
          <t>ندارد (فقط نام)</t>
        </is>
      </c>
      <c r="Q237" s="92" t="inlineStr">
        <is>
          <t>(نماینده نامشخص)</t>
        </is>
      </c>
      <c r="R237" s="92" t="inlineStr">
        <is>
          <t>سرمایه گذاری هامون سپاهان</t>
        </is>
      </c>
      <c r="S237" s="92" t="inlineStr">
        <is>
          <t>نام دارنده حقوقی</t>
        </is>
      </c>
      <c r="T237" s="92" t="inlineStr"/>
      <c r="U237" s="92" t="n">
        <v>5</v>
      </c>
      <c r="V237" s="92" t="inlineStr">
        <is>
          <t>نامشخص: تعداد کل اعلام شده در متن ثبت نشده</t>
        </is>
      </c>
      <c r="W237" s="92" t="inlineStr">
        <is>
          <t>SRC_SHPD_1404_001</t>
        </is>
      </c>
      <c r="X237" s="92" t="inlineStr">
        <is>
          <t>1404/06/31</t>
        </is>
      </c>
      <c r="Y237" s="92" t="inlineStr"/>
      <c r="Z237" s="92" t="inlineStr"/>
      <c r="AA237" s="92" t="inlineStr">
        <is>
          <t>BR Independence v41 ردیف 147</t>
        </is>
      </c>
    </row>
    <row r="238" ht="30" customHeight="1" s="76">
      <c r="A238" s="92" t="inlineStr">
        <is>
          <t>SM0235</t>
        </is>
      </c>
      <c r="B238" s="92" t="inlineStr">
        <is>
          <t>F30</t>
        </is>
      </c>
      <c r="C238" s="92" t="inlineStr">
        <is>
          <t>شپدیس</t>
        </is>
      </c>
      <c r="D238" s="92" t="inlineStr">
        <is>
          <t>1404/06/31</t>
        </is>
      </c>
      <c r="E238" s="92" t="inlineStr">
        <is>
          <t>FYE1404 (v41)؛ خیر (مقطع متفاوت)</t>
        </is>
      </c>
      <c r="F238" s="92" t="inlineStr">
        <is>
          <t>نمای مالی</t>
        </is>
      </c>
      <c r="G238" s="92" t="inlineStr">
        <is>
          <t>P-20C8BFD0</t>
        </is>
      </c>
      <c r="H238" s="92" t="inlineStr">
        <is>
          <t>محمدعلی سلیمانی</t>
        </is>
      </c>
      <c r="I238" s="92" t="inlineStr">
        <is>
          <t>محمدعلی سلیمانی</t>
        </is>
      </c>
      <c r="J238" s="92" t="inlineStr">
        <is>
          <t>NATIONAL_ID؛ هش 3F4899FA</t>
        </is>
      </c>
      <c r="K238" s="92" t="inlineStr">
        <is>
          <t>عضو اصلی فعال</t>
        </is>
      </c>
      <c r="L238" s="92" t="inlineStr">
        <is>
          <t>عضو هیئت مدیره</t>
        </is>
      </c>
      <c r="M238" s="92" t="inlineStr">
        <is>
          <t>خیر</t>
        </is>
      </c>
      <c r="N238" s="92" t="inlineStr">
        <is>
          <t>خیر</t>
        </is>
      </c>
      <c r="O238" s="92" t="inlineStr">
        <is>
          <t>بازرگانی و تجارت هامون سپاهان</t>
        </is>
      </c>
      <c r="P238" s="92" t="inlineStr">
        <is>
          <t>ندارد (فقط نام)</t>
        </is>
      </c>
      <c r="Q238" s="92" t="inlineStr">
        <is>
          <t>محمدعلی سلیمانی</t>
        </is>
      </c>
      <c r="R238" s="92" t="inlineStr">
        <is>
          <t>بازرگانی و تجارت هامون سپاهان</t>
        </is>
      </c>
      <c r="S238" s="92" t="inlineStr">
        <is>
          <t>نام دارنده حقوقی</t>
        </is>
      </c>
      <c r="T238" s="92" t="inlineStr"/>
      <c r="U238" s="92" t="n">
        <v>5</v>
      </c>
      <c r="V238" s="92" t="inlineStr">
        <is>
          <t>نامشخص: تعداد کل اعلام شده در متن ثبت نشده</t>
        </is>
      </c>
      <c r="W238" s="92" t="inlineStr">
        <is>
          <t>SRC_SHPD_1404_001</t>
        </is>
      </c>
      <c r="X238" s="92" t="inlineStr">
        <is>
          <t>1404/06/31</t>
        </is>
      </c>
      <c r="Y238" s="92" t="inlineStr"/>
      <c r="Z238" s="92" t="inlineStr"/>
      <c r="AA238" s="92" t="inlineStr">
        <is>
          <t>BR Independence v41 ردیف 148</t>
        </is>
      </c>
    </row>
  </sheetData>
  <autoFilter ref="A3:AA238"/>
  <mergeCells count="2">
    <mergeCell ref="A1:AA1"/>
    <mergeCell ref="A2:AA2"/>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V200"/>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9" customWidth="1" style="76" min="1" max="1"/>
    <col width="9" customWidth="1" style="76" min="2" max="2"/>
    <col width="16" customWidth="1" style="76" min="3" max="3"/>
    <col width="12" customWidth="1" style="76" min="4" max="4"/>
    <col width="20" customWidth="1" style="76" min="5" max="5"/>
    <col width="20" customWidth="1" style="76" min="6" max="6"/>
    <col width="16" customWidth="1" style="76" min="7" max="7"/>
    <col width="16" customWidth="1" style="76" min="8" max="8"/>
    <col width="24" customWidth="1" style="76" min="9" max="9"/>
    <col width="36" customWidth="1" style="76" min="10" max="10"/>
    <col width="24" customWidth="1" style="76" min="11" max="11"/>
    <col width="24" customWidth="1" style="76" min="12" max="12"/>
    <col width="28" customWidth="1" style="76" min="13" max="13"/>
    <col width="28" customWidth="1" style="76" min="14" max="14"/>
    <col width="16" customWidth="1" style="76" min="15" max="15"/>
    <col width="22" customWidth="1" style="76" min="16" max="16"/>
    <col width="18" customWidth="1" style="76" min="17" max="17"/>
    <col width="12" customWidth="1" style="76" min="18" max="18"/>
    <col width="12" customWidth="1" style="76" min="19" max="19"/>
    <col width="26" customWidth="1" style="76" min="20" max="20"/>
    <col width="12" customWidth="1" style="76" min="21" max="21"/>
    <col width="44" customWidth="1" style="76" min="22" max="22"/>
  </cols>
  <sheetData>
    <row r="1" ht="26" customHeight="1" s="76">
      <c r="A1" s="89" t="inlineStr">
        <is>
          <t>ورود، خروج و ماندگاری افراد یکتا</t>
        </is>
      </c>
    </row>
    <row r="2" ht="44" customHeight="1" s="76">
      <c r="A2" s="90" t="inlineStr">
        <is>
          <t>عضو جدید یعنی جدید نسبت به مبنا، نه اولین عضویت در تاریخ شرکت. غایب در فهرست ناقص خروج حساب نشد. جابجایی فرد بین دو کرسی ورود و خروج نیست. بخش اول: پنجره مشترک برای هشت شرکت با فهرست اسمی. بخش دوم: نمای مالی FYE1404 با شاهد تصدی v41؛ این بخش فقط می گوید هر عضو پایان دوره نسبت به مبنای قدیمی تازه وارد است یا نه و خروج را نشان نمی دهد.</t>
        </is>
      </c>
    </row>
    <row r="3" ht="42" customHeight="1" s="76">
      <c r="A3" s="91" t="inlineStr">
        <is>
          <t>شناسه ردیف</t>
        </is>
      </c>
      <c r="B3" s="91" t="inlineStr">
        <is>
          <t>نماد</t>
        </is>
      </c>
      <c r="C3" s="91" t="inlineStr">
        <is>
          <t>نمای زمانی</t>
        </is>
      </c>
      <c r="D3" s="91" t="inlineStr">
        <is>
          <t>شناسه پژوهشی شخص</t>
        </is>
      </c>
      <c r="E3" s="91" t="inlineStr">
        <is>
          <t>نام خام</t>
        </is>
      </c>
      <c r="F3" s="91" t="inlineStr">
        <is>
          <t>نام یکسان سازی شده</t>
        </is>
      </c>
      <c r="G3" s="91" t="inlineStr">
        <is>
          <t>وضعیت در مبنا</t>
        </is>
      </c>
      <c r="H3" s="91" t="inlineStr">
        <is>
          <t>وضعیت در پایان</t>
        </is>
      </c>
      <c r="I3" s="91" t="inlineStr">
        <is>
          <t>کد وضعیت جریان</t>
        </is>
      </c>
      <c r="J3" s="91" t="inlineStr">
        <is>
          <t>وضعیت جریان</t>
        </is>
      </c>
      <c r="K3" s="91" t="inlineStr">
        <is>
          <t>سمت در مبنا</t>
        </is>
      </c>
      <c r="L3" s="91" t="inlineStr">
        <is>
          <t>سمت در پایان</t>
        </is>
      </c>
      <c r="M3" s="91" t="inlineStr">
        <is>
          <t>شخص حقوقی مبنا</t>
        </is>
      </c>
      <c r="N3" s="91" t="inlineStr">
        <is>
          <t>شخص حقوقی پایان</t>
        </is>
      </c>
      <c r="O3" s="91" t="inlineStr">
        <is>
          <t>جابجایی فرد بین کرسی ها</t>
        </is>
      </c>
      <c r="P3" s="91" t="inlineStr">
        <is>
          <t>تاریخ موثر یا بازه قابل اثبات تغییر</t>
        </is>
      </c>
      <c r="Q3" s="91" t="inlineStr">
        <is>
          <t>نوع تاریخ</t>
        </is>
      </c>
      <c r="R3" s="91" t="inlineStr">
        <is>
          <t>منبع مبنا</t>
        </is>
      </c>
      <c r="S3" s="91" t="inlineStr">
        <is>
          <t>منبع پایان</t>
        </is>
      </c>
      <c r="T3" s="91" t="inlineStr">
        <is>
          <t>شاهد تصدی v41 (کلاس و شروع)</t>
        </is>
      </c>
      <c r="U3" s="91" t="inlineStr">
        <is>
          <t>اطمینان</t>
        </is>
      </c>
      <c r="V3" s="91" t="inlineStr">
        <is>
          <t>یادداشت</t>
        </is>
      </c>
    </row>
    <row r="4" ht="40" customHeight="1" s="76">
      <c r="A4" s="92" t="inlineStr">
        <is>
          <t>PF0001</t>
        </is>
      </c>
      <c r="B4" s="92" t="inlineStr">
        <is>
          <t>تاپیکو</t>
        </is>
      </c>
      <c r="C4" s="92" t="inlineStr">
        <is>
          <t>پنجره مشترک</t>
        </is>
      </c>
      <c r="D4" s="92" t="inlineStr">
        <is>
          <t>P-40781BFF</t>
        </is>
      </c>
      <c r="E4" s="92" t="inlineStr">
        <is>
          <t>عبدالکریم پهلوانی</t>
        </is>
      </c>
      <c r="F4" s="92" t="inlineStr">
        <is>
          <t>عبدالکریم پهلوانی</t>
        </is>
      </c>
      <c r="G4" s="92" t="inlineStr">
        <is>
          <t>حاضر</t>
        </is>
      </c>
      <c r="H4" s="92" t="inlineStr">
        <is>
          <t>غایب</t>
        </is>
      </c>
      <c r="I4" s="92" t="inlineStr">
        <is>
          <t>EXIT_BETWEEN_SNAPSHOTS</t>
        </is>
      </c>
      <c r="J4" s="92" t="inlineStr">
        <is>
          <t>خارج شده بین دو مقطع</t>
        </is>
      </c>
      <c r="K4" s="92" t="inlineStr">
        <is>
          <t>نایب رئیس (موظف)</t>
        </is>
      </c>
      <c r="L4" s="92" t="inlineStr"/>
      <c r="M4" s="92" t="inlineStr">
        <is>
          <t>سرمایه‌گذاری تأمین اجتماعی (شستا)</t>
        </is>
      </c>
      <c r="N4" s="92" t="inlineStr"/>
      <c r="O4" s="92" t="inlineStr"/>
      <c r="P4" s="92" t="inlineStr">
        <is>
          <t>1404/01/23</t>
        </is>
      </c>
      <c r="Q4" s="92" t="inlineStr">
        <is>
          <t>تاریخ حذف در اطلاعیه 1333972؛ کرسی تا 1404/06/26 بدون نماینده</t>
        </is>
      </c>
      <c r="R4" s="92" t="inlineStr">
        <is>
          <t>1311653</t>
        </is>
      </c>
      <c r="S4" s="92" t="inlineStr"/>
      <c r="T4" s="92" t="inlineStr"/>
      <c r="U4" s="92" t="inlineStr">
        <is>
          <t>قطعی</t>
        </is>
      </c>
      <c r="V4" s="92" t="inlineStr"/>
    </row>
    <row r="5" ht="40" customHeight="1" s="76">
      <c r="A5" s="92" t="inlineStr">
        <is>
          <t>PF0002</t>
        </is>
      </c>
      <c r="B5" s="92" t="inlineStr">
        <is>
          <t>تاپیکو</t>
        </is>
      </c>
      <c r="C5" s="92" t="inlineStr">
        <is>
          <t>پنجره مشترک</t>
        </is>
      </c>
      <c r="D5" s="92" t="inlineStr">
        <is>
          <t>P-28EE3596</t>
        </is>
      </c>
      <c r="E5" s="92" t="inlineStr">
        <is>
          <t>اکبر محققی</t>
        </is>
      </c>
      <c r="F5" s="92" t="inlineStr">
        <is>
          <t>اکبر محققی</t>
        </is>
      </c>
      <c r="G5" s="92" t="inlineStr">
        <is>
          <t>حاضر</t>
        </is>
      </c>
      <c r="H5" s="92" t="inlineStr">
        <is>
          <t>غایب</t>
        </is>
      </c>
      <c r="I5" s="92" t="inlineStr">
        <is>
          <t>EXIT_BETWEEN_SNAPSHOTS</t>
        </is>
      </c>
      <c r="J5" s="92" t="inlineStr">
        <is>
          <t>خارج شده بین دو مقطع</t>
        </is>
      </c>
      <c r="K5" s="92" t="inlineStr">
        <is>
          <t>عضو (غیرموظف)</t>
        </is>
      </c>
      <c r="L5" s="92" t="inlineStr"/>
      <c r="M5" s="92" t="inlineStr">
        <is>
          <t>سرمایه‌گذاری صبا تأمین</t>
        </is>
      </c>
      <c r="N5" s="92" t="inlineStr"/>
      <c r="O5" s="92" t="inlineStr"/>
      <c r="P5" s="92" t="inlineStr">
        <is>
          <t>1404/05/01</t>
        </is>
      </c>
      <c r="Q5" s="92" t="inlineStr">
        <is>
          <t>تاریخ موثر ثبت شده در بازسازی v38</t>
        </is>
      </c>
      <c r="R5" s="92" t="inlineStr">
        <is>
          <t>1311653</t>
        </is>
      </c>
      <c r="S5" s="92" t="inlineStr"/>
      <c r="T5" s="92" t="inlineStr"/>
      <c r="U5" s="92" t="inlineStr">
        <is>
          <t>قطعی</t>
        </is>
      </c>
      <c r="V5" s="92" t="inlineStr"/>
    </row>
    <row r="6" ht="40" customHeight="1" s="76">
      <c r="A6" s="92" t="inlineStr">
        <is>
          <t>PF0003</t>
        </is>
      </c>
      <c r="B6" s="92" t="inlineStr">
        <is>
          <t>تاپیکو</t>
        </is>
      </c>
      <c r="C6" s="92" t="inlineStr">
        <is>
          <t>پنجره مشترک</t>
        </is>
      </c>
      <c r="D6" s="92" t="inlineStr">
        <is>
          <t>P-3F3559B1</t>
        </is>
      </c>
      <c r="E6" s="92" t="inlineStr">
        <is>
          <t>محمدمهدی رحمتی</t>
        </is>
      </c>
      <c r="F6" s="92" t="inlineStr">
        <is>
          <t>محمدمهدی رحمتی</t>
        </is>
      </c>
      <c r="G6" s="92" t="inlineStr">
        <is>
          <t>حاضر</t>
        </is>
      </c>
      <c r="H6" s="92" t="inlineStr">
        <is>
          <t>حاضر</t>
        </is>
      </c>
      <c r="I6" s="92" t="inlineStr">
        <is>
          <t>PERSISTED</t>
        </is>
      </c>
      <c r="J6" s="92" t="inlineStr">
        <is>
          <t>ماندگار: حاضر در هر دو مقطع</t>
        </is>
      </c>
      <c r="K6" s="92" t="inlineStr">
        <is>
          <t>عضو (غیرموظف)</t>
        </is>
      </c>
      <c r="L6" s="92" t="inlineStr">
        <is>
          <t>رئیس هیئت مدیره (غیرموظف)</t>
        </is>
      </c>
      <c r="M6" s="92" t="inlineStr">
        <is>
          <t>سرمایه‌گذاری صدر تأمین</t>
        </is>
      </c>
      <c r="N6" s="92" t="inlineStr">
        <is>
          <t>سرمایه‌گذاری صدر تأمین</t>
        </is>
      </c>
      <c r="O6" s="92" t="inlineStr">
        <is>
          <t>خیر</t>
        </is>
      </c>
      <c r="P6" s="92" t="inlineStr"/>
      <c r="Q6" s="92" t="inlineStr"/>
      <c r="R6" s="92" t="inlineStr">
        <is>
          <t>1311653</t>
        </is>
      </c>
      <c r="S6" s="92" t="inlineStr">
        <is>
          <t>1477918</t>
        </is>
      </c>
      <c r="T6" s="92" t="inlineStr"/>
      <c r="U6" s="92" t="inlineStr">
        <is>
          <t>قطعی</t>
        </is>
      </c>
      <c r="V6" s="92" t="inlineStr"/>
    </row>
    <row r="7" ht="40" customHeight="1" s="76">
      <c r="A7" s="92" t="inlineStr">
        <is>
          <t>PF0004</t>
        </is>
      </c>
      <c r="B7" s="92" t="inlineStr">
        <is>
          <t>تاپیکو</t>
        </is>
      </c>
      <c r="C7" s="92" t="inlineStr">
        <is>
          <t>پنجره مشترک</t>
        </is>
      </c>
      <c r="D7" s="92" t="inlineStr">
        <is>
          <t>P-78DA6F7C</t>
        </is>
      </c>
      <c r="E7" s="92" t="inlineStr">
        <is>
          <t>هوشنگ ایزدی</t>
        </is>
      </c>
      <c r="F7" s="92" t="inlineStr">
        <is>
          <t>هوشنگ ایزدی</t>
        </is>
      </c>
      <c r="G7" s="92" t="inlineStr">
        <is>
          <t>حاضر</t>
        </is>
      </c>
      <c r="H7" s="92" t="inlineStr">
        <is>
          <t>حاضر</t>
        </is>
      </c>
      <c r="I7" s="92" t="inlineStr">
        <is>
          <t>PERSISTED</t>
        </is>
      </c>
      <c r="J7" s="92" t="inlineStr">
        <is>
          <t>ماندگار: حاضر در هر دو مقطع</t>
        </is>
      </c>
      <c r="K7" s="92" t="inlineStr">
        <is>
          <t>عضو (غیرموظف)</t>
        </is>
      </c>
      <c r="L7" s="92" t="inlineStr">
        <is>
          <t>عضو (غیرموظف)</t>
        </is>
      </c>
      <c r="M7" s="92" t="inlineStr">
        <is>
          <t>سرمایه‌گذاری سیمان تأمین</t>
        </is>
      </c>
      <c r="N7" s="92" t="inlineStr">
        <is>
          <t>سرمایه‌گذاری سیمان تأمین</t>
        </is>
      </c>
      <c r="O7" s="92" t="inlineStr">
        <is>
          <t>خیر</t>
        </is>
      </c>
      <c r="P7" s="92" t="inlineStr"/>
      <c r="Q7" s="92" t="inlineStr"/>
      <c r="R7" s="92" t="inlineStr">
        <is>
          <t>1311653</t>
        </is>
      </c>
      <c r="S7" s="92" t="inlineStr">
        <is>
          <t>1477918</t>
        </is>
      </c>
      <c r="T7" s="92" t="inlineStr"/>
      <c r="U7" s="92" t="inlineStr">
        <is>
          <t>قطعی</t>
        </is>
      </c>
      <c r="V7" s="92" t="inlineStr"/>
    </row>
    <row r="8" ht="40" customHeight="1" s="76">
      <c r="A8" s="92" t="inlineStr">
        <is>
          <t>PF0005</t>
        </is>
      </c>
      <c r="B8" s="92" t="inlineStr">
        <is>
          <t>تاپیکو</t>
        </is>
      </c>
      <c r="C8" s="92" t="inlineStr">
        <is>
          <t>پنجره مشترک</t>
        </is>
      </c>
      <c r="D8" s="92" t="inlineStr">
        <is>
          <t>P-D27E084C</t>
        </is>
      </c>
      <c r="E8" s="92" t="inlineStr">
        <is>
          <t>جعفر ربیعی</t>
        </is>
      </c>
      <c r="F8" s="92" t="inlineStr">
        <is>
          <t>جعفر ربیعی</t>
        </is>
      </c>
      <c r="G8" s="92" t="inlineStr">
        <is>
          <t>حاضر</t>
        </is>
      </c>
      <c r="H8" s="92" t="inlineStr">
        <is>
          <t>غایب</t>
        </is>
      </c>
      <c r="I8" s="92" t="inlineStr">
        <is>
          <t>EXIT_BETWEEN_SNAPSHOTS</t>
        </is>
      </c>
      <c r="J8" s="92" t="inlineStr">
        <is>
          <t>خارج شده بین دو مقطع</t>
        </is>
      </c>
      <c r="K8" s="92" t="inlineStr">
        <is>
          <t>رئیس هیئت مدیره (غیرموظف)</t>
        </is>
      </c>
      <c r="L8" s="92" t="inlineStr"/>
      <c r="M8" s="92" t="inlineStr">
        <is>
          <t>سرمایه‌گذاری داروئی تأمین</t>
        </is>
      </c>
      <c r="N8" s="92" t="inlineStr"/>
      <c r="O8" s="92" t="inlineStr"/>
      <c r="P8" s="92" t="inlineStr">
        <is>
          <t>1404/06/26</t>
        </is>
      </c>
      <c r="Q8" s="92" t="inlineStr">
        <is>
          <t>تاریخ موثر ثبت شده در بازسازی v38</t>
        </is>
      </c>
      <c r="R8" s="92" t="inlineStr">
        <is>
          <t>1311653</t>
        </is>
      </c>
      <c r="S8" s="92" t="inlineStr"/>
      <c r="T8" s="92" t="inlineStr"/>
      <c r="U8" s="92" t="inlineStr">
        <is>
          <t>قطعی</t>
        </is>
      </c>
      <c r="V8" s="92" t="inlineStr"/>
    </row>
    <row r="9" ht="40" customHeight="1" s="76">
      <c r="A9" s="92" t="inlineStr">
        <is>
          <t>PF0006</t>
        </is>
      </c>
      <c r="B9" s="92" t="inlineStr">
        <is>
          <t>تاپیکو</t>
        </is>
      </c>
      <c r="C9" s="92" t="inlineStr">
        <is>
          <t>پنجره مشترک</t>
        </is>
      </c>
      <c r="D9" s="92" t="inlineStr">
        <is>
          <t>P-9D406A60</t>
        </is>
      </c>
      <c r="E9" s="92" t="inlineStr">
        <is>
          <t>روح‌اله شهیدی‌پور</t>
        </is>
      </c>
      <c r="F9" s="92" t="inlineStr">
        <is>
          <t>روح اله شهیدی پور</t>
        </is>
      </c>
      <c r="G9" s="92" t="inlineStr">
        <is>
          <t>غایب</t>
        </is>
      </c>
      <c r="H9" s="92" t="inlineStr">
        <is>
          <t>حاضر</t>
        </is>
      </c>
      <c r="I9" s="92" t="inlineStr">
        <is>
          <t>ENTRY_BETWEEN_SNAPSHOTS</t>
        </is>
      </c>
      <c r="J9" s="92" t="inlineStr">
        <is>
          <t>واردشده بین دو مقطع</t>
        </is>
      </c>
      <c r="K9" s="92" t="inlineStr"/>
      <c r="L9" s="92" t="inlineStr">
        <is>
          <t>نایب رئیس و مدیرعامل (موظف)</t>
        </is>
      </c>
      <c r="M9" s="92" t="inlineStr"/>
      <c r="N9" s="92" t="inlineStr">
        <is>
          <t>سرمایه‌گذاری تأمین اجتماعی (شستا)</t>
        </is>
      </c>
      <c r="O9" s="92" t="inlineStr"/>
      <c r="P9" s="92" t="inlineStr">
        <is>
          <t>1404/06/26</t>
        </is>
      </c>
      <c r="Q9" s="92" t="inlineStr">
        <is>
          <t>تاریخ موثر ثبت شده در بازسازی v38</t>
        </is>
      </c>
      <c r="R9" s="92" t="inlineStr"/>
      <c r="S9" s="92" t="inlineStr">
        <is>
          <t>1477918</t>
        </is>
      </c>
      <c r="T9" s="92" t="inlineStr"/>
      <c r="U9" s="92" t="inlineStr">
        <is>
          <t>قطعی</t>
        </is>
      </c>
      <c r="V9" s="92" t="inlineStr"/>
    </row>
    <row r="10" ht="40" customHeight="1" s="76">
      <c r="A10" s="92" t="inlineStr">
        <is>
          <t>PF0007</t>
        </is>
      </c>
      <c r="B10" s="92" t="inlineStr">
        <is>
          <t>تاپیکو</t>
        </is>
      </c>
      <c r="C10" s="92" t="inlineStr">
        <is>
          <t>پنجره مشترک</t>
        </is>
      </c>
      <c r="D10" s="92" t="inlineStr">
        <is>
          <t>P-D14A417C</t>
        </is>
      </c>
      <c r="E10" s="92" t="inlineStr">
        <is>
          <t>کمیل پورضیائی</t>
        </is>
      </c>
      <c r="F10" s="92" t="inlineStr">
        <is>
          <t>کمیل پورضیائی</t>
        </is>
      </c>
      <c r="G10" s="92" t="inlineStr">
        <is>
          <t>غایب</t>
        </is>
      </c>
      <c r="H10" s="92" t="inlineStr">
        <is>
          <t>حاضر</t>
        </is>
      </c>
      <c r="I10" s="92" t="inlineStr">
        <is>
          <t>ENTRY_BETWEEN_SNAPSHOTS</t>
        </is>
      </c>
      <c r="J10" s="92" t="inlineStr">
        <is>
          <t>واردشده بین دو مقطع</t>
        </is>
      </c>
      <c r="K10" s="92" t="inlineStr"/>
      <c r="L10" s="92" t="inlineStr">
        <is>
          <t>عضو (غیرموظف)</t>
        </is>
      </c>
      <c r="M10" s="92" t="inlineStr"/>
      <c r="N10" s="92" t="inlineStr">
        <is>
          <t>سرمایه‌گذاری صبا تأمین</t>
        </is>
      </c>
      <c r="O10" s="92" t="inlineStr"/>
      <c r="P10" s="92" t="inlineStr">
        <is>
          <t>1404/05/01</t>
        </is>
      </c>
      <c r="Q10" s="92" t="inlineStr">
        <is>
          <t>تاریخ موثر ثبت شده در بازسازی v38</t>
        </is>
      </c>
      <c r="R10" s="92" t="inlineStr"/>
      <c r="S10" s="92" t="inlineStr">
        <is>
          <t>1477918</t>
        </is>
      </c>
      <c r="T10" s="92" t="inlineStr"/>
      <c r="U10" s="92" t="inlineStr">
        <is>
          <t>قطعی</t>
        </is>
      </c>
      <c r="V10" s="92" t="inlineStr"/>
    </row>
    <row r="11" ht="40" customHeight="1" s="76">
      <c r="A11" s="92" t="inlineStr">
        <is>
          <t>PF0008</t>
        </is>
      </c>
      <c r="B11" s="92" t="inlineStr">
        <is>
          <t>تاپیکو</t>
        </is>
      </c>
      <c r="C11" s="92" t="inlineStr">
        <is>
          <t>پنجره مشترک</t>
        </is>
      </c>
      <c r="D11" s="92" t="inlineStr">
        <is>
          <t>P-8DF23766</t>
        </is>
      </c>
      <c r="E11" s="92" t="inlineStr">
        <is>
          <t>محمدحسین صابر</t>
        </is>
      </c>
      <c r="F11" s="92" t="inlineStr">
        <is>
          <t>محمدحسین صابر</t>
        </is>
      </c>
      <c r="G11" s="92" t="inlineStr">
        <is>
          <t>غایب</t>
        </is>
      </c>
      <c r="H11" s="92" t="inlineStr">
        <is>
          <t>حاضر</t>
        </is>
      </c>
      <c r="I11" s="92" t="inlineStr">
        <is>
          <t>ENTRY_BETWEEN_SNAPSHOTS</t>
        </is>
      </c>
      <c r="J11" s="92" t="inlineStr">
        <is>
          <t>واردشده بین دو مقطع</t>
        </is>
      </c>
      <c r="K11" s="92" t="inlineStr"/>
      <c r="L11" s="92" t="inlineStr">
        <is>
          <t>عضو (غیرموظف)</t>
        </is>
      </c>
      <c r="M11" s="92" t="inlineStr"/>
      <c r="N11" s="92" t="inlineStr">
        <is>
          <t>سرمایه‌گذاری داروئی تأمین</t>
        </is>
      </c>
      <c r="O11" s="92" t="inlineStr"/>
      <c r="P11" s="92" t="inlineStr">
        <is>
          <t>1404/06/26</t>
        </is>
      </c>
      <c r="Q11" s="92" t="inlineStr">
        <is>
          <t>تاریخ موثر ثبت شده در بازسازی v38</t>
        </is>
      </c>
      <c r="R11" s="92" t="inlineStr"/>
      <c r="S11" s="92" t="inlineStr">
        <is>
          <t>1477918</t>
        </is>
      </c>
      <c r="T11" s="92" t="inlineStr"/>
      <c r="U11" s="92" t="inlineStr">
        <is>
          <t>قطعی</t>
        </is>
      </c>
      <c r="V11" s="92" t="inlineStr"/>
    </row>
    <row r="12" ht="40" customHeight="1" s="76">
      <c r="A12" s="92" t="inlineStr">
        <is>
          <t>PF0009</t>
        </is>
      </c>
      <c r="B12" s="92" t="inlineStr">
        <is>
          <t>کچاد</t>
        </is>
      </c>
      <c r="C12" s="92" t="inlineStr">
        <is>
          <t>پنجره مشترک</t>
        </is>
      </c>
      <c r="D12" s="92" t="inlineStr">
        <is>
          <t>P-D9058E08</t>
        </is>
      </c>
      <c r="E12" s="92" t="inlineStr">
        <is>
          <t>محمود صلاحی</t>
        </is>
      </c>
      <c r="F12" s="92" t="inlineStr">
        <is>
          <t>محمود صلاحی</t>
        </is>
      </c>
      <c r="G12" s="92" t="inlineStr">
        <is>
          <t>حاضر</t>
        </is>
      </c>
      <c r="H12" s="92" t="inlineStr">
        <is>
          <t>غایب</t>
        </is>
      </c>
      <c r="I12" s="92" t="inlineStr">
        <is>
          <t>EXIT_BETWEEN_SNAPSHOTS</t>
        </is>
      </c>
      <c r="J12" s="92" t="inlineStr">
        <is>
          <t>خارج شده بین دو مقطع</t>
        </is>
      </c>
      <c r="K12" s="92" t="inlineStr">
        <is>
          <t>رئیس هیئت مدیره (غیرموظف)</t>
        </is>
      </c>
      <c r="L12" s="92" t="inlineStr"/>
      <c r="M12" s="92" t="inlineStr">
        <is>
          <t>گروه مدیریت سرمایه‌گذاری امید</t>
        </is>
      </c>
      <c r="N12" s="92" t="inlineStr"/>
      <c r="O12" s="92" t="inlineStr"/>
      <c r="P12" s="92" t="inlineStr">
        <is>
          <t>1404/02/24</t>
        </is>
      </c>
      <c r="Q12" s="92" t="inlineStr">
        <is>
          <t>تاریخ موثر ثبت شده در بازسازی v38</t>
        </is>
      </c>
      <c r="R12" s="92" t="inlineStr">
        <is>
          <t>1287746</t>
        </is>
      </c>
      <c r="S12" s="92" t="inlineStr"/>
      <c r="T12" s="92" t="inlineStr"/>
      <c r="U12" s="92" t="inlineStr">
        <is>
          <t>قطعی</t>
        </is>
      </c>
      <c r="V12" s="92" t="inlineStr">
        <is>
          <t>کرسی خوزستان در مبنا خالی مستند: نماینده قبلی ۱۴۰۳/۰۹/۰۴ حذف و جانشین تا ۱۴۰۴/۰۵/۲۰ نیامد (متن v38)</t>
        </is>
      </c>
    </row>
    <row r="13" ht="40" customHeight="1" s="76">
      <c r="A13" s="92" t="inlineStr">
        <is>
          <t>PF0010</t>
        </is>
      </c>
      <c r="B13" s="92" t="inlineStr">
        <is>
          <t>کچاد</t>
        </is>
      </c>
      <c r="C13" s="92" t="inlineStr">
        <is>
          <t>پنجره مشترک</t>
        </is>
      </c>
      <c r="D13" s="92" t="inlineStr">
        <is>
          <t>P-F92AE52D</t>
        </is>
      </c>
      <c r="E13" s="92" t="inlineStr">
        <is>
          <t>فرید دهقانی</t>
        </is>
      </c>
      <c r="F13" s="92" t="inlineStr">
        <is>
          <t>فرید دهقانی</t>
        </is>
      </c>
      <c r="G13" s="92" t="inlineStr">
        <is>
          <t>حاضر</t>
        </is>
      </c>
      <c r="H13" s="92" t="inlineStr">
        <is>
          <t>حاضر</t>
        </is>
      </c>
      <c r="I13" s="92" t="inlineStr">
        <is>
          <t>PERSISTED</t>
        </is>
      </c>
      <c r="J13" s="92" t="inlineStr">
        <is>
          <t>ماندگار: حاضر در هر دو مقطع</t>
        </is>
      </c>
      <c r="K13" s="92" t="inlineStr">
        <is>
          <t>عضو و مدیرعامل (موظف)</t>
        </is>
      </c>
      <c r="L13" s="92" t="inlineStr">
        <is>
          <t>عضو و مدیرعامل (موظف)</t>
        </is>
      </c>
      <c r="M13" s="92" t="inlineStr">
        <is>
          <t>سرمایه‌گذاری توسعه معادن و فلزات</t>
        </is>
      </c>
      <c r="N13" s="92" t="inlineStr">
        <is>
          <t>سرمایه‌گذاری توسعه معادن و فلزات</t>
        </is>
      </c>
      <c r="O13" s="92" t="inlineStr">
        <is>
          <t>خیر</t>
        </is>
      </c>
      <c r="P13" s="92" t="inlineStr"/>
      <c r="Q13" s="92" t="inlineStr"/>
      <c r="R13" s="92" t="inlineStr">
        <is>
          <t>1287746</t>
        </is>
      </c>
      <c r="S13" s="92" t="inlineStr">
        <is>
          <t>1473973</t>
        </is>
      </c>
      <c r="T13" s="92" t="inlineStr"/>
      <c r="U13" s="92" t="inlineStr">
        <is>
          <t>قطعی</t>
        </is>
      </c>
      <c r="V13" s="92" t="inlineStr"/>
    </row>
    <row r="14" ht="40" customHeight="1" s="76">
      <c r="A14" s="92" t="inlineStr">
        <is>
          <t>PF0011</t>
        </is>
      </c>
      <c r="B14" s="92" t="inlineStr">
        <is>
          <t>کچاد</t>
        </is>
      </c>
      <c r="C14" s="92" t="inlineStr">
        <is>
          <t>پنجره مشترک</t>
        </is>
      </c>
      <c r="D14" s="92" t="inlineStr">
        <is>
          <t>P-626B4CAE</t>
        </is>
      </c>
      <c r="E14" s="92" t="inlineStr">
        <is>
          <t>سعید مستشار</t>
        </is>
      </c>
      <c r="F14" s="92" t="inlineStr">
        <is>
          <t>سعید مستشار</t>
        </is>
      </c>
      <c r="G14" s="92" t="inlineStr">
        <is>
          <t>حاضر</t>
        </is>
      </c>
      <c r="H14" s="92" t="inlineStr">
        <is>
          <t>غایب</t>
        </is>
      </c>
      <c r="I14" s="92" t="inlineStr">
        <is>
          <t>EXIT_BETWEEN_SNAPSHOTS</t>
        </is>
      </c>
      <c r="J14" s="92" t="inlineStr">
        <is>
          <t>خارج شده بین دو مقطع</t>
        </is>
      </c>
      <c r="K14" s="92" t="inlineStr">
        <is>
          <t>نایب رئیس (موظف)</t>
        </is>
      </c>
      <c r="L14" s="92" t="inlineStr"/>
      <c r="M14" s="92" t="inlineStr">
        <is>
          <t>سرمایه‌گذاری سپه</t>
        </is>
      </c>
      <c r="N14" s="92" t="inlineStr"/>
      <c r="O14" s="92" t="inlineStr"/>
      <c r="P14" s="92" t="inlineStr">
        <is>
          <t>1404/02/24</t>
        </is>
      </c>
      <c r="Q14" s="92" t="inlineStr">
        <is>
          <t>تاریخ موثر ثبت شده در بازسازی v38</t>
        </is>
      </c>
      <c r="R14" s="92" t="inlineStr">
        <is>
          <t>1287746</t>
        </is>
      </c>
      <c r="S14" s="92" t="inlineStr"/>
      <c r="T14" s="92" t="inlineStr"/>
      <c r="U14" s="92" t="inlineStr">
        <is>
          <t>قطعی</t>
        </is>
      </c>
      <c r="V14" s="92" t="inlineStr">
        <is>
          <t>کرسی خوزستان در مبنا خالی مستند: نماینده قبلی ۱۴۰۳/۰۹/۰۴ حذف و جانشین تا ۱۴۰۴/۰۵/۲۰ نیامد (متن v38)</t>
        </is>
      </c>
    </row>
    <row r="15" ht="40" customHeight="1" s="76">
      <c r="A15" s="92" t="inlineStr">
        <is>
          <t>PF0012</t>
        </is>
      </c>
      <c r="B15" s="92" t="inlineStr">
        <is>
          <t>کچاد</t>
        </is>
      </c>
      <c r="C15" s="92" t="inlineStr">
        <is>
          <t>پنجره مشترک</t>
        </is>
      </c>
      <c r="D15" s="92" t="inlineStr">
        <is>
          <t>P-F29146EF</t>
        </is>
      </c>
      <c r="E15" s="92" t="inlineStr">
        <is>
          <t>مهدی آقاپوربی‌شک</t>
        </is>
      </c>
      <c r="F15" s="92" t="inlineStr">
        <is>
          <t>مهدی آقاپوربی شک</t>
        </is>
      </c>
      <c r="G15" s="92" t="inlineStr">
        <is>
          <t>حاضر</t>
        </is>
      </c>
      <c r="H15" s="92" t="inlineStr">
        <is>
          <t>حاضر</t>
        </is>
      </c>
      <c r="I15" s="92" t="inlineStr">
        <is>
          <t>PERSISTED</t>
        </is>
      </c>
      <c r="J15" s="92" t="inlineStr">
        <is>
          <t>ماندگار: حاضر در هر دو مقطع</t>
        </is>
      </c>
      <c r="K15" s="92" t="inlineStr">
        <is>
          <t>عضو (غیرموظف)</t>
        </is>
      </c>
      <c r="L15" s="92" t="inlineStr">
        <is>
          <t>عضو (غیرموظف)</t>
        </is>
      </c>
      <c r="M15" s="92" t="inlineStr">
        <is>
          <t>فولاد مبارکه اصفهان</t>
        </is>
      </c>
      <c r="N15" s="92" t="inlineStr">
        <is>
          <t>فولاد مبارکه اصفهان</t>
        </is>
      </c>
      <c r="O15" s="92" t="inlineStr">
        <is>
          <t>خیر</t>
        </is>
      </c>
      <c r="P15" s="92" t="inlineStr"/>
      <c r="Q15" s="92" t="inlineStr"/>
      <c r="R15" s="92" t="inlineStr">
        <is>
          <t>1287746</t>
        </is>
      </c>
      <c r="S15" s="92" t="inlineStr">
        <is>
          <t>1473973</t>
        </is>
      </c>
      <c r="T15" s="92" t="inlineStr"/>
      <c r="U15" s="92" t="inlineStr">
        <is>
          <t>قطعی</t>
        </is>
      </c>
      <c r="V15" s="92" t="inlineStr"/>
    </row>
    <row r="16" ht="40" customHeight="1" s="76">
      <c r="A16" s="92" t="inlineStr">
        <is>
          <t>PF0013</t>
        </is>
      </c>
      <c r="B16" s="92" t="inlineStr">
        <is>
          <t>کچاد</t>
        </is>
      </c>
      <c r="C16" s="92" t="inlineStr">
        <is>
          <t>پنجره مشترک</t>
        </is>
      </c>
      <c r="D16" s="92" t="inlineStr">
        <is>
          <t>P-B63B45D6</t>
        </is>
      </c>
      <c r="E16" s="92" t="inlineStr">
        <is>
          <t>محمدرضا تابش</t>
        </is>
      </c>
      <c r="F16" s="92" t="inlineStr">
        <is>
          <t>محمدرضا تابش</t>
        </is>
      </c>
      <c r="G16" s="92" t="inlineStr">
        <is>
          <t>غایب</t>
        </is>
      </c>
      <c r="H16" s="92" t="inlineStr">
        <is>
          <t>حاضر</t>
        </is>
      </c>
      <c r="I16" s="92" t="inlineStr">
        <is>
          <t>ENTRY_BETWEEN_SNAPSHOTS</t>
        </is>
      </c>
      <c r="J16" s="92" t="inlineStr">
        <is>
          <t>واردشده بین دو مقطع</t>
        </is>
      </c>
      <c r="K16" s="92" t="inlineStr"/>
      <c r="L16" s="92" t="inlineStr">
        <is>
          <t>رئیس هیئت مدیره (غیرموظف)</t>
        </is>
      </c>
      <c r="M16" s="92" t="inlineStr"/>
      <c r="N16" s="92" t="inlineStr">
        <is>
          <t>گروه مدیریت سرمایه‌گذاری امید</t>
        </is>
      </c>
      <c r="O16" s="92" t="inlineStr"/>
      <c r="P16" s="92" t="inlineStr">
        <is>
          <t>1404/02/24</t>
        </is>
      </c>
      <c r="Q16" s="92" t="inlineStr">
        <is>
          <t>تاریخ موثر ثبت شده در بازسازی v38</t>
        </is>
      </c>
      <c r="R16" s="92" t="inlineStr"/>
      <c r="S16" s="92" t="inlineStr">
        <is>
          <t>1473973</t>
        </is>
      </c>
      <c r="T16" s="92" t="inlineStr"/>
      <c r="U16" s="92" t="inlineStr">
        <is>
          <t>قطعی</t>
        </is>
      </c>
      <c r="V16" s="92" t="inlineStr">
        <is>
          <t>کرسی خوزستان در مبنا خالی مستند: نماینده قبلی ۱۴۰۳/۰۹/۰۴ حذف و جانشین تا ۱۴۰۴/۰۵/۲۰ نیامد (متن v38)</t>
        </is>
      </c>
    </row>
    <row r="17" ht="40" customHeight="1" s="76">
      <c r="A17" s="92" t="inlineStr">
        <is>
          <t>PF0014</t>
        </is>
      </c>
      <c r="B17" s="92" t="inlineStr">
        <is>
          <t>کچاد</t>
        </is>
      </c>
      <c r="C17" s="92" t="inlineStr">
        <is>
          <t>پنجره مشترک</t>
        </is>
      </c>
      <c r="D17" s="92" t="inlineStr">
        <is>
          <t>P-7C2D49A0</t>
        </is>
      </c>
      <c r="E17" s="92" t="inlineStr">
        <is>
          <t>حامد دهقانان</t>
        </is>
      </c>
      <c r="F17" s="92" t="inlineStr">
        <is>
          <t>حامد دهقانان</t>
        </is>
      </c>
      <c r="G17" s="92" t="inlineStr">
        <is>
          <t>غایب</t>
        </is>
      </c>
      <c r="H17" s="92" t="inlineStr">
        <is>
          <t>حاضر</t>
        </is>
      </c>
      <c r="I17" s="92" t="inlineStr">
        <is>
          <t>ENTRY_BETWEEN_SNAPSHOTS</t>
        </is>
      </c>
      <c r="J17" s="92" t="inlineStr">
        <is>
          <t>واردشده بین دو مقطع</t>
        </is>
      </c>
      <c r="K17" s="92" t="inlineStr"/>
      <c r="L17" s="92" t="inlineStr">
        <is>
          <t>عضو (موظف)</t>
        </is>
      </c>
      <c r="M17" s="92" t="inlineStr"/>
      <c r="N17" s="92" t="inlineStr">
        <is>
          <t>سرمایه‌گذاری سپه</t>
        </is>
      </c>
      <c r="O17" s="92" t="inlineStr"/>
      <c r="P17" s="92" t="inlineStr">
        <is>
          <t>1404/02/24</t>
        </is>
      </c>
      <c r="Q17" s="92" t="inlineStr">
        <is>
          <t>تاریخ موثر ثبت شده در بازسازی v38</t>
        </is>
      </c>
      <c r="R17" s="92" t="inlineStr"/>
      <c r="S17" s="92" t="inlineStr">
        <is>
          <t>1473973</t>
        </is>
      </c>
      <c r="T17" s="92" t="inlineStr"/>
      <c r="U17" s="92" t="inlineStr">
        <is>
          <t>قطعی</t>
        </is>
      </c>
      <c r="V17" s="92" t="inlineStr">
        <is>
          <t>کرسی خوزستان در مبنا خالی مستند: نماینده قبلی ۱۴۰۳/۰۹/۰۴ حذف و جانشین تا ۱۴۰۴/۰۵/۲۰ نیامد (متن v38)</t>
        </is>
      </c>
    </row>
    <row r="18" ht="40" customHeight="1" s="76">
      <c r="A18" s="92" t="inlineStr">
        <is>
          <t>PF0015</t>
        </is>
      </c>
      <c r="B18" s="92" t="inlineStr">
        <is>
          <t>کچاد</t>
        </is>
      </c>
      <c r="C18" s="92" t="inlineStr">
        <is>
          <t>پنجره مشترک</t>
        </is>
      </c>
      <c r="D18" s="92" t="inlineStr">
        <is>
          <t>P-CA1E8CE0</t>
        </is>
      </c>
      <c r="E18" s="92" t="inlineStr">
        <is>
          <t>مجتبی شعبانی</t>
        </is>
      </c>
      <c r="F18" s="92" t="inlineStr">
        <is>
          <t>مجتبی شعبانی</t>
        </is>
      </c>
      <c r="G18" s="92" t="inlineStr">
        <is>
          <t>غایب</t>
        </is>
      </c>
      <c r="H18" s="92" t="inlineStr">
        <is>
          <t>حاضر</t>
        </is>
      </c>
      <c r="I18" s="92" t="inlineStr">
        <is>
          <t>ENTRY_BETWEEN_SNAPSHOTS</t>
        </is>
      </c>
      <c r="J18" s="92" t="inlineStr">
        <is>
          <t>واردشده بین دو مقطع</t>
        </is>
      </c>
      <c r="K18" s="92" t="inlineStr"/>
      <c r="L18" s="92" t="inlineStr">
        <is>
          <t>نایب رئیس (غیرموظف)</t>
        </is>
      </c>
      <c r="M18" s="92" t="inlineStr"/>
      <c r="N18" s="92" t="inlineStr">
        <is>
          <t>سرمایه‌گذاری استان خوزستان</t>
        </is>
      </c>
      <c r="O18" s="92" t="inlineStr"/>
      <c r="P18" s="92" t="inlineStr">
        <is>
          <t>1404/10/29</t>
        </is>
      </c>
      <c r="Q18" s="92" t="inlineStr">
        <is>
          <t>جلسه هیئت مدیره؛ جانشین موقت کریم نژاد از 1404/05/06 مجمع تا 1404/10/29</t>
        </is>
      </c>
      <c r="R18" s="92" t="inlineStr"/>
      <c r="S18" s="92" t="inlineStr">
        <is>
          <t>1473973</t>
        </is>
      </c>
      <c r="T18" s="92" t="inlineStr"/>
      <c r="U18" s="92" t="inlineStr">
        <is>
          <t>قطعی</t>
        </is>
      </c>
      <c r="V18" s="92" t="inlineStr">
        <is>
          <t>کرسی خوزستان در مبنا خالی مستند: نماینده قبلی ۱۴۰۳/۰۹/۰۴ حذف و جانشین تا ۱۴۰۴/۰۵/۲۰ نیامد (متن v38)</t>
        </is>
      </c>
    </row>
    <row r="19" ht="40" customHeight="1" s="76">
      <c r="A19" s="93" t="inlineStr">
        <is>
          <t>PF0016</t>
        </is>
      </c>
      <c r="B19" s="93" t="inlineStr">
        <is>
          <t>پارسان</t>
        </is>
      </c>
      <c r="C19" s="93" t="inlineStr">
        <is>
          <t>پنجره مشترک</t>
        </is>
      </c>
      <c r="D19" s="93" t="inlineStr">
        <is>
          <t>P-F09275F4</t>
        </is>
      </c>
      <c r="E19" s="93" t="inlineStr">
        <is>
          <t>سیدجعفر هاشمی</t>
        </is>
      </c>
      <c r="F19" s="93" t="inlineStr">
        <is>
          <t>سیدجعفر هاشمی</t>
        </is>
      </c>
      <c r="G19" s="93" t="inlineStr">
        <is>
          <t>حاضر</t>
        </is>
      </c>
      <c r="H19" s="93" t="inlineStr">
        <is>
          <t>حاضر</t>
        </is>
      </c>
      <c r="I19" s="93" t="inlineStr">
        <is>
          <t>PERSISTED</t>
        </is>
      </c>
      <c r="J19" s="93" t="inlineStr">
        <is>
          <t>ماندگار: حاضر در هر دو مقطع</t>
        </is>
      </c>
      <c r="K19" s="93" t="inlineStr">
        <is>
          <t>عضو و مدیرعامل (موظف)</t>
        </is>
      </c>
      <c r="L19" s="93" t="inlineStr">
        <is>
          <t>عضو و مدیرعامل (موظف)</t>
        </is>
      </c>
      <c r="M19" s="93" t="inlineStr">
        <is>
          <t>سرمایه‌گذاری غدیر</t>
        </is>
      </c>
      <c r="N19" s="93" t="inlineStr">
        <is>
          <t>سرمایه‌گذاری غدیر</t>
        </is>
      </c>
      <c r="O19" s="93" t="inlineStr">
        <is>
          <t>خیر</t>
        </is>
      </c>
      <c r="P19" s="93" t="inlineStr"/>
      <c r="Q19" s="93" t="inlineStr"/>
      <c r="R19" s="93" t="inlineStr">
        <is>
          <t>1288275</t>
        </is>
      </c>
      <c r="S19" s="93" t="inlineStr">
        <is>
          <t>1443940</t>
        </is>
      </c>
      <c r="T19" s="93" t="inlineStr"/>
      <c r="U19" s="93" t="inlineStr">
        <is>
          <t>قطعی با حساسیت</t>
        </is>
      </c>
      <c r="V19" s="93" t="inlineStr"/>
    </row>
    <row r="20" ht="40" customHeight="1" s="76">
      <c r="A20" s="93" t="inlineStr">
        <is>
          <t>PF0017</t>
        </is>
      </c>
      <c r="B20" s="93" t="inlineStr">
        <is>
          <t>پارسان</t>
        </is>
      </c>
      <c r="C20" s="93" t="inlineStr">
        <is>
          <t>پنجره مشترک</t>
        </is>
      </c>
      <c r="D20" s="93" t="inlineStr">
        <is>
          <t>P-71B57E34</t>
        </is>
      </c>
      <c r="E20" s="93" t="inlineStr">
        <is>
          <t>رحیم اسماعیلی دانا</t>
        </is>
      </c>
      <c r="F20" s="93" t="inlineStr">
        <is>
          <t>رحیم اسماعیلی دانا</t>
        </is>
      </c>
      <c r="G20" s="93" t="inlineStr">
        <is>
          <t>حاضر</t>
        </is>
      </c>
      <c r="H20" s="93" t="inlineStr">
        <is>
          <t>حاضر</t>
        </is>
      </c>
      <c r="I20" s="93" t="inlineStr">
        <is>
          <t>PERSISTED</t>
        </is>
      </c>
      <c r="J20" s="93" t="inlineStr">
        <is>
          <t>ماندگار: حاضر در هر دو مقطع</t>
        </is>
      </c>
      <c r="K20" s="93" t="inlineStr">
        <is>
          <t>نایب رئیس (غیرموظف)</t>
        </is>
      </c>
      <c r="L20" s="93" t="inlineStr">
        <is>
          <t>نایب رئیس (غیرموظف)</t>
        </is>
      </c>
      <c r="M20" s="93" t="inlineStr">
        <is>
          <t>سرمایه‌گذاری اعتضاد غدیر</t>
        </is>
      </c>
      <c r="N20" s="93" t="inlineStr">
        <is>
          <t>سرمایه‌گذاری اعتضاد غدیر</t>
        </is>
      </c>
      <c r="O20" s="93" t="inlineStr">
        <is>
          <t>خیر</t>
        </is>
      </c>
      <c r="P20" s="93" t="inlineStr"/>
      <c r="Q20" s="93" t="inlineStr"/>
      <c r="R20" s="93" t="inlineStr">
        <is>
          <t>1288275</t>
        </is>
      </c>
      <c r="S20" s="93" t="inlineStr">
        <is>
          <t>1443940</t>
        </is>
      </c>
      <c r="T20" s="93" t="inlineStr"/>
      <c r="U20" s="93" t="inlineStr">
        <is>
          <t>قطعی با حساسیت</t>
        </is>
      </c>
      <c r="V20" s="93" t="inlineStr"/>
    </row>
    <row r="21" ht="40" customHeight="1" s="76">
      <c r="A21" s="93" t="inlineStr">
        <is>
          <t>PF0018</t>
        </is>
      </c>
      <c r="B21" s="93" t="inlineStr">
        <is>
          <t>پارسان</t>
        </is>
      </c>
      <c r="C21" s="93" t="inlineStr">
        <is>
          <t>پنجره مشترک</t>
        </is>
      </c>
      <c r="D21" s="93" t="inlineStr">
        <is>
          <t>P-B692980F</t>
        </is>
      </c>
      <c r="E21" s="93" t="inlineStr">
        <is>
          <t>محمدرضا حیدرزاده</t>
        </is>
      </c>
      <c r="F21" s="93" t="inlineStr">
        <is>
          <t>محمدرضا حیدرزاده</t>
        </is>
      </c>
      <c r="G21" s="93" t="inlineStr">
        <is>
          <t>حاضر</t>
        </is>
      </c>
      <c r="H21" s="93" t="inlineStr">
        <is>
          <t>غایب</t>
        </is>
      </c>
      <c r="I21" s="93" t="inlineStr">
        <is>
          <t>EXIT_BETWEEN_SNAPSHOTS</t>
        </is>
      </c>
      <c r="J21" s="93" t="inlineStr">
        <is>
          <t>خارج شده بین دو مقطع</t>
        </is>
      </c>
      <c r="K21" s="93" t="inlineStr">
        <is>
          <t>عضو (غیرموظف)</t>
        </is>
      </c>
      <c r="L21" s="93" t="inlineStr"/>
      <c r="M21" s="93" t="inlineStr">
        <is>
          <t>دریابان جنوب ایران کیش</t>
        </is>
      </c>
      <c r="N21" s="93" t="inlineStr"/>
      <c r="O21" s="93" t="inlineStr"/>
      <c r="P21" s="93" t="inlineStr">
        <is>
          <t>1404/02/24</t>
        </is>
      </c>
      <c r="Q21" s="93" t="inlineStr">
        <is>
          <t>تاریخ موثر ثبت شده در بازسازی v38</t>
        </is>
      </c>
      <c r="R21" s="93" t="inlineStr">
        <is>
          <t>1288275</t>
        </is>
      </c>
      <c r="S21" s="93" t="inlineStr"/>
      <c r="T21" s="93" t="inlineStr"/>
      <c r="U21" s="93" t="inlineStr">
        <is>
          <t>قطعی با حساسیت</t>
        </is>
      </c>
      <c r="V21"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row>
    <row r="22" ht="40" customHeight="1" s="76">
      <c r="A22" s="93" t="inlineStr">
        <is>
          <t>PF0019</t>
        </is>
      </c>
      <c r="B22" s="93" t="inlineStr">
        <is>
          <t>پارسان</t>
        </is>
      </c>
      <c r="C22" s="93" t="inlineStr">
        <is>
          <t>پنجره مشترک</t>
        </is>
      </c>
      <c r="D22" s="93" t="inlineStr">
        <is>
          <t>P-F7AC0DD2</t>
        </is>
      </c>
      <c r="E22" s="93" t="inlineStr">
        <is>
          <t>متین دیداری</t>
        </is>
      </c>
      <c r="F22" s="93" t="inlineStr">
        <is>
          <t>متین دیداری</t>
        </is>
      </c>
      <c r="G22" s="93" t="inlineStr">
        <is>
          <t>حاضر</t>
        </is>
      </c>
      <c r="H22" s="93" t="inlineStr">
        <is>
          <t>غایب</t>
        </is>
      </c>
      <c r="I22" s="93" t="inlineStr">
        <is>
          <t>EXIT_BETWEEN_SNAPSHOTS</t>
        </is>
      </c>
      <c r="J22" s="93" t="inlineStr">
        <is>
          <t>خارج شده بین دو مقطع</t>
        </is>
      </c>
      <c r="K22" s="93" t="inlineStr">
        <is>
          <t>عضو (غیرموظف)</t>
        </is>
      </c>
      <c r="L22" s="93" t="inlineStr"/>
      <c r="M22" s="93" t="inlineStr">
        <is>
          <t>صنعتی و بازرگانی غدیر</t>
        </is>
      </c>
      <c r="N22" s="93" t="inlineStr"/>
      <c r="O22" s="93" t="inlineStr"/>
      <c r="P22" s="93" t="inlineStr">
        <is>
          <t>1404/02/24</t>
        </is>
      </c>
      <c r="Q22" s="93" t="inlineStr">
        <is>
          <t>تاریخ موثر ثبت شده در بازسازی v38</t>
        </is>
      </c>
      <c r="R22" s="93" t="inlineStr">
        <is>
          <t>1288275</t>
        </is>
      </c>
      <c r="S22" s="93" t="inlineStr"/>
      <c r="T22" s="93" t="inlineStr"/>
      <c r="U22" s="93" t="inlineStr">
        <is>
          <t>قطعی با حساسیت</t>
        </is>
      </c>
      <c r="V22"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row>
    <row r="23" ht="40" customHeight="1" s="76">
      <c r="A23" s="93" t="inlineStr">
        <is>
          <t>PF0020</t>
        </is>
      </c>
      <c r="B23" s="93" t="inlineStr">
        <is>
          <t>پارسان</t>
        </is>
      </c>
      <c r="C23" s="93" t="inlineStr">
        <is>
          <t>پنجره مشترک</t>
        </is>
      </c>
      <c r="D23" s="93" t="inlineStr">
        <is>
          <t>P-EAB6FDB5</t>
        </is>
      </c>
      <c r="E23" s="93" t="inlineStr">
        <is>
          <t>احد امیری</t>
        </is>
      </c>
      <c r="F23" s="93" t="inlineStr">
        <is>
          <t>احد امیری</t>
        </is>
      </c>
      <c r="G23" s="93" t="inlineStr">
        <is>
          <t>حاضر</t>
        </is>
      </c>
      <c r="H23" s="93" t="inlineStr">
        <is>
          <t>حاضر</t>
        </is>
      </c>
      <c r="I23" s="93" t="inlineStr">
        <is>
          <t>PERSISTED</t>
        </is>
      </c>
      <c r="J23" s="93" t="inlineStr">
        <is>
          <t>ماندگار: حاضر در هر دو مقطع</t>
        </is>
      </c>
      <c r="K23" s="93" t="inlineStr">
        <is>
          <t>رئیس هیئت مدیره (غیرموظف)</t>
        </is>
      </c>
      <c r="L23" s="93" t="inlineStr">
        <is>
          <t>رئیس هیئت مدیره (غیرموظف)</t>
        </is>
      </c>
      <c r="M23" s="93" t="inlineStr">
        <is>
          <t>سرمایه‌گذاری مهرگان تأمین پارس</t>
        </is>
      </c>
      <c r="N23" s="93" t="inlineStr">
        <is>
          <t>سرمایه‌گذاری مهرگان تأمین پارس</t>
        </is>
      </c>
      <c r="O23" s="93" t="inlineStr">
        <is>
          <t>خیر</t>
        </is>
      </c>
      <c r="P23" s="93" t="inlineStr"/>
      <c r="Q23" s="93" t="inlineStr"/>
      <c r="R23" s="93" t="inlineStr">
        <is>
          <t>1288275</t>
        </is>
      </c>
      <c r="S23" s="93" t="inlineStr">
        <is>
          <t>1443940</t>
        </is>
      </c>
      <c r="T23" s="93" t="inlineStr"/>
      <c r="U23" s="93" t="inlineStr">
        <is>
          <t>قطعی با حساسیت</t>
        </is>
      </c>
      <c r="V23" s="93" t="inlineStr"/>
    </row>
    <row r="24" ht="40" customHeight="1" s="76">
      <c r="A24" s="93" t="inlineStr">
        <is>
          <t>PF0021</t>
        </is>
      </c>
      <c r="B24" s="93" t="inlineStr">
        <is>
          <t>پارسان</t>
        </is>
      </c>
      <c r="C24" s="93" t="inlineStr">
        <is>
          <t>پنجره مشترک</t>
        </is>
      </c>
      <c r="D24" s="93" t="inlineStr">
        <is>
          <t>P-669EA9C7</t>
        </is>
      </c>
      <c r="E24" s="93" t="inlineStr">
        <is>
          <t>علی مهری‌پرگو</t>
        </is>
      </c>
      <c r="F24" s="93" t="inlineStr">
        <is>
          <t>علی مهری پرگو</t>
        </is>
      </c>
      <c r="G24" s="93" t="inlineStr">
        <is>
          <t>غایب</t>
        </is>
      </c>
      <c r="H24" s="93" t="inlineStr">
        <is>
          <t>حاضر</t>
        </is>
      </c>
      <c r="I24" s="93" t="inlineStr">
        <is>
          <t>ENTRY_BETWEEN_SNAPSHOTS</t>
        </is>
      </c>
      <c r="J24" s="93" t="inlineStr">
        <is>
          <t>واردشده بین دو مقطع</t>
        </is>
      </c>
      <c r="K24" s="93" t="inlineStr"/>
      <c r="L24" s="93" t="inlineStr">
        <is>
          <t>عضو (غیرموظف)</t>
        </is>
      </c>
      <c r="M24" s="93" t="inlineStr"/>
      <c r="N24" s="93" t="inlineStr">
        <is>
          <t>دریابان جنوب ایران کیش</t>
        </is>
      </c>
      <c r="O24" s="93" t="inlineStr"/>
      <c r="P24" s="93" t="inlineStr">
        <is>
          <t>1404/02/24</t>
        </is>
      </c>
      <c r="Q24" s="93" t="inlineStr">
        <is>
          <t>تاریخ موثر ثبت شده در بازسازی v38</t>
        </is>
      </c>
      <c r="R24" s="93" t="inlineStr"/>
      <c r="S24" s="93" t="inlineStr">
        <is>
          <t>1443940</t>
        </is>
      </c>
      <c r="T24" s="93" t="inlineStr"/>
      <c r="U24" s="93" t="inlineStr">
        <is>
          <t>قطعی با حساسیت</t>
        </is>
      </c>
      <c r="V24"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row>
    <row r="25" ht="40" customHeight="1" s="76">
      <c r="A25" s="93" t="inlineStr">
        <is>
          <t>PF0022</t>
        </is>
      </c>
      <c r="B25" s="93" t="inlineStr">
        <is>
          <t>پارسان</t>
        </is>
      </c>
      <c r="C25" s="93" t="inlineStr">
        <is>
          <t>پنجره مشترک</t>
        </is>
      </c>
      <c r="D25" s="93" t="inlineStr">
        <is>
          <t>P-DFFE11D7</t>
        </is>
      </c>
      <c r="E25" s="93" t="inlineStr">
        <is>
          <t>علیرضا غلامی</t>
        </is>
      </c>
      <c r="F25" s="93" t="inlineStr">
        <is>
          <t>علیرضا غلامی</t>
        </is>
      </c>
      <c r="G25" s="93" t="inlineStr">
        <is>
          <t>غایب</t>
        </is>
      </c>
      <c r="H25" s="93" t="inlineStr">
        <is>
          <t>حاضر</t>
        </is>
      </c>
      <c r="I25" s="93" t="inlineStr">
        <is>
          <t>ENTRY_BETWEEN_SNAPSHOTS</t>
        </is>
      </c>
      <c r="J25" s="93" t="inlineStr">
        <is>
          <t>واردشده بین دو مقطع</t>
        </is>
      </c>
      <c r="K25" s="93" t="inlineStr"/>
      <c r="L25" s="93" t="inlineStr">
        <is>
          <t>عضو (غیرموظف)</t>
        </is>
      </c>
      <c r="M25" s="93" t="inlineStr"/>
      <c r="N25" s="93" t="inlineStr">
        <is>
          <t>صنعتی و بازرگانی غدیر</t>
        </is>
      </c>
      <c r="O25" s="93" t="inlineStr"/>
      <c r="P25" s="93" t="inlineStr">
        <is>
          <t>1404/02/24</t>
        </is>
      </c>
      <c r="Q25" s="93" t="inlineStr">
        <is>
          <t>تاریخ موثر ثبت شده در بازسازی v38</t>
        </is>
      </c>
      <c r="R25" s="93" t="inlineStr"/>
      <c r="S25" s="93" t="inlineStr">
        <is>
          <t>1443940</t>
        </is>
      </c>
      <c r="T25" s="93" t="inlineStr"/>
      <c r="U25" s="93" t="inlineStr">
        <is>
          <t>قطعی با حساسیت</t>
        </is>
      </c>
      <c r="V25" s="93" t="inlineStr">
        <is>
          <t>مجمع ۱۴۰۴/۱۰/۲۳ دو شخص حقوقی را حذف و دو شخص حقوقی تازه وارد کرد؛ v38 آن را تا Cutoff عملیاتی ندانست و نمایندگان تازه فقط در جلسه ۱۴۰۵/۰۲/۰۸ ثبت شدند؛ فهرست پایان براساس اطلاعیه پیش از مجمع</t>
        </is>
      </c>
    </row>
    <row r="26" ht="40" customHeight="1" s="76">
      <c r="A26" s="93" t="inlineStr">
        <is>
          <t>PF0023</t>
        </is>
      </c>
      <c r="B26" s="93" t="inlineStr">
        <is>
          <t>جم</t>
        </is>
      </c>
      <c r="C26" s="93" t="inlineStr">
        <is>
          <t>پنجره مشترک</t>
        </is>
      </c>
      <c r="D26" s="93" t="inlineStr">
        <is>
          <t>P-FF72D32A</t>
        </is>
      </c>
      <c r="E26" s="93" t="inlineStr">
        <is>
          <t>متین دیداری</t>
        </is>
      </c>
      <c r="F26" s="93" t="inlineStr">
        <is>
          <t>متین دیداری</t>
        </is>
      </c>
      <c r="G26" s="93" t="inlineStr">
        <is>
          <t>حاضر</t>
        </is>
      </c>
      <c r="H26" s="93" t="inlineStr">
        <is>
          <t>حاضر</t>
        </is>
      </c>
      <c r="I26" s="93" t="inlineStr">
        <is>
          <t>PERSISTED</t>
        </is>
      </c>
      <c r="J26" s="93" t="inlineStr">
        <is>
          <t>ماندگار: حاضر در هر دو مقطع</t>
        </is>
      </c>
      <c r="K26" s="93" t="inlineStr">
        <is>
          <t>رئیس هیئت مدیره (غیرموظف)</t>
        </is>
      </c>
      <c r="L26" s="93" t="inlineStr">
        <is>
          <t>عضو (غیرموظف)</t>
        </is>
      </c>
      <c r="M26" s="93" t="inlineStr">
        <is>
          <t>سرمایه‌گذاری نفت و گاز و پتروشیمی تأمین → گسترش تجارت هامون</t>
        </is>
      </c>
      <c r="N26" s="93" t="inlineStr">
        <is>
          <t>سرمایه‌گذاری نفت و گاز و پتروشیمی تأمین → گسترش تجارت هامون</t>
        </is>
      </c>
      <c r="O26" s="93" t="inlineStr">
        <is>
          <t>خیر</t>
        </is>
      </c>
      <c r="P26" s="93" t="inlineStr"/>
      <c r="Q26" s="93" t="inlineStr"/>
      <c r="R26" s="93" t="inlineStr">
        <is>
          <t>1171265</t>
        </is>
      </c>
      <c r="S26" s="93" t="inlineStr">
        <is>
          <t>1527389</t>
        </is>
      </c>
      <c r="T26" s="93" t="inlineStr"/>
      <c r="U26" s="93" t="inlineStr">
        <is>
          <t>قطعی با حساسیت</t>
        </is>
      </c>
      <c r="V26" s="93" t="inlineStr"/>
    </row>
    <row r="27" ht="40" customHeight="1" s="76">
      <c r="A27" s="93" t="inlineStr">
        <is>
          <t>PF0024</t>
        </is>
      </c>
      <c r="B27" s="93" t="inlineStr">
        <is>
          <t>جم</t>
        </is>
      </c>
      <c r="C27" s="93" t="inlineStr">
        <is>
          <t>پنجره مشترک</t>
        </is>
      </c>
      <c r="D27" s="93" t="inlineStr">
        <is>
          <t>P-A6C54ABF</t>
        </is>
      </c>
      <c r="E27" s="93" t="inlineStr">
        <is>
          <t>محمدهاشم نجفی اردکانی</t>
        </is>
      </c>
      <c r="F27" s="93" t="inlineStr">
        <is>
          <t>محمدهاشم نجفی اردکانی</t>
        </is>
      </c>
      <c r="G27" s="93" t="inlineStr">
        <is>
          <t>حاضر</t>
        </is>
      </c>
      <c r="H27" s="93" t="inlineStr">
        <is>
          <t>غایب</t>
        </is>
      </c>
      <c r="I27" s="93" t="inlineStr">
        <is>
          <t>EXIT_BETWEEN_SNAPSHOTS</t>
        </is>
      </c>
      <c r="J27" s="93" t="inlineStr">
        <is>
          <t>خارج شده بین دو مقطع</t>
        </is>
      </c>
      <c r="K27" s="93" t="inlineStr">
        <is>
          <t>نایب رئیس و مدیرعامل (موظف)</t>
        </is>
      </c>
      <c r="L27" s="93" t="inlineStr"/>
      <c r="M27" s="93" t="inlineStr">
        <is>
          <t>صبا انرژی جهان‌گستر</t>
        </is>
      </c>
      <c r="N27" s="93" t="inlineStr"/>
      <c r="O27" s="93" t="inlineStr"/>
      <c r="P27" s="93" t="inlineStr">
        <is>
          <t>1404/12/25</t>
        </is>
      </c>
      <c r="Q27" s="93" t="inlineStr">
        <is>
          <t>تاریخ خروج از هیئت؛ در 1404/06/04 فقط بین کرسی ها جابجا شده بود</t>
        </is>
      </c>
      <c r="R27" s="93" t="inlineStr">
        <is>
          <t>1171265</t>
        </is>
      </c>
      <c r="S27" s="93" t="inlineStr"/>
      <c r="T27" s="93" t="inlineStr"/>
      <c r="U27" s="93" t="inlineStr">
        <is>
          <t>قطعی با حساسیت</t>
        </is>
      </c>
      <c r="V27"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row>
    <row r="28" ht="40" customHeight="1" s="76">
      <c r="A28" s="93" t="inlineStr">
        <is>
          <t>PF0025</t>
        </is>
      </c>
      <c r="B28" s="93" t="inlineStr">
        <is>
          <t>جم</t>
        </is>
      </c>
      <c r="C28" s="93" t="inlineStr">
        <is>
          <t>پنجره مشترک</t>
        </is>
      </c>
      <c r="D28" s="93" t="inlineStr">
        <is>
          <t>P-381F6276</t>
        </is>
      </c>
      <c r="E28" s="93" t="inlineStr">
        <is>
          <t>محمدسجاد سیاهکارزاده</t>
        </is>
      </c>
      <c r="F28" s="93" t="inlineStr">
        <is>
          <t>محمدسجاد سیاهکارزاده</t>
        </is>
      </c>
      <c r="G28" s="93" t="inlineStr">
        <is>
          <t>حاضر</t>
        </is>
      </c>
      <c r="H28" s="93" t="inlineStr">
        <is>
          <t>حاضر</t>
        </is>
      </c>
      <c r="I28" s="93" t="inlineStr">
        <is>
          <t>PERSISTED</t>
        </is>
      </c>
      <c r="J28" s="93" t="inlineStr">
        <is>
          <t>ماندگار: حاضر در هر دو مقطع</t>
        </is>
      </c>
      <c r="K28" s="93" t="inlineStr">
        <is>
          <t>عضو (غیرموظف)</t>
        </is>
      </c>
      <c r="L28" s="93" t="inlineStr">
        <is>
          <t>رئیس هیئت مدیره (غیرموظف)</t>
        </is>
      </c>
      <c r="M28" s="93" t="inlineStr">
        <is>
          <t>کاوشگران بازار سرمایه</t>
        </is>
      </c>
      <c r="N28" s="93" t="inlineStr">
        <is>
          <t>کاوشگران بازار سرمایه</t>
        </is>
      </c>
      <c r="O28" s="93" t="inlineStr">
        <is>
          <t>خیر</t>
        </is>
      </c>
      <c r="P28" s="93" t="inlineStr"/>
      <c r="Q28" s="93" t="inlineStr"/>
      <c r="R28" s="93" t="inlineStr">
        <is>
          <t>1171265</t>
        </is>
      </c>
      <c r="S28" s="93" t="inlineStr">
        <is>
          <t>1527389</t>
        </is>
      </c>
      <c r="T28" s="93" t="inlineStr"/>
      <c r="U28" s="93" t="inlineStr">
        <is>
          <t>قطعی با حساسیت</t>
        </is>
      </c>
      <c r="V28" s="93" t="inlineStr"/>
    </row>
    <row r="29" ht="40" customHeight="1" s="76">
      <c r="A29" s="93" t="inlineStr">
        <is>
          <t>PF0026</t>
        </is>
      </c>
      <c r="B29" s="93" t="inlineStr">
        <is>
          <t>جم</t>
        </is>
      </c>
      <c r="C29" s="93" t="inlineStr">
        <is>
          <t>پنجره مشترک</t>
        </is>
      </c>
      <c r="D29" s="93" t="inlineStr">
        <is>
          <t>P-AC090FE6</t>
        </is>
      </c>
      <c r="E29" s="93" t="inlineStr">
        <is>
          <t>مهدی قربانی</t>
        </is>
      </c>
      <c r="F29" s="93" t="inlineStr">
        <is>
          <t>مهدی قربانی</t>
        </is>
      </c>
      <c r="G29" s="93" t="inlineStr">
        <is>
          <t>حاضر</t>
        </is>
      </c>
      <c r="H29" s="93" t="inlineStr">
        <is>
          <t>حاضر</t>
        </is>
      </c>
      <c r="I29" s="93" t="inlineStr">
        <is>
          <t>PERSISTED</t>
        </is>
      </c>
      <c r="J29" s="93" t="inlineStr">
        <is>
          <t>ماندگار: حاضر در هر دو مقطع</t>
        </is>
      </c>
      <c r="K29" s="93" t="inlineStr">
        <is>
          <t>عضو (غیرموظف)</t>
        </is>
      </c>
      <c r="L29" s="93" t="inlineStr">
        <is>
          <t>عضو (غیرموظف)</t>
        </is>
      </c>
      <c r="M29" s="93" t="inlineStr">
        <is>
          <t>سرمایه‌گذاری استان اردبیل</t>
        </is>
      </c>
      <c r="N29" s="93" t="inlineStr">
        <is>
          <t>سرمایه‌گذاری استان اردبیل</t>
        </is>
      </c>
      <c r="O29" s="93" t="inlineStr">
        <is>
          <t>خیر</t>
        </is>
      </c>
      <c r="P29" s="93" t="inlineStr"/>
      <c r="Q29" s="93" t="inlineStr"/>
      <c r="R29" s="93" t="inlineStr">
        <is>
          <t>1171265</t>
        </is>
      </c>
      <c r="S29" s="93" t="inlineStr">
        <is>
          <t>1527389</t>
        </is>
      </c>
      <c r="T29" s="93" t="inlineStr"/>
      <c r="U29" s="93" t="inlineStr">
        <is>
          <t>قطعی با حساسیت</t>
        </is>
      </c>
      <c r="V29" s="93" t="inlineStr"/>
    </row>
    <row r="30" ht="40" customHeight="1" s="76">
      <c r="A30" s="93" t="inlineStr">
        <is>
          <t>PF0027</t>
        </is>
      </c>
      <c r="B30" s="93" t="inlineStr">
        <is>
          <t>جم</t>
        </is>
      </c>
      <c r="C30" s="93" t="inlineStr">
        <is>
          <t>پنجره مشترک</t>
        </is>
      </c>
      <c r="D30" s="93" t="inlineStr">
        <is>
          <t>P-036E3F71</t>
        </is>
      </c>
      <c r="E30" s="93" t="inlineStr">
        <is>
          <t>امیر اکبری</t>
        </is>
      </c>
      <c r="F30" s="93" t="inlineStr">
        <is>
          <t>امیر اکبری</t>
        </is>
      </c>
      <c r="G30" s="93" t="inlineStr">
        <is>
          <t>حاضر</t>
        </is>
      </c>
      <c r="H30" s="93" t="inlineStr">
        <is>
          <t>حاضر</t>
        </is>
      </c>
      <c r="I30" s="93" t="inlineStr">
        <is>
          <t>PERSISTED</t>
        </is>
      </c>
      <c r="J30" s="93" t="inlineStr">
        <is>
          <t>ماندگار: حاضر در هر دو مقطع</t>
        </is>
      </c>
      <c r="K30" s="93" t="inlineStr">
        <is>
          <t>عضو (موظف)</t>
        </is>
      </c>
      <c r="L30" s="93" t="inlineStr">
        <is>
          <t>نایب رئیس (موظف)</t>
        </is>
      </c>
      <c r="M30" s="93" t="inlineStr">
        <is>
          <t>خدمات گستر صبا انرژی</t>
        </is>
      </c>
      <c r="N30" s="93" t="inlineStr">
        <is>
          <t>صبا انرژی جهان‌گستر</t>
        </is>
      </c>
      <c r="O30" s="93" t="inlineStr">
        <is>
          <t>بله</t>
        </is>
      </c>
      <c r="P30" s="93" t="inlineStr">
        <is>
          <t>1404/06/04</t>
        </is>
      </c>
      <c r="Q30" s="93" t="inlineStr">
        <is>
          <t>جابجایی بین کرسی ها؛ فقط سمت و کرسی عوض شد</t>
        </is>
      </c>
      <c r="R30" s="93" t="inlineStr">
        <is>
          <t>1171265</t>
        </is>
      </c>
      <c r="S30" s="93" t="inlineStr">
        <is>
          <t>1527389</t>
        </is>
      </c>
      <c r="T30" s="93" t="inlineStr"/>
      <c r="U30" s="93" t="inlineStr">
        <is>
          <t>قطعی با حساسیت</t>
        </is>
      </c>
      <c r="V30" s="93" t="inlineStr"/>
    </row>
    <row r="31" ht="40" customHeight="1" s="76">
      <c r="A31" s="93" t="inlineStr">
        <is>
          <t>PF0028</t>
        </is>
      </c>
      <c r="B31" s="93" t="inlineStr">
        <is>
          <t>جم</t>
        </is>
      </c>
      <c r="C31" s="93" t="inlineStr">
        <is>
          <t>پنجره مشترک</t>
        </is>
      </c>
      <c r="D31" s="93" t="inlineStr">
        <is>
          <t>P-4CA95D51</t>
        </is>
      </c>
      <c r="E31" s="93" t="inlineStr">
        <is>
          <t>حسن معینی</t>
        </is>
      </c>
      <c r="F31" s="93" t="inlineStr">
        <is>
          <t>حسن معینی</t>
        </is>
      </c>
      <c r="G31" s="93" t="inlineStr">
        <is>
          <t>غایب</t>
        </is>
      </c>
      <c r="H31" s="93" t="inlineStr">
        <is>
          <t>حاضر</t>
        </is>
      </c>
      <c r="I31" s="93" t="inlineStr">
        <is>
          <t>ENTRY_BETWEEN_SNAPSHOTS</t>
        </is>
      </c>
      <c r="J31" s="93" t="inlineStr">
        <is>
          <t>واردشده بین دو مقطع</t>
        </is>
      </c>
      <c r="K31" s="93" t="inlineStr"/>
      <c r="L31" s="93" t="inlineStr">
        <is>
          <t>عضو (موظف)</t>
        </is>
      </c>
      <c r="M31" s="93" t="inlineStr"/>
      <c r="N31" s="93" t="inlineStr">
        <is>
          <t>خدمات گستر صبا انرژی</t>
        </is>
      </c>
      <c r="O31" s="93" t="inlineStr"/>
      <c r="P31" s="93" t="inlineStr">
        <is>
          <t>1404/12/25</t>
        </is>
      </c>
      <c r="Q31" s="93" t="inlineStr">
        <is>
          <t>تاریخ موثر ثبت شده در بازسازی v38</t>
        </is>
      </c>
      <c r="R31" s="93" t="inlineStr"/>
      <c r="S31" s="93" t="inlineStr">
        <is>
          <t>1527389</t>
        </is>
      </c>
      <c r="T31" s="93" t="inlineStr"/>
      <c r="U31" s="93" t="inlineStr">
        <is>
          <t>قطعی با حساسیت</t>
        </is>
      </c>
      <c r="V31" s="93" t="inlineStr">
        <is>
          <t>فهرست پایان از اطلاعیه ۱۵۲۷۳۸۹ با جلسه موثر ۱۴۰۴/۱۲/۲۵ و انتشار ۱۴۰۵/۰۲/۲۹ (پس از Cutoff)؛ تاریخ موثر صریح است اما با مبنای انتشار معینی و تغییر رئیس حذف می شوند</t>
        </is>
      </c>
    </row>
    <row r="32" ht="40" customHeight="1" s="76">
      <c r="A32" s="92" t="inlineStr">
        <is>
          <t>PF0029</t>
        </is>
      </c>
      <c r="B32" s="92" t="inlineStr">
        <is>
          <t>خساپا</t>
        </is>
      </c>
      <c r="C32" s="92" t="inlineStr">
        <is>
          <t>پنجره مشترک</t>
        </is>
      </c>
      <c r="D32" s="92" t="inlineStr">
        <is>
          <t>P-729F47F7</t>
        </is>
      </c>
      <c r="E32" s="92" t="inlineStr">
        <is>
          <t>کورش پرویزیان</t>
        </is>
      </c>
      <c r="F32" s="92" t="inlineStr">
        <is>
          <t>کورش پرویزیان</t>
        </is>
      </c>
      <c r="G32" s="92" t="inlineStr">
        <is>
          <t>حاضر</t>
        </is>
      </c>
      <c r="H32" s="92" t="inlineStr">
        <is>
          <t>حاضر</t>
        </is>
      </c>
      <c r="I32" s="92" t="inlineStr">
        <is>
          <t>PERSISTED</t>
        </is>
      </c>
      <c r="J32" s="92" t="inlineStr">
        <is>
          <t>ماندگار: حاضر در هر دو مقطع</t>
        </is>
      </c>
      <c r="K32" s="92" t="inlineStr">
        <is>
          <t>رئیس (غیرموظف)</t>
        </is>
      </c>
      <c r="L32" s="92" t="inlineStr">
        <is>
          <t>رئیس (غیرموظف)</t>
        </is>
      </c>
      <c r="M32" s="92" t="inlineStr">
        <is>
          <t>سرمایه‌گذاری گروه صنعتی رنا</t>
        </is>
      </c>
      <c r="N32" s="92" t="inlineStr">
        <is>
          <t>سازمان مدیریت صنعتی</t>
        </is>
      </c>
      <c r="O32" s="92" t="inlineStr">
        <is>
          <t>بله</t>
        </is>
      </c>
      <c r="P32" s="92" t="inlineStr">
        <is>
          <t>1404/02/08</t>
        </is>
      </c>
      <c r="Q32" s="92" t="inlineStr">
        <is>
          <t>جابجایی بین کرسی ها؛ از کرسی رنا به کرسی سازمان مدیریت صنعتی</t>
        </is>
      </c>
      <c r="R32" s="92" t="inlineStr">
        <is>
          <t>1295938</t>
        </is>
      </c>
      <c r="S32" s="92" t="inlineStr">
        <is>
          <t>1386511</t>
        </is>
      </c>
      <c r="T32" s="92" t="inlineStr"/>
      <c r="U32" s="92" t="inlineStr">
        <is>
          <t>قطعی</t>
        </is>
      </c>
      <c r="V32" s="92" t="inlineStr"/>
    </row>
    <row r="33" ht="40" customHeight="1" s="76">
      <c r="A33" s="92" t="inlineStr">
        <is>
          <t>PF0030</t>
        </is>
      </c>
      <c r="B33" s="92" t="inlineStr">
        <is>
          <t>خساپا</t>
        </is>
      </c>
      <c r="C33" s="92" t="inlineStr">
        <is>
          <t>پنجره مشترک</t>
        </is>
      </c>
      <c r="D33" s="92" t="inlineStr">
        <is>
          <t>P-48E12B91</t>
        </is>
      </c>
      <c r="E33" s="92" t="inlineStr">
        <is>
          <t>علی شیخ‌زاده</t>
        </is>
      </c>
      <c r="F33" s="92" t="inlineStr">
        <is>
          <t>علی شیخ زاده</t>
        </is>
      </c>
      <c r="G33" s="92" t="inlineStr">
        <is>
          <t>حاضر</t>
        </is>
      </c>
      <c r="H33" s="92" t="inlineStr">
        <is>
          <t>حاضر</t>
        </is>
      </c>
      <c r="I33" s="92" t="inlineStr">
        <is>
          <t>PERSISTED</t>
        </is>
      </c>
      <c r="J33" s="92" t="inlineStr">
        <is>
          <t>ماندگار: حاضر در هر دو مقطع</t>
        </is>
      </c>
      <c r="K33" s="92" t="inlineStr">
        <is>
          <t>عضو و مدیرعامل (موظف)</t>
        </is>
      </c>
      <c r="L33" s="92" t="inlineStr">
        <is>
          <t>نایب رئیس (موظف)</t>
        </is>
      </c>
      <c r="M33" s="92" t="inlineStr">
        <is>
          <t>گروه سرمایه‌گذاری کارکنان سایپا</t>
        </is>
      </c>
      <c r="N33" s="92" t="inlineStr">
        <is>
          <t>گروه سرمایه‌گذاری کارکنان سایپا</t>
        </is>
      </c>
      <c r="O33" s="92" t="inlineStr">
        <is>
          <t>خیر</t>
        </is>
      </c>
      <c r="P33" s="92" t="inlineStr"/>
      <c r="Q33" s="92" t="inlineStr"/>
      <c r="R33" s="92" t="inlineStr">
        <is>
          <t>1295938</t>
        </is>
      </c>
      <c r="S33" s="92" t="inlineStr">
        <is>
          <t>1386511</t>
        </is>
      </c>
      <c r="T33" s="92" t="inlineStr"/>
      <c r="U33" s="92" t="inlineStr">
        <is>
          <t>قطعی</t>
        </is>
      </c>
      <c r="V33" s="92" t="inlineStr"/>
    </row>
    <row r="34" ht="40" customHeight="1" s="76">
      <c r="A34" s="92" t="inlineStr">
        <is>
          <t>PF0031</t>
        </is>
      </c>
      <c r="B34" s="92" t="inlineStr">
        <is>
          <t>خساپا</t>
        </is>
      </c>
      <c r="C34" s="92" t="inlineStr">
        <is>
          <t>پنجره مشترک</t>
        </is>
      </c>
      <c r="D34" s="92" t="inlineStr">
        <is>
          <t>P-73F3BD4A</t>
        </is>
      </c>
      <c r="E34" s="92" t="inlineStr">
        <is>
          <t>مجید بهرامی</t>
        </is>
      </c>
      <c r="F34" s="92" t="inlineStr">
        <is>
          <t>مجید بهرامی</t>
        </is>
      </c>
      <c r="G34" s="92" t="inlineStr">
        <is>
          <t>حاضر</t>
        </is>
      </c>
      <c r="H34" s="92" t="inlineStr">
        <is>
          <t>حاضر</t>
        </is>
      </c>
      <c r="I34" s="92" t="inlineStr">
        <is>
          <t>PERSISTED</t>
        </is>
      </c>
      <c r="J34" s="92" t="inlineStr">
        <is>
          <t>ماندگار: حاضر در هر دو مقطع</t>
        </is>
      </c>
      <c r="K34" s="92" t="inlineStr">
        <is>
          <t>عضو (غیرموظف)</t>
        </is>
      </c>
      <c r="L34" s="92" t="inlineStr">
        <is>
          <t>عضو (غیرموظف)</t>
        </is>
      </c>
      <c r="M34" s="92" t="inlineStr">
        <is>
          <t>صندوق حمایت و بازنشستگی کارکنان فولاد</t>
        </is>
      </c>
      <c r="N34" s="92" t="inlineStr">
        <is>
          <t>صندوق حمایت و بازنشستگی کارکنان فولاد</t>
        </is>
      </c>
      <c r="O34" s="92" t="inlineStr">
        <is>
          <t>خیر</t>
        </is>
      </c>
      <c r="P34" s="92" t="inlineStr"/>
      <c r="Q34" s="92" t="inlineStr"/>
      <c r="R34" s="92" t="inlineStr">
        <is>
          <t>1295938</t>
        </is>
      </c>
      <c r="S34" s="92" t="inlineStr">
        <is>
          <t>1386511</t>
        </is>
      </c>
      <c r="T34" s="92" t="inlineStr"/>
      <c r="U34" s="92" t="inlineStr">
        <is>
          <t>قطعی</t>
        </is>
      </c>
      <c r="V34" s="92" t="inlineStr"/>
    </row>
    <row r="35" ht="40" customHeight="1" s="76">
      <c r="A35" s="92" t="inlineStr">
        <is>
          <t>PF0032</t>
        </is>
      </c>
      <c r="B35" s="92" t="inlineStr">
        <is>
          <t>خساپا</t>
        </is>
      </c>
      <c r="C35" s="92" t="inlineStr">
        <is>
          <t>پنجره مشترک</t>
        </is>
      </c>
      <c r="D35" s="92" t="inlineStr">
        <is>
          <t>P-2B79B339</t>
        </is>
      </c>
      <c r="E35" s="92" t="inlineStr">
        <is>
          <t>علی شیدائی نرمیقی</t>
        </is>
      </c>
      <c r="F35" s="92" t="inlineStr">
        <is>
          <t>علی شیدائی نرمیقی</t>
        </is>
      </c>
      <c r="G35" s="92" t="inlineStr">
        <is>
          <t>حاضر</t>
        </is>
      </c>
      <c r="H35" s="92" t="inlineStr">
        <is>
          <t>غایب</t>
        </is>
      </c>
      <c r="I35" s="92" t="inlineStr">
        <is>
          <t>EXIT_BETWEEN_SNAPSHOTS</t>
        </is>
      </c>
      <c r="J35" s="92" t="inlineStr">
        <is>
          <t>خارج شده بین دو مقطع</t>
        </is>
      </c>
      <c r="K35" s="92" t="inlineStr">
        <is>
          <t>نایب رئیس (غیرموظف)</t>
        </is>
      </c>
      <c r="L35" s="92" t="inlineStr"/>
      <c r="M35" s="92" t="inlineStr">
        <is>
          <t>توسعه سرمایه رادین</t>
        </is>
      </c>
      <c r="N35" s="92" t="inlineStr"/>
      <c r="O35" s="92" t="inlineStr"/>
      <c r="P35" s="92" t="inlineStr">
        <is>
          <t>1404/02/08</t>
        </is>
      </c>
      <c r="Q35" s="92" t="inlineStr">
        <is>
          <t>تاریخ موثر ثبت شده در بازسازی v38</t>
        </is>
      </c>
      <c r="R35" s="92" t="inlineStr">
        <is>
          <t>1295938</t>
        </is>
      </c>
      <c r="S35" s="92" t="inlineStr"/>
      <c r="T35" s="92" t="inlineStr"/>
      <c r="U35" s="92" t="inlineStr">
        <is>
          <t>قطعی</t>
        </is>
      </c>
      <c r="V35" s="92" t="inlineStr"/>
    </row>
    <row r="36" ht="40" customHeight="1" s="76">
      <c r="A36" s="92" t="inlineStr">
        <is>
          <t>PF0033</t>
        </is>
      </c>
      <c r="B36" s="92" t="inlineStr">
        <is>
          <t>خساپا</t>
        </is>
      </c>
      <c r="C36" s="92" t="inlineStr">
        <is>
          <t>پنجره مشترک</t>
        </is>
      </c>
      <c r="D36" s="92" t="inlineStr">
        <is>
          <t>P-77C937BB</t>
        </is>
      </c>
      <c r="E36" s="92" t="inlineStr">
        <is>
          <t>محمدرضا شیخ‌عطار</t>
        </is>
      </c>
      <c r="F36" s="92" t="inlineStr">
        <is>
          <t>محمدرضا شیخ عطار</t>
        </is>
      </c>
      <c r="G36" s="92" t="inlineStr">
        <is>
          <t>حاضر</t>
        </is>
      </c>
      <c r="H36" s="92" t="inlineStr">
        <is>
          <t>غایب</t>
        </is>
      </c>
      <c r="I36" s="92" t="inlineStr">
        <is>
          <t>EXIT_BETWEEN_SNAPSHOTS</t>
        </is>
      </c>
      <c r="J36" s="92" t="inlineStr">
        <is>
          <t>خارج شده بین دو مقطع</t>
        </is>
      </c>
      <c r="K36" s="92" t="inlineStr">
        <is>
          <t>عضو (موظف)</t>
        </is>
      </c>
      <c r="L36" s="92" t="inlineStr"/>
      <c r="M36" s="92" t="inlineStr">
        <is>
          <t>سازمان مدیریت صنعتی</t>
        </is>
      </c>
      <c r="N36" s="92" t="inlineStr"/>
      <c r="O36" s="92" t="inlineStr"/>
      <c r="P36" s="92" t="inlineStr">
        <is>
          <t>1404/02/08</t>
        </is>
      </c>
      <c r="Q36" s="92" t="inlineStr">
        <is>
          <t>تاریخ موثر ثبت شده در بازسازی v38</t>
        </is>
      </c>
      <c r="R36" s="92" t="inlineStr">
        <is>
          <t>1295938</t>
        </is>
      </c>
      <c r="S36" s="92" t="inlineStr"/>
      <c r="T36" s="92" t="inlineStr"/>
      <c r="U36" s="92" t="inlineStr">
        <is>
          <t>قطعی</t>
        </is>
      </c>
      <c r="V36" s="92" t="inlineStr"/>
    </row>
    <row r="37" ht="40" customHeight="1" s="76">
      <c r="A37" s="92" t="inlineStr">
        <is>
          <t>PF0034</t>
        </is>
      </c>
      <c r="B37" s="92" t="inlineStr">
        <is>
          <t>خساپا</t>
        </is>
      </c>
      <c r="C37" s="92" t="inlineStr">
        <is>
          <t>پنجره مشترک</t>
        </is>
      </c>
      <c r="D37" s="92" t="inlineStr">
        <is>
          <t>P-EA1F4570</t>
        </is>
      </c>
      <c r="E37" s="92" t="inlineStr">
        <is>
          <t>رحیم علیشاهی</t>
        </is>
      </c>
      <c r="F37" s="92" t="inlineStr">
        <is>
          <t>رحیم علیشاهی</t>
        </is>
      </c>
      <c r="G37" s="92" t="inlineStr">
        <is>
          <t>غایب</t>
        </is>
      </c>
      <c r="H37" s="92" t="inlineStr">
        <is>
          <t>حاضر</t>
        </is>
      </c>
      <c r="I37" s="92" t="inlineStr">
        <is>
          <t>ENTRY_BETWEEN_SNAPSHOTS</t>
        </is>
      </c>
      <c r="J37" s="92" t="inlineStr">
        <is>
          <t>واردشده بین دو مقطع</t>
        </is>
      </c>
      <c r="K37" s="92" t="inlineStr"/>
      <c r="L37" s="92" t="inlineStr">
        <is>
          <t>عضو (غیرموظف)</t>
        </is>
      </c>
      <c r="M37" s="92" t="inlineStr"/>
      <c r="N37" s="92" t="inlineStr">
        <is>
          <t>سرمایه‌گذاری گروه صنعتی رنا</t>
        </is>
      </c>
      <c r="O37" s="92" t="inlineStr"/>
      <c r="P37" s="92" t="inlineStr">
        <is>
          <t>1404/02/08</t>
        </is>
      </c>
      <c r="Q37" s="92" t="inlineStr">
        <is>
          <t>تاریخ موثر ثبت شده در بازسازی v38</t>
        </is>
      </c>
      <c r="R37" s="92" t="inlineStr"/>
      <c r="S37" s="92" t="inlineStr">
        <is>
          <t>1386511</t>
        </is>
      </c>
      <c r="T37" s="92" t="inlineStr"/>
      <c r="U37" s="92" t="inlineStr">
        <is>
          <t>قطعی</t>
        </is>
      </c>
      <c r="V37" s="92" t="inlineStr"/>
    </row>
    <row r="38" ht="40" customHeight="1" s="76">
      <c r="A38" s="92" t="inlineStr">
        <is>
          <t>PF0035</t>
        </is>
      </c>
      <c r="B38" s="92" t="inlineStr">
        <is>
          <t>خساپا</t>
        </is>
      </c>
      <c r="C38" s="92" t="inlineStr">
        <is>
          <t>پنجره مشترک</t>
        </is>
      </c>
      <c r="D38" s="92" t="inlineStr">
        <is>
          <t>P-2020B14C</t>
        </is>
      </c>
      <c r="E38" s="92" t="inlineStr">
        <is>
          <t>مهدی رادمنش</t>
        </is>
      </c>
      <c r="F38" s="92" t="inlineStr">
        <is>
          <t>مهدی رادمنش</t>
        </is>
      </c>
      <c r="G38" s="92" t="inlineStr">
        <is>
          <t>غایب</t>
        </is>
      </c>
      <c r="H38" s="92" t="inlineStr">
        <is>
          <t>حاضر</t>
        </is>
      </c>
      <c r="I38" s="92" t="inlineStr">
        <is>
          <t>ENTRY_BETWEEN_SNAPSHOTS</t>
        </is>
      </c>
      <c r="J38" s="92" t="inlineStr">
        <is>
          <t>واردشده بین دو مقطع</t>
        </is>
      </c>
      <c r="K38" s="92" t="inlineStr"/>
      <c r="L38" s="92" t="inlineStr">
        <is>
          <t>عضو (موظف)</t>
        </is>
      </c>
      <c r="M38" s="92" t="inlineStr"/>
      <c r="N38" s="92" t="inlineStr">
        <is>
          <t>توسعه سرمایه رادین</t>
        </is>
      </c>
      <c r="O38" s="92" t="inlineStr"/>
      <c r="P38" s="92" t="inlineStr">
        <is>
          <t>1404/02/08</t>
        </is>
      </c>
      <c r="Q38" s="92" t="inlineStr">
        <is>
          <t>تاریخ موثر ثبت شده در بازسازی v38</t>
        </is>
      </c>
      <c r="R38" s="92" t="inlineStr"/>
      <c r="S38" s="92" t="inlineStr">
        <is>
          <t>1386511</t>
        </is>
      </c>
      <c r="T38" s="92" t="inlineStr"/>
      <c r="U38" s="92" t="inlineStr">
        <is>
          <t>قطعی</t>
        </is>
      </c>
      <c r="V38" s="92" t="inlineStr"/>
    </row>
    <row r="39" ht="40" customHeight="1" s="76">
      <c r="A39" s="92" t="inlineStr">
        <is>
          <t>PF0036</t>
        </is>
      </c>
      <c r="B39" s="92" t="inlineStr">
        <is>
          <t>خودرو</t>
        </is>
      </c>
      <c r="C39" s="92" t="inlineStr">
        <is>
          <t>پنجره مشترک</t>
        </is>
      </c>
      <c r="D39" s="92" t="inlineStr">
        <is>
          <t>P-1CE9F453</t>
        </is>
      </c>
      <c r="E39" s="92" t="inlineStr">
        <is>
          <t>عبدالله سلطانی ثانی</t>
        </is>
      </c>
      <c r="F39" s="92" t="inlineStr">
        <is>
          <t>عبدالله سلطانی ثانی</t>
        </is>
      </c>
      <c r="G39" s="92" t="inlineStr">
        <is>
          <t>حاضر</t>
        </is>
      </c>
      <c r="H39" s="92" t="inlineStr">
        <is>
          <t>حاضر</t>
        </is>
      </c>
      <c r="I39" s="92" t="inlineStr">
        <is>
          <t>PERSISTED</t>
        </is>
      </c>
      <c r="J39" s="92" t="inlineStr">
        <is>
          <t>ماندگار: حاضر در هر دو مقطع</t>
        </is>
      </c>
      <c r="K39" s="92" t="inlineStr">
        <is>
          <t>عضو (غیرموظف)</t>
        </is>
      </c>
      <c r="L39" s="92" t="inlineStr">
        <is>
          <t>عضو (غیرموظف)</t>
        </is>
      </c>
      <c r="M39" s="92" t="inlineStr">
        <is>
          <t>خدمات گستر صبا انرژی</t>
        </is>
      </c>
      <c r="N39" s="92" t="inlineStr">
        <is>
          <t>خدمات گستر صبا انرژی</t>
        </is>
      </c>
      <c r="O39" s="92" t="inlineStr">
        <is>
          <t>خیر</t>
        </is>
      </c>
      <c r="P39" s="92" t="inlineStr"/>
      <c r="Q39" s="92" t="inlineStr"/>
      <c r="R39" s="92" t="inlineStr">
        <is>
          <t>1306740</t>
        </is>
      </c>
      <c r="S39" s="92" t="inlineStr">
        <is>
          <t>1417850</t>
        </is>
      </c>
      <c r="T39" s="92" t="inlineStr"/>
      <c r="U39" s="92" t="inlineStr">
        <is>
          <t>قطعی</t>
        </is>
      </c>
      <c r="V39" s="92" t="inlineStr"/>
    </row>
    <row r="40" ht="40" customHeight="1" s="76">
      <c r="A40" s="92" t="inlineStr">
        <is>
          <t>PF0037</t>
        </is>
      </c>
      <c r="B40" s="92" t="inlineStr">
        <is>
          <t>خودرو</t>
        </is>
      </c>
      <c r="C40" s="92" t="inlineStr">
        <is>
          <t>پنجره مشترک</t>
        </is>
      </c>
      <c r="D40" s="92" t="inlineStr">
        <is>
          <t>P-641253F4</t>
        </is>
      </c>
      <c r="E40" s="92" t="inlineStr">
        <is>
          <t>عادل پیرمحمدی</t>
        </is>
      </c>
      <c r="F40" s="92" t="inlineStr">
        <is>
          <t>عادل پیرمحمدی</t>
        </is>
      </c>
      <c r="G40" s="92" t="inlineStr">
        <is>
          <t>حاضر</t>
        </is>
      </c>
      <c r="H40" s="92" t="inlineStr">
        <is>
          <t>حاضر</t>
        </is>
      </c>
      <c r="I40" s="92" t="inlineStr">
        <is>
          <t>PERSISTED</t>
        </is>
      </c>
      <c r="J40" s="92" t="inlineStr">
        <is>
          <t>ماندگار: حاضر در هر دو مقطع</t>
        </is>
      </c>
      <c r="K40" s="92" t="inlineStr">
        <is>
          <t>عضو (موظف)</t>
        </is>
      </c>
      <c r="L40" s="92" t="inlineStr">
        <is>
          <t>عضو (موظف/غیرموظف)</t>
        </is>
      </c>
      <c r="M40" s="92" t="inlineStr">
        <is>
          <t>مدیریت سرمایه‌گذاری ملی ایران</t>
        </is>
      </c>
      <c r="N40" s="92" t="inlineStr">
        <is>
          <t>مدیریت سرمایه‌گذاری ملی ایران</t>
        </is>
      </c>
      <c r="O40" s="92" t="inlineStr">
        <is>
          <t>خیر</t>
        </is>
      </c>
      <c r="P40" s="92" t="inlineStr"/>
      <c r="Q40" s="92" t="inlineStr"/>
      <c r="R40" s="92" t="inlineStr">
        <is>
          <t>1306740</t>
        </is>
      </c>
      <c r="S40" s="92" t="inlineStr">
        <is>
          <t>1417850</t>
        </is>
      </c>
      <c r="T40" s="92" t="inlineStr"/>
      <c r="U40" s="92" t="inlineStr">
        <is>
          <t>قطعی</t>
        </is>
      </c>
      <c r="V40" s="92" t="inlineStr"/>
    </row>
    <row r="41" ht="40" customHeight="1" s="76">
      <c r="A41" s="92" t="inlineStr">
        <is>
          <t>PF0038</t>
        </is>
      </c>
      <c r="B41" s="92" t="inlineStr">
        <is>
          <t>خودرو</t>
        </is>
      </c>
      <c r="C41" s="92" t="inlineStr">
        <is>
          <t>پنجره مشترک</t>
        </is>
      </c>
      <c r="D41" s="92" t="inlineStr">
        <is>
          <t>P-0B2E29F4</t>
        </is>
      </c>
      <c r="E41" s="92" t="inlineStr">
        <is>
          <t>مرتضی شفیعی</t>
        </is>
      </c>
      <c r="F41" s="92" t="inlineStr">
        <is>
          <t>مرتضی شفیعی</t>
        </is>
      </c>
      <c r="G41" s="92" t="inlineStr">
        <is>
          <t>حاضر</t>
        </is>
      </c>
      <c r="H41" s="92" t="inlineStr">
        <is>
          <t>غایب</t>
        </is>
      </c>
      <c r="I41" s="92" t="inlineStr">
        <is>
          <t>EXIT_BETWEEN_SNAPSHOTS</t>
        </is>
      </c>
      <c r="J41" s="92" t="inlineStr">
        <is>
          <t>خارج شده بین دو مقطع</t>
        </is>
      </c>
      <c r="K41" s="92" t="inlineStr">
        <is>
          <t>عضو (غیرموظف)</t>
        </is>
      </c>
      <c r="L41" s="92" t="inlineStr"/>
      <c r="M41" s="92" t="inlineStr">
        <is>
          <t>سرمایه‌گذاری گنجینه ایرانیان</t>
        </is>
      </c>
      <c r="N41" s="92" t="inlineStr"/>
      <c r="O41" s="92" t="inlineStr"/>
      <c r="P41" s="92" t="inlineStr">
        <is>
          <t>1404/07/19</t>
        </is>
      </c>
      <c r="Q41" s="92" t="inlineStr">
        <is>
          <t>تاریخ موثر ثبت شده در بازسازی v38</t>
        </is>
      </c>
      <c r="R41" s="92" t="inlineStr">
        <is>
          <t>1306740</t>
        </is>
      </c>
      <c r="S41" s="92" t="inlineStr"/>
      <c r="T41" s="92" t="inlineStr"/>
      <c r="U41" s="92" t="inlineStr">
        <is>
          <t>قطعی</t>
        </is>
      </c>
      <c r="V41" s="92" t="inlineStr"/>
    </row>
    <row r="42" ht="40" customHeight="1" s="76">
      <c r="A42" s="92" t="inlineStr">
        <is>
          <t>PF0039</t>
        </is>
      </c>
      <c r="B42" s="92" t="inlineStr">
        <is>
          <t>خودرو</t>
        </is>
      </c>
      <c r="C42" s="92" t="inlineStr">
        <is>
          <t>پنجره مشترک</t>
        </is>
      </c>
      <c r="D42" s="92" t="inlineStr">
        <is>
          <t>P-4746C6DA</t>
        </is>
      </c>
      <c r="E42" s="92" t="inlineStr">
        <is>
          <t>یوسف الهی شکیب</t>
        </is>
      </c>
      <c r="F42" s="92" t="inlineStr">
        <is>
          <t>یوسف الهی شکیب</t>
        </is>
      </c>
      <c r="G42" s="92" t="inlineStr">
        <is>
          <t>حاضر</t>
        </is>
      </c>
      <c r="H42" s="92" t="inlineStr">
        <is>
          <t>حاضر</t>
        </is>
      </c>
      <c r="I42" s="92" t="inlineStr">
        <is>
          <t>PERSISTED</t>
        </is>
      </c>
      <c r="J42" s="92" t="inlineStr">
        <is>
          <t>ماندگار: حاضر در هر دو مقطع</t>
        </is>
      </c>
      <c r="K42" s="92" t="inlineStr">
        <is>
          <t>رئیس (غیرموظف)</t>
        </is>
      </c>
      <c r="L42" s="92" t="inlineStr">
        <is>
          <t>رئیس (غیرموظف)</t>
        </is>
      </c>
      <c r="M42" s="92" t="inlineStr">
        <is>
          <t>بهینه‌سازان بهمن</t>
        </is>
      </c>
      <c r="N42" s="92" t="inlineStr">
        <is>
          <t>بهینه‌سازان بهمن</t>
        </is>
      </c>
      <c r="O42" s="92" t="inlineStr">
        <is>
          <t>خیر</t>
        </is>
      </c>
      <c r="P42" s="92" t="inlineStr"/>
      <c r="Q42" s="92" t="inlineStr"/>
      <c r="R42" s="92" t="inlineStr">
        <is>
          <t>1306740</t>
        </is>
      </c>
      <c r="S42" s="92" t="inlineStr">
        <is>
          <t>1417850</t>
        </is>
      </c>
      <c r="T42" s="92" t="inlineStr"/>
      <c r="U42" s="92" t="inlineStr">
        <is>
          <t>قطعی</t>
        </is>
      </c>
      <c r="V42" s="92" t="inlineStr"/>
    </row>
    <row r="43" ht="40" customHeight="1" s="76">
      <c r="A43" s="92" t="inlineStr">
        <is>
          <t>PF0040</t>
        </is>
      </c>
      <c r="B43" s="92" t="inlineStr">
        <is>
          <t>خودرو</t>
        </is>
      </c>
      <c r="C43" s="92" t="inlineStr">
        <is>
          <t>پنجره مشترک</t>
        </is>
      </c>
      <c r="D43" s="92" t="inlineStr">
        <is>
          <t>P-72980C78</t>
        </is>
      </c>
      <c r="E43" s="92" t="inlineStr">
        <is>
          <t>جمشید ایمانی کتک‌لاهیجانی</t>
        </is>
      </c>
      <c r="F43" s="92" t="inlineStr">
        <is>
          <t>جمشید ایمانی کتک لاهیجانی</t>
        </is>
      </c>
      <c r="G43" s="92" t="inlineStr">
        <is>
          <t>حاضر</t>
        </is>
      </c>
      <c r="H43" s="92" t="inlineStr">
        <is>
          <t>حاضر</t>
        </is>
      </c>
      <c r="I43" s="92" t="inlineStr">
        <is>
          <t>PERSISTED</t>
        </is>
      </c>
      <c r="J43" s="92" t="inlineStr">
        <is>
          <t>ماندگار: حاضر در هر دو مقطع</t>
        </is>
      </c>
      <c r="K43" s="92" t="inlineStr">
        <is>
          <t>نایب رئیس (موظف)</t>
        </is>
      </c>
      <c r="L43" s="92" t="inlineStr">
        <is>
          <t>نایب رئیس (موظف)</t>
        </is>
      </c>
      <c r="M43" s="92" t="inlineStr">
        <is>
          <t>اعتبار آفرین</t>
        </is>
      </c>
      <c r="N43" s="92" t="inlineStr">
        <is>
          <t>اعتبار آفرین</t>
        </is>
      </c>
      <c r="O43" s="92" t="inlineStr">
        <is>
          <t>خیر</t>
        </is>
      </c>
      <c r="P43" s="92" t="inlineStr"/>
      <c r="Q43" s="92" t="inlineStr"/>
      <c r="R43" s="92" t="inlineStr">
        <is>
          <t>1306740</t>
        </is>
      </c>
      <c r="S43" s="92" t="inlineStr">
        <is>
          <t>1417850</t>
        </is>
      </c>
      <c r="T43" s="92" t="inlineStr"/>
      <c r="U43" s="92" t="inlineStr">
        <is>
          <t>قطعی</t>
        </is>
      </c>
      <c r="V43" s="92" t="inlineStr"/>
    </row>
    <row r="44" ht="40" customHeight="1" s="76">
      <c r="A44" s="92" t="inlineStr">
        <is>
          <t>PF0041</t>
        </is>
      </c>
      <c r="B44" s="92" t="inlineStr">
        <is>
          <t>خودرو</t>
        </is>
      </c>
      <c r="C44" s="92" t="inlineStr">
        <is>
          <t>پنجره مشترک</t>
        </is>
      </c>
      <c r="D44" s="92" t="inlineStr">
        <is>
          <t>P-C49489C1</t>
        </is>
      </c>
      <c r="E44" s="92" t="inlineStr">
        <is>
          <t>حامد نائیجی</t>
        </is>
      </c>
      <c r="F44" s="92" t="inlineStr">
        <is>
          <t>حامد نائیجی</t>
        </is>
      </c>
      <c r="G44" s="92" t="inlineStr">
        <is>
          <t>غایب</t>
        </is>
      </c>
      <c r="H44" s="92" t="inlineStr">
        <is>
          <t>حاضر</t>
        </is>
      </c>
      <c r="I44" s="92" t="inlineStr">
        <is>
          <t>ENTRY_BETWEEN_SNAPSHOTS</t>
        </is>
      </c>
      <c r="J44" s="92" t="inlineStr">
        <is>
          <t>واردشده بین دو مقطع</t>
        </is>
      </c>
      <c r="K44" s="92" t="inlineStr"/>
      <c r="L44" s="92" t="inlineStr">
        <is>
          <t>عضو (غیرموظف)</t>
        </is>
      </c>
      <c r="M44" s="92" t="inlineStr"/>
      <c r="N44" s="92" t="inlineStr">
        <is>
          <t>سرمایه‌گذاری گنجینه ایرانیان</t>
        </is>
      </c>
      <c r="O44" s="92" t="inlineStr"/>
      <c r="P44" s="92" t="inlineStr">
        <is>
          <t>1404/07/19</t>
        </is>
      </c>
      <c r="Q44" s="92" t="inlineStr">
        <is>
          <t>تاریخ موثر ثبت شده در بازسازی v38</t>
        </is>
      </c>
      <c r="R44" s="92" t="inlineStr"/>
      <c r="S44" s="92" t="inlineStr">
        <is>
          <t>1417850</t>
        </is>
      </c>
      <c r="T44" s="92" t="inlineStr"/>
      <c r="U44" s="92" t="inlineStr">
        <is>
          <t>قطعی</t>
        </is>
      </c>
      <c r="V44" s="92" t="inlineStr"/>
    </row>
    <row r="45" ht="40" customHeight="1" s="76">
      <c r="A45" s="92" t="inlineStr">
        <is>
          <t>PF0042</t>
        </is>
      </c>
      <c r="B45" s="92" t="inlineStr">
        <is>
          <t>شپدیس</t>
        </is>
      </c>
      <c r="C45" s="92" t="inlineStr">
        <is>
          <t>پنجره مشترک</t>
        </is>
      </c>
      <c r="D45" s="92" t="inlineStr">
        <is>
          <t>P-0D107FC5</t>
        </is>
      </c>
      <c r="E45" s="92" t="inlineStr">
        <is>
          <t>عبدالرحیم قنبریان</t>
        </is>
      </c>
      <c r="F45" s="92" t="inlineStr">
        <is>
          <t>عبدالرحیم قنبریان</t>
        </is>
      </c>
      <c r="G45" s="92" t="inlineStr">
        <is>
          <t>حاضر</t>
        </is>
      </c>
      <c r="H45" s="92" t="inlineStr">
        <is>
          <t>حاضر</t>
        </is>
      </c>
      <c r="I45" s="92" t="inlineStr">
        <is>
          <t>PERSISTED</t>
        </is>
      </c>
      <c r="J45" s="92" t="inlineStr">
        <is>
          <t>ماندگار: حاضر در هر دو مقطع</t>
        </is>
      </c>
      <c r="K45" s="92" t="inlineStr">
        <is>
          <t>نایب رئیس (موظف)</t>
        </is>
      </c>
      <c r="L45" s="92" t="inlineStr">
        <is>
          <t>نایب رئیس (موظف)</t>
        </is>
      </c>
      <c r="M45" s="92" t="inlineStr">
        <is>
          <t>گروه گسترش نفت و گاز پارسیان</t>
        </is>
      </c>
      <c r="N45" s="92" t="inlineStr">
        <is>
          <t>گروه گسترش نفت و گاز پارسیان</t>
        </is>
      </c>
      <c r="O45" s="92" t="inlineStr">
        <is>
          <t>خیر</t>
        </is>
      </c>
      <c r="P45" s="92" t="inlineStr"/>
      <c r="Q45" s="92" t="inlineStr"/>
      <c r="R45" s="92" t="inlineStr">
        <is>
          <t>1309386</t>
        </is>
      </c>
      <c r="S45" s="92" t="inlineStr">
        <is>
          <t>1443721</t>
        </is>
      </c>
      <c r="T45" s="92" t="inlineStr"/>
      <c r="U45" s="92" t="inlineStr">
        <is>
          <t>قطعی</t>
        </is>
      </c>
      <c r="V45" s="92" t="inlineStr"/>
    </row>
    <row r="46" ht="40" customHeight="1" s="76">
      <c r="A46" s="92" t="inlineStr">
        <is>
          <t>PF0043</t>
        </is>
      </c>
      <c r="B46" s="92" t="inlineStr">
        <is>
          <t>شپدیس</t>
        </is>
      </c>
      <c r="C46" s="92" t="inlineStr">
        <is>
          <t>پنجره مشترک</t>
        </is>
      </c>
      <c r="D46" s="92" t="inlineStr">
        <is>
          <t>P-87B9351E</t>
        </is>
      </c>
      <c r="E46" s="92" t="inlineStr">
        <is>
          <t>سیدعلی نواب‌فر</t>
        </is>
      </c>
      <c r="F46" s="92" t="inlineStr">
        <is>
          <t>سیدعلی نواب فر</t>
        </is>
      </c>
      <c r="G46" s="92" t="inlineStr">
        <is>
          <t>حاضر</t>
        </is>
      </c>
      <c r="H46" s="92" t="inlineStr">
        <is>
          <t>غایب</t>
        </is>
      </c>
      <c r="I46" s="92" t="inlineStr">
        <is>
          <t>EXIT_BETWEEN_SNAPSHOTS</t>
        </is>
      </c>
      <c r="J46" s="92" t="inlineStr">
        <is>
          <t>خارج شده بین دو مقطع</t>
        </is>
      </c>
      <c r="K46" s="92" t="inlineStr">
        <is>
          <t>نایب رئیس (غیرموظف)</t>
        </is>
      </c>
      <c r="L46" s="92" t="inlineStr"/>
      <c r="M46" s="92" t="inlineStr">
        <is>
          <t>بازرگانی پتروشیمی</t>
        </is>
      </c>
      <c r="N46" s="92" t="inlineStr"/>
      <c r="O46" s="92" t="inlineStr"/>
      <c r="P46" s="92" t="inlineStr">
        <is>
          <t>نامشخص</t>
        </is>
      </c>
      <c r="Q46" s="92" t="inlineStr">
        <is>
          <t>نامشخص: جانشین میانی کاردار؛ تاریخ خروج نواب فر در فایل ثبت نشده و پر نشد</t>
        </is>
      </c>
      <c r="R46" s="92" t="inlineStr">
        <is>
          <t>1309386</t>
        </is>
      </c>
      <c r="S46" s="92" t="inlineStr"/>
      <c r="T46" s="92" t="inlineStr"/>
      <c r="U46" s="92" t="inlineStr">
        <is>
          <t>قطعی</t>
        </is>
      </c>
      <c r="V46" s="92" t="inlineStr">
        <is>
          <t>کرسی هامون سپاهان در مبنا خالی مستند: نماینده قبلی ۱۴۰۳/۱۱/۲۹ حذف و تا ۱۴۰۴/۰۸/۱۷ جانشین نیامد (متن v38)</t>
        </is>
      </c>
    </row>
    <row r="47" ht="40" customHeight="1" s="76">
      <c r="A47" s="92" t="inlineStr">
        <is>
          <t>PF0044</t>
        </is>
      </c>
      <c r="B47" s="92" t="inlineStr">
        <is>
          <t>شپدیس</t>
        </is>
      </c>
      <c r="C47" s="92" t="inlineStr">
        <is>
          <t>پنجره مشترک</t>
        </is>
      </c>
      <c r="D47" s="92" t="inlineStr">
        <is>
          <t>P-97503F36</t>
        </is>
      </c>
      <c r="E47" s="92" t="inlineStr">
        <is>
          <t>هوشنگ گودرزی</t>
        </is>
      </c>
      <c r="F47" s="92" t="inlineStr">
        <is>
          <t>هوشنگ گودرزی</t>
        </is>
      </c>
      <c r="G47" s="92" t="inlineStr">
        <is>
          <t>حاضر</t>
        </is>
      </c>
      <c r="H47" s="92" t="inlineStr">
        <is>
          <t>حاضر</t>
        </is>
      </c>
      <c r="I47" s="92" t="inlineStr">
        <is>
          <t>PERSISTED</t>
        </is>
      </c>
      <c r="J47" s="92" t="inlineStr">
        <is>
          <t>ماندگار: حاضر در هر دو مقطع</t>
        </is>
      </c>
      <c r="K47" s="92" t="inlineStr">
        <is>
          <t>رئیس (غیرموظف)</t>
        </is>
      </c>
      <c r="L47" s="92" t="inlineStr">
        <is>
          <t>عضو (غیرموظف)</t>
        </is>
      </c>
      <c r="M47" s="92" t="inlineStr">
        <is>
          <t>خدمات مدیریت هامون سپاهان</t>
        </is>
      </c>
      <c r="N47" s="92" t="inlineStr">
        <is>
          <t>خدمات مدیریت هامون سپاهان</t>
        </is>
      </c>
      <c r="O47" s="92" t="inlineStr">
        <is>
          <t>خیر</t>
        </is>
      </c>
      <c r="P47" s="92" t="inlineStr"/>
      <c r="Q47" s="92" t="inlineStr"/>
      <c r="R47" s="92" t="inlineStr">
        <is>
          <t>1309386</t>
        </is>
      </c>
      <c r="S47" s="92" t="inlineStr">
        <is>
          <t>1443721</t>
        </is>
      </c>
      <c r="T47" s="92" t="inlineStr"/>
      <c r="U47" s="92" t="inlineStr">
        <is>
          <t>قطعی</t>
        </is>
      </c>
      <c r="V47" s="92" t="inlineStr"/>
    </row>
    <row r="48" ht="40" customHeight="1" s="76">
      <c r="A48" s="92" t="inlineStr">
        <is>
          <t>PF0045</t>
        </is>
      </c>
      <c r="B48" s="92" t="inlineStr">
        <is>
          <t>شپدیس</t>
        </is>
      </c>
      <c r="C48" s="92" t="inlineStr">
        <is>
          <t>پنجره مشترک</t>
        </is>
      </c>
      <c r="D48" s="92" t="inlineStr">
        <is>
          <t>P-20C8BFD0</t>
        </is>
      </c>
      <c r="E48" s="92" t="inlineStr">
        <is>
          <t>محمدعلی سلیمانی</t>
        </is>
      </c>
      <c r="F48" s="92" t="inlineStr">
        <is>
          <t>محمدعلی سلیمانی</t>
        </is>
      </c>
      <c r="G48" s="92" t="inlineStr">
        <is>
          <t>حاضر</t>
        </is>
      </c>
      <c r="H48" s="92" t="inlineStr">
        <is>
          <t>حاضر</t>
        </is>
      </c>
      <c r="I48" s="92" t="inlineStr">
        <is>
          <t>PERSISTED</t>
        </is>
      </c>
      <c r="J48" s="92" t="inlineStr">
        <is>
          <t>ماندگار: حاضر در هر دو مقطع</t>
        </is>
      </c>
      <c r="K48" s="92" t="inlineStr">
        <is>
          <t>عضو (غیرموظف)</t>
        </is>
      </c>
      <c r="L48" s="92" t="inlineStr">
        <is>
          <t>عضو (غیرموظف)</t>
        </is>
      </c>
      <c r="M48" s="92" t="inlineStr">
        <is>
          <t>بازرگانی و تجارت هامون سپاهان</t>
        </is>
      </c>
      <c r="N48" s="92" t="inlineStr">
        <is>
          <t>بازرگانی و تجارت هامون سپاهان</t>
        </is>
      </c>
      <c r="O48" s="92" t="inlineStr">
        <is>
          <t>خیر</t>
        </is>
      </c>
      <c r="P48" s="92" t="inlineStr"/>
      <c r="Q48" s="92" t="inlineStr"/>
      <c r="R48" s="92" t="inlineStr">
        <is>
          <t>1309386</t>
        </is>
      </c>
      <c r="S48" s="92" t="inlineStr">
        <is>
          <t>1443721</t>
        </is>
      </c>
      <c r="T48" s="92" t="inlineStr"/>
      <c r="U48" s="92" t="inlineStr">
        <is>
          <t>قطعی</t>
        </is>
      </c>
      <c r="V48" s="92" t="inlineStr"/>
    </row>
    <row r="49" ht="40" customHeight="1" s="76">
      <c r="A49" s="92" t="inlineStr">
        <is>
          <t>PF0046</t>
        </is>
      </c>
      <c r="B49" s="92" t="inlineStr">
        <is>
          <t>شپدیس</t>
        </is>
      </c>
      <c r="C49" s="92" t="inlineStr">
        <is>
          <t>پنجره مشترک</t>
        </is>
      </c>
      <c r="D49" s="92" t="inlineStr">
        <is>
          <t>P-9B2E26C1</t>
        </is>
      </c>
      <c r="E49" s="92" t="inlineStr">
        <is>
          <t>حسین سلاح‌ورزی</t>
        </is>
      </c>
      <c r="F49" s="92" t="inlineStr">
        <is>
          <t>حسین سلاح ورزی</t>
        </is>
      </c>
      <c r="G49" s="92" t="inlineStr">
        <is>
          <t>غایب</t>
        </is>
      </c>
      <c r="H49" s="92" t="inlineStr">
        <is>
          <t>حاضر</t>
        </is>
      </c>
      <c r="I49" s="92" t="inlineStr">
        <is>
          <t>ENTRY_BETWEEN_SNAPSHOTS</t>
        </is>
      </c>
      <c r="J49" s="92" t="inlineStr">
        <is>
          <t>واردشده بین دو مقطع</t>
        </is>
      </c>
      <c r="K49" s="92" t="inlineStr"/>
      <c r="L49" s="92" t="inlineStr">
        <is>
          <t>عضو (غیرموظف)</t>
        </is>
      </c>
      <c r="M49" s="92" t="inlineStr"/>
      <c r="N49" s="92" t="inlineStr">
        <is>
          <t>بازرگانی پتروشیمی</t>
        </is>
      </c>
      <c r="O49" s="92" t="inlineStr"/>
      <c r="P49" s="92" t="inlineStr">
        <is>
          <t>1404/09/05</t>
        </is>
      </c>
      <c r="Q49" s="92" t="inlineStr">
        <is>
          <t>تاریخ موثر ثبت شده در بازسازی v38</t>
        </is>
      </c>
      <c r="R49" s="92" t="inlineStr"/>
      <c r="S49" s="92" t="inlineStr">
        <is>
          <t>1443721</t>
        </is>
      </c>
      <c r="T49" s="92" t="inlineStr"/>
      <c r="U49" s="92" t="inlineStr">
        <is>
          <t>قطعی</t>
        </is>
      </c>
      <c r="V49" s="92" t="inlineStr">
        <is>
          <t>کرسی هامون سپاهان در مبنا خالی مستند: نماینده قبلی ۱۴۰۳/۱۱/۲۹ حذف و تا ۱۴۰۴/۰۸/۱۷ جانشین نیامد (متن v38)</t>
        </is>
      </c>
    </row>
    <row r="50" ht="40" customHeight="1" s="76">
      <c r="A50" s="92" t="inlineStr">
        <is>
          <t>PF0047</t>
        </is>
      </c>
      <c r="B50" s="92" t="inlineStr">
        <is>
          <t>شپدیس</t>
        </is>
      </c>
      <c r="C50" s="92" t="inlineStr">
        <is>
          <t>پنجره مشترک</t>
        </is>
      </c>
      <c r="D50" s="92" t="inlineStr">
        <is>
          <t>P-2852C3E1</t>
        </is>
      </c>
      <c r="E50" s="92" t="inlineStr">
        <is>
          <t>حسن شاه‌ولدی</t>
        </is>
      </c>
      <c r="F50" s="92" t="inlineStr">
        <is>
          <t>حسن شاه ولدی</t>
        </is>
      </c>
      <c r="G50" s="92" t="inlineStr">
        <is>
          <t>غایب</t>
        </is>
      </c>
      <c r="H50" s="92" t="inlineStr">
        <is>
          <t>حاضر</t>
        </is>
      </c>
      <c r="I50" s="92" t="inlineStr">
        <is>
          <t>ENTRY_BETWEEN_SNAPSHOTS</t>
        </is>
      </c>
      <c r="J50" s="92" t="inlineStr">
        <is>
          <t>واردشده بین دو مقطع</t>
        </is>
      </c>
      <c r="K50" s="92" t="inlineStr"/>
      <c r="L50" s="92" t="inlineStr">
        <is>
          <t>رئیس (غیرموظف)</t>
        </is>
      </c>
      <c r="M50" s="92" t="inlineStr"/>
      <c r="N50" s="92" t="inlineStr">
        <is>
          <t>سرمایه‌گذاری هامون سپاهان</t>
        </is>
      </c>
      <c r="O50" s="92" t="inlineStr"/>
      <c r="P50" s="92" t="inlineStr">
        <is>
          <t>1404/08/17</t>
        </is>
      </c>
      <c r="Q50" s="92" t="inlineStr">
        <is>
          <t>تاریخ موثر ثبت شده در بازسازی v38</t>
        </is>
      </c>
      <c r="R50" s="92" t="inlineStr"/>
      <c r="S50" s="92" t="inlineStr">
        <is>
          <t>1443721</t>
        </is>
      </c>
      <c r="T50" s="92" t="inlineStr"/>
      <c r="U50" s="92" t="inlineStr">
        <is>
          <t>قطعی</t>
        </is>
      </c>
      <c r="V50" s="92" t="inlineStr">
        <is>
          <t>کرسی هامون سپاهان در مبنا خالی مستند: نماینده قبلی ۱۴۰۳/۱۱/۲۹ حذف و تا ۱۴۰۴/۰۸/۱۷ جانشین نیامد (متن v38)</t>
        </is>
      </c>
    </row>
    <row r="51" ht="40" customHeight="1" s="76">
      <c r="A51" s="93" t="inlineStr">
        <is>
          <t>PF0048</t>
        </is>
      </c>
      <c r="B51" s="93" t="inlineStr">
        <is>
          <t>وتجارت</t>
        </is>
      </c>
      <c r="C51" s="93" t="inlineStr">
        <is>
          <t>پنجره مشترک</t>
        </is>
      </c>
      <c r="D51" s="93" t="inlineStr">
        <is>
          <t>P-E99FCA72</t>
        </is>
      </c>
      <c r="E51" s="93" t="inlineStr">
        <is>
          <t>علی کی‌لانی</t>
        </is>
      </c>
      <c r="F51" s="93" t="inlineStr">
        <is>
          <t>علی کی لانی</t>
        </is>
      </c>
      <c r="G51" s="93" t="inlineStr">
        <is>
          <t>حاضر</t>
        </is>
      </c>
      <c r="H51" s="93" t="inlineStr">
        <is>
          <t>حاضر</t>
        </is>
      </c>
      <c r="I51" s="93" t="inlineStr">
        <is>
          <t>PERSISTED</t>
        </is>
      </c>
      <c r="J51" s="93" t="inlineStr">
        <is>
          <t>ماندگار: حاضر در هر دو مقطع</t>
        </is>
      </c>
      <c r="K51" s="93" t="inlineStr">
        <is>
          <t>عضو (موظف)</t>
        </is>
      </c>
      <c r="L51" s="93" t="inlineStr">
        <is>
          <t>عضو (موظف)</t>
        </is>
      </c>
      <c r="M51" s="93" t="inlineStr">
        <is>
          <t>— (عضو حقیقی مستقیم)</t>
        </is>
      </c>
      <c r="N51" s="93" t="inlineStr">
        <is>
          <t>— (عضو حقیقی مستقیم)</t>
        </is>
      </c>
      <c r="O51" s="93" t="inlineStr">
        <is>
          <t>خیر</t>
        </is>
      </c>
      <c r="P51" s="93" t="inlineStr"/>
      <c r="Q51" s="93" t="inlineStr"/>
      <c r="R51" s="93" t="inlineStr">
        <is>
          <t>1159936</t>
        </is>
      </c>
      <c r="S51" s="93" t="inlineStr">
        <is>
          <t>1444154</t>
        </is>
      </c>
      <c r="T51" s="93" t="inlineStr"/>
      <c r="U51" s="93" t="inlineStr">
        <is>
          <t>مشروط</t>
        </is>
      </c>
      <c r="V51" s="93" t="inlineStr"/>
    </row>
    <row r="52" ht="40" customHeight="1" s="76">
      <c r="A52" s="93" t="inlineStr">
        <is>
          <t>PF0049</t>
        </is>
      </c>
      <c r="B52" s="93" t="inlineStr">
        <is>
          <t>وتجارت</t>
        </is>
      </c>
      <c r="C52" s="93" t="inlineStr">
        <is>
          <t>پنجره مشترک</t>
        </is>
      </c>
      <c r="D52" s="93" t="inlineStr">
        <is>
          <t>P-6A8D286D</t>
        </is>
      </c>
      <c r="E52" s="93" t="inlineStr">
        <is>
          <t>مرتضی ترک‌تبریزی</t>
        </is>
      </c>
      <c r="F52" s="93" t="inlineStr">
        <is>
          <t>مرتضی ترک تبریزی</t>
        </is>
      </c>
      <c r="G52" s="93" t="inlineStr">
        <is>
          <t>حاضر</t>
        </is>
      </c>
      <c r="H52" s="93" t="inlineStr">
        <is>
          <t>حاضر</t>
        </is>
      </c>
      <c r="I52" s="93" t="inlineStr">
        <is>
          <t>PERSISTED</t>
        </is>
      </c>
      <c r="J52" s="93" t="inlineStr">
        <is>
          <t>ماندگار: حاضر در هر دو مقطع</t>
        </is>
      </c>
      <c r="K52" s="93" t="inlineStr">
        <is>
          <t>رئیس (موظف)</t>
        </is>
      </c>
      <c r="L52" s="93" t="inlineStr">
        <is>
          <t>رئیس (موظف)</t>
        </is>
      </c>
      <c r="M52" s="93" t="inlineStr">
        <is>
          <t>— (عضو حقیقی مستقیم)</t>
        </is>
      </c>
      <c r="N52" s="93" t="inlineStr">
        <is>
          <t>— (عضو حقیقی مستقیم)</t>
        </is>
      </c>
      <c r="O52" s="93" t="inlineStr">
        <is>
          <t>خیر</t>
        </is>
      </c>
      <c r="P52" s="93" t="inlineStr"/>
      <c r="Q52" s="93" t="inlineStr"/>
      <c r="R52" s="93" t="inlineStr">
        <is>
          <t>1159936</t>
        </is>
      </c>
      <c r="S52" s="93" t="inlineStr">
        <is>
          <t>1444154</t>
        </is>
      </c>
      <c r="T52" s="93" t="inlineStr"/>
      <c r="U52" s="93" t="inlineStr">
        <is>
          <t>مشروط</t>
        </is>
      </c>
      <c r="V52" s="93" t="inlineStr"/>
    </row>
    <row r="53" ht="40" customHeight="1" s="76">
      <c r="A53" s="93" t="inlineStr">
        <is>
          <t>PF0050</t>
        </is>
      </c>
      <c r="B53" s="93" t="inlineStr">
        <is>
          <t>وتجارت</t>
        </is>
      </c>
      <c r="C53" s="93" t="inlineStr">
        <is>
          <t>پنجره مشترک</t>
        </is>
      </c>
      <c r="D53" s="93" t="inlineStr">
        <is>
          <t>P-072BEFB1</t>
        </is>
      </c>
      <c r="E53" s="93" t="inlineStr">
        <is>
          <t>هادی اخلاقی فیض‌آثار</t>
        </is>
      </c>
      <c r="F53" s="93" t="inlineStr">
        <is>
          <t>هادی اخلاقی فیض آثار</t>
        </is>
      </c>
      <c r="G53" s="93" t="inlineStr">
        <is>
          <t>حاضر</t>
        </is>
      </c>
      <c r="H53" s="93" t="inlineStr">
        <is>
          <t>حاضر</t>
        </is>
      </c>
      <c r="I53" s="93" t="inlineStr">
        <is>
          <t>PERSISTED</t>
        </is>
      </c>
      <c r="J53" s="93" t="inlineStr">
        <is>
          <t>ماندگار: حاضر در هر دو مقطع</t>
        </is>
      </c>
      <c r="K53" s="93" t="inlineStr">
        <is>
          <t>عضو و مدیرعامل (موظف)</t>
        </is>
      </c>
      <c r="L53" s="93" t="inlineStr">
        <is>
          <t>عضو و مدیرعامل (موظف)</t>
        </is>
      </c>
      <c r="M53" s="93" t="inlineStr">
        <is>
          <t>— (عضو حقیقی مستقیم)</t>
        </is>
      </c>
      <c r="N53" s="93" t="inlineStr">
        <is>
          <t>— (عضو حقیقی مستقیم)</t>
        </is>
      </c>
      <c r="O53" s="93" t="inlineStr">
        <is>
          <t>خیر</t>
        </is>
      </c>
      <c r="P53" s="93" t="inlineStr"/>
      <c r="Q53" s="93" t="inlineStr"/>
      <c r="R53" s="93" t="inlineStr">
        <is>
          <t>1159936</t>
        </is>
      </c>
      <c r="S53" s="93" t="inlineStr">
        <is>
          <t>1444154</t>
        </is>
      </c>
      <c r="T53" s="93" t="inlineStr"/>
      <c r="U53" s="93" t="inlineStr">
        <is>
          <t>مشروط</t>
        </is>
      </c>
      <c r="V53" s="93" t="inlineStr"/>
    </row>
    <row r="54" ht="40" customHeight="1" s="76">
      <c r="A54" s="93" t="inlineStr">
        <is>
          <t>PF0051</t>
        </is>
      </c>
      <c r="B54" s="93" t="inlineStr">
        <is>
          <t>وتجارت</t>
        </is>
      </c>
      <c r="C54" s="93" t="inlineStr">
        <is>
          <t>پنجره مشترک</t>
        </is>
      </c>
      <c r="D54" s="93" t="inlineStr">
        <is>
          <t>P-F3DED83D</t>
        </is>
      </c>
      <c r="E54" s="93" t="inlineStr">
        <is>
          <t>حمیدرضا شریفیان</t>
        </is>
      </c>
      <c r="F54" s="93" t="inlineStr">
        <is>
          <t>حمیدرضا شریفیان</t>
        </is>
      </c>
      <c r="G54" s="93" t="inlineStr">
        <is>
          <t>حاضر</t>
        </is>
      </c>
      <c r="H54" s="93" t="inlineStr">
        <is>
          <t>غایب در فهرست مشروط</t>
        </is>
      </c>
      <c r="I54" s="93" t="inlineStr">
        <is>
          <t>ABSENT_AT_END_UNDETERMINED</t>
        </is>
      </c>
      <c r="J54" s="93" t="inlineStr">
        <is>
          <t>غایب در پایان؛ خروج منوط به کامل بودن فهرست پایان (تعیین نشد)</t>
        </is>
      </c>
      <c r="K54" s="93" t="inlineStr">
        <is>
          <t>نایب رئیس (موظف)</t>
        </is>
      </c>
      <c r="L54" s="93" t="inlineStr"/>
      <c r="M54" s="93" t="inlineStr">
        <is>
          <t>— (عضو حقیقی مستقیم)</t>
        </is>
      </c>
      <c r="N54" s="93" t="inlineStr"/>
      <c r="O54" s="93" t="inlineStr"/>
      <c r="P54" s="93" t="inlineStr">
        <is>
          <t>نامشخص؛ بازه v38: پس از 1403/12/29 تا پیش از 1404/08/28</t>
        </is>
      </c>
      <c r="Q54" s="93" t="inlineStr">
        <is>
          <t>بازه؛ تاریخ ساختگی وارد نشد</t>
        </is>
      </c>
      <c r="R54" s="93" t="inlineStr">
        <is>
          <t>1159936</t>
        </is>
      </c>
      <c r="S54" s="93" t="inlineStr"/>
      <c r="T54" s="93" t="inlineStr"/>
      <c r="U54" s="93" t="inlineStr">
        <is>
          <t>مشروط</t>
        </is>
      </c>
      <c r="V54" s="93" t="inlineStr">
        <is>
          <t>فهرست پایان چهار نفره از اصلاحیه ۱۴۴۴۱۵۴ و جدول FY1404 است؛ اطلاعیه اولیه ۱۴۴۳۰۷۸ با تاریخ جلسه دیرتر هنوز پنج نفر دارد؛ خالی بودن کرسی پنجم مستند نیست</t>
        </is>
      </c>
    </row>
    <row r="55" ht="40" customHeight="1" s="76">
      <c r="A55" s="93" t="inlineStr">
        <is>
          <t>PF0052</t>
        </is>
      </c>
      <c r="B55" s="93" t="inlineStr">
        <is>
          <t>وتجارت</t>
        </is>
      </c>
      <c r="C55" s="93" t="inlineStr">
        <is>
          <t>پنجره مشترک</t>
        </is>
      </c>
      <c r="D55" s="93" t="inlineStr">
        <is>
          <t>P-BA1065D0</t>
        </is>
      </c>
      <c r="E55" s="93" t="inlineStr">
        <is>
          <t>سیدمهدی حسینی دولت‌آبادی</t>
        </is>
      </c>
      <c r="F55" s="93" t="inlineStr">
        <is>
          <t>سیدمهدی حسینی دولت آبادی</t>
        </is>
      </c>
      <c r="G55" s="93" t="inlineStr">
        <is>
          <t>حاضر</t>
        </is>
      </c>
      <c r="H55" s="93" t="inlineStr">
        <is>
          <t>حاضر</t>
        </is>
      </c>
      <c r="I55" s="93" t="inlineStr">
        <is>
          <t>PERSISTED</t>
        </is>
      </c>
      <c r="J55" s="93" t="inlineStr">
        <is>
          <t>ماندگار: حاضر در هر دو مقطع</t>
        </is>
      </c>
      <c r="K55" s="93" t="inlineStr">
        <is>
          <t>عضو (موظف)</t>
        </is>
      </c>
      <c r="L55" s="93" t="inlineStr">
        <is>
          <t>عضو (موظف)</t>
        </is>
      </c>
      <c r="M55" s="93" t="inlineStr">
        <is>
          <t>— (عضو حقیقی مستقیم)</t>
        </is>
      </c>
      <c r="N55" s="93" t="inlineStr">
        <is>
          <t>— (عضو حقیقی مستقیم)</t>
        </is>
      </c>
      <c r="O55" s="93" t="inlineStr">
        <is>
          <t>خیر</t>
        </is>
      </c>
      <c r="P55" s="93" t="inlineStr"/>
      <c r="Q55" s="93" t="inlineStr"/>
      <c r="R55" s="93" t="inlineStr">
        <is>
          <t>1159936</t>
        </is>
      </c>
      <c r="S55" s="93" t="inlineStr">
        <is>
          <t>1444154</t>
        </is>
      </c>
      <c r="T55" s="93" t="inlineStr"/>
      <c r="U55" s="93" t="inlineStr">
        <is>
          <t>مشروط</t>
        </is>
      </c>
      <c r="V55" s="93" t="inlineStr"/>
    </row>
    <row r="56" ht="34" customHeight="1" s="76">
      <c r="A56" s="95" t="inlineStr">
        <is>
          <t>PF0053</t>
        </is>
      </c>
      <c r="B56" s="95" t="inlineStr">
        <is>
          <t>فملی</t>
        </is>
      </c>
      <c r="C56" s="95" t="inlineStr">
        <is>
          <t>نمای مالی FYE1404</t>
        </is>
      </c>
      <c r="D56" s="95" t="inlineStr">
        <is>
          <t>P-8BB61E68</t>
        </is>
      </c>
      <c r="E56" s="95" t="inlineStr">
        <is>
          <t>غلامرضا شافعی</t>
        </is>
      </c>
      <c r="F56" s="95" t="inlineStr">
        <is>
          <t>غلامرضا شافعی</t>
        </is>
      </c>
      <c r="G56" s="95" t="inlineStr">
        <is>
          <t>نامشخص (فهرست اسمی مبنا در دسترس نیست)</t>
        </is>
      </c>
      <c r="H56" s="95" t="inlineStr">
        <is>
          <t>حاضر در مقطع 1404/12/29</t>
        </is>
      </c>
      <c r="I56" s="95" t="inlineStr">
        <is>
          <t>FISCAL_ENTRY_AFTER_BASE</t>
        </is>
      </c>
      <c r="J56" s="95" t="inlineStr">
        <is>
          <t>نمای مالی: ورود پس از مبنا طبق تصدی v41</t>
        </is>
      </c>
      <c r="K56" s="95" t="inlineStr"/>
      <c r="L56" s="95" t="inlineStr">
        <is>
          <t>رئیس هیئت مدیره</t>
        </is>
      </c>
      <c r="M56" s="95" t="inlineStr"/>
      <c r="N56" s="95" t="inlineStr">
        <is>
          <t>سازمان توسعه و نوسازی معادن و صنایع معدنی ایران</t>
        </is>
      </c>
      <c r="O56" s="95" t="inlineStr"/>
      <c r="P56" s="95" t="inlineStr"/>
      <c r="Q56" s="95" t="inlineStr"/>
      <c r="R56" s="95" t="inlineStr"/>
      <c r="S56" s="95" t="inlineStr">
        <is>
          <t>SRC_FMLI_1404_001</t>
        </is>
      </c>
      <c r="T56" s="95" t="inlineStr">
        <is>
          <t>EXACT؛ شروع 1404/02/02</t>
        </is>
      </c>
      <c r="U56" s="95" t="inlineStr">
        <is>
          <t>استنباطی از تصدی</t>
        </is>
      </c>
      <c r="V56" s="95" t="inlineStr">
        <is>
          <t>ورود پس از مبنا (شروع دقیق پس از 1403/12/29)</t>
        </is>
      </c>
    </row>
    <row r="57" ht="34" customHeight="1" s="76">
      <c r="A57" s="95" t="inlineStr">
        <is>
          <t>PF0054</t>
        </is>
      </c>
      <c r="B57" s="95" t="inlineStr">
        <is>
          <t>فملی</t>
        </is>
      </c>
      <c r="C57" s="95" t="inlineStr">
        <is>
          <t>نمای مالی FYE1404</t>
        </is>
      </c>
      <c r="D57" s="95" t="inlineStr">
        <is>
          <t>P-D93642E4</t>
        </is>
      </c>
      <c r="E57" s="95" t="inlineStr">
        <is>
          <t>سیدمصطفی فیض اردکانی</t>
        </is>
      </c>
      <c r="F57" s="95" t="inlineStr">
        <is>
          <t>سیدمصطفی فیض اردکانی</t>
        </is>
      </c>
      <c r="G57" s="95" t="inlineStr">
        <is>
          <t>نامشخص (فهرست اسمی مبنا در دسترس نیست)</t>
        </is>
      </c>
      <c r="H57" s="95" t="inlineStr">
        <is>
          <t>حاضر در مقطع 1404/12/29</t>
        </is>
      </c>
      <c r="I57" s="95" t="inlineStr">
        <is>
          <t>FISCAL_ENTRY_AFTER_BASE</t>
        </is>
      </c>
      <c r="J57" s="95" t="inlineStr">
        <is>
          <t>نمای مالی: ورود پس از مبنا طبق تصدی v41</t>
        </is>
      </c>
      <c r="K57" s="95" t="inlineStr"/>
      <c r="L57" s="95" t="inlineStr">
        <is>
          <t>نایب رئیس هیئت مدیره</t>
        </is>
      </c>
      <c r="M57" s="95" t="inlineStr"/>
      <c r="N57" s="95" t="inlineStr">
        <is>
          <t>صندوق بازنشستگی شرکت ملی صنایع مس ایران</t>
        </is>
      </c>
      <c r="O57" s="95" t="inlineStr"/>
      <c r="P57" s="95" t="inlineStr"/>
      <c r="Q57" s="95" t="inlineStr"/>
      <c r="R57" s="95" t="inlineStr"/>
      <c r="S57" s="95" t="inlineStr">
        <is>
          <t>SRC_FMLI_1404_001</t>
        </is>
      </c>
      <c r="T57" s="95" t="inlineStr">
        <is>
          <t>EXACT؛ شروع 1404/01/24</t>
        </is>
      </c>
      <c r="U57" s="95" t="inlineStr">
        <is>
          <t>استنباطی از تصدی</t>
        </is>
      </c>
      <c r="V57" s="95" t="inlineStr">
        <is>
          <t>ورود پس از مبنا (شروع دقیق پس از 1403/12/29)</t>
        </is>
      </c>
    </row>
    <row r="58" ht="34" customHeight="1" s="76">
      <c r="A58" s="92" t="inlineStr">
        <is>
          <t>PF0055</t>
        </is>
      </c>
      <c r="B58" s="92" t="inlineStr">
        <is>
          <t>فملی</t>
        </is>
      </c>
      <c r="C58" s="92" t="inlineStr">
        <is>
          <t>نمای مالی FYE1404</t>
        </is>
      </c>
      <c r="D58" s="92" t="inlineStr">
        <is>
          <t>P-5E9BACAE</t>
        </is>
      </c>
      <c r="E58" s="92" t="inlineStr">
        <is>
          <t>سمیه خلوصی</t>
        </is>
      </c>
      <c r="F58" s="92" t="inlineStr">
        <is>
          <t>سمیه خلوصی</t>
        </is>
      </c>
      <c r="G58" s="92" t="inlineStr">
        <is>
          <t>نامشخص (فهرست اسمی مبنا در دسترس نیست)</t>
        </is>
      </c>
      <c r="H58" s="92" t="inlineStr">
        <is>
          <t>حاضر در مقطع 1404/12/29</t>
        </is>
      </c>
      <c r="I58" s="92" t="inlineStr">
        <is>
          <t>FISCAL_BASE_UNDETERMINED</t>
        </is>
      </c>
      <c r="J58" s="92" t="inlineStr">
        <is>
          <t>نمای مالی: وضعیت در مبنا نامشخص</t>
        </is>
      </c>
      <c r="K58" s="92" t="inlineStr"/>
      <c r="L58" s="92" t="inlineStr">
        <is>
          <t>عضو هیئت مدیره</t>
        </is>
      </c>
      <c r="M58" s="92" t="inlineStr"/>
      <c r="N58" s="92" t="inlineStr">
        <is>
          <t>سرمایه گذاری استان ایلام</t>
        </is>
      </c>
      <c r="O58" s="92" t="inlineStr"/>
      <c r="P58" s="92" t="inlineStr"/>
      <c r="Q58" s="92" t="inlineStr"/>
      <c r="R58" s="92" t="inlineStr"/>
      <c r="S58" s="92" t="inlineStr">
        <is>
          <t>SRC_FMLI_1404_001</t>
        </is>
      </c>
      <c r="T58" s="92" t="inlineStr">
        <is>
          <t>INTERVAL؛ بازه 1403/11/07 تا 1404/03/04</t>
        </is>
      </c>
      <c r="U58" s="92" t="inlineStr">
        <is>
          <t>استنباطی از تصدی</t>
        </is>
      </c>
      <c r="V58" s="92" t="inlineStr">
        <is>
          <t>نامشخص: بازه شروع مبنا را دربر می گیرد</t>
        </is>
      </c>
    </row>
    <row r="59" ht="34" customHeight="1" s="76">
      <c r="A59" s="92" t="inlineStr">
        <is>
          <t>PF0056</t>
        </is>
      </c>
      <c r="B59" s="92" t="inlineStr">
        <is>
          <t>فملی</t>
        </is>
      </c>
      <c r="C59" s="92" t="inlineStr">
        <is>
          <t>نمای مالی FYE1404</t>
        </is>
      </c>
      <c r="D59" s="92" t="inlineStr">
        <is>
          <t>P-A09EFD0E</t>
        </is>
      </c>
      <c r="E59" s="92" t="inlineStr">
        <is>
          <t>شهریار متوکل</t>
        </is>
      </c>
      <c r="F59" s="92" t="inlineStr">
        <is>
          <t>شهریار متوکل</t>
        </is>
      </c>
      <c r="G59" s="92" t="inlineStr">
        <is>
          <t>نامشخص (فهرست اسمی مبنا در دسترس نیست)</t>
        </is>
      </c>
      <c r="H59" s="92" t="inlineStr">
        <is>
          <t>حاضر در مقطع 1404/12/29</t>
        </is>
      </c>
      <c r="I59" s="92" t="inlineStr">
        <is>
          <t>FISCAL_PRESENT_AT_BASE</t>
        </is>
      </c>
      <c r="J59" s="92" t="inlineStr">
        <is>
          <t>نمای مالی: حاضر در مبنا طبق پیوستگی تصدی v41</t>
        </is>
      </c>
      <c r="K59" s="92" t="inlineStr"/>
      <c r="L59" s="92" t="inlineStr">
        <is>
          <t>عضو هیئت مدیره</t>
        </is>
      </c>
      <c r="M59" s="92" t="inlineStr"/>
      <c r="N59" s="92" t="inlineStr">
        <is>
          <t>سرمایه گذاری استان آذربایجان شرقی</t>
        </is>
      </c>
      <c r="O59" s="92" t="inlineStr"/>
      <c r="P59" s="92" t="inlineStr"/>
      <c r="Q59" s="92" t="inlineStr"/>
      <c r="R59" s="92" t="inlineStr"/>
      <c r="S59" s="92" t="inlineStr">
        <is>
          <t>SRC_FMLI_1404_001</t>
        </is>
      </c>
      <c r="T59" s="92" t="inlineStr">
        <is>
          <t>INTERVAL؛ بازه 1402/04/15 تا 1402/05/07</t>
        </is>
      </c>
      <c r="U59" s="92" t="inlineStr">
        <is>
          <t>استنباطی از تصدی</t>
        </is>
      </c>
      <c r="V59" s="92" t="inlineStr">
        <is>
          <t>حاضر در مبنا بر پایه پیوستگی (کران بالا تا 1403/12/29)</t>
        </is>
      </c>
    </row>
    <row r="60" ht="34" customHeight="1" s="76">
      <c r="A60" s="95" t="inlineStr">
        <is>
          <t>PF0057</t>
        </is>
      </c>
      <c r="B60" s="95" t="inlineStr">
        <is>
          <t>فملی</t>
        </is>
      </c>
      <c r="C60" s="95" t="inlineStr">
        <is>
          <t>نمای مالی FYE1404</t>
        </is>
      </c>
      <c r="D60" s="95" t="inlineStr">
        <is>
          <t>P-21B99B2A</t>
        </is>
      </c>
      <c r="E60" s="95" t="inlineStr">
        <is>
          <t>مهرداد محقق زاده</t>
        </is>
      </c>
      <c r="F60" s="95" t="inlineStr">
        <is>
          <t>مهرداد محقق زاده</t>
        </is>
      </c>
      <c r="G60" s="95" t="inlineStr">
        <is>
          <t>نامشخص (فهرست اسمی مبنا در دسترس نیست)</t>
        </is>
      </c>
      <c r="H60" s="95" t="inlineStr">
        <is>
          <t>حاضر در مقطع 1404/12/29</t>
        </is>
      </c>
      <c r="I60" s="95" t="inlineStr">
        <is>
          <t>FISCAL_ENTRY_AFTER_BASE</t>
        </is>
      </c>
      <c r="J60" s="95" t="inlineStr">
        <is>
          <t>نمای مالی: ورود پس از مبنا طبق تصدی v41</t>
        </is>
      </c>
      <c r="K60" s="95" t="inlineStr"/>
      <c r="L60" s="95" t="inlineStr">
        <is>
          <t>عضو هیئت مدیره</t>
        </is>
      </c>
      <c r="M60" s="95" t="inlineStr"/>
      <c r="N60" s="95" t="inlineStr">
        <is>
          <t>صندوق بازنشستگی وظیفه از کار افتادگی و پس انداز کارکنان بانکهای ملی و ادغام شده</t>
        </is>
      </c>
      <c r="O60" s="95" t="inlineStr"/>
      <c r="P60" s="95" t="inlineStr"/>
      <c r="Q60" s="95" t="inlineStr"/>
      <c r="R60" s="95" t="inlineStr"/>
      <c r="S60" s="95" t="inlineStr">
        <is>
          <t>SRC_FMLI_1404_001</t>
        </is>
      </c>
      <c r="T60" s="95" t="inlineStr">
        <is>
          <t>EXACT؛ شروع 1404/05/12</t>
        </is>
      </c>
      <c r="U60" s="95" t="inlineStr">
        <is>
          <t>استنباطی از تصدی</t>
        </is>
      </c>
      <c r="V60" s="95" t="inlineStr">
        <is>
          <t>ورود پس از مبنا (شروع دقیق پس از 1403/12/29)</t>
        </is>
      </c>
    </row>
    <row r="61">
      <c r="A61" s="93" t="inlineStr">
        <is>
          <t>PF0058</t>
        </is>
      </c>
      <c r="B61" s="93" t="inlineStr">
        <is>
          <t>تاپیکو</t>
        </is>
      </c>
      <c r="C61" s="93" t="inlineStr">
        <is>
          <t>نمای مالی FYE1404</t>
        </is>
      </c>
      <c r="D61" s="93" t="inlineStr"/>
      <c r="E61" s="93" t="inlineStr">
        <is>
          <t>(نماینده نامشخص)</t>
        </is>
      </c>
      <c r="F61" s="93" t="inlineStr"/>
      <c r="G61" s="93" t="inlineStr">
        <is>
          <t>نامشخص</t>
        </is>
      </c>
      <c r="H61" s="93" t="inlineStr">
        <is>
          <t>کرسی حقوقی با نماینده نامشخص</t>
        </is>
      </c>
      <c r="I61" s="93" t="inlineStr">
        <is>
          <t>FISCAL_BASE_UNDETERMINED</t>
        </is>
      </c>
      <c r="J61" s="93" t="inlineStr">
        <is>
          <t>نمای مالی: وضعیت در مبنا نامشخص</t>
        </is>
      </c>
      <c r="K61" s="93" t="inlineStr"/>
      <c r="L61" s="93" t="inlineStr">
        <is>
          <t>نایب رئیس هیئت مدیره</t>
        </is>
      </c>
      <c r="M61" s="93" t="inlineStr"/>
      <c r="N61" s="93" t="inlineStr">
        <is>
          <t>سرمایه گذاری تأمین اجتماعی</t>
        </is>
      </c>
      <c r="O61" s="93" t="inlineStr"/>
      <c r="P61" s="93" t="inlineStr"/>
      <c r="Q61" s="93" t="inlineStr"/>
      <c r="R61" s="93" t="inlineStr"/>
      <c r="S61" s="93" t="inlineStr">
        <is>
          <t>SRC_TPIK_1404_002</t>
        </is>
      </c>
      <c r="T61" s="93" t="inlineStr">
        <is>
          <t>UNKNOWN</t>
        </is>
      </c>
      <c r="U61" s="93" t="inlineStr">
        <is>
          <t>ندارد</t>
        </is>
      </c>
      <c r="V61" s="93" t="inlineStr">
        <is>
          <t>نماینده معلوم نیست؛ به خروج یا صفر تبدیل نشد</t>
        </is>
      </c>
    </row>
    <row r="62" ht="34" customHeight="1" s="76">
      <c r="A62" s="92" t="inlineStr">
        <is>
          <t>PF0059</t>
        </is>
      </c>
      <c r="B62" s="92" t="inlineStr">
        <is>
          <t>تاپیکو</t>
        </is>
      </c>
      <c r="C62" s="92" t="inlineStr">
        <is>
          <t>نمای مالی FYE1404</t>
        </is>
      </c>
      <c r="D62" s="92" t="inlineStr">
        <is>
          <t>P-28EE3596</t>
        </is>
      </c>
      <c r="E62" s="92" t="inlineStr">
        <is>
          <t>اکبر محققی</t>
        </is>
      </c>
      <c r="F62" s="92" t="inlineStr">
        <is>
          <t>اکبر محققی</t>
        </is>
      </c>
      <c r="G62" s="92" t="inlineStr">
        <is>
          <t>نامشخص (فهرست اسمی مبنا در دسترس نیست)</t>
        </is>
      </c>
      <c r="H62" s="92" t="inlineStr">
        <is>
          <t>حاضر در مقطع 1404/02/31</t>
        </is>
      </c>
      <c r="I62" s="92" t="inlineStr">
        <is>
          <t>FISCAL_PRESENT_AT_BASE</t>
        </is>
      </c>
      <c r="J62" s="92" t="inlineStr">
        <is>
          <t>نمای مالی: حاضر در مبنا طبق پیوستگی تصدی v41</t>
        </is>
      </c>
      <c r="K62" s="92" t="inlineStr"/>
      <c r="L62" s="92" t="inlineStr">
        <is>
          <t>عضو هیئت مدیره</t>
        </is>
      </c>
      <c r="M62" s="92" t="inlineStr"/>
      <c r="N62" s="92" t="inlineStr">
        <is>
          <t>سرمایه گذاری صباتأمین</t>
        </is>
      </c>
      <c r="O62" s="92" t="inlineStr"/>
      <c r="P62" s="92" t="inlineStr"/>
      <c r="Q62" s="92" t="inlineStr"/>
      <c r="R62" s="92" t="inlineStr"/>
      <c r="S62" s="92" t="inlineStr">
        <is>
          <t>SRC_TPIK_1404_002</t>
        </is>
      </c>
      <c r="T62" s="92" t="inlineStr">
        <is>
          <t>EXACT؛ شروع 1403/06/25</t>
        </is>
      </c>
      <c r="U62" s="92" t="inlineStr">
        <is>
          <t>استنباطی از تصدی</t>
        </is>
      </c>
      <c r="V62" s="92" t="inlineStr">
        <is>
          <t>حاضر در مبنا بر پایه پیوستگی (شروع دقیق تا 1403/12/29)؛ فقط تا افق FYE</t>
        </is>
      </c>
    </row>
    <row r="63" ht="34" customHeight="1" s="76">
      <c r="A63" s="92" t="inlineStr">
        <is>
          <t>PF0060</t>
        </is>
      </c>
      <c r="B63" s="92" t="inlineStr">
        <is>
          <t>تاپیکو</t>
        </is>
      </c>
      <c r="C63" s="92" t="inlineStr">
        <is>
          <t>نمای مالی FYE1404</t>
        </is>
      </c>
      <c r="D63" s="92" t="inlineStr">
        <is>
          <t>P-3F3559B1</t>
        </is>
      </c>
      <c r="E63" s="92" t="inlineStr">
        <is>
          <t>محمدمهدی رحمتی</t>
        </is>
      </c>
      <c r="F63" s="92" t="inlineStr">
        <is>
          <t>محمدمهدی رحمتی</t>
        </is>
      </c>
      <c r="G63" s="92" t="inlineStr">
        <is>
          <t>نامشخص (فهرست اسمی مبنا در دسترس نیست)</t>
        </is>
      </c>
      <c r="H63" s="92" t="inlineStr">
        <is>
          <t>حاضر در مقطع 1404/02/31</t>
        </is>
      </c>
      <c r="I63" s="92" t="inlineStr">
        <is>
          <t>FISCAL_PRESENT_AT_BASE</t>
        </is>
      </c>
      <c r="J63" s="92" t="inlineStr">
        <is>
          <t>نمای مالی: حاضر در مبنا طبق پیوستگی تصدی v41</t>
        </is>
      </c>
      <c r="K63" s="92" t="inlineStr"/>
      <c r="L63" s="92" t="inlineStr">
        <is>
          <t>عضو هیئت مدیره</t>
        </is>
      </c>
      <c r="M63" s="92" t="inlineStr"/>
      <c r="N63" s="92" t="inlineStr">
        <is>
          <t>سرمایه گذاری صدر تامین</t>
        </is>
      </c>
      <c r="O63" s="92" t="inlineStr"/>
      <c r="P63" s="92" t="inlineStr"/>
      <c r="Q63" s="92" t="inlineStr"/>
      <c r="R63" s="92" t="inlineStr"/>
      <c r="S63" s="92" t="inlineStr">
        <is>
          <t>SRC_TPIK_1404_002</t>
        </is>
      </c>
      <c r="T63" s="92" t="inlineStr">
        <is>
          <t>EXACT؛ شروع 1403/12/04</t>
        </is>
      </c>
      <c r="U63" s="92" t="inlineStr">
        <is>
          <t>استنباطی از تصدی</t>
        </is>
      </c>
      <c r="V63" s="92" t="inlineStr">
        <is>
          <t>حاضر در مبنا بر پایه پیوستگی (شروع دقیق تا 1403/12/29)؛ فقط تا افق FYE</t>
        </is>
      </c>
    </row>
    <row r="64" ht="34" customHeight="1" s="76">
      <c r="A64" s="92" t="inlineStr">
        <is>
          <t>PF0061</t>
        </is>
      </c>
      <c r="B64" s="92" t="inlineStr">
        <is>
          <t>تاپیکو</t>
        </is>
      </c>
      <c r="C64" s="92" t="inlineStr">
        <is>
          <t>نمای مالی FYE1404</t>
        </is>
      </c>
      <c r="D64" s="92" t="inlineStr">
        <is>
          <t>P-78DA6F7C</t>
        </is>
      </c>
      <c r="E64" s="92" t="inlineStr">
        <is>
          <t>هوشنگ ایزدی</t>
        </is>
      </c>
      <c r="F64" s="92" t="inlineStr">
        <is>
          <t>هوشنگ ایزدی</t>
        </is>
      </c>
      <c r="G64" s="92" t="inlineStr">
        <is>
          <t>نامشخص (فهرست اسمی مبنا در دسترس نیست)</t>
        </is>
      </c>
      <c r="H64" s="92" t="inlineStr">
        <is>
          <t>حاضر در مقطع 1404/02/31</t>
        </is>
      </c>
      <c r="I64" s="92" t="inlineStr">
        <is>
          <t>FISCAL_PRESENT_AT_BASE</t>
        </is>
      </c>
      <c r="J64" s="92" t="inlineStr">
        <is>
          <t>نمای مالی: حاضر در مبنا طبق پیوستگی تصدی v41</t>
        </is>
      </c>
      <c r="K64" s="92" t="inlineStr"/>
      <c r="L64" s="92" t="inlineStr">
        <is>
          <t>عضو هیئت مدیره</t>
        </is>
      </c>
      <c r="M64" s="92" t="inlineStr"/>
      <c r="N64" s="92" t="inlineStr">
        <is>
          <t>سرمایه گذاری سیمان تأمین</t>
        </is>
      </c>
      <c r="O64" s="92" t="inlineStr"/>
      <c r="P64" s="92" t="inlineStr"/>
      <c r="Q64" s="92" t="inlineStr"/>
      <c r="R64" s="92" t="inlineStr"/>
      <c r="S64" s="92" t="inlineStr">
        <is>
          <t>SRC_TPIK_1404_002</t>
        </is>
      </c>
      <c r="T64" s="92" t="inlineStr">
        <is>
          <t>EXACT؛ شروع 1403/10/23</t>
        </is>
      </c>
      <c r="U64" s="92" t="inlineStr">
        <is>
          <t>استنباطی از تصدی</t>
        </is>
      </c>
      <c r="V64" s="92" t="inlineStr">
        <is>
          <t>حاضر در مبنا بر پایه پیوستگی (شروع دقیق تا 1403/12/29)؛ فقط تا افق FYE</t>
        </is>
      </c>
    </row>
    <row r="65" ht="34" customHeight="1" s="76">
      <c r="A65" s="92" t="inlineStr">
        <is>
          <t>PF0062</t>
        </is>
      </c>
      <c r="B65" s="92" t="inlineStr">
        <is>
          <t>تاپیکو</t>
        </is>
      </c>
      <c r="C65" s="92" t="inlineStr">
        <is>
          <t>نمای مالی FYE1404</t>
        </is>
      </c>
      <c r="D65" s="92" t="inlineStr">
        <is>
          <t>P-D27E084C</t>
        </is>
      </c>
      <c r="E65" s="92" t="inlineStr">
        <is>
          <t>جعفر ربیعی</t>
        </is>
      </c>
      <c r="F65" s="92" t="inlineStr">
        <is>
          <t>جعفر ربیعی</t>
        </is>
      </c>
      <c r="G65" s="92" t="inlineStr">
        <is>
          <t>نامشخص (فهرست اسمی مبنا در دسترس نیست)</t>
        </is>
      </c>
      <c r="H65" s="92" t="inlineStr">
        <is>
          <t>حاضر در مقطع 1404/02/31</t>
        </is>
      </c>
      <c r="I65" s="92" t="inlineStr">
        <is>
          <t>FISCAL_PRESENT_AT_BASE</t>
        </is>
      </c>
      <c r="J65" s="92" t="inlineStr">
        <is>
          <t>نمای مالی: حاضر در مبنا طبق پیوستگی تصدی v41</t>
        </is>
      </c>
      <c r="K65" s="92" t="inlineStr"/>
      <c r="L65" s="92" t="inlineStr">
        <is>
          <t>رئیس هیئت مدیره</t>
        </is>
      </c>
      <c r="M65" s="92" t="inlineStr"/>
      <c r="N65" s="92" t="inlineStr">
        <is>
          <t>سرمایه گذاری داروئی تامین</t>
        </is>
      </c>
      <c r="O65" s="92" t="inlineStr"/>
      <c r="P65" s="92" t="inlineStr"/>
      <c r="Q65" s="92" t="inlineStr"/>
      <c r="R65" s="92" t="inlineStr"/>
      <c r="S65" s="92" t="inlineStr">
        <is>
          <t>SRC_TPIK_1404_002</t>
        </is>
      </c>
      <c r="T65" s="92" t="inlineStr">
        <is>
          <t>EXACT؛ شروع 1403/10/23</t>
        </is>
      </c>
      <c r="U65" s="92" t="inlineStr">
        <is>
          <t>استنباطی از تصدی</t>
        </is>
      </c>
      <c r="V65" s="92" t="inlineStr">
        <is>
          <t>حاضر در مبنا بر پایه پیوستگی (شروع دقیق تا 1403/12/29)؛ فقط تا افق FYE</t>
        </is>
      </c>
    </row>
    <row r="66" ht="34" customHeight="1" s="76">
      <c r="A66" s="92" t="inlineStr">
        <is>
          <t>PF0063</t>
        </is>
      </c>
      <c r="B66" s="92" t="inlineStr">
        <is>
          <t>فارس</t>
        </is>
      </c>
      <c r="C66" s="92" t="inlineStr">
        <is>
          <t>نمای مالی FYE1404</t>
        </is>
      </c>
      <c r="D66" s="92" t="inlineStr">
        <is>
          <t>P-B0D487A1</t>
        </is>
      </c>
      <c r="E66" s="92" t="inlineStr">
        <is>
          <t>کیوان ایلکا</t>
        </is>
      </c>
      <c r="F66" s="92" t="inlineStr">
        <is>
          <t>کیوان ایلکا</t>
        </is>
      </c>
      <c r="G66" s="92" t="inlineStr">
        <is>
          <t>نامشخص (فهرست اسمی مبنا در دسترس نیست)</t>
        </is>
      </c>
      <c r="H66" s="92" t="inlineStr">
        <is>
          <t>حاضر در مقطع 1404/03/31</t>
        </is>
      </c>
      <c r="I66" s="92" t="inlineStr">
        <is>
          <t>FISCAL_PRESENT_AT_BASE</t>
        </is>
      </c>
      <c r="J66" s="92" t="inlineStr">
        <is>
          <t>نمای مالی: حاضر در مبنا طبق پیوستگی تصدی v41</t>
        </is>
      </c>
      <c r="K66" s="92" t="inlineStr"/>
      <c r="L66" s="92" t="inlineStr">
        <is>
          <t>عضو هیئت مدیره</t>
        </is>
      </c>
      <c r="M66" s="92" t="inlineStr"/>
      <c r="N66" s="92" t="inlineStr">
        <is>
          <t>ملی صنایع پتروشیمی</t>
        </is>
      </c>
      <c r="O66" s="92" t="inlineStr"/>
      <c r="P66" s="92" t="inlineStr"/>
      <c r="Q66" s="92" t="inlineStr"/>
      <c r="R66" s="92" t="inlineStr"/>
      <c r="S66" s="92" t="inlineStr">
        <is>
          <t>SRC_FARS_1404_001</t>
        </is>
      </c>
      <c r="T66" s="92" t="inlineStr">
        <is>
          <t>EXACT؛ شروع 1403/11/15</t>
        </is>
      </c>
      <c r="U66" s="92" t="inlineStr">
        <is>
          <t>استنباطی از تصدی</t>
        </is>
      </c>
      <c r="V66" s="92" t="inlineStr">
        <is>
          <t>حاضر در مبنا بر پایه پیوستگی (شروع دقیق تا 1403/12/29)؛ فقط تا افق FYE</t>
        </is>
      </c>
    </row>
    <row r="67" ht="34" customHeight="1" s="76">
      <c r="A67" s="92" t="inlineStr">
        <is>
          <t>PF0064</t>
        </is>
      </c>
      <c r="B67" s="92" t="inlineStr">
        <is>
          <t>فارس</t>
        </is>
      </c>
      <c r="C67" s="92" t="inlineStr">
        <is>
          <t>نمای مالی FYE1404</t>
        </is>
      </c>
      <c r="D67" s="92" t="inlineStr">
        <is>
          <t>P-31D1C4C3</t>
        </is>
      </c>
      <c r="E67" s="92" t="inlineStr">
        <is>
          <t>حسین قربان زاده</t>
        </is>
      </c>
      <c r="F67" s="92" t="inlineStr">
        <is>
          <t>حسین قربان زاده</t>
        </is>
      </c>
      <c r="G67" s="92" t="inlineStr">
        <is>
          <t>نامشخص (فهرست اسمی مبنا در دسترس نیست)</t>
        </is>
      </c>
      <c r="H67" s="92" t="inlineStr">
        <is>
          <t>حاضر در مقطع 1404/03/31</t>
        </is>
      </c>
      <c r="I67" s="92" t="inlineStr">
        <is>
          <t>FISCAL_PRESENT_AT_BASE</t>
        </is>
      </c>
      <c r="J67" s="92" t="inlineStr">
        <is>
          <t>نمای مالی: حاضر در مبنا طبق پیوستگی تصدی v41</t>
        </is>
      </c>
      <c r="K67" s="92" t="inlineStr"/>
      <c r="L67" s="92" t="inlineStr">
        <is>
          <t>عضو هیئت مدیره</t>
        </is>
      </c>
      <c r="M67" s="92" t="inlineStr"/>
      <c r="N67" s="92" t="inlineStr">
        <is>
          <t>سرمایه گذاری استان خراسان جنوبی</t>
        </is>
      </c>
      <c r="O67" s="92" t="inlineStr"/>
      <c r="P67" s="92" t="inlineStr"/>
      <c r="Q67" s="92" t="inlineStr"/>
      <c r="R67" s="92" t="inlineStr"/>
      <c r="S67" s="92" t="inlineStr">
        <is>
          <t>SRC_FARS_1404_001</t>
        </is>
      </c>
      <c r="T67" s="92" t="inlineStr">
        <is>
          <t>INTERVAL؛ بازه 1402/11/17 تا 1403/04/11</t>
        </is>
      </c>
      <c r="U67" s="92" t="inlineStr">
        <is>
          <t>استنباطی از تصدی</t>
        </is>
      </c>
      <c r="V67" s="92" t="inlineStr">
        <is>
          <t>حاضر در مبنا بر پایه پیوستگی (کران بالا تا 1403/12/29)؛ فقط تا افق FYE</t>
        </is>
      </c>
    </row>
    <row r="68" ht="34" customHeight="1" s="76">
      <c r="A68" s="92" t="inlineStr">
        <is>
          <t>PF0065</t>
        </is>
      </c>
      <c r="B68" s="92" t="inlineStr">
        <is>
          <t>فارس</t>
        </is>
      </c>
      <c r="C68" s="92" t="inlineStr">
        <is>
          <t>نمای مالی FYE1404</t>
        </is>
      </c>
      <c r="D68" s="92" t="inlineStr">
        <is>
          <t>P-12FD833C</t>
        </is>
      </c>
      <c r="E68" s="92" t="inlineStr">
        <is>
          <t>عبدالعلی علی عسکری</t>
        </is>
      </c>
      <c r="F68" s="92" t="inlineStr">
        <is>
          <t>عبدالعلی علی عسکری</t>
        </is>
      </c>
      <c r="G68" s="92" t="inlineStr">
        <is>
          <t>نامشخص (فهرست اسمی مبنا در دسترس نیست)</t>
        </is>
      </c>
      <c r="H68" s="92" t="inlineStr">
        <is>
          <t>حاضر در مقطع 1404/03/31</t>
        </is>
      </c>
      <c r="I68" s="92" t="inlineStr">
        <is>
          <t>FISCAL_PRESENT_AT_BASE</t>
        </is>
      </c>
      <c r="J68" s="92" t="inlineStr">
        <is>
          <t>نمای مالی: حاضر در مبنا طبق پیوستگی تصدی v41</t>
        </is>
      </c>
      <c r="K68" s="92" t="inlineStr"/>
      <c r="L68" s="92" t="inlineStr">
        <is>
          <t>عضو هیئت مدیره</t>
        </is>
      </c>
      <c r="M68" s="92" t="inlineStr"/>
      <c r="N68" s="92" t="inlineStr">
        <is>
          <t>سرمایه گذاری نفت و گاز و پتروشیمی تامین</t>
        </is>
      </c>
      <c r="O68" s="92" t="inlineStr"/>
      <c r="P68" s="92" t="inlineStr"/>
      <c r="Q68" s="92" t="inlineStr"/>
      <c r="R68" s="92" t="inlineStr"/>
      <c r="S68" s="92" t="inlineStr">
        <is>
          <t>SRC_FARS_1404_001</t>
        </is>
      </c>
      <c r="T68" s="92" t="inlineStr">
        <is>
          <t>CONFLICT_MIN؛ لنگر 1402/07/12</t>
        </is>
      </c>
      <c r="U68" s="92" t="inlineStr">
        <is>
          <t>استنباطی از تصدی</t>
        </is>
      </c>
      <c r="V68" s="92" t="inlineStr">
        <is>
          <t>حاضر در مبنا بر پایه حداقل پیوستگی (لنگر تا 1403/12/29)؛ فقط تا افق FYE</t>
        </is>
      </c>
    </row>
    <row r="69" ht="34" customHeight="1" s="76">
      <c r="A69" s="95" t="inlineStr">
        <is>
          <t>PF0066</t>
        </is>
      </c>
      <c r="B69" s="95" t="inlineStr">
        <is>
          <t>فارس</t>
        </is>
      </c>
      <c r="C69" s="95" t="inlineStr">
        <is>
          <t>نمای مالی FYE1404</t>
        </is>
      </c>
      <c r="D69" s="95" t="inlineStr">
        <is>
          <t>P-490B4CCE</t>
        </is>
      </c>
      <c r="E69" s="95" t="inlineStr">
        <is>
          <t>حسین حسین زاده</t>
        </is>
      </c>
      <c r="F69" s="95" t="inlineStr">
        <is>
          <t>حسین حسین زاده</t>
        </is>
      </c>
      <c r="G69" s="95" t="inlineStr">
        <is>
          <t>نامشخص (فهرست اسمی مبنا در دسترس نیست)</t>
        </is>
      </c>
      <c r="H69" s="95" t="inlineStr">
        <is>
          <t>حاضر در مقطع 1404/03/31</t>
        </is>
      </c>
      <c r="I69" s="95" t="inlineStr">
        <is>
          <t>FISCAL_ENTRY_AFTER_BASE</t>
        </is>
      </c>
      <c r="J69" s="95" t="inlineStr">
        <is>
          <t>نمای مالی: ورود پس از مبنا طبق تصدی v41</t>
        </is>
      </c>
      <c r="K69" s="95" t="inlineStr"/>
      <c r="L69" s="95" t="inlineStr">
        <is>
          <t>رئیس هیئت مدیره</t>
        </is>
      </c>
      <c r="M69" s="95" t="inlineStr"/>
      <c r="N69" s="95" t="inlineStr">
        <is>
          <t>توسعه نفت و گاز صبا کارون</t>
        </is>
      </c>
      <c r="O69" s="95" t="inlineStr"/>
      <c r="P69" s="95" t="inlineStr"/>
      <c r="Q69" s="95" t="inlineStr"/>
      <c r="R69" s="95" t="inlineStr"/>
      <c r="S69" s="95" t="inlineStr">
        <is>
          <t>SRC_FARS_1404_001</t>
        </is>
      </c>
      <c r="T69" s="95" t="inlineStr">
        <is>
          <t>EXACT؛ شروع 1404/02/29</t>
        </is>
      </c>
      <c r="U69" s="95" t="inlineStr">
        <is>
          <t>استنباطی از تصدی</t>
        </is>
      </c>
      <c r="V69" s="95" t="inlineStr">
        <is>
          <t>ورود پس از مبنا (شروع دقیق پس از 1403/12/29)؛ فقط تا افق FYE</t>
        </is>
      </c>
    </row>
    <row r="70" ht="34" customHeight="1" s="76">
      <c r="A70" s="92" t="inlineStr">
        <is>
          <t>PF0067</t>
        </is>
      </c>
      <c r="B70" s="92" t="inlineStr">
        <is>
          <t>فارس</t>
        </is>
      </c>
      <c r="C70" s="92" t="inlineStr">
        <is>
          <t>نمای مالی FYE1404</t>
        </is>
      </c>
      <c r="D70" s="92" t="inlineStr">
        <is>
          <t>P-1ADE6596</t>
        </is>
      </c>
      <c r="E70" s="92" t="inlineStr">
        <is>
          <t>محمد شریعتمداری</t>
        </is>
      </c>
      <c r="F70" s="92" t="inlineStr">
        <is>
          <t>محمد شریعتمداری</t>
        </is>
      </c>
      <c r="G70" s="92" t="inlineStr">
        <is>
          <t>نامشخص (فهرست اسمی مبنا در دسترس نیست)</t>
        </is>
      </c>
      <c r="H70" s="92" t="inlineStr">
        <is>
          <t>حاضر در مقطع 1404/03/31</t>
        </is>
      </c>
      <c r="I70" s="92" t="inlineStr">
        <is>
          <t>FISCAL_PRESENT_AT_BASE</t>
        </is>
      </c>
      <c r="J70" s="92" t="inlineStr">
        <is>
          <t>نمای مالی: حاضر در مبنا طبق پیوستگی تصدی v41</t>
        </is>
      </c>
      <c r="K70" s="92" t="inlineStr"/>
      <c r="L70" s="92" t="inlineStr">
        <is>
          <t>نایب رئیس هیئت مدیره</t>
        </is>
      </c>
      <c r="M70" s="92" t="inlineStr"/>
      <c r="N70" s="92" t="inlineStr">
        <is>
          <t>صندوق های بازنشستگی پس انداز و رفاه کارکنان صنعت نفت</t>
        </is>
      </c>
      <c r="O70" s="92" t="inlineStr"/>
      <c r="P70" s="92" t="inlineStr"/>
      <c r="Q70" s="92" t="inlineStr"/>
      <c r="R70" s="92" t="inlineStr"/>
      <c r="S70" s="92" t="inlineStr">
        <is>
          <t>SRC_FARS_1404_001</t>
        </is>
      </c>
      <c r="T70" s="92" t="inlineStr">
        <is>
          <t>EXACT؛ شروع 1403/09/12</t>
        </is>
      </c>
      <c r="U70" s="92" t="inlineStr">
        <is>
          <t>استنباطی از تصدی</t>
        </is>
      </c>
      <c r="V70" s="92" t="inlineStr">
        <is>
          <t>حاضر در مبنا بر پایه پیوستگی (شروع دقیق تا 1403/12/29)؛ فقط تا افق FYE</t>
        </is>
      </c>
    </row>
    <row r="71" ht="34" customHeight="1" s="76">
      <c r="A71" s="92" t="inlineStr">
        <is>
          <t>PF0068</t>
        </is>
      </c>
      <c r="B71" s="92" t="inlineStr">
        <is>
          <t>خودرو</t>
        </is>
      </c>
      <c r="C71" s="92" t="inlineStr">
        <is>
          <t>نمای مالی FYE1404</t>
        </is>
      </c>
      <c r="D71" s="92" t="inlineStr">
        <is>
          <t>P-943FD350</t>
        </is>
      </c>
      <c r="E71" s="92" t="inlineStr">
        <is>
          <t>عبداله سلطانی ثانی</t>
        </is>
      </c>
      <c r="F71" s="92" t="inlineStr">
        <is>
          <t>عبداله سلطانی ثانی</t>
        </is>
      </c>
      <c r="G71" s="92" t="inlineStr">
        <is>
          <t>نامشخص (فهرست اسمی مبنا در دسترس نیست)</t>
        </is>
      </c>
      <c r="H71" s="92" t="inlineStr">
        <is>
          <t>حاضر در مقطع 1404/12/29</t>
        </is>
      </c>
      <c r="I71" s="92" t="inlineStr">
        <is>
          <t>FISCAL_PRESENT_AT_BASE</t>
        </is>
      </c>
      <c r="J71" s="92" t="inlineStr">
        <is>
          <t>نمای مالی: حاضر در مبنا طبق پیوستگی تصدی v41</t>
        </is>
      </c>
      <c r="K71" s="92" t="inlineStr"/>
      <c r="L71" s="92" t="inlineStr">
        <is>
          <t>عضو هیئت مدیره</t>
        </is>
      </c>
      <c r="M71" s="92" t="inlineStr"/>
      <c r="N71" s="92" t="inlineStr">
        <is>
          <t>خدمات گستر صبا انرژی</t>
        </is>
      </c>
      <c r="O71" s="92" t="inlineStr"/>
      <c r="P71" s="92" t="inlineStr"/>
      <c r="Q71" s="92" t="inlineStr"/>
      <c r="R71" s="92" t="inlineStr"/>
      <c r="S71" s="92" t="inlineStr">
        <is>
          <t>SRC_IKCO_1404_001</t>
        </is>
      </c>
      <c r="T71" s="92" t="inlineStr">
        <is>
          <t>EXACT؛ شروع 1403/11/21</t>
        </is>
      </c>
      <c r="U71" s="92" t="inlineStr">
        <is>
          <t>استنباطی از تصدی</t>
        </is>
      </c>
      <c r="V71" s="92" t="inlineStr">
        <is>
          <t>حاضر در مبنا بر پایه پیوستگی (شروع دقیق تا 1403/12/29)</t>
        </is>
      </c>
    </row>
    <row r="72" ht="34" customHeight="1" s="76">
      <c r="A72" s="92" t="inlineStr">
        <is>
          <t>PF0069</t>
        </is>
      </c>
      <c r="B72" s="92" t="inlineStr">
        <is>
          <t>خودرو</t>
        </is>
      </c>
      <c r="C72" s="92" t="inlineStr">
        <is>
          <t>نمای مالی FYE1404</t>
        </is>
      </c>
      <c r="D72" s="92" t="inlineStr">
        <is>
          <t>P-641253F4</t>
        </is>
      </c>
      <c r="E72" s="92" t="inlineStr">
        <is>
          <t>عادل پیرمحمدی</t>
        </is>
      </c>
      <c r="F72" s="92" t="inlineStr">
        <is>
          <t>عادل پیرمحمدی</t>
        </is>
      </c>
      <c r="G72" s="92" t="inlineStr">
        <is>
          <t>نامشخص (فهرست اسمی مبنا در دسترس نیست)</t>
        </is>
      </c>
      <c r="H72" s="92" t="inlineStr">
        <is>
          <t>حاضر در مقطع 1404/12/29</t>
        </is>
      </c>
      <c r="I72" s="92" t="inlineStr">
        <is>
          <t>FISCAL_PRESENT_AT_BASE</t>
        </is>
      </c>
      <c r="J72" s="92" t="inlineStr">
        <is>
          <t>نمای مالی: حاضر در مبنا طبق پیوستگی تصدی v41</t>
        </is>
      </c>
      <c r="K72" s="92" t="inlineStr"/>
      <c r="L72" s="92" t="inlineStr">
        <is>
          <t>عضو هیئت مدیره</t>
        </is>
      </c>
      <c r="M72" s="92" t="inlineStr"/>
      <c r="N72" s="92" t="inlineStr">
        <is>
          <t>مدیریت سرمایه گذاری ملی ایران</t>
        </is>
      </c>
      <c r="O72" s="92" t="inlineStr"/>
      <c r="P72" s="92" t="inlineStr"/>
      <c r="Q72" s="92" t="inlineStr"/>
      <c r="R72" s="92" t="inlineStr"/>
      <c r="S72" s="92" t="inlineStr">
        <is>
          <t>SRC_IKCO_1404_001</t>
        </is>
      </c>
      <c r="T72" s="92" t="inlineStr">
        <is>
          <t>EXACT؛ شروع 1403/11/21</t>
        </is>
      </c>
      <c r="U72" s="92" t="inlineStr">
        <is>
          <t>استنباطی از تصدی</t>
        </is>
      </c>
      <c r="V72" s="92" t="inlineStr">
        <is>
          <t>حاضر در مبنا بر پایه پیوستگی (شروع دقیق تا 1403/12/29)</t>
        </is>
      </c>
    </row>
    <row r="73" ht="34" customHeight="1" s="76">
      <c r="A73" s="95" t="inlineStr">
        <is>
          <t>PF0070</t>
        </is>
      </c>
      <c r="B73" s="95" t="inlineStr">
        <is>
          <t>خودرو</t>
        </is>
      </c>
      <c r="C73" s="95" t="inlineStr">
        <is>
          <t>نمای مالی FYE1404</t>
        </is>
      </c>
      <c r="D73" s="95" t="inlineStr">
        <is>
          <t>P-C49489C1</t>
        </is>
      </c>
      <c r="E73" s="95" t="inlineStr">
        <is>
          <t>حامد نائیجی</t>
        </is>
      </c>
      <c r="F73" s="95" t="inlineStr">
        <is>
          <t>حامد نائیجی</t>
        </is>
      </c>
      <c r="G73" s="95" t="inlineStr">
        <is>
          <t>نامشخص (فهرست اسمی مبنا در دسترس نیست)</t>
        </is>
      </c>
      <c r="H73" s="95" t="inlineStr">
        <is>
          <t>حاضر در مقطع 1404/12/29</t>
        </is>
      </c>
      <c r="I73" s="95" t="inlineStr">
        <is>
          <t>FISCAL_ENTRY_AFTER_BASE</t>
        </is>
      </c>
      <c r="J73" s="95" t="inlineStr">
        <is>
          <t>نمای مالی: ورود پس از مبنا طبق تصدی v41</t>
        </is>
      </c>
      <c r="K73" s="95" t="inlineStr"/>
      <c r="L73" s="95" t="inlineStr">
        <is>
          <t>عضو هیئت مدیره</t>
        </is>
      </c>
      <c r="M73" s="95" t="inlineStr"/>
      <c r="N73" s="95" t="inlineStr">
        <is>
          <t>سرمایه گذاری گنجینه ایرانیان</t>
        </is>
      </c>
      <c r="O73" s="95" t="inlineStr"/>
      <c r="P73" s="95" t="inlineStr"/>
      <c r="Q73" s="95" t="inlineStr"/>
      <c r="R73" s="95" t="inlineStr"/>
      <c r="S73" s="95" t="inlineStr">
        <is>
          <t>SRC_IKCO_1404_001</t>
        </is>
      </c>
      <c r="T73" s="95" t="inlineStr">
        <is>
          <t>EXACT؛ شروع 1404/07/19</t>
        </is>
      </c>
      <c r="U73" s="95" t="inlineStr">
        <is>
          <t>استنباطی از تصدی</t>
        </is>
      </c>
      <c r="V73" s="95" t="inlineStr">
        <is>
          <t>ورود پس از مبنا (شروع دقیق پس از 1403/12/29)</t>
        </is>
      </c>
    </row>
    <row r="74" ht="34" customHeight="1" s="76">
      <c r="A74" s="92" t="inlineStr">
        <is>
          <t>PF0071</t>
        </is>
      </c>
      <c r="B74" s="92" t="inlineStr">
        <is>
          <t>خودرو</t>
        </is>
      </c>
      <c r="C74" s="92" t="inlineStr">
        <is>
          <t>نمای مالی FYE1404</t>
        </is>
      </c>
      <c r="D74" s="92" t="inlineStr">
        <is>
          <t>P-4746C6DA</t>
        </is>
      </c>
      <c r="E74" s="92" t="inlineStr">
        <is>
          <t>یوسف الهی شکیب</t>
        </is>
      </c>
      <c r="F74" s="92" t="inlineStr">
        <is>
          <t>یوسف الهی شکیب</t>
        </is>
      </c>
      <c r="G74" s="92" t="inlineStr">
        <is>
          <t>نامشخص (فهرست اسمی مبنا در دسترس نیست)</t>
        </is>
      </c>
      <c r="H74" s="92" t="inlineStr">
        <is>
          <t>حاضر در مقطع 1404/12/29</t>
        </is>
      </c>
      <c r="I74" s="92" t="inlineStr">
        <is>
          <t>FISCAL_PRESENT_AT_BASE</t>
        </is>
      </c>
      <c r="J74" s="92" t="inlineStr">
        <is>
          <t>نمای مالی: حاضر در مبنا طبق پیوستگی تصدی v41</t>
        </is>
      </c>
      <c r="K74" s="92" t="inlineStr"/>
      <c r="L74" s="92" t="inlineStr">
        <is>
          <t>رئیس هیئت مدیره</t>
        </is>
      </c>
      <c r="M74" s="92" t="inlineStr"/>
      <c r="N74" s="92" t="inlineStr">
        <is>
          <t>بهینه سازان بهمن</t>
        </is>
      </c>
      <c r="O74" s="92" t="inlineStr"/>
      <c r="P74" s="92" t="inlineStr"/>
      <c r="Q74" s="92" t="inlineStr"/>
      <c r="R74" s="92" t="inlineStr"/>
      <c r="S74" s="92" t="inlineStr">
        <is>
          <t>SRC_IKCO_1404_001</t>
        </is>
      </c>
      <c r="T74" s="92" t="inlineStr">
        <is>
          <t>EXACT؛ شروع 1403/11/21</t>
        </is>
      </c>
      <c r="U74" s="92" t="inlineStr">
        <is>
          <t>استنباطی از تصدی</t>
        </is>
      </c>
      <c r="V74" s="92" t="inlineStr">
        <is>
          <t>حاضر در مبنا بر پایه پیوستگی (شروع دقیق تا 1403/12/29)</t>
        </is>
      </c>
    </row>
    <row r="75" ht="34" customHeight="1" s="76">
      <c r="A75" s="92" t="inlineStr">
        <is>
          <t>PF0072</t>
        </is>
      </c>
      <c r="B75" s="92" t="inlineStr">
        <is>
          <t>خودرو</t>
        </is>
      </c>
      <c r="C75" s="92" t="inlineStr">
        <is>
          <t>نمای مالی FYE1404</t>
        </is>
      </c>
      <c r="D75" s="92" t="inlineStr">
        <is>
          <t>P-72980C78</t>
        </is>
      </c>
      <c r="E75" s="92" t="inlineStr">
        <is>
          <t>جمشید ایمانی کتک لاهیجانی</t>
        </is>
      </c>
      <c r="F75" s="92" t="inlineStr">
        <is>
          <t>جمشید ایمانی کتک لاهیجانی</t>
        </is>
      </c>
      <c r="G75" s="92" t="inlineStr">
        <is>
          <t>نامشخص (فهرست اسمی مبنا در دسترس نیست)</t>
        </is>
      </c>
      <c r="H75" s="92" t="inlineStr">
        <is>
          <t>حاضر در مقطع 1404/12/29</t>
        </is>
      </c>
      <c r="I75" s="92" t="inlineStr">
        <is>
          <t>FISCAL_PRESENT_AT_BASE</t>
        </is>
      </c>
      <c r="J75" s="92" t="inlineStr">
        <is>
          <t>نمای مالی: حاضر در مبنا طبق پیوستگی تصدی v41</t>
        </is>
      </c>
      <c r="K75" s="92" t="inlineStr"/>
      <c r="L75" s="92" t="inlineStr">
        <is>
          <t>نایب رئیس هیئت مدیره</t>
        </is>
      </c>
      <c r="M75" s="92" t="inlineStr"/>
      <c r="N75" s="92" t="inlineStr">
        <is>
          <t>اعتبار آفرین</t>
        </is>
      </c>
      <c r="O75" s="92" t="inlineStr"/>
      <c r="P75" s="92" t="inlineStr"/>
      <c r="Q75" s="92" t="inlineStr"/>
      <c r="R75" s="92" t="inlineStr"/>
      <c r="S75" s="92" t="inlineStr">
        <is>
          <t>SRC_IKCO_1404_001</t>
        </is>
      </c>
      <c r="T75" s="92" t="inlineStr">
        <is>
          <t>EXACT؛ شروع 1401/12/09</t>
        </is>
      </c>
      <c r="U75" s="92" t="inlineStr">
        <is>
          <t>استنباطی از تصدی</t>
        </is>
      </c>
      <c r="V75" s="92" t="inlineStr">
        <is>
          <t>حاضر در مبنا بر پایه پیوستگی (شروع دقیق تا 1403/12/29)</t>
        </is>
      </c>
    </row>
    <row r="76" ht="34" customHeight="1" s="76">
      <c r="A76" s="92" t="inlineStr">
        <is>
          <t>PF0073</t>
        </is>
      </c>
      <c r="B76" s="92" t="inlineStr">
        <is>
          <t>زاگرس</t>
        </is>
      </c>
      <c r="C76" s="92" t="inlineStr">
        <is>
          <t>نمای مالی FYE1404</t>
        </is>
      </c>
      <c r="D76" s="92" t="inlineStr">
        <is>
          <t>P-EFD04109</t>
        </is>
      </c>
      <c r="E76" s="92" t="inlineStr">
        <is>
          <t>متین دیداری</t>
        </is>
      </c>
      <c r="F76" s="92" t="inlineStr">
        <is>
          <t>متین دیداری</t>
        </is>
      </c>
      <c r="G76" s="92" t="inlineStr">
        <is>
          <t>نامشخص (فهرست اسمی مبنا در دسترس نیست)</t>
        </is>
      </c>
      <c r="H76" s="92" t="inlineStr">
        <is>
          <t>حاضر در مقطع 1404/12/29</t>
        </is>
      </c>
      <c r="I76" s="92" t="inlineStr">
        <is>
          <t>FISCAL_PRESENT_AT_BASE</t>
        </is>
      </c>
      <c r="J76" s="92" t="inlineStr">
        <is>
          <t>نمای مالی: حاضر در مبنا طبق پیوستگی تصدی v41</t>
        </is>
      </c>
      <c r="K76" s="92" t="inlineStr"/>
      <c r="L76" s="92" t="inlineStr">
        <is>
          <t>نایب رئیس هیئت مدیره</t>
        </is>
      </c>
      <c r="M76" s="92" t="inlineStr"/>
      <c r="N76" s="92" t="inlineStr">
        <is>
          <t>گروه گسترش نفت و گاز پارسیان</t>
        </is>
      </c>
      <c r="O76" s="92" t="inlineStr"/>
      <c r="P76" s="92" t="inlineStr"/>
      <c r="Q76" s="92" t="inlineStr"/>
      <c r="R76" s="92" t="inlineStr"/>
      <c r="S76" s="92" t="inlineStr">
        <is>
          <t>SRC_ZGRS_1404_001</t>
        </is>
      </c>
      <c r="T76" s="92" t="inlineStr">
        <is>
          <t>MIN_CONTINUOUS؛ لنگر 1401/01/29</t>
        </is>
      </c>
      <c r="U76" s="92" t="inlineStr">
        <is>
          <t>استنباطی از تصدی</t>
        </is>
      </c>
      <c r="V76" s="92" t="inlineStr">
        <is>
          <t>حاضر در مبنا بر پایه حداقل پیوستگی (لنگر تا 1403/12/29)</t>
        </is>
      </c>
    </row>
    <row r="77" ht="34" customHeight="1" s="76">
      <c r="A77" s="92" t="inlineStr">
        <is>
          <t>PF0074</t>
        </is>
      </c>
      <c r="B77" s="92" t="inlineStr">
        <is>
          <t>زاگرس</t>
        </is>
      </c>
      <c r="C77" s="92" t="inlineStr">
        <is>
          <t>نمای مالی FYE1404</t>
        </is>
      </c>
      <c r="D77" s="92" t="inlineStr">
        <is>
          <t>P-35688BF9</t>
        </is>
      </c>
      <c r="E77" s="92" t="inlineStr">
        <is>
          <t>سیدمجید سیدیان</t>
        </is>
      </c>
      <c r="F77" s="92" t="inlineStr">
        <is>
          <t>سیدمجید سیدیان</t>
        </is>
      </c>
      <c r="G77" s="92" t="inlineStr">
        <is>
          <t>نامشخص (فهرست اسمی مبنا در دسترس نیست)</t>
        </is>
      </c>
      <c r="H77" s="92" t="inlineStr">
        <is>
          <t>حاضر در مقطع 1404/12/29</t>
        </is>
      </c>
      <c r="I77" s="92" t="inlineStr">
        <is>
          <t>FISCAL_PRESENT_AT_BASE</t>
        </is>
      </c>
      <c r="J77" s="92" t="inlineStr">
        <is>
          <t>نمای مالی: حاضر در مبنا طبق پیوستگی تصدی v41</t>
        </is>
      </c>
      <c r="K77" s="92" t="inlineStr"/>
      <c r="L77" s="92" t="inlineStr">
        <is>
          <t>عضو هیئت مدیره</t>
        </is>
      </c>
      <c r="M77" s="92" t="inlineStr"/>
      <c r="N77" s="92" t="inlineStr">
        <is>
          <t>گروه صنعتی شیمی پوشینه</t>
        </is>
      </c>
      <c r="O77" s="92" t="inlineStr"/>
      <c r="P77" s="92" t="inlineStr"/>
      <c r="Q77" s="92" t="inlineStr"/>
      <c r="R77" s="92" t="inlineStr"/>
      <c r="S77" s="92" t="inlineStr">
        <is>
          <t>SRC_ZGRS_1404_001</t>
        </is>
      </c>
      <c r="T77" s="92" t="inlineStr">
        <is>
          <t>MIN_CONTINUOUS؛ لنگر 1401/01/29</t>
        </is>
      </c>
      <c r="U77" s="92" t="inlineStr">
        <is>
          <t>استنباطی از تصدی</t>
        </is>
      </c>
      <c r="V77" s="92" t="inlineStr">
        <is>
          <t>حاضر در مبنا بر پایه حداقل پیوستگی (لنگر تا 1403/12/29)</t>
        </is>
      </c>
    </row>
    <row r="78" ht="34" customHeight="1" s="76">
      <c r="A78" s="92" t="inlineStr">
        <is>
          <t>PF0075</t>
        </is>
      </c>
      <c r="B78" s="92" t="inlineStr">
        <is>
          <t>زاگرس</t>
        </is>
      </c>
      <c r="C78" s="92" t="inlineStr">
        <is>
          <t>نمای مالی FYE1404</t>
        </is>
      </c>
      <c r="D78" s="92" t="inlineStr">
        <is>
          <t>P-62C4B47B</t>
        </is>
      </c>
      <c r="E78" s="92" t="inlineStr">
        <is>
          <t>سیدجعفر هاشمی</t>
        </is>
      </c>
      <c r="F78" s="92" t="inlineStr">
        <is>
          <t>سیدجعفر هاشمی</t>
        </is>
      </c>
      <c r="G78" s="92" t="inlineStr">
        <is>
          <t>نامشخص (فهرست اسمی مبنا در دسترس نیست)</t>
        </is>
      </c>
      <c r="H78" s="92" t="inlineStr">
        <is>
          <t>حاضر در مقطع 1404/12/29</t>
        </is>
      </c>
      <c r="I78" s="92" t="inlineStr">
        <is>
          <t>FISCAL_PRESENT_AT_BASE</t>
        </is>
      </c>
      <c r="J78" s="92" t="inlineStr">
        <is>
          <t>نمای مالی: حاضر در مبنا طبق پیوستگی تصدی v41</t>
        </is>
      </c>
      <c r="K78" s="92" t="inlineStr"/>
      <c r="L78" s="92" t="inlineStr">
        <is>
          <t>عضو هیئت مدیره</t>
        </is>
      </c>
      <c r="M78" s="92" t="inlineStr"/>
      <c r="N78" s="92" t="inlineStr">
        <is>
          <t>سرمایه گذاری هامون سپاهان</t>
        </is>
      </c>
      <c r="O78" s="92" t="inlineStr"/>
      <c r="P78" s="92" t="inlineStr"/>
      <c r="Q78" s="92" t="inlineStr"/>
      <c r="R78" s="92" t="inlineStr"/>
      <c r="S78" s="92" t="inlineStr">
        <is>
          <t>SRC_ZGRS_1404_001</t>
        </is>
      </c>
      <c r="T78" s="92" t="inlineStr">
        <is>
          <t>MIN_CONTINUOUS؛ لنگر 1401/01/29</t>
        </is>
      </c>
      <c r="U78" s="92" t="inlineStr">
        <is>
          <t>استنباطی از تصدی</t>
        </is>
      </c>
      <c r="V78" s="92" t="inlineStr">
        <is>
          <t>حاضر در مبنا بر پایه حداقل پیوستگی (لنگر تا 1403/12/29)</t>
        </is>
      </c>
    </row>
    <row r="79" ht="34" customHeight="1" s="76">
      <c r="A79" s="95" t="inlineStr">
        <is>
          <t>PF0076</t>
        </is>
      </c>
      <c r="B79" s="95" t="inlineStr">
        <is>
          <t>زاگرس</t>
        </is>
      </c>
      <c r="C79" s="95" t="inlineStr">
        <is>
          <t>نمای مالی FYE1404</t>
        </is>
      </c>
      <c r="D79" s="95" t="inlineStr">
        <is>
          <t>P-F224DF91</t>
        </is>
      </c>
      <c r="E79" s="95" t="inlineStr">
        <is>
          <t>محمدحسین مغازه ای</t>
        </is>
      </c>
      <c r="F79" s="95" t="inlineStr">
        <is>
          <t>محمدحسین مغازه ای</t>
        </is>
      </c>
      <c r="G79" s="95" t="inlineStr">
        <is>
          <t>نامشخص (فهرست اسمی مبنا در دسترس نیست)</t>
        </is>
      </c>
      <c r="H79" s="95" t="inlineStr">
        <is>
          <t>حاضر در مقطع 1404/12/29</t>
        </is>
      </c>
      <c r="I79" s="95" t="inlineStr">
        <is>
          <t>FISCAL_ENTRY_AFTER_BASE</t>
        </is>
      </c>
      <c r="J79" s="95" t="inlineStr">
        <is>
          <t>نمای مالی: ورود پس از مبنا طبق تصدی v41</t>
        </is>
      </c>
      <c r="K79" s="95" t="inlineStr"/>
      <c r="L79" s="95" t="inlineStr">
        <is>
          <t>عضو هیئت مدیره</t>
        </is>
      </c>
      <c r="M79" s="95" t="inlineStr"/>
      <c r="N79" s="95" t="inlineStr">
        <is>
          <t>صادرفر</t>
        </is>
      </c>
      <c r="O79" s="95" t="inlineStr"/>
      <c r="P79" s="95" t="inlineStr"/>
      <c r="Q79" s="95" t="inlineStr"/>
      <c r="R79" s="95" t="inlineStr"/>
      <c r="S79" s="95" t="inlineStr">
        <is>
          <t>SRC_ZGRS_1404_001</t>
        </is>
      </c>
      <c r="T79" s="95" t="inlineStr">
        <is>
          <t>EXACT؛ شروع 1404/08/28</t>
        </is>
      </c>
      <c r="U79" s="95" t="inlineStr">
        <is>
          <t>استنباطی از تصدی</t>
        </is>
      </c>
      <c r="V79" s="95" t="inlineStr">
        <is>
          <t>ورود پس از مبنا (شروع دقیق پس از 1403/12/29)</t>
        </is>
      </c>
    </row>
    <row r="80" ht="34" customHeight="1" s="76">
      <c r="A80" s="95" t="inlineStr">
        <is>
          <t>PF0077</t>
        </is>
      </c>
      <c r="B80" s="95" t="inlineStr">
        <is>
          <t>زاگرس</t>
        </is>
      </c>
      <c r="C80" s="95" t="inlineStr">
        <is>
          <t>نمای مالی FYE1404</t>
        </is>
      </c>
      <c r="D80" s="95" t="inlineStr">
        <is>
          <t>P-7C97FDB9</t>
        </is>
      </c>
      <c r="E80" s="95" t="inlineStr">
        <is>
          <t>عماد صدیقی</t>
        </is>
      </c>
      <c r="F80" s="95" t="inlineStr">
        <is>
          <t>عماد صدیقی</t>
        </is>
      </c>
      <c r="G80" s="95" t="inlineStr">
        <is>
          <t>نامشخص (فهرست اسمی مبنا در دسترس نیست)</t>
        </is>
      </c>
      <c r="H80" s="95" t="inlineStr">
        <is>
          <t>حاضر در مقطع 1404/12/29</t>
        </is>
      </c>
      <c r="I80" s="95" t="inlineStr">
        <is>
          <t>FISCAL_ENTRY_AFTER_BASE</t>
        </is>
      </c>
      <c r="J80" s="95" t="inlineStr">
        <is>
          <t>نمای مالی: ورود پس از مبنا طبق تصدی v41</t>
        </is>
      </c>
      <c r="K80" s="95" t="inlineStr"/>
      <c r="L80" s="95" t="inlineStr">
        <is>
          <t>رئیس هیئت مدیره</t>
        </is>
      </c>
      <c r="M80" s="95" t="inlineStr"/>
      <c r="N80" s="95" t="inlineStr">
        <is>
          <t>مجتمع صنعتی نفت و گاز صبا جم کنگان</t>
        </is>
      </c>
      <c r="O80" s="95" t="inlineStr"/>
      <c r="P80" s="95" t="inlineStr"/>
      <c r="Q80" s="95" t="inlineStr"/>
      <c r="R80" s="95" t="inlineStr"/>
      <c r="S80" s="95" t="inlineStr">
        <is>
          <t>SRC_ZGRS_1404_001</t>
        </is>
      </c>
      <c r="T80" s="95" t="inlineStr">
        <is>
          <t>EXACT؛ شروع 1404/07/30</t>
        </is>
      </c>
      <c r="U80" s="95" t="inlineStr">
        <is>
          <t>استنباطی از تصدی</t>
        </is>
      </c>
      <c r="V80" s="95" t="inlineStr">
        <is>
          <t>ورود پس از مبنا (شروع دقیق پس از 1403/12/29)</t>
        </is>
      </c>
    </row>
    <row r="81" ht="34" customHeight="1" s="76">
      <c r="A81" s="92" t="inlineStr">
        <is>
          <t>PF0078</t>
        </is>
      </c>
      <c r="B81" s="92" t="inlineStr">
        <is>
          <t>شبندر</t>
        </is>
      </c>
      <c r="C81" s="92" t="inlineStr">
        <is>
          <t>نمای مالی FYE1404</t>
        </is>
      </c>
      <c r="D81" s="92" t="inlineStr">
        <is>
          <t>P-A46E644E</t>
        </is>
      </c>
      <c r="E81" s="92" t="inlineStr">
        <is>
          <t>اسحاق جعفری</t>
        </is>
      </c>
      <c r="F81" s="92" t="inlineStr">
        <is>
          <t>اسحاق جعفری</t>
        </is>
      </c>
      <c r="G81" s="92" t="inlineStr">
        <is>
          <t>نامشخص (فهرست اسمی مبنا در دسترس نیست)</t>
        </is>
      </c>
      <c r="H81" s="92" t="inlineStr">
        <is>
          <t>حاضر در مقطع 1404/12/29</t>
        </is>
      </c>
      <c r="I81" s="92" t="inlineStr">
        <is>
          <t>FISCAL_PRESENT_AT_BASE</t>
        </is>
      </c>
      <c r="J81" s="92" t="inlineStr">
        <is>
          <t>نمای مالی: حاضر در مبنا طبق پیوستگی تصدی v41</t>
        </is>
      </c>
      <c r="K81" s="92" t="inlineStr"/>
      <c r="L81" s="92" t="inlineStr">
        <is>
          <t>عضو هیئت مدیره</t>
        </is>
      </c>
      <c r="M81" s="92" t="inlineStr"/>
      <c r="N81" s="92" t="inlineStr">
        <is>
          <t>توسعه پیشرو رفاه پردیس</t>
        </is>
      </c>
      <c r="O81" s="92" t="inlineStr"/>
      <c r="P81" s="92" t="inlineStr"/>
      <c r="Q81" s="92" t="inlineStr"/>
      <c r="R81" s="92" t="inlineStr"/>
      <c r="S81" s="92" t="inlineStr">
        <is>
          <t>SRC_SHBN_1404_001</t>
        </is>
      </c>
      <c r="T81" s="92" t="inlineStr">
        <is>
          <t>MIN_CONTINUOUS؛ لنگر 1401/11/25</t>
        </is>
      </c>
      <c r="U81" s="92" t="inlineStr">
        <is>
          <t>استنباطی از تصدی</t>
        </is>
      </c>
      <c r="V81" s="92" t="inlineStr">
        <is>
          <t>حاضر در مبنا بر پایه حداقل پیوستگی (لنگر تا 1403/12/29)</t>
        </is>
      </c>
    </row>
    <row r="82" ht="34" customHeight="1" s="76">
      <c r="A82" s="92" t="inlineStr">
        <is>
          <t>PF0079</t>
        </is>
      </c>
      <c r="B82" s="92" t="inlineStr">
        <is>
          <t>شبندر</t>
        </is>
      </c>
      <c r="C82" s="92" t="inlineStr">
        <is>
          <t>نمای مالی FYE1404</t>
        </is>
      </c>
      <c r="D82" s="92" t="inlineStr">
        <is>
          <t>P-3FEFC0CD</t>
        </is>
      </c>
      <c r="E82" s="92" t="inlineStr">
        <is>
          <t>احمد هاشمی</t>
        </is>
      </c>
      <c r="F82" s="92" t="inlineStr">
        <is>
          <t>احمد هاشمی</t>
        </is>
      </c>
      <c r="G82" s="92" t="inlineStr">
        <is>
          <t>نامشخص (فهرست اسمی مبنا در دسترس نیست)</t>
        </is>
      </c>
      <c r="H82" s="92" t="inlineStr">
        <is>
          <t>حاضر در مقطع 1404/12/29</t>
        </is>
      </c>
      <c r="I82" s="92" t="inlineStr">
        <is>
          <t>FISCAL_PRESENT_AT_BASE</t>
        </is>
      </c>
      <c r="J82" s="92" t="inlineStr">
        <is>
          <t>نمای مالی: حاضر در مبنا طبق پیوستگی تصدی v41</t>
        </is>
      </c>
      <c r="K82" s="92" t="inlineStr"/>
      <c r="L82" s="92" t="inlineStr">
        <is>
          <t>نایب رئیس هیئت مدیره</t>
        </is>
      </c>
      <c r="M82" s="92" t="inlineStr"/>
      <c r="N82" s="92" t="inlineStr">
        <is>
          <t>سرمایه گذاری توسعه سرمایه رفاه</t>
        </is>
      </c>
      <c r="O82" s="92" t="inlineStr"/>
      <c r="P82" s="92" t="inlineStr"/>
      <c r="Q82" s="92" t="inlineStr"/>
      <c r="R82" s="92" t="inlineStr"/>
      <c r="S82" s="92" t="inlineStr">
        <is>
          <t>SRC_SHBN_1404_001</t>
        </is>
      </c>
      <c r="T82" s="92" t="inlineStr">
        <is>
          <t>EXACT؛ شروع 1402/11/02</t>
        </is>
      </c>
      <c r="U82" s="92" t="inlineStr">
        <is>
          <t>استنباطی از تصدی</t>
        </is>
      </c>
      <c r="V82" s="92" t="inlineStr">
        <is>
          <t>حاضر در مبنا بر پایه پیوستگی (شروع دقیق تا 1403/12/29)</t>
        </is>
      </c>
    </row>
    <row r="83" ht="34" customHeight="1" s="76">
      <c r="A83" s="92" t="inlineStr">
        <is>
          <t>PF0080</t>
        </is>
      </c>
      <c r="B83" s="92" t="inlineStr">
        <is>
          <t>شبندر</t>
        </is>
      </c>
      <c r="C83" s="92" t="inlineStr">
        <is>
          <t>نمای مالی FYE1404</t>
        </is>
      </c>
      <c r="D83" s="92" t="inlineStr">
        <is>
          <t>P-5B0C6105</t>
        </is>
      </c>
      <c r="E83" s="92" t="inlineStr">
        <is>
          <t>سیدحامد اکبری</t>
        </is>
      </c>
      <c r="F83" s="92" t="inlineStr">
        <is>
          <t>سیدحامد اکبری</t>
        </is>
      </c>
      <c r="G83" s="92" t="inlineStr">
        <is>
          <t>نامشخص (فهرست اسمی مبنا در دسترس نیست)</t>
        </is>
      </c>
      <c r="H83" s="92" t="inlineStr">
        <is>
          <t>حاضر در مقطع 1404/12/29</t>
        </is>
      </c>
      <c r="I83" s="92" t="inlineStr">
        <is>
          <t>FISCAL_PRESENT_AT_BASE</t>
        </is>
      </c>
      <c r="J83" s="92" t="inlineStr">
        <is>
          <t>نمای مالی: حاضر در مبنا طبق پیوستگی تصدی v41</t>
        </is>
      </c>
      <c r="K83" s="92" t="inlineStr"/>
      <c r="L83" s="92" t="inlineStr">
        <is>
          <t>عضو هیئت مدیره</t>
        </is>
      </c>
      <c r="M83" s="92" t="inlineStr"/>
      <c r="N83" s="92" t="inlineStr">
        <is>
          <t>بانک صادرات ایران</t>
        </is>
      </c>
      <c r="O83" s="92" t="inlineStr"/>
      <c r="P83" s="92" t="inlineStr"/>
      <c r="Q83" s="92" t="inlineStr"/>
      <c r="R83" s="92" t="inlineStr"/>
      <c r="S83" s="92" t="inlineStr">
        <is>
          <t>SRC_SHBN_1404_001</t>
        </is>
      </c>
      <c r="T83" s="92" t="inlineStr">
        <is>
          <t>EXACT؛ شروع 1403/12/27</t>
        </is>
      </c>
      <c r="U83" s="92" t="inlineStr">
        <is>
          <t>استنباطی از تصدی</t>
        </is>
      </c>
      <c r="V83" s="92" t="inlineStr">
        <is>
          <t>حاضر در مبنا بر پایه پیوستگی (شروع دقیق تا 1403/12/29)</t>
        </is>
      </c>
    </row>
    <row r="84" ht="34" customHeight="1" s="76">
      <c r="A84" s="95" t="inlineStr">
        <is>
          <t>PF0081</t>
        </is>
      </c>
      <c r="B84" s="95" t="inlineStr">
        <is>
          <t>شبندر</t>
        </is>
      </c>
      <c r="C84" s="95" t="inlineStr">
        <is>
          <t>نمای مالی FYE1404</t>
        </is>
      </c>
      <c r="D84" s="95" t="inlineStr">
        <is>
          <t>P-A67A3B89</t>
        </is>
      </c>
      <c r="E84" s="95" t="inlineStr">
        <is>
          <t>محمد صادقی</t>
        </is>
      </c>
      <c r="F84" s="95" t="inlineStr">
        <is>
          <t>محمد صادقی</t>
        </is>
      </c>
      <c r="G84" s="95" t="inlineStr">
        <is>
          <t>نامشخص (فهرست اسمی مبنا در دسترس نیست)</t>
        </is>
      </c>
      <c r="H84" s="95" t="inlineStr">
        <is>
          <t>حاضر در مقطع 1404/12/29</t>
        </is>
      </c>
      <c r="I84" s="95" t="inlineStr">
        <is>
          <t>FISCAL_ENTRY_AFTER_BASE</t>
        </is>
      </c>
      <c r="J84" s="95" t="inlineStr">
        <is>
          <t>نمای مالی: ورود پس از مبنا طبق تصدی v41</t>
        </is>
      </c>
      <c r="K84" s="95" t="inlineStr"/>
      <c r="L84" s="95" t="inlineStr">
        <is>
          <t>رئیس هیئت مدیره</t>
        </is>
      </c>
      <c r="M84" s="95" t="inlineStr"/>
      <c r="N84" s="95" t="inlineStr">
        <is>
          <t>سرمایه گذاری استان بوشهر</t>
        </is>
      </c>
      <c r="O84" s="95" t="inlineStr"/>
      <c r="P84" s="95" t="inlineStr"/>
      <c r="Q84" s="95" t="inlineStr"/>
      <c r="R84" s="95" t="inlineStr"/>
      <c r="S84" s="95" t="inlineStr">
        <is>
          <t>SRC_SHBN_1404_001</t>
        </is>
      </c>
      <c r="T84" s="95" t="inlineStr">
        <is>
          <t>EXACT؛ شروع 1404/05/27</t>
        </is>
      </c>
      <c r="U84" s="95" t="inlineStr">
        <is>
          <t>استنباطی از تصدی</t>
        </is>
      </c>
      <c r="V84" s="95" t="inlineStr">
        <is>
          <t>ورود پس از مبنا (شروع دقیق پس از 1403/12/29)</t>
        </is>
      </c>
    </row>
    <row r="85" ht="34" customHeight="1" s="76">
      <c r="A85" s="95" t="inlineStr">
        <is>
          <t>PF0082</t>
        </is>
      </c>
      <c r="B85" s="95" t="inlineStr">
        <is>
          <t>شبندر</t>
        </is>
      </c>
      <c r="C85" s="95" t="inlineStr">
        <is>
          <t>نمای مالی FYE1404</t>
        </is>
      </c>
      <c r="D85" s="95" t="inlineStr">
        <is>
          <t>P-3BA4E4D3</t>
        </is>
      </c>
      <c r="E85" s="95" t="inlineStr">
        <is>
          <t>عبدالوهاب ارامش</t>
        </is>
      </c>
      <c r="F85" s="95" t="inlineStr">
        <is>
          <t>عبدالوهاب ارامش</t>
        </is>
      </c>
      <c r="G85" s="95" t="inlineStr">
        <is>
          <t>نامشخص (فهرست اسمی مبنا در دسترس نیست)</t>
        </is>
      </c>
      <c r="H85" s="95" t="inlineStr">
        <is>
          <t>حاضر در مقطع 1404/12/29</t>
        </is>
      </c>
      <c r="I85" s="95" t="inlineStr">
        <is>
          <t>FISCAL_ENTRY_AFTER_BASE</t>
        </is>
      </c>
      <c r="J85" s="95" t="inlineStr">
        <is>
          <t>نمای مالی: ورود پس از مبنا طبق تصدی v41</t>
        </is>
      </c>
      <c r="K85" s="95" t="inlineStr"/>
      <c r="L85" s="95" t="inlineStr">
        <is>
          <t>عضو هیئت مدیره</t>
        </is>
      </c>
      <c r="M85" s="95" t="inlineStr"/>
      <c r="N85" s="95" t="inlineStr">
        <is>
          <t>سرمایه گذاری هامون سپاهان</t>
        </is>
      </c>
      <c r="O85" s="95" t="inlineStr"/>
      <c r="P85" s="95" t="inlineStr"/>
      <c r="Q85" s="95" t="inlineStr"/>
      <c r="R85" s="95" t="inlineStr"/>
      <c r="S85" s="95" t="inlineStr">
        <is>
          <t>SRC_SHBN_1404_001</t>
        </is>
      </c>
      <c r="T85" s="95" t="inlineStr">
        <is>
          <t>EXACT؛ شروع 1404/10/18</t>
        </is>
      </c>
      <c r="U85" s="95" t="inlineStr">
        <is>
          <t>استنباطی از تصدی</t>
        </is>
      </c>
      <c r="V85" s="95" t="inlineStr">
        <is>
          <t>ورود پس از مبنا (شروع دقیق پس از 1403/12/29)</t>
        </is>
      </c>
    </row>
    <row r="86" ht="34" customHeight="1" s="76">
      <c r="A86" s="95" t="inlineStr">
        <is>
          <t>PF0083</t>
        </is>
      </c>
      <c r="B86" s="95" t="inlineStr">
        <is>
          <t>پارس</t>
        </is>
      </c>
      <c r="C86" s="95" t="inlineStr">
        <is>
          <t>نمای مالی FYE1404</t>
        </is>
      </c>
      <c r="D86" s="95" t="inlineStr">
        <is>
          <t>P-A2EF9DC2</t>
        </is>
      </c>
      <c r="E86" s="95" t="inlineStr">
        <is>
          <t>ابراهیم صادقی</t>
        </is>
      </c>
      <c r="F86" s="95" t="inlineStr">
        <is>
          <t>ابراهیم صادقی</t>
        </is>
      </c>
      <c r="G86" s="95" t="inlineStr">
        <is>
          <t>نامشخص (فهرست اسمی مبنا در دسترس نیست)</t>
        </is>
      </c>
      <c r="H86" s="95" t="inlineStr">
        <is>
          <t>حاضر در مقطع 1404/12/29</t>
        </is>
      </c>
      <c r="I86" s="95" t="inlineStr">
        <is>
          <t>FISCAL_ENTRY_AFTER_BASE</t>
        </is>
      </c>
      <c r="J86" s="95" t="inlineStr">
        <is>
          <t>نمای مالی: ورود پس از مبنا طبق تصدی v41</t>
        </is>
      </c>
      <c r="K86" s="95" t="inlineStr"/>
      <c r="L86" s="95" t="inlineStr">
        <is>
          <t>عضو هیئت مدیره</t>
        </is>
      </c>
      <c r="M86" s="95" t="inlineStr"/>
      <c r="N86" s="95" t="inlineStr">
        <is>
          <t>گروه گسترش نفت و گاز پارسیان</t>
        </is>
      </c>
      <c r="O86" s="95" t="inlineStr"/>
      <c r="P86" s="95" t="inlineStr"/>
      <c r="Q86" s="95" t="inlineStr"/>
      <c r="R86" s="95" t="inlineStr"/>
      <c r="S86" s="95" t="inlineStr">
        <is>
          <t>SRC_PARS_1404_001</t>
        </is>
      </c>
      <c r="T86" s="95" t="inlineStr">
        <is>
          <t>EXACT؛ شروع 1404/01/30</t>
        </is>
      </c>
      <c r="U86" s="95" t="inlineStr">
        <is>
          <t>استنباطی از تصدی</t>
        </is>
      </c>
      <c r="V86" s="95" t="inlineStr">
        <is>
          <t>ورود پس از مبنا (شروع دقیق پس از 1403/12/29)</t>
        </is>
      </c>
    </row>
    <row r="87" ht="34" customHeight="1" s="76">
      <c r="A87" s="92" t="inlineStr">
        <is>
          <t>PF0084</t>
        </is>
      </c>
      <c r="B87" s="92" t="inlineStr">
        <is>
          <t>پارس</t>
        </is>
      </c>
      <c r="C87" s="92" t="inlineStr">
        <is>
          <t>نمای مالی FYE1404</t>
        </is>
      </c>
      <c r="D87" s="92" t="inlineStr">
        <is>
          <t>P-80BF0E80</t>
        </is>
      </c>
      <c r="E87" s="92" t="inlineStr">
        <is>
          <t>رضا فرزادی</t>
        </is>
      </c>
      <c r="F87" s="92" t="inlineStr">
        <is>
          <t>رضا فرزادی</t>
        </is>
      </c>
      <c r="G87" s="92" t="inlineStr">
        <is>
          <t>نامشخص (فهرست اسمی مبنا در دسترس نیست)</t>
        </is>
      </c>
      <c r="H87" s="92" t="inlineStr">
        <is>
          <t>حاضر در مقطع 1404/12/29</t>
        </is>
      </c>
      <c r="I87" s="92" t="inlineStr">
        <is>
          <t>FISCAL_PRESENT_AT_BASE</t>
        </is>
      </c>
      <c r="J87" s="92" t="inlineStr">
        <is>
          <t>نمای مالی: حاضر در مبنا طبق پیوستگی تصدی v41</t>
        </is>
      </c>
      <c r="K87" s="92" t="inlineStr"/>
      <c r="L87" s="92" t="inlineStr">
        <is>
          <t>عضو هیئت مدیره</t>
        </is>
      </c>
      <c r="M87" s="92" t="inlineStr"/>
      <c r="N87" s="92" t="inlineStr">
        <is>
          <t>سرمایه گذاری غدیر</t>
        </is>
      </c>
      <c r="O87" s="92" t="inlineStr"/>
      <c r="P87" s="92" t="inlineStr"/>
      <c r="Q87" s="92" t="inlineStr"/>
      <c r="R87" s="92" t="inlineStr"/>
      <c r="S87" s="92" t="inlineStr">
        <is>
          <t>SRC_PARS_1404_001</t>
        </is>
      </c>
      <c r="T87" s="92" t="inlineStr">
        <is>
          <t>EXACT؛ شروع 1403/05/24</t>
        </is>
      </c>
      <c r="U87" s="92" t="inlineStr">
        <is>
          <t>استنباطی از تصدی</t>
        </is>
      </c>
      <c r="V87" s="92" t="inlineStr">
        <is>
          <t>حاضر در مبنا بر پایه پیوستگی (شروع دقیق تا 1403/12/29)</t>
        </is>
      </c>
    </row>
    <row r="88" ht="34" customHeight="1" s="76">
      <c r="A88" s="95" t="inlineStr">
        <is>
          <t>PF0085</t>
        </is>
      </c>
      <c r="B88" s="95" t="inlineStr">
        <is>
          <t>پارس</t>
        </is>
      </c>
      <c r="C88" s="95" t="inlineStr">
        <is>
          <t>نمای مالی FYE1404</t>
        </is>
      </c>
      <c r="D88" s="95" t="inlineStr">
        <is>
          <t>P-3FA1FCDE</t>
        </is>
      </c>
      <c r="E88" s="95" t="inlineStr">
        <is>
          <t>یداله مصدقی فرد</t>
        </is>
      </c>
      <c r="F88" s="95" t="inlineStr">
        <is>
          <t>یداله مصدقی فرد</t>
        </is>
      </c>
      <c r="G88" s="95" t="inlineStr">
        <is>
          <t>نامشخص (فهرست اسمی مبنا در دسترس نیست)</t>
        </is>
      </c>
      <c r="H88" s="95" t="inlineStr">
        <is>
          <t>حاضر در مقطع 1404/12/29</t>
        </is>
      </c>
      <c r="I88" s="95" t="inlineStr">
        <is>
          <t>FISCAL_ENTRY_AFTER_BASE</t>
        </is>
      </c>
      <c r="J88" s="95" t="inlineStr">
        <is>
          <t>نمای مالی: ورود پس از مبنا طبق تصدی v41</t>
        </is>
      </c>
      <c r="K88" s="95" t="inlineStr"/>
      <c r="L88" s="95" t="inlineStr">
        <is>
          <t>رئیس هیئت مدیره</t>
        </is>
      </c>
      <c r="M88" s="95" t="inlineStr"/>
      <c r="N88" s="95" t="inlineStr">
        <is>
          <t>پتروشیمی کارون</t>
        </is>
      </c>
      <c r="O88" s="95" t="inlineStr"/>
      <c r="P88" s="95" t="inlineStr"/>
      <c r="Q88" s="95" t="inlineStr"/>
      <c r="R88" s="95" t="inlineStr"/>
      <c r="S88" s="95" t="inlineStr">
        <is>
          <t>SRC_PARS_1404_001</t>
        </is>
      </c>
      <c r="T88" s="95" t="inlineStr">
        <is>
          <t>EXACT؛ شروع 1404/07/26</t>
        </is>
      </c>
      <c r="U88" s="95" t="inlineStr">
        <is>
          <t>استنباطی از تصدی</t>
        </is>
      </c>
      <c r="V88" s="95" t="inlineStr">
        <is>
          <t>ورود پس از مبنا (شروع دقیق پس از 1403/12/29)</t>
        </is>
      </c>
    </row>
    <row r="89" ht="34" customHeight="1" s="76">
      <c r="A89" s="92" t="inlineStr">
        <is>
          <t>PF0086</t>
        </is>
      </c>
      <c r="B89" s="92" t="inlineStr">
        <is>
          <t>پارس</t>
        </is>
      </c>
      <c r="C89" s="92" t="inlineStr">
        <is>
          <t>نمای مالی FYE1404</t>
        </is>
      </c>
      <c r="D89" s="92" t="inlineStr">
        <is>
          <t>P-C29D144D</t>
        </is>
      </c>
      <c r="E89" s="92" t="inlineStr">
        <is>
          <t>محمدرضا حیدرزاده</t>
        </is>
      </c>
      <c r="F89" s="92" t="inlineStr">
        <is>
          <t>محمدرضا حیدرزاده</t>
        </is>
      </c>
      <c r="G89" s="92" t="inlineStr">
        <is>
          <t>نامشخص (فهرست اسمی مبنا در دسترس نیست)</t>
        </is>
      </c>
      <c r="H89" s="92" t="inlineStr">
        <is>
          <t>حاضر در مقطع 1404/12/29</t>
        </is>
      </c>
      <c r="I89" s="92" t="inlineStr">
        <is>
          <t>FISCAL_PRESENT_AT_BASE</t>
        </is>
      </c>
      <c r="J89" s="92" t="inlineStr">
        <is>
          <t>نمای مالی: حاضر در مبنا طبق پیوستگی تصدی v41</t>
        </is>
      </c>
      <c r="K89" s="92" t="inlineStr"/>
      <c r="L89" s="92" t="inlineStr">
        <is>
          <t>عضو هیئت مدیره</t>
        </is>
      </c>
      <c r="M89" s="92" t="inlineStr"/>
      <c r="N89" s="92" t="inlineStr">
        <is>
          <t>پتروشیمی هنگام</t>
        </is>
      </c>
      <c r="O89" s="92" t="inlineStr"/>
      <c r="P89" s="92" t="inlineStr"/>
      <c r="Q89" s="92" t="inlineStr"/>
      <c r="R89" s="92" t="inlineStr"/>
      <c r="S89" s="92" t="inlineStr">
        <is>
          <t>SRC_PARS_1404_001</t>
        </is>
      </c>
      <c r="T89" s="92" t="inlineStr">
        <is>
          <t>EXACT؛ شروع 1403/10/18</t>
        </is>
      </c>
      <c r="U89" s="92" t="inlineStr">
        <is>
          <t>استنباطی از تصدی</t>
        </is>
      </c>
      <c r="V89" s="92" t="inlineStr">
        <is>
          <t>حاضر در مبنا بر پایه پیوستگی (شروع دقیق تا 1403/12/29)</t>
        </is>
      </c>
    </row>
    <row r="90" ht="34" customHeight="1" s="76">
      <c r="A90" s="95" t="inlineStr">
        <is>
          <t>PF0087</t>
        </is>
      </c>
      <c r="B90" s="95" t="inlineStr">
        <is>
          <t>پارس</t>
        </is>
      </c>
      <c r="C90" s="95" t="inlineStr">
        <is>
          <t>نمای مالی FYE1404</t>
        </is>
      </c>
      <c r="D90" s="95" t="inlineStr">
        <is>
          <t>P-8897FAB1</t>
        </is>
      </c>
      <c r="E90" s="95" t="inlineStr">
        <is>
          <t>عبدالکریم پهلوانی</t>
        </is>
      </c>
      <c r="F90" s="95" t="inlineStr">
        <is>
          <t>عبدالکریم پهلوانی</t>
        </is>
      </c>
      <c r="G90" s="95" t="inlineStr">
        <is>
          <t>نامشخص (فهرست اسمی مبنا در دسترس نیست)</t>
        </is>
      </c>
      <c r="H90" s="95" t="inlineStr">
        <is>
          <t>حاضر در مقطع 1404/12/29</t>
        </is>
      </c>
      <c r="I90" s="95" t="inlineStr">
        <is>
          <t>FISCAL_ENTRY_AFTER_BASE</t>
        </is>
      </c>
      <c r="J90" s="95" t="inlineStr">
        <is>
          <t>نمای مالی: ورود پس از مبنا طبق تصدی v41</t>
        </is>
      </c>
      <c r="K90" s="95" t="inlineStr"/>
      <c r="L90" s="95" t="inlineStr">
        <is>
          <t>نایب رئیس هیئت مدیره</t>
        </is>
      </c>
      <c r="M90" s="95" t="inlineStr"/>
      <c r="N90" s="95" t="inlineStr">
        <is>
          <t>پتروشیمی هرمز خلیج فارس</t>
        </is>
      </c>
      <c r="O90" s="95" t="inlineStr"/>
      <c r="P90" s="95" t="inlineStr"/>
      <c r="Q90" s="95" t="inlineStr"/>
      <c r="R90" s="95" t="inlineStr"/>
      <c r="S90" s="95" t="inlineStr">
        <is>
          <t>SRC_PARS_1404_001</t>
        </is>
      </c>
      <c r="T90" s="95" t="inlineStr">
        <is>
          <t>EXACT؛ شروع 1404/06/04</t>
        </is>
      </c>
      <c r="U90" s="95" t="inlineStr">
        <is>
          <t>استنباطی از تصدی</t>
        </is>
      </c>
      <c r="V90" s="95" t="inlineStr">
        <is>
          <t>ورود پس از مبنا (شروع دقیق پس از 1403/12/29)</t>
        </is>
      </c>
    </row>
    <row r="91" ht="34" customHeight="1" s="76">
      <c r="A91" s="92" t="inlineStr">
        <is>
          <t>PF0088</t>
        </is>
      </c>
      <c r="B91" s="92" t="inlineStr">
        <is>
          <t>شتران</t>
        </is>
      </c>
      <c r="C91" s="92" t="inlineStr">
        <is>
          <t>نمای مالی FYE1404</t>
        </is>
      </c>
      <c r="D91" s="92" t="inlineStr">
        <is>
          <t>P-F5ECB81D</t>
        </is>
      </c>
      <c r="E91" s="92" t="inlineStr">
        <is>
          <t>محمدعلی دادور</t>
        </is>
      </c>
      <c r="F91" s="92" t="inlineStr">
        <is>
          <t>محمدعلی دادور</t>
        </is>
      </c>
      <c r="G91" s="92" t="inlineStr">
        <is>
          <t>نامشخص (فهرست اسمی مبنا در دسترس نیست)</t>
        </is>
      </c>
      <c r="H91" s="92" t="inlineStr">
        <is>
          <t>حاضر در مقطع 1404/12/29</t>
        </is>
      </c>
      <c r="I91" s="92" t="inlineStr">
        <is>
          <t>FISCAL_PRESENT_AT_BASE</t>
        </is>
      </c>
      <c r="J91" s="92" t="inlineStr">
        <is>
          <t>نمای مالی: حاضر در مبنا طبق پیوستگی تصدی v41</t>
        </is>
      </c>
      <c r="K91" s="92" t="inlineStr"/>
      <c r="L91" s="92" t="inlineStr">
        <is>
          <t>رئیس هیئت مدیره</t>
        </is>
      </c>
      <c r="M91" s="92" t="inlineStr"/>
      <c r="N91" s="92" t="inlineStr">
        <is>
          <t>ملی پالایش و پخش فرآورده های نفتی ایران</t>
        </is>
      </c>
      <c r="O91" s="92" t="inlineStr"/>
      <c r="P91" s="92" t="inlineStr"/>
      <c r="Q91" s="92" t="inlineStr"/>
      <c r="R91" s="92" t="inlineStr"/>
      <c r="S91" s="92" t="inlineStr">
        <is>
          <t>SRC_SHTR_1404_002</t>
        </is>
      </c>
      <c r="T91" s="92" t="inlineStr">
        <is>
          <t>EXACT؛ شروع 1403/08/16</t>
        </is>
      </c>
      <c r="U91" s="92" t="inlineStr">
        <is>
          <t>استنباطی از تصدی</t>
        </is>
      </c>
      <c r="V91" s="92" t="inlineStr">
        <is>
          <t>حاضر در مبنا بر پایه پیوستگی (شروع دقیق تا 1403/12/29)</t>
        </is>
      </c>
    </row>
    <row r="92" ht="34" customHeight="1" s="76">
      <c r="A92" s="92" t="inlineStr">
        <is>
          <t>PF0089</t>
        </is>
      </c>
      <c r="B92" s="92" t="inlineStr">
        <is>
          <t>شتران</t>
        </is>
      </c>
      <c r="C92" s="92" t="inlineStr">
        <is>
          <t>نمای مالی FYE1404</t>
        </is>
      </c>
      <c r="D92" s="92" t="inlineStr">
        <is>
          <t>P-58910B13</t>
        </is>
      </c>
      <c r="E92" s="92" t="inlineStr">
        <is>
          <t>میثم قاسمی</t>
        </is>
      </c>
      <c r="F92" s="92" t="inlineStr">
        <is>
          <t>میثم قاسمی</t>
        </is>
      </c>
      <c r="G92" s="92" t="inlineStr">
        <is>
          <t>نامشخص (فهرست اسمی مبنا در دسترس نیست)</t>
        </is>
      </c>
      <c r="H92" s="92" t="inlineStr">
        <is>
          <t>حاضر در مقطع 1404/12/29</t>
        </is>
      </c>
      <c r="I92" s="92" t="inlineStr">
        <is>
          <t>FISCAL_PRESENT_AT_BASE</t>
        </is>
      </c>
      <c r="J92" s="92" t="inlineStr">
        <is>
          <t>نمای مالی: حاضر در مبنا طبق پیوستگی تصدی v41</t>
        </is>
      </c>
      <c r="K92" s="92" t="inlineStr"/>
      <c r="L92" s="92" t="inlineStr">
        <is>
          <t>عضو هیئت مدیره</t>
        </is>
      </c>
      <c r="M92" s="92" t="inlineStr"/>
      <c r="N92" s="92" t="inlineStr">
        <is>
          <t>سرمایه گذاری استان فارس</t>
        </is>
      </c>
      <c r="O92" s="92" t="inlineStr"/>
      <c r="P92" s="92" t="inlineStr"/>
      <c r="Q92" s="92" t="inlineStr"/>
      <c r="R92" s="92" t="inlineStr"/>
      <c r="S92" s="92" t="inlineStr">
        <is>
          <t>SRC_SHTR_1404_002</t>
        </is>
      </c>
      <c r="T92" s="92" t="inlineStr">
        <is>
          <t>EXACT؛ شروع 1403/08/16</t>
        </is>
      </c>
      <c r="U92" s="92" t="inlineStr">
        <is>
          <t>استنباطی از تصدی</t>
        </is>
      </c>
      <c r="V92" s="92" t="inlineStr">
        <is>
          <t>حاضر در مبنا بر پایه پیوستگی (شروع دقیق تا 1403/12/29)</t>
        </is>
      </c>
    </row>
    <row r="93" ht="34" customHeight="1" s="76">
      <c r="A93" s="95" t="inlineStr">
        <is>
          <t>PF0090</t>
        </is>
      </c>
      <c r="B93" s="95" t="inlineStr">
        <is>
          <t>شتران</t>
        </is>
      </c>
      <c r="C93" s="95" t="inlineStr">
        <is>
          <t>نمای مالی FYE1404</t>
        </is>
      </c>
      <c r="D93" s="95" t="inlineStr">
        <is>
          <t>P-D2927181</t>
        </is>
      </c>
      <c r="E93" s="95" t="inlineStr">
        <is>
          <t>عباس محسنی نیکوگفتار</t>
        </is>
      </c>
      <c r="F93" s="95" t="inlineStr">
        <is>
          <t>عباس محسنی نیکوگفتار</t>
        </is>
      </c>
      <c r="G93" s="95" t="inlineStr">
        <is>
          <t>نامشخص (فهرست اسمی مبنا در دسترس نیست)</t>
        </is>
      </c>
      <c r="H93" s="95" t="inlineStr">
        <is>
          <t>حاضر در مقطع 1404/12/29</t>
        </is>
      </c>
      <c r="I93" s="95" t="inlineStr">
        <is>
          <t>FISCAL_ENTRY_AFTER_BASE</t>
        </is>
      </c>
      <c r="J93" s="95" t="inlineStr">
        <is>
          <t>نمای مالی: ورود پس از مبنا طبق تصدی v41</t>
        </is>
      </c>
      <c r="K93" s="95" t="inlineStr"/>
      <c r="L93" s="95" t="inlineStr">
        <is>
          <t>عضو هیئت مدیره</t>
        </is>
      </c>
      <c r="M93" s="95" t="inlineStr"/>
      <c r="N93" s="95" t="inlineStr">
        <is>
          <t>سرمایه گذاری عدالت استان مازندران</t>
        </is>
      </c>
      <c r="O93" s="95" t="inlineStr"/>
      <c r="P93" s="95" t="inlineStr"/>
      <c r="Q93" s="95" t="inlineStr"/>
      <c r="R93" s="95" t="inlineStr"/>
      <c r="S93" s="95" t="inlineStr">
        <is>
          <t>SRC_SHTR_1404_002</t>
        </is>
      </c>
      <c r="T93" s="95" t="inlineStr">
        <is>
          <t>EXACT؛ شروع 1404/05/13</t>
        </is>
      </c>
      <c r="U93" s="95" t="inlineStr">
        <is>
          <t>استنباطی از تصدی</t>
        </is>
      </c>
      <c r="V93" s="95" t="inlineStr">
        <is>
          <t>ورود پس از مبنا (شروع دقیق پس از 1403/12/29)</t>
        </is>
      </c>
    </row>
    <row r="94" ht="34" customHeight="1" s="76">
      <c r="A94" s="92" t="inlineStr">
        <is>
          <t>PF0091</t>
        </is>
      </c>
      <c r="B94" s="92" t="inlineStr">
        <is>
          <t>شتران</t>
        </is>
      </c>
      <c r="C94" s="92" t="inlineStr">
        <is>
          <t>نمای مالی FYE1404</t>
        </is>
      </c>
      <c r="D94" s="92" t="inlineStr">
        <is>
          <t>P-5224045D</t>
        </is>
      </c>
      <c r="E94" s="92" t="inlineStr">
        <is>
          <t>فریدون ورشوساز</t>
        </is>
      </c>
      <c r="F94" s="92" t="inlineStr">
        <is>
          <t>فریدون ورشوساز</t>
        </is>
      </c>
      <c r="G94" s="92" t="inlineStr">
        <is>
          <t>نامشخص (فهرست اسمی مبنا در دسترس نیست)</t>
        </is>
      </c>
      <c r="H94" s="92" t="inlineStr">
        <is>
          <t>حاضر در مقطع 1404/12/29</t>
        </is>
      </c>
      <c r="I94" s="92" t="inlineStr">
        <is>
          <t>FISCAL_PRESENT_AT_BASE</t>
        </is>
      </c>
      <c r="J94" s="92" t="inlineStr">
        <is>
          <t>نمای مالی: حاضر در مبنا طبق پیوستگی تصدی v41</t>
        </is>
      </c>
      <c r="K94" s="92" t="inlineStr"/>
      <c r="L94" s="92" t="inlineStr">
        <is>
          <t>عضو هیئت مدیره</t>
        </is>
      </c>
      <c r="M94" s="92" t="inlineStr"/>
      <c r="N94" s="92" t="inlineStr">
        <is>
          <t>سرمایه گذاری استان لرستان</t>
        </is>
      </c>
      <c r="O94" s="92" t="inlineStr"/>
      <c r="P94" s="92" t="inlineStr"/>
      <c r="Q94" s="92" t="inlineStr"/>
      <c r="R94" s="92" t="inlineStr"/>
      <c r="S94" s="92" t="inlineStr">
        <is>
          <t>SRC_SHTR_1404_002</t>
        </is>
      </c>
      <c r="T94" s="92" t="inlineStr">
        <is>
          <t>EXACT؛ شروع 1401/11/10</t>
        </is>
      </c>
      <c r="U94" s="92" t="inlineStr">
        <is>
          <t>استنباطی از تصدی</t>
        </is>
      </c>
      <c r="V94" s="92" t="inlineStr">
        <is>
          <t>حاضر در مبنا بر پایه پیوستگی (شروع دقیق تا 1403/12/29)</t>
        </is>
      </c>
    </row>
    <row r="95" ht="34" customHeight="1" s="76">
      <c r="A95" s="92" t="inlineStr">
        <is>
          <t>PF0092</t>
        </is>
      </c>
      <c r="B95" s="92" t="inlineStr">
        <is>
          <t>شتران</t>
        </is>
      </c>
      <c r="C95" s="92" t="inlineStr">
        <is>
          <t>نمای مالی FYE1404</t>
        </is>
      </c>
      <c r="D95" s="92" t="inlineStr">
        <is>
          <t>P-74D62B30</t>
        </is>
      </c>
      <c r="E95" s="92" t="inlineStr">
        <is>
          <t>محمدمجتبی حاجی سالم</t>
        </is>
      </c>
      <c r="F95" s="92" t="inlineStr">
        <is>
          <t>محمدمجتبی حاجی سالم</t>
        </is>
      </c>
      <c r="G95" s="92" t="inlineStr">
        <is>
          <t>نامشخص (فهرست اسمی مبنا در دسترس نیست)</t>
        </is>
      </c>
      <c r="H95" s="92" t="inlineStr">
        <is>
          <t>حاضر در مقطع 1404/12/29</t>
        </is>
      </c>
      <c r="I95" s="92" t="inlineStr">
        <is>
          <t>FISCAL_PRESENT_AT_BASE</t>
        </is>
      </c>
      <c r="J95" s="92" t="inlineStr">
        <is>
          <t>نمای مالی: حاضر در مبنا طبق پیوستگی تصدی v41</t>
        </is>
      </c>
      <c r="K95" s="92" t="inlineStr"/>
      <c r="L95" s="92" t="inlineStr">
        <is>
          <t>نایب رئیس هیئت مدیره</t>
        </is>
      </c>
      <c r="M95" s="92" t="inlineStr"/>
      <c r="N95" s="92" t="inlineStr">
        <is>
          <t>سرمایه گذاری استان چهارمحال و بختیاری</t>
        </is>
      </c>
      <c r="O95" s="92" t="inlineStr"/>
      <c r="P95" s="92" t="inlineStr"/>
      <c r="Q95" s="92" t="inlineStr"/>
      <c r="R95" s="92" t="inlineStr"/>
      <c r="S95" s="92" t="inlineStr">
        <is>
          <t>SRC_SHTR_1404_002</t>
        </is>
      </c>
      <c r="T95" s="92" t="inlineStr">
        <is>
          <t>EXACT؛ شروع 1403/12/11</t>
        </is>
      </c>
      <c r="U95" s="92" t="inlineStr">
        <is>
          <t>استنباطی از تصدی</t>
        </is>
      </c>
      <c r="V95" s="92" t="inlineStr">
        <is>
          <t>حاضر در مبنا بر پایه پیوستگی (شروع دقیق تا 1403/12/29)</t>
        </is>
      </c>
    </row>
    <row r="96" ht="34" customHeight="1" s="76">
      <c r="A96" s="92" t="inlineStr">
        <is>
          <t>PF0093</t>
        </is>
      </c>
      <c r="B96" s="92" t="inlineStr">
        <is>
          <t>وتجارت</t>
        </is>
      </c>
      <c r="C96" s="92" t="inlineStr">
        <is>
          <t>نمای مالی FYE1404</t>
        </is>
      </c>
      <c r="D96" s="92" t="inlineStr">
        <is>
          <t>P-E99FCA72</t>
        </is>
      </c>
      <c r="E96" s="92" t="inlineStr">
        <is>
          <t>علی کی لانی</t>
        </is>
      </c>
      <c r="F96" s="92" t="inlineStr">
        <is>
          <t>علی کی لانی</t>
        </is>
      </c>
      <c r="G96" s="92" t="inlineStr">
        <is>
          <t>نامشخص (فهرست اسمی مبنا در دسترس نیست)</t>
        </is>
      </c>
      <c r="H96" s="92" t="inlineStr">
        <is>
          <t>حاضر در مقطع 1404/12/29</t>
        </is>
      </c>
      <c r="I96" s="92" t="inlineStr">
        <is>
          <t>FISCAL_PRESENT_AT_BASE</t>
        </is>
      </c>
      <c r="J96" s="92" t="inlineStr">
        <is>
          <t>نمای مالی: حاضر در مبنا طبق پیوستگی تصدی v41</t>
        </is>
      </c>
      <c r="K96" s="92" t="inlineStr"/>
      <c r="L96" s="92" t="inlineStr">
        <is>
          <t>عضو هیئت مدیره</t>
        </is>
      </c>
      <c r="M96" s="92" t="inlineStr"/>
      <c r="N96" s="92" t="inlineStr"/>
      <c r="O96" s="92" t="inlineStr"/>
      <c r="P96" s="92" t="inlineStr"/>
      <c r="Q96" s="92" t="inlineStr"/>
      <c r="R96" s="92" t="inlineStr"/>
      <c r="S96" s="92" t="inlineStr">
        <is>
          <t>SRC_VTEJ_1404_001</t>
        </is>
      </c>
      <c r="T96" s="92" t="inlineStr">
        <is>
          <t>EXACT؛ شروع 1400/11/09</t>
        </is>
      </c>
      <c r="U96" s="92" t="inlineStr">
        <is>
          <t>استنباطی از تصدی</t>
        </is>
      </c>
      <c r="V96" s="92" t="inlineStr">
        <is>
          <t>حاضر در مبنا بر پایه پیوستگی (شروع دقیق تا 1403/12/29)</t>
        </is>
      </c>
    </row>
    <row r="97" ht="34" customHeight="1" s="76">
      <c r="A97" s="92" t="inlineStr">
        <is>
          <t>PF0094</t>
        </is>
      </c>
      <c r="B97" s="92" t="inlineStr">
        <is>
          <t>وتجارت</t>
        </is>
      </c>
      <c r="C97" s="92" t="inlineStr">
        <is>
          <t>نمای مالی FYE1404</t>
        </is>
      </c>
      <c r="D97" s="92" t="inlineStr">
        <is>
          <t>P-6A8D286D</t>
        </is>
      </c>
      <c r="E97" s="92" t="inlineStr">
        <is>
          <t>مرتضی ترک تبریزی</t>
        </is>
      </c>
      <c r="F97" s="92" t="inlineStr">
        <is>
          <t>مرتضی ترک تبریزی</t>
        </is>
      </c>
      <c r="G97" s="92" t="inlineStr">
        <is>
          <t>نامشخص (فهرست اسمی مبنا در دسترس نیست)</t>
        </is>
      </c>
      <c r="H97" s="92" t="inlineStr">
        <is>
          <t>حاضر در مقطع 1404/12/29</t>
        </is>
      </c>
      <c r="I97" s="92" t="inlineStr">
        <is>
          <t>FISCAL_PRESENT_AT_BASE</t>
        </is>
      </c>
      <c r="J97" s="92" t="inlineStr">
        <is>
          <t>نمای مالی: حاضر در مبنا طبق پیوستگی تصدی v41</t>
        </is>
      </c>
      <c r="K97" s="92" t="inlineStr"/>
      <c r="L97" s="92" t="inlineStr">
        <is>
          <t>رئیس هیئت مدیره</t>
        </is>
      </c>
      <c r="M97" s="92" t="inlineStr"/>
      <c r="N97" s="92" t="inlineStr"/>
      <c r="O97" s="92" t="inlineStr"/>
      <c r="P97" s="92" t="inlineStr"/>
      <c r="Q97" s="92" t="inlineStr"/>
      <c r="R97" s="92" t="inlineStr"/>
      <c r="S97" s="92" t="inlineStr">
        <is>
          <t>SRC_VTEJ_1404_001</t>
        </is>
      </c>
      <c r="T97" s="92" t="inlineStr">
        <is>
          <t>CONFLICT_MIN؛ لنگر 1401/12/25</t>
        </is>
      </c>
      <c r="U97" s="92" t="inlineStr">
        <is>
          <t>استنباطی از تصدی</t>
        </is>
      </c>
      <c r="V97" s="92" t="inlineStr">
        <is>
          <t>حاضر در مبنا بر پایه حداقل پیوستگی (لنگر تا 1403/12/29)</t>
        </is>
      </c>
    </row>
    <row r="98" ht="34" customHeight="1" s="76">
      <c r="A98" s="92" t="inlineStr">
        <is>
          <t>PF0095</t>
        </is>
      </c>
      <c r="B98" s="92" t="inlineStr">
        <is>
          <t>وتجارت</t>
        </is>
      </c>
      <c r="C98" s="92" t="inlineStr">
        <is>
          <t>نمای مالی FYE1404</t>
        </is>
      </c>
      <c r="D98" s="92" t="inlineStr">
        <is>
          <t>P-072BEFB1</t>
        </is>
      </c>
      <c r="E98" s="92" t="inlineStr">
        <is>
          <t>هادی اخلاقی فیض آثار</t>
        </is>
      </c>
      <c r="F98" s="92" t="inlineStr">
        <is>
          <t>هادی اخلاقی فیض آثار</t>
        </is>
      </c>
      <c r="G98" s="92" t="inlineStr">
        <is>
          <t>نامشخص (فهرست اسمی مبنا در دسترس نیست)</t>
        </is>
      </c>
      <c r="H98" s="92" t="inlineStr">
        <is>
          <t>حاضر در مقطع 1404/12/29</t>
        </is>
      </c>
      <c r="I98" s="92" t="inlineStr">
        <is>
          <t>FISCAL_PRESENT_AT_BASE</t>
        </is>
      </c>
      <c r="J98" s="92" t="inlineStr">
        <is>
          <t>نمای مالی: حاضر در مبنا طبق پیوستگی تصدی v41</t>
        </is>
      </c>
      <c r="K98" s="92" t="inlineStr"/>
      <c r="L98" s="92" t="inlineStr">
        <is>
          <t>عضو هیئت مدیره</t>
        </is>
      </c>
      <c r="M98" s="92" t="inlineStr"/>
      <c r="N98" s="92" t="inlineStr"/>
      <c r="O98" s="92" t="inlineStr"/>
      <c r="P98" s="92" t="inlineStr"/>
      <c r="Q98" s="92" t="inlineStr"/>
      <c r="R98" s="92" t="inlineStr"/>
      <c r="S98" s="92" t="inlineStr">
        <is>
          <t>SRC_VTEJ_1404_001</t>
        </is>
      </c>
      <c r="T98" s="92" t="inlineStr">
        <is>
          <t>EXACT؛ شروع 1400/11/09</t>
        </is>
      </c>
      <c r="U98" s="92" t="inlineStr">
        <is>
          <t>استنباطی از تصدی</t>
        </is>
      </c>
      <c r="V98" s="92" t="inlineStr">
        <is>
          <t>حاضر در مبنا بر پایه پیوستگی (شروع دقیق تا 1403/12/29)</t>
        </is>
      </c>
    </row>
    <row r="99" ht="34" customHeight="1" s="76">
      <c r="A99" s="92" t="inlineStr">
        <is>
          <t>PF0096</t>
        </is>
      </c>
      <c r="B99" s="92" t="inlineStr">
        <is>
          <t>وتجارت</t>
        </is>
      </c>
      <c r="C99" s="92" t="inlineStr">
        <is>
          <t>نمای مالی FYE1404</t>
        </is>
      </c>
      <c r="D99" s="92" t="inlineStr">
        <is>
          <t>P-BA1065D0</t>
        </is>
      </c>
      <c r="E99" s="92" t="inlineStr">
        <is>
          <t>سیدمهدی حسینی دولت آبادی</t>
        </is>
      </c>
      <c r="F99" s="92" t="inlineStr">
        <is>
          <t>سیدمهدی حسینی دولت آبادی</t>
        </is>
      </c>
      <c r="G99" s="92" t="inlineStr">
        <is>
          <t>نامشخص (فهرست اسمی مبنا در دسترس نیست)</t>
        </is>
      </c>
      <c r="H99" s="92" t="inlineStr">
        <is>
          <t>حاضر در مقطع 1404/12/29</t>
        </is>
      </c>
      <c r="I99" s="92" t="inlineStr">
        <is>
          <t>FISCAL_PRESENT_AT_BASE</t>
        </is>
      </c>
      <c r="J99" s="92" t="inlineStr">
        <is>
          <t>نمای مالی: حاضر در مبنا طبق پیوستگی تصدی v41</t>
        </is>
      </c>
      <c r="K99" s="92" t="inlineStr"/>
      <c r="L99" s="92" t="inlineStr">
        <is>
          <t>عضو هیئت مدیره</t>
        </is>
      </c>
      <c r="M99" s="92" t="inlineStr"/>
      <c r="N99" s="92" t="inlineStr"/>
      <c r="O99" s="92" t="inlineStr"/>
      <c r="P99" s="92" t="inlineStr"/>
      <c r="Q99" s="92" t="inlineStr"/>
      <c r="R99" s="92" t="inlineStr"/>
      <c r="S99" s="92" t="inlineStr">
        <is>
          <t>SRC_VTEJ_1404_001</t>
        </is>
      </c>
      <c r="T99" s="92" t="inlineStr">
        <is>
          <t>EXACT؛ شروع 1402/11/30</t>
        </is>
      </c>
      <c r="U99" s="92" t="inlineStr">
        <is>
          <t>استنباطی از تصدی</t>
        </is>
      </c>
      <c r="V99" s="92" t="inlineStr">
        <is>
          <t>حاضر در مبنا بر پایه پیوستگی (شروع دقیق تا 1403/12/29)</t>
        </is>
      </c>
    </row>
    <row r="100" ht="34" customHeight="1" s="76">
      <c r="A100" s="95" t="inlineStr">
        <is>
          <t>PF0097</t>
        </is>
      </c>
      <c r="B100" s="95" t="inlineStr">
        <is>
          <t>رمپنا</t>
        </is>
      </c>
      <c r="C100" s="95" t="inlineStr">
        <is>
          <t>نمای مالی FYE1404</t>
        </is>
      </c>
      <c r="D100" s="95" t="inlineStr">
        <is>
          <t>P-3AAB7315</t>
        </is>
      </c>
      <c r="E100" s="95" t="inlineStr">
        <is>
          <t>محمدرضا اولی</t>
        </is>
      </c>
      <c r="F100" s="95" t="inlineStr">
        <is>
          <t>محمدرضا اولی</t>
        </is>
      </c>
      <c r="G100" s="95" t="inlineStr">
        <is>
          <t>نامشخص (فهرست اسمی مبنا در دسترس نیست)</t>
        </is>
      </c>
      <c r="H100" s="95" t="inlineStr">
        <is>
          <t>حاضر در مقطع 1404/12/29</t>
        </is>
      </c>
      <c r="I100" s="95" t="inlineStr">
        <is>
          <t>FISCAL_ENTRY_AFTER_BASE</t>
        </is>
      </c>
      <c r="J100" s="95" t="inlineStr">
        <is>
          <t>نمای مالی: ورود پس از مبنا طبق تصدی v41</t>
        </is>
      </c>
      <c r="K100" s="95" t="inlineStr"/>
      <c r="L100" s="95" t="inlineStr">
        <is>
          <t>رئیس هیئت مدیره</t>
        </is>
      </c>
      <c r="M100" s="95" t="inlineStr"/>
      <c r="N100" s="95" t="inlineStr">
        <is>
          <t>سرمایه گذاری ثروت آفرین صبا</t>
        </is>
      </c>
      <c r="O100" s="95" t="inlineStr"/>
      <c r="P100" s="95" t="inlineStr"/>
      <c r="Q100" s="95" t="inlineStr"/>
      <c r="R100" s="95" t="inlineStr"/>
      <c r="S100" s="95" t="inlineStr">
        <is>
          <t>SRC_RMPN_1404_002</t>
        </is>
      </c>
      <c r="T100" s="95" t="inlineStr">
        <is>
          <t>EXACT؛ شروع 1404/02/21</t>
        </is>
      </c>
      <c r="U100" s="95" t="inlineStr">
        <is>
          <t>استنباطی از تصدی</t>
        </is>
      </c>
      <c r="V100" s="95" t="inlineStr">
        <is>
          <t>ورود پس از مبنا (شروع دقیق پس از 1403/12/29)</t>
        </is>
      </c>
    </row>
    <row r="101" ht="34" customHeight="1" s="76">
      <c r="A101" s="95" t="inlineStr">
        <is>
          <t>PF0098</t>
        </is>
      </c>
      <c r="B101" s="95" t="inlineStr">
        <is>
          <t>رمپنا</t>
        </is>
      </c>
      <c r="C101" s="95" t="inlineStr">
        <is>
          <t>نمای مالی FYE1404</t>
        </is>
      </c>
      <c r="D101" s="95" t="inlineStr">
        <is>
          <t>P-9E271332</t>
        </is>
      </c>
      <c r="E101" s="95" t="inlineStr">
        <is>
          <t>ابوالفضل عسگری</t>
        </is>
      </c>
      <c r="F101" s="95" t="inlineStr">
        <is>
          <t>ابوالفضل عسگری</t>
        </is>
      </c>
      <c r="G101" s="95" t="inlineStr">
        <is>
          <t>نامشخص (فهرست اسمی مبنا در دسترس نیست)</t>
        </is>
      </c>
      <c r="H101" s="95" t="inlineStr">
        <is>
          <t>حاضر در مقطع 1404/12/29</t>
        </is>
      </c>
      <c r="I101" s="95" t="inlineStr">
        <is>
          <t>FISCAL_ENTRY_AFTER_BASE</t>
        </is>
      </c>
      <c r="J101" s="95" t="inlineStr">
        <is>
          <t>نمای مالی: ورود پس از مبنا طبق تصدی v41</t>
        </is>
      </c>
      <c r="K101" s="95" t="inlineStr"/>
      <c r="L101" s="95" t="inlineStr">
        <is>
          <t>عضو هیئت مدیره</t>
        </is>
      </c>
      <c r="M101" s="95" t="inlineStr"/>
      <c r="N101" s="95" t="inlineStr">
        <is>
          <t>سرمایه گذاری استان گلستان</t>
        </is>
      </c>
      <c r="O101" s="95" t="inlineStr"/>
      <c r="P101" s="95" t="inlineStr"/>
      <c r="Q101" s="95" t="inlineStr"/>
      <c r="R101" s="95" t="inlineStr"/>
      <c r="S101" s="95" t="inlineStr">
        <is>
          <t>SRC_RMPN_1404_002</t>
        </is>
      </c>
      <c r="T101" s="95" t="inlineStr">
        <is>
          <t>EXACT؛ شروع 1404/10/28</t>
        </is>
      </c>
      <c r="U101" s="95" t="inlineStr">
        <is>
          <t>استنباطی از تصدی</t>
        </is>
      </c>
      <c r="V101" s="95" t="inlineStr">
        <is>
          <t>ورود پس از مبنا (شروع دقیق پس از 1403/12/29)</t>
        </is>
      </c>
    </row>
    <row r="102" ht="34" customHeight="1" s="76">
      <c r="A102" s="92" t="inlineStr">
        <is>
          <t>PF0099</t>
        </is>
      </c>
      <c r="B102" s="92" t="inlineStr">
        <is>
          <t>رمپنا</t>
        </is>
      </c>
      <c r="C102" s="92" t="inlineStr">
        <is>
          <t>نمای مالی FYE1404</t>
        </is>
      </c>
      <c r="D102" s="92" t="inlineStr">
        <is>
          <t>P-2BA180A8</t>
        </is>
      </c>
      <c r="E102" s="92" t="inlineStr">
        <is>
          <t>محمد اولیاء</t>
        </is>
      </c>
      <c r="F102" s="92" t="inlineStr">
        <is>
          <t>محمد اولیاء</t>
        </is>
      </c>
      <c r="G102" s="92" t="inlineStr">
        <is>
          <t>نامشخص (فهرست اسمی مبنا در دسترس نیست)</t>
        </is>
      </c>
      <c r="H102" s="92" t="inlineStr">
        <is>
          <t>حاضر در مقطع 1404/12/29</t>
        </is>
      </c>
      <c r="I102" s="92" t="inlineStr">
        <is>
          <t>FISCAL_PRESENT_AT_BASE</t>
        </is>
      </c>
      <c r="J102" s="92" t="inlineStr">
        <is>
          <t>نمای مالی: حاضر در مبنا طبق پیوستگی تصدی v41</t>
        </is>
      </c>
      <c r="K102" s="92" t="inlineStr"/>
      <c r="L102" s="92" t="inlineStr">
        <is>
          <t>نایب رئیس هیئت مدیره</t>
        </is>
      </c>
      <c r="M102" s="92" t="inlineStr"/>
      <c r="N102" s="92" t="inlineStr">
        <is>
          <t>مدبر رضوی</t>
        </is>
      </c>
      <c r="O102" s="92" t="inlineStr"/>
      <c r="P102" s="92" t="inlineStr"/>
      <c r="Q102" s="92" t="inlineStr"/>
      <c r="R102" s="92" t="inlineStr"/>
      <c r="S102" s="92" t="inlineStr">
        <is>
          <t>SRC_RMPN_1404_002</t>
        </is>
      </c>
      <c r="T102" s="92" t="inlineStr">
        <is>
          <t>INTERVAL؛ بازه 1402/04/06 تا 1402/04/18</t>
        </is>
      </c>
      <c r="U102" s="92" t="inlineStr">
        <is>
          <t>استنباطی از تصدی</t>
        </is>
      </c>
      <c r="V102" s="92" t="inlineStr">
        <is>
          <t>حاضر در مبنا بر پایه پیوستگی (کران بالا تا 1403/12/29)</t>
        </is>
      </c>
    </row>
    <row r="103" ht="34" customHeight="1" s="76">
      <c r="A103" s="92" t="inlineStr">
        <is>
          <t>PF0100</t>
        </is>
      </c>
      <c r="B103" s="92" t="inlineStr">
        <is>
          <t>رمپنا</t>
        </is>
      </c>
      <c r="C103" s="92" t="inlineStr">
        <is>
          <t>نمای مالی FYE1404</t>
        </is>
      </c>
      <c r="D103" s="92" t="inlineStr">
        <is>
          <t>P-B4AF076B</t>
        </is>
      </c>
      <c r="E103" s="92" t="inlineStr">
        <is>
          <t>خلیل بهبهانی</t>
        </is>
      </c>
      <c r="F103" s="92" t="inlineStr">
        <is>
          <t>خلیل بهبهانی</t>
        </is>
      </c>
      <c r="G103" s="92" t="inlineStr">
        <is>
          <t>نامشخص (فهرست اسمی مبنا در دسترس نیست)</t>
        </is>
      </c>
      <c r="H103" s="92" t="inlineStr">
        <is>
          <t>حاضر در مقطع 1404/12/29</t>
        </is>
      </c>
      <c r="I103" s="92" t="inlineStr">
        <is>
          <t>FISCAL_PRESENT_AT_BASE</t>
        </is>
      </c>
      <c r="J103" s="92" t="inlineStr">
        <is>
          <t>نمای مالی: حاضر در مبنا طبق پیوستگی تصدی v41</t>
        </is>
      </c>
      <c r="K103" s="92" t="inlineStr"/>
      <c r="L103" s="92" t="inlineStr">
        <is>
          <t>عضو هیئت مدیره</t>
        </is>
      </c>
      <c r="M103" s="92" t="inlineStr"/>
      <c r="N103" s="92" t="inlineStr">
        <is>
          <t>سرمایه گذاری پیشگامان سریر رضوی</t>
        </is>
      </c>
      <c r="O103" s="92" t="inlineStr"/>
      <c r="P103" s="92" t="inlineStr"/>
      <c r="Q103" s="92" t="inlineStr"/>
      <c r="R103" s="92" t="inlineStr"/>
      <c r="S103" s="92" t="inlineStr">
        <is>
          <t>SRC_RMPN_1404_002</t>
        </is>
      </c>
      <c r="T103" s="92" t="inlineStr">
        <is>
          <t>INTERVAL؛ بازه 1402/04/06 تا 1402/04/18</t>
        </is>
      </c>
      <c r="U103" s="92" t="inlineStr">
        <is>
          <t>استنباطی از تصدی</t>
        </is>
      </c>
      <c r="V103" s="92" t="inlineStr">
        <is>
          <t>حاضر در مبنا بر پایه پیوستگی (کران بالا تا 1403/12/29)</t>
        </is>
      </c>
    </row>
    <row r="104" ht="34" customHeight="1" s="76">
      <c r="A104" s="92" t="inlineStr">
        <is>
          <t>PF0101</t>
        </is>
      </c>
      <c r="B104" s="92" t="inlineStr">
        <is>
          <t>رمپنا</t>
        </is>
      </c>
      <c r="C104" s="92" t="inlineStr">
        <is>
          <t>نمای مالی FYE1404</t>
        </is>
      </c>
      <c r="D104" s="92" t="inlineStr">
        <is>
          <t>P-B08BF5E5</t>
        </is>
      </c>
      <c r="E104" s="92" t="inlineStr">
        <is>
          <t>امیر هامونی</t>
        </is>
      </c>
      <c r="F104" s="92" t="inlineStr">
        <is>
          <t>امیر هامونی</t>
        </is>
      </c>
      <c r="G104" s="92" t="inlineStr">
        <is>
          <t>نامشخص (فهرست اسمی مبنا در دسترس نیست)</t>
        </is>
      </c>
      <c r="H104" s="92" t="inlineStr">
        <is>
          <t>حاضر در مقطع 1404/12/29</t>
        </is>
      </c>
      <c r="I104" s="92" t="inlineStr">
        <is>
          <t>FISCAL_PRESENT_AT_BASE</t>
        </is>
      </c>
      <c r="J104" s="92" t="inlineStr">
        <is>
          <t>نمای مالی: حاضر در مبنا طبق پیوستگی تصدی v41</t>
        </is>
      </c>
      <c r="K104" s="92" t="inlineStr"/>
      <c r="L104" s="92" t="inlineStr">
        <is>
          <t>عضو هیئت مدیره</t>
        </is>
      </c>
      <c r="M104" s="92" t="inlineStr"/>
      <c r="N104" s="92" t="inlineStr">
        <is>
          <t>کسب و کار رضوی</t>
        </is>
      </c>
      <c r="O104" s="92" t="inlineStr"/>
      <c r="P104" s="92" t="inlineStr"/>
      <c r="Q104" s="92" t="inlineStr"/>
      <c r="R104" s="92" t="inlineStr"/>
      <c r="S104" s="92" t="inlineStr">
        <is>
          <t>SRC_RMPN_1404_002</t>
        </is>
      </c>
      <c r="T104" s="92" t="inlineStr">
        <is>
          <t>INTERVAL؛ بازه 1402/04/06 تا 1402/04/18</t>
        </is>
      </c>
      <c r="U104" s="92" t="inlineStr">
        <is>
          <t>استنباطی از تصدی</t>
        </is>
      </c>
      <c r="V104" s="92" t="inlineStr">
        <is>
          <t>حاضر در مبنا بر پایه پیوستگی (کران بالا تا 1403/12/29)</t>
        </is>
      </c>
    </row>
    <row r="105" ht="34" customHeight="1" s="76">
      <c r="A105" s="92" t="inlineStr">
        <is>
          <t>PF0102</t>
        </is>
      </c>
      <c r="B105" s="92" t="inlineStr">
        <is>
          <t>فخوز</t>
        </is>
      </c>
      <c r="C105" s="92" t="inlineStr">
        <is>
          <t>نمای مالی FYE1404</t>
        </is>
      </c>
      <c r="D105" s="92" t="inlineStr">
        <is>
          <t>P-D5539B98</t>
        </is>
      </c>
      <c r="E105" s="92" t="inlineStr">
        <is>
          <t>امین ابراهیمی</t>
        </is>
      </c>
      <c r="F105" s="92" t="inlineStr">
        <is>
          <t>امین ابراهیمی</t>
        </is>
      </c>
      <c r="G105" s="92" t="inlineStr">
        <is>
          <t>نامشخص (فهرست اسمی مبنا در دسترس نیست)</t>
        </is>
      </c>
      <c r="H105" s="92" t="inlineStr">
        <is>
          <t>حاضر در مقطع 1404/12/29</t>
        </is>
      </c>
      <c r="I105" s="92" t="inlineStr">
        <is>
          <t>FISCAL_PRESENT_AT_BASE</t>
        </is>
      </c>
      <c r="J105" s="92" t="inlineStr">
        <is>
          <t>نمای مالی: حاضر در مبنا طبق پیوستگی تصدی v41</t>
        </is>
      </c>
      <c r="K105" s="92" t="inlineStr"/>
      <c r="L105" s="92" t="inlineStr">
        <is>
          <t>نایب رئیس هیئت مدیره</t>
        </is>
      </c>
      <c r="M105" s="92" t="inlineStr"/>
      <c r="N105" s="92" t="inlineStr">
        <is>
          <t>گروه توسعه اقتصادی پایندگان</t>
        </is>
      </c>
      <c r="O105" s="92" t="inlineStr"/>
      <c r="P105" s="92" t="inlineStr"/>
      <c r="Q105" s="92" t="inlineStr"/>
      <c r="R105" s="92" t="inlineStr"/>
      <c r="S105" s="92" t="inlineStr">
        <is>
          <t>SRC_FKHZ_1404_001</t>
        </is>
      </c>
      <c r="T105" s="92" t="inlineStr">
        <is>
          <t>EXACT؛ شروع 1402/05/10</t>
        </is>
      </c>
      <c r="U105" s="92" t="inlineStr">
        <is>
          <t>استنباطی از تصدی</t>
        </is>
      </c>
      <c r="V105" s="92" t="inlineStr">
        <is>
          <t>حاضر در مبنا بر پایه پیوستگی (شروع دقیق تا 1403/12/29)</t>
        </is>
      </c>
    </row>
    <row r="106" ht="34" customHeight="1" s="76">
      <c r="A106" s="95" t="inlineStr">
        <is>
          <t>PF0103</t>
        </is>
      </c>
      <c r="B106" s="95" t="inlineStr">
        <is>
          <t>فخوز</t>
        </is>
      </c>
      <c r="C106" s="95" t="inlineStr">
        <is>
          <t>نمای مالی FYE1404</t>
        </is>
      </c>
      <c r="D106" s="95" t="inlineStr">
        <is>
          <t>P-15B3FD93</t>
        </is>
      </c>
      <c r="E106" s="95" t="inlineStr">
        <is>
          <t>عبدالمجید شریفی</t>
        </is>
      </c>
      <c r="F106" s="95" t="inlineStr">
        <is>
          <t>عبدالمجید شریفی</t>
        </is>
      </c>
      <c r="G106" s="95" t="inlineStr">
        <is>
          <t>نامشخص (فهرست اسمی مبنا در دسترس نیست)</t>
        </is>
      </c>
      <c r="H106" s="95" t="inlineStr">
        <is>
          <t>حاضر در مقطع 1404/12/29</t>
        </is>
      </c>
      <c r="I106" s="95" t="inlineStr">
        <is>
          <t>FISCAL_ENTRY_AFTER_BASE</t>
        </is>
      </c>
      <c r="J106" s="95" t="inlineStr">
        <is>
          <t>نمای مالی: ورود پس از مبنا طبق تصدی v41</t>
        </is>
      </c>
      <c r="K106" s="95" t="inlineStr"/>
      <c r="L106" s="95" t="inlineStr">
        <is>
          <t>عضو هیئت مدیره</t>
        </is>
      </c>
      <c r="M106" s="95" t="inlineStr"/>
      <c r="N106" s="95" t="inlineStr">
        <is>
          <t>سرمایه گذاری استان خوزستان</t>
        </is>
      </c>
      <c r="O106" s="95" t="inlineStr"/>
      <c r="P106" s="95" t="inlineStr"/>
      <c r="Q106" s="95" t="inlineStr"/>
      <c r="R106" s="95" t="inlineStr"/>
      <c r="S106" s="95" t="inlineStr">
        <is>
          <t>SRC_FKHZ_1404_001</t>
        </is>
      </c>
      <c r="T106" s="95" t="inlineStr">
        <is>
          <t>INTERVAL؛ بازه 1404/05/22 تا 1404/05/27</t>
        </is>
      </c>
      <c r="U106" s="95" t="inlineStr">
        <is>
          <t>استنباطی از تصدی</t>
        </is>
      </c>
      <c r="V106" s="95" t="inlineStr">
        <is>
          <t>ورود پس از مبنا (کران پایین پس از 1403/12/29)</t>
        </is>
      </c>
    </row>
    <row r="107" ht="34" customHeight="1" s="76">
      <c r="A107" s="95" t="inlineStr">
        <is>
          <t>PF0104</t>
        </is>
      </c>
      <c r="B107" s="95" t="inlineStr">
        <is>
          <t>فخوز</t>
        </is>
      </c>
      <c r="C107" s="95" t="inlineStr">
        <is>
          <t>نمای مالی FYE1404</t>
        </is>
      </c>
      <c r="D107" s="95" t="inlineStr">
        <is>
          <t>P-4FBA696F</t>
        </is>
      </c>
      <c r="E107" s="95" t="inlineStr">
        <is>
          <t>محمد شهسواری</t>
        </is>
      </c>
      <c r="F107" s="95" t="inlineStr">
        <is>
          <t>محمد شهسواری</t>
        </is>
      </c>
      <c r="G107" s="95" t="inlineStr">
        <is>
          <t>نامشخص (فهرست اسمی مبنا در دسترس نیست)</t>
        </is>
      </c>
      <c r="H107" s="95" t="inlineStr">
        <is>
          <t>حاضر در مقطع 1404/12/29</t>
        </is>
      </c>
      <c r="I107" s="95" t="inlineStr">
        <is>
          <t>FISCAL_ENTRY_AFTER_BASE</t>
        </is>
      </c>
      <c r="J107" s="95" t="inlineStr">
        <is>
          <t>نمای مالی: ورود پس از مبنا طبق تصدی v41</t>
        </is>
      </c>
      <c r="K107" s="95" t="inlineStr"/>
      <c r="L107" s="95" t="inlineStr">
        <is>
          <t>رئیس هیئت مدیره</t>
        </is>
      </c>
      <c r="M107" s="95" t="inlineStr"/>
      <c r="N107" s="95" t="inlineStr">
        <is>
          <t>سرمایه گذاری سامان مجد</t>
        </is>
      </c>
      <c r="O107" s="95" t="inlineStr"/>
      <c r="P107" s="95" t="inlineStr"/>
      <c r="Q107" s="95" t="inlineStr"/>
      <c r="R107" s="95" t="inlineStr"/>
      <c r="S107" s="95" t="inlineStr">
        <is>
          <t>SRC_FKHZ_1404_001</t>
        </is>
      </c>
      <c r="T107" s="95" t="inlineStr">
        <is>
          <t>EXACT؛ شروع 1404/05/15</t>
        </is>
      </c>
      <c r="U107" s="95" t="inlineStr">
        <is>
          <t>استنباطی از تصدی</t>
        </is>
      </c>
      <c r="V107" s="95" t="inlineStr">
        <is>
          <t>ورود پس از مبنا (شروع دقیق پس از 1403/12/29)</t>
        </is>
      </c>
    </row>
    <row r="108" ht="34" customHeight="1" s="76">
      <c r="A108" s="95" t="inlineStr">
        <is>
          <t>PF0105</t>
        </is>
      </c>
      <c r="B108" s="95" t="inlineStr">
        <is>
          <t>فخوز</t>
        </is>
      </c>
      <c r="C108" s="95" t="inlineStr">
        <is>
          <t>نمای مالی FYE1404</t>
        </is>
      </c>
      <c r="D108" s="95" t="inlineStr">
        <is>
          <t>P-A9B23241</t>
        </is>
      </c>
      <c r="E108" s="95" t="inlineStr">
        <is>
          <t>سیدمحسن هاطلی اصفهانی</t>
        </is>
      </c>
      <c r="F108" s="95" t="inlineStr">
        <is>
          <t>سیدمحسن هاطلی اصفهانی</t>
        </is>
      </c>
      <c r="G108" s="95" t="inlineStr">
        <is>
          <t>نامشخص (فهرست اسمی مبنا در دسترس نیست)</t>
        </is>
      </c>
      <c r="H108" s="95" t="inlineStr">
        <is>
          <t>حاضر در مقطع 1404/12/29</t>
        </is>
      </c>
      <c r="I108" s="95" t="inlineStr">
        <is>
          <t>FISCAL_ENTRY_AFTER_BASE</t>
        </is>
      </c>
      <c r="J108" s="95" t="inlineStr">
        <is>
          <t>نمای مالی: ورود پس از مبنا طبق تصدی v41</t>
        </is>
      </c>
      <c r="K108" s="95" t="inlineStr"/>
      <c r="L108" s="95" t="inlineStr">
        <is>
          <t>عضو هیئت مدیره</t>
        </is>
      </c>
      <c r="M108" s="95" t="inlineStr"/>
      <c r="N108" s="95" t="inlineStr">
        <is>
          <t>پیشران کسب و کار شریف</t>
        </is>
      </c>
      <c r="O108" s="95" t="inlineStr"/>
      <c r="P108" s="95" t="inlineStr"/>
      <c r="Q108" s="95" t="inlineStr"/>
      <c r="R108" s="95" t="inlineStr"/>
      <c r="S108" s="95" t="inlineStr">
        <is>
          <t>SRC_FKHZ_1404_001</t>
        </is>
      </c>
      <c r="T108" s="95" t="inlineStr">
        <is>
          <t>EXACT؛ شروع 1404/05/15</t>
        </is>
      </c>
      <c r="U108" s="95" t="inlineStr">
        <is>
          <t>استنباطی از تصدی</t>
        </is>
      </c>
      <c r="V108" s="95" t="inlineStr">
        <is>
          <t>ورود پس از مبنا (شروع دقیق پس از 1403/12/29)</t>
        </is>
      </c>
    </row>
    <row r="109" ht="34" customHeight="1" s="76">
      <c r="A109" s="95" t="inlineStr">
        <is>
          <t>PF0106</t>
        </is>
      </c>
      <c r="B109" s="95" t="inlineStr">
        <is>
          <t>فخوز</t>
        </is>
      </c>
      <c r="C109" s="95" t="inlineStr">
        <is>
          <t>نمای مالی FYE1404</t>
        </is>
      </c>
      <c r="D109" s="95" t="inlineStr">
        <is>
          <t>P-DED1FE19</t>
        </is>
      </c>
      <c r="E109" s="95" t="inlineStr">
        <is>
          <t>ابوذر شکری</t>
        </is>
      </c>
      <c r="F109" s="95" t="inlineStr">
        <is>
          <t>ابوذر شکری</t>
        </is>
      </c>
      <c r="G109" s="95" t="inlineStr">
        <is>
          <t>نامشخص (فهرست اسمی مبنا در دسترس نیست)</t>
        </is>
      </c>
      <c r="H109" s="95" t="inlineStr">
        <is>
          <t>حاضر در مقطع 1404/12/29</t>
        </is>
      </c>
      <c r="I109" s="95" t="inlineStr">
        <is>
          <t>FISCAL_ENTRY_AFTER_BASE</t>
        </is>
      </c>
      <c r="J109" s="95" t="inlineStr">
        <is>
          <t>نمای مالی: ورود پس از مبنا طبق تصدی v41</t>
        </is>
      </c>
      <c r="K109" s="95" t="inlineStr"/>
      <c r="L109" s="95" t="inlineStr">
        <is>
          <t>عضو هیئت مدیره</t>
        </is>
      </c>
      <c r="M109" s="95" t="inlineStr"/>
      <c r="N109" s="95" t="inlineStr">
        <is>
          <t>همراه سیر فردیس</t>
        </is>
      </c>
      <c r="O109" s="95" t="inlineStr"/>
      <c r="P109" s="95" t="inlineStr"/>
      <c r="Q109" s="95" t="inlineStr"/>
      <c r="R109" s="95" t="inlineStr"/>
      <c r="S109" s="95" t="inlineStr">
        <is>
          <t>SRC_FKHZ_1404_001</t>
        </is>
      </c>
      <c r="T109" s="95" t="inlineStr">
        <is>
          <t>EXACT؛ شروع 1404/05/15</t>
        </is>
      </c>
      <c r="U109" s="95" t="inlineStr">
        <is>
          <t>استنباطی از تصدی</t>
        </is>
      </c>
      <c r="V109" s="95" t="inlineStr">
        <is>
          <t>ورود پس از مبنا (شروع دقیق پس از 1403/12/29)</t>
        </is>
      </c>
    </row>
    <row r="110" ht="34" customHeight="1" s="76">
      <c r="A110" s="92" t="inlineStr">
        <is>
          <t>PF0107</t>
        </is>
      </c>
      <c r="B110" s="92" t="inlineStr">
        <is>
          <t>شستا</t>
        </is>
      </c>
      <c r="C110" s="92" t="inlineStr">
        <is>
          <t>نمای مالی FYE1404</t>
        </is>
      </c>
      <c r="D110" s="92" t="inlineStr">
        <is>
          <t>P-712AC9DA</t>
        </is>
      </c>
      <c r="E110" s="92" t="inlineStr">
        <is>
          <t>محمدرضا سعیدی</t>
        </is>
      </c>
      <c r="F110" s="92" t="inlineStr">
        <is>
          <t>محمدرضا سعیدی</t>
        </is>
      </c>
      <c r="G110" s="92" t="inlineStr">
        <is>
          <t>نامشخص (فهرست اسمی مبنا در دسترس نیست)</t>
        </is>
      </c>
      <c r="H110" s="92" t="inlineStr">
        <is>
          <t>حاضر در مقطع 1404/03/31</t>
        </is>
      </c>
      <c r="I110" s="92" t="inlineStr">
        <is>
          <t>FISCAL_PRESENT_AT_BASE</t>
        </is>
      </c>
      <c r="J110" s="92" t="inlineStr">
        <is>
          <t>نمای مالی: حاضر در مبنا طبق پیوستگی تصدی v41</t>
        </is>
      </c>
      <c r="K110" s="92" t="inlineStr"/>
      <c r="L110" s="92" t="inlineStr">
        <is>
          <t>نایب رئیس هیئت مدیره</t>
        </is>
      </c>
      <c r="M110" s="92" t="inlineStr"/>
      <c r="N110" s="92" t="inlineStr">
        <is>
          <t>سازمان تامین اجتماعی</t>
        </is>
      </c>
      <c r="O110" s="92" t="inlineStr"/>
      <c r="P110" s="92" t="inlineStr"/>
      <c r="Q110" s="92" t="inlineStr"/>
      <c r="R110" s="92" t="inlineStr"/>
      <c r="S110" s="92" t="inlineStr">
        <is>
          <t>SRC_SHST_1404_001</t>
        </is>
      </c>
      <c r="T110" s="92" t="inlineStr">
        <is>
          <t>EXACT؛ شروع 1403/09/25</t>
        </is>
      </c>
      <c r="U110" s="92" t="inlineStr">
        <is>
          <t>استنباطی از تصدی</t>
        </is>
      </c>
      <c r="V110" s="92" t="inlineStr">
        <is>
          <t>حاضر در مبنا بر پایه پیوستگی (شروع دقیق تا 1403/12/29)؛ فقط تا افق FYE</t>
        </is>
      </c>
    </row>
    <row r="111" ht="34" customHeight="1" s="76">
      <c r="A111" s="92" t="inlineStr">
        <is>
          <t>PF0108</t>
        </is>
      </c>
      <c r="B111" s="92" t="inlineStr">
        <is>
          <t>شستا</t>
        </is>
      </c>
      <c r="C111" s="92" t="inlineStr">
        <is>
          <t>نمای مالی FYE1404</t>
        </is>
      </c>
      <c r="D111" s="92" t="inlineStr">
        <is>
          <t>P-201E87C6</t>
        </is>
      </c>
      <c r="E111" s="92" t="inlineStr">
        <is>
          <t>سیاوش افضلی</t>
        </is>
      </c>
      <c r="F111" s="92" t="inlineStr">
        <is>
          <t>سیاوش افضلی</t>
        </is>
      </c>
      <c r="G111" s="92" t="inlineStr">
        <is>
          <t>نامشخص (فهرست اسمی مبنا در دسترس نیست)</t>
        </is>
      </c>
      <c r="H111" s="92" t="inlineStr">
        <is>
          <t>حاضر در مقطع 1404/03/31</t>
        </is>
      </c>
      <c r="I111" s="92" t="inlineStr">
        <is>
          <t>FISCAL_PRESENT_AT_BASE</t>
        </is>
      </c>
      <c r="J111" s="92" t="inlineStr">
        <is>
          <t>نمای مالی: حاضر در مبنا طبق پیوستگی تصدی v41</t>
        </is>
      </c>
      <c r="K111" s="92" t="inlineStr"/>
      <c r="L111" s="92" t="inlineStr">
        <is>
          <t>عضو هیئت مدیره</t>
        </is>
      </c>
      <c r="M111" s="92" t="inlineStr"/>
      <c r="N111" s="92" t="inlineStr">
        <is>
          <t>املاک ومستغلات تامین اجتماعی</t>
        </is>
      </c>
      <c r="O111" s="92" t="inlineStr"/>
      <c r="P111" s="92" t="inlineStr"/>
      <c r="Q111" s="92" t="inlineStr"/>
      <c r="R111" s="92" t="inlineStr"/>
      <c r="S111" s="92" t="inlineStr">
        <is>
          <t>SRC_SHST_1404_001</t>
        </is>
      </c>
      <c r="T111" s="92" t="inlineStr">
        <is>
          <t>EXACT؛ شروع 1403/12/20</t>
        </is>
      </c>
      <c r="U111" s="92" t="inlineStr">
        <is>
          <t>استنباطی از تصدی</t>
        </is>
      </c>
      <c r="V111" s="92" t="inlineStr">
        <is>
          <t>حاضر در مبنا بر پایه پیوستگی (شروع دقیق تا 1403/12/29)؛ فقط تا افق FYE</t>
        </is>
      </c>
    </row>
    <row r="112" ht="34" customHeight="1" s="76">
      <c r="A112" s="92" t="inlineStr">
        <is>
          <t>PF0109</t>
        </is>
      </c>
      <c r="B112" s="92" t="inlineStr">
        <is>
          <t>شستا</t>
        </is>
      </c>
      <c r="C112" s="92" t="inlineStr">
        <is>
          <t>نمای مالی FYE1404</t>
        </is>
      </c>
      <c r="D112" s="92" t="inlineStr">
        <is>
          <t>P-E43D3407</t>
        </is>
      </c>
      <c r="E112" s="92" t="inlineStr">
        <is>
          <t>غلام رضا رحیمی</t>
        </is>
      </c>
      <c r="F112" s="92" t="inlineStr">
        <is>
          <t>غلام رضا رحیمی</t>
        </is>
      </c>
      <c r="G112" s="92" t="inlineStr">
        <is>
          <t>نامشخص (فهرست اسمی مبنا در دسترس نیست)</t>
        </is>
      </c>
      <c r="H112" s="92" t="inlineStr">
        <is>
          <t>حاضر در مقطع 1404/03/31</t>
        </is>
      </c>
      <c r="I112" s="92" t="inlineStr">
        <is>
          <t>FISCAL_PRESENT_AT_BASE</t>
        </is>
      </c>
      <c r="J112" s="92" t="inlineStr">
        <is>
          <t>نمای مالی: حاضر در مبنا طبق پیوستگی تصدی v41</t>
        </is>
      </c>
      <c r="K112" s="92" t="inlineStr"/>
      <c r="L112" s="92" t="inlineStr">
        <is>
          <t>رئیس هیئت مدیره</t>
        </is>
      </c>
      <c r="M112" s="92" t="inlineStr"/>
      <c r="N112" s="92" t="inlineStr">
        <is>
          <t>سرمایه گذاری خانه سازی ایران</t>
        </is>
      </c>
      <c r="O112" s="92" t="inlineStr"/>
      <c r="P112" s="92" t="inlineStr"/>
      <c r="Q112" s="92" t="inlineStr"/>
      <c r="R112" s="92" t="inlineStr"/>
      <c r="S112" s="92" t="inlineStr">
        <is>
          <t>SRC_SHST_1404_001</t>
        </is>
      </c>
      <c r="T112" s="92" t="inlineStr">
        <is>
          <t>INTERVAL؛ بازه 1402/05/17 تا 1402/08/17</t>
        </is>
      </c>
      <c r="U112" s="92" t="inlineStr">
        <is>
          <t>استنباطی از تصدی</t>
        </is>
      </c>
      <c r="V112" s="92" t="inlineStr">
        <is>
          <t>حاضر در مبنا بر پایه پیوستگی (کران بالا تا 1403/12/29)؛ فقط تا افق FYE</t>
        </is>
      </c>
    </row>
    <row r="113" ht="34" customHeight="1" s="76">
      <c r="A113" s="92" t="inlineStr">
        <is>
          <t>PF0110</t>
        </is>
      </c>
      <c r="B113" s="92" t="inlineStr">
        <is>
          <t>شستا</t>
        </is>
      </c>
      <c r="C113" s="92" t="inlineStr">
        <is>
          <t>نمای مالی FYE1404</t>
        </is>
      </c>
      <c r="D113" s="92" t="inlineStr">
        <is>
          <t>P-3B3C75C2</t>
        </is>
      </c>
      <c r="E113" s="92" t="inlineStr">
        <is>
          <t>عادل دهدشتی</t>
        </is>
      </c>
      <c r="F113" s="92" t="inlineStr">
        <is>
          <t>عادل دهدشتی</t>
        </is>
      </c>
      <c r="G113" s="92" t="inlineStr">
        <is>
          <t>نامشخص (فهرست اسمی مبنا در دسترس نیست)</t>
        </is>
      </c>
      <c r="H113" s="92" t="inlineStr">
        <is>
          <t>حاضر در مقطع 1404/03/31</t>
        </is>
      </c>
      <c r="I113" s="92" t="inlineStr">
        <is>
          <t>FISCAL_PRESENT_AT_BASE</t>
        </is>
      </c>
      <c r="J113" s="92" t="inlineStr">
        <is>
          <t>نمای مالی: حاضر در مبنا طبق پیوستگی تصدی v41</t>
        </is>
      </c>
      <c r="K113" s="92" t="inlineStr"/>
      <c r="L113" s="92" t="inlineStr">
        <is>
          <t>عضو هیئت مدیره</t>
        </is>
      </c>
      <c r="M113" s="92" t="inlineStr"/>
      <c r="N113" s="92" t="inlineStr">
        <is>
          <t>خدمات بهداشتی درمانی میلاد سلامت تهران</t>
        </is>
      </c>
      <c r="O113" s="92" t="inlineStr"/>
      <c r="P113" s="92" t="inlineStr"/>
      <c r="Q113" s="92" t="inlineStr"/>
      <c r="R113" s="92" t="inlineStr"/>
      <c r="S113" s="92" t="inlineStr">
        <is>
          <t>SRC_SHST_1404_001</t>
        </is>
      </c>
      <c r="T113" s="92" t="inlineStr">
        <is>
          <t>EXACT؛ شروع 1403/10/11</t>
        </is>
      </c>
      <c r="U113" s="92" t="inlineStr">
        <is>
          <t>استنباطی از تصدی</t>
        </is>
      </c>
      <c r="V113" s="92" t="inlineStr">
        <is>
          <t>حاضر در مبنا بر پایه پیوستگی (شروع دقیق تا 1403/12/29)؛ فقط تا افق FYE</t>
        </is>
      </c>
    </row>
    <row r="114" ht="34" customHeight="1" s="76">
      <c r="A114" s="92" t="inlineStr">
        <is>
          <t>PF0111</t>
        </is>
      </c>
      <c r="B114" s="92" t="inlineStr">
        <is>
          <t>شستا</t>
        </is>
      </c>
      <c r="C114" s="92" t="inlineStr">
        <is>
          <t>نمای مالی FYE1404</t>
        </is>
      </c>
      <c r="D114" s="92" t="inlineStr">
        <is>
          <t>P-26E7897E</t>
        </is>
      </c>
      <c r="E114" s="92" t="inlineStr">
        <is>
          <t>علیرضا چناری</t>
        </is>
      </c>
      <c r="F114" s="92" t="inlineStr">
        <is>
          <t>علیرضا چناری</t>
        </is>
      </c>
      <c r="G114" s="92" t="inlineStr">
        <is>
          <t>نامشخص (فهرست اسمی مبنا در دسترس نیست)</t>
        </is>
      </c>
      <c r="H114" s="92" t="inlineStr">
        <is>
          <t>حاضر در مقطع 1404/03/31</t>
        </is>
      </c>
      <c r="I114" s="92" t="inlineStr">
        <is>
          <t>FISCAL_PRESENT_AT_BASE</t>
        </is>
      </c>
      <c r="J114" s="92" t="inlineStr">
        <is>
          <t>نمای مالی: حاضر در مبنا طبق پیوستگی تصدی v41</t>
        </is>
      </c>
      <c r="K114" s="92" t="inlineStr"/>
      <c r="L114" s="92" t="inlineStr">
        <is>
          <t>عضو هیئت مدیره</t>
        </is>
      </c>
      <c r="M114" s="92" t="inlineStr"/>
      <c r="N114" s="92" t="inlineStr">
        <is>
          <t>رفاه گستر تامین اجتماعی</t>
        </is>
      </c>
      <c r="O114" s="92" t="inlineStr"/>
      <c r="P114" s="92" t="inlineStr"/>
      <c r="Q114" s="92" t="inlineStr"/>
      <c r="R114" s="92" t="inlineStr"/>
      <c r="S114" s="92" t="inlineStr">
        <is>
          <t>SRC_SHST_1404_001</t>
        </is>
      </c>
      <c r="T114" s="92" t="inlineStr">
        <is>
          <t>EXACT؛ شروع 1402/05/17</t>
        </is>
      </c>
      <c r="U114" s="92" t="inlineStr">
        <is>
          <t>استنباطی از تصدی</t>
        </is>
      </c>
      <c r="V114" s="92" t="inlineStr">
        <is>
          <t>حاضر در مبنا بر پایه پیوستگی (شروع دقیق تا 1403/12/29)؛ فقط تا افق FYE</t>
        </is>
      </c>
    </row>
    <row r="115" ht="34" customHeight="1" s="76">
      <c r="A115" s="95" t="inlineStr">
        <is>
          <t>PF0112</t>
        </is>
      </c>
      <c r="B115" s="95" t="inlineStr">
        <is>
          <t>شپنا</t>
        </is>
      </c>
      <c r="C115" s="95" t="inlineStr">
        <is>
          <t>نمای مالی FYE1404</t>
        </is>
      </c>
      <c r="D115" s="95" t="inlineStr">
        <is>
          <t>P-25F0221C</t>
        </is>
      </c>
      <c r="E115" s="95" t="inlineStr">
        <is>
          <t>عنایت اله نصیری جهان آباد</t>
        </is>
      </c>
      <c r="F115" s="95" t="inlineStr">
        <is>
          <t>عنایت اله نصیری جهان آباد</t>
        </is>
      </c>
      <c r="G115" s="95" t="inlineStr">
        <is>
          <t>نامشخص (فهرست اسمی مبنا در دسترس نیست)</t>
        </is>
      </c>
      <c r="H115" s="95" t="inlineStr">
        <is>
          <t>حاضر در مقطع 1404/12/29</t>
        </is>
      </c>
      <c r="I115" s="95" t="inlineStr">
        <is>
          <t>FISCAL_ENTRY_AFTER_BASE</t>
        </is>
      </c>
      <c r="J115" s="95" t="inlineStr">
        <is>
          <t>نمای مالی: ورود پس از مبنا طبق تصدی v41</t>
        </is>
      </c>
      <c r="K115" s="95" t="inlineStr"/>
      <c r="L115" s="95" t="inlineStr">
        <is>
          <t>عضو هیئت مدیره</t>
        </is>
      </c>
      <c r="M115" s="95" t="inlineStr"/>
      <c r="N115" s="95" t="inlineStr">
        <is>
          <t>سرمایه گذاری استان چهارمحال و بختیاری</t>
        </is>
      </c>
      <c r="O115" s="95" t="inlineStr"/>
      <c r="P115" s="95" t="inlineStr"/>
      <c r="Q115" s="95" t="inlineStr"/>
      <c r="R115" s="95" t="inlineStr"/>
      <c r="S115" s="95" t="inlineStr">
        <is>
          <t>SRC_SHPN_1404_001</t>
        </is>
      </c>
      <c r="T115" s="95" t="inlineStr">
        <is>
          <t>EXACT؛ شروع 1404/02/03</t>
        </is>
      </c>
      <c r="U115" s="95" t="inlineStr">
        <is>
          <t>استنباطی از تصدی</t>
        </is>
      </c>
      <c r="V115" s="95" t="inlineStr">
        <is>
          <t>ورود پس از مبنا (شروع دقیق پس از 1403/12/29)</t>
        </is>
      </c>
    </row>
    <row r="116" ht="34" customHeight="1" s="76">
      <c r="A116" s="92" t="inlineStr">
        <is>
          <t>PF0113</t>
        </is>
      </c>
      <c r="B116" s="92" t="inlineStr">
        <is>
          <t>شپنا</t>
        </is>
      </c>
      <c r="C116" s="92" t="inlineStr">
        <is>
          <t>نمای مالی FYE1404</t>
        </is>
      </c>
      <c r="D116" s="92" t="inlineStr">
        <is>
          <t>P-A059CE49</t>
        </is>
      </c>
      <c r="E116" s="92" t="inlineStr">
        <is>
          <t>سیدمحمود سیدی</t>
        </is>
      </c>
      <c r="F116" s="92" t="inlineStr">
        <is>
          <t>سیدمحمود سیدی</t>
        </is>
      </c>
      <c r="G116" s="92" t="inlineStr">
        <is>
          <t>نامشخص (فهرست اسمی مبنا در دسترس نیست)</t>
        </is>
      </c>
      <c r="H116" s="92" t="inlineStr">
        <is>
          <t>حاضر در مقطع 1404/12/29</t>
        </is>
      </c>
      <c r="I116" s="92" t="inlineStr">
        <is>
          <t>FISCAL_PRESENT_AT_BASE</t>
        </is>
      </c>
      <c r="J116" s="92" t="inlineStr">
        <is>
          <t>نمای مالی: حاضر در مبنا طبق پیوستگی تصدی v41</t>
        </is>
      </c>
      <c r="K116" s="92" t="inlineStr"/>
      <c r="L116" s="92" t="inlineStr">
        <is>
          <t>عضو هیئت مدیره</t>
        </is>
      </c>
      <c r="M116" s="92" t="inlineStr"/>
      <c r="N116" s="92" t="inlineStr">
        <is>
          <t>آوای پردیس سلامت</t>
        </is>
      </c>
      <c r="O116" s="92" t="inlineStr"/>
      <c r="P116" s="92" t="inlineStr"/>
      <c r="Q116" s="92" t="inlineStr"/>
      <c r="R116" s="92" t="inlineStr"/>
      <c r="S116" s="92" t="inlineStr">
        <is>
          <t>SRC_SHPN_1404_001</t>
        </is>
      </c>
      <c r="T116" s="92" t="inlineStr">
        <is>
          <t>MIN_CONTINUOUS؛ لنگر 1401/03/31</t>
        </is>
      </c>
      <c r="U116" s="92" t="inlineStr">
        <is>
          <t>استنباطی از تصدی</t>
        </is>
      </c>
      <c r="V116" s="92" t="inlineStr">
        <is>
          <t>حاضر در مبنا بر پایه حداقل پیوستگی (لنگر تا 1403/12/29)</t>
        </is>
      </c>
    </row>
    <row r="117" ht="34" customHeight="1" s="76">
      <c r="A117" s="92" t="inlineStr">
        <is>
          <t>PF0114</t>
        </is>
      </c>
      <c r="B117" s="92" t="inlineStr">
        <is>
          <t>شپنا</t>
        </is>
      </c>
      <c r="C117" s="92" t="inlineStr">
        <is>
          <t>نمای مالی FYE1404</t>
        </is>
      </c>
      <c r="D117" s="92" t="inlineStr">
        <is>
          <t>P-611638D3</t>
        </is>
      </c>
      <c r="E117" s="92" t="inlineStr">
        <is>
          <t>امید جلیل پور</t>
        </is>
      </c>
      <c r="F117" s="92" t="inlineStr">
        <is>
          <t>امید جلیل پور</t>
        </is>
      </c>
      <c r="G117" s="92" t="inlineStr">
        <is>
          <t>نامشخص (فهرست اسمی مبنا در دسترس نیست)</t>
        </is>
      </c>
      <c r="H117" s="92" t="inlineStr">
        <is>
          <t>حاضر در مقطع 1404/12/29</t>
        </is>
      </c>
      <c r="I117" s="92" t="inlineStr">
        <is>
          <t>FISCAL_PRESENT_AT_BASE</t>
        </is>
      </c>
      <c r="J117" s="92" t="inlineStr">
        <is>
          <t>نمای مالی: حاضر در مبنا طبق پیوستگی تصدی v41</t>
        </is>
      </c>
      <c r="K117" s="92" t="inlineStr"/>
      <c r="L117" s="92" t="inlineStr">
        <is>
          <t>عضو هیئت مدیره</t>
        </is>
      </c>
      <c r="M117" s="92" t="inlineStr"/>
      <c r="N117" s="92" t="inlineStr">
        <is>
          <t>توسعه سرمایه رفاه</t>
        </is>
      </c>
      <c r="O117" s="92" t="inlineStr"/>
      <c r="P117" s="92" t="inlineStr"/>
      <c r="Q117" s="92" t="inlineStr"/>
      <c r="R117" s="92" t="inlineStr"/>
      <c r="S117" s="92" t="inlineStr">
        <is>
          <t>SRC_SHPN_1404_001</t>
        </is>
      </c>
      <c r="T117" s="92" t="inlineStr">
        <is>
          <t>EXACT؛ شروع 1403/11/03</t>
        </is>
      </c>
      <c r="U117" s="92" t="inlineStr">
        <is>
          <t>استنباطی از تصدی</t>
        </is>
      </c>
      <c r="V117" s="92" t="inlineStr">
        <is>
          <t>حاضر در مبنا بر پایه پیوستگی (شروع دقیق تا 1403/12/29)</t>
        </is>
      </c>
    </row>
    <row r="118" ht="34" customHeight="1" s="76">
      <c r="A118" s="92" t="inlineStr">
        <is>
          <t>PF0115</t>
        </is>
      </c>
      <c r="B118" s="92" t="inlineStr">
        <is>
          <t>شپنا</t>
        </is>
      </c>
      <c r="C118" s="92" t="inlineStr">
        <is>
          <t>نمای مالی FYE1404</t>
        </is>
      </c>
      <c r="D118" s="92" t="inlineStr">
        <is>
          <t>P-8B3D450B</t>
        </is>
      </c>
      <c r="E118" s="92" t="inlineStr">
        <is>
          <t>غلامرضا باقری دیزج</t>
        </is>
      </c>
      <c r="F118" s="92" t="inlineStr">
        <is>
          <t>غلامرضا باقری دیزج</t>
        </is>
      </c>
      <c r="G118" s="92" t="inlineStr">
        <is>
          <t>نامشخص (فهرست اسمی مبنا در دسترس نیست)</t>
        </is>
      </c>
      <c r="H118" s="92" t="inlineStr">
        <is>
          <t>حاضر در مقطع 1404/12/29</t>
        </is>
      </c>
      <c r="I118" s="92" t="inlineStr">
        <is>
          <t>FISCAL_PRESENT_AT_BASE</t>
        </is>
      </c>
      <c r="J118" s="92" t="inlineStr">
        <is>
          <t>نمای مالی: حاضر در مبنا طبق پیوستگی تصدی v41</t>
        </is>
      </c>
      <c r="K118" s="92" t="inlineStr"/>
      <c r="L118" s="92" t="inlineStr">
        <is>
          <t>نایب رئیس هیئت مدیره</t>
        </is>
      </c>
      <c r="M118" s="92" t="inlineStr"/>
      <c r="N118" s="92" t="inlineStr">
        <is>
          <t>سرمایه گذاری ایرانیان</t>
        </is>
      </c>
      <c r="O118" s="92" t="inlineStr"/>
      <c r="P118" s="92" t="inlineStr"/>
      <c r="Q118" s="92" t="inlineStr"/>
      <c r="R118" s="92" t="inlineStr"/>
      <c r="S118" s="92" t="inlineStr">
        <is>
          <t>SRC_SHPN_1404_001</t>
        </is>
      </c>
      <c r="T118" s="92" t="inlineStr">
        <is>
          <t>EXACT؛ شروع 1403/11/03</t>
        </is>
      </c>
      <c r="U118" s="92" t="inlineStr">
        <is>
          <t>استنباطی از تصدی</t>
        </is>
      </c>
      <c r="V118" s="92" t="inlineStr">
        <is>
          <t>حاضر در مبنا بر پایه پیوستگی (شروع دقیق تا 1403/12/29)</t>
        </is>
      </c>
    </row>
    <row r="119" ht="34" customHeight="1" s="76">
      <c r="A119" s="92" t="inlineStr">
        <is>
          <t>PF0116</t>
        </is>
      </c>
      <c r="B119" s="92" t="inlineStr">
        <is>
          <t>شپنا</t>
        </is>
      </c>
      <c r="C119" s="92" t="inlineStr">
        <is>
          <t>نمای مالی FYE1404</t>
        </is>
      </c>
      <c r="D119" s="92" t="inlineStr">
        <is>
          <t>P-556DA804</t>
        </is>
      </c>
      <c r="E119" s="92" t="inlineStr">
        <is>
          <t>فرهاد امین دهقان</t>
        </is>
      </c>
      <c r="F119" s="92" t="inlineStr">
        <is>
          <t>فرهاد امین دهقان</t>
        </is>
      </c>
      <c r="G119" s="92" t="inlineStr">
        <is>
          <t>نامشخص (فهرست اسمی مبنا در دسترس نیست)</t>
        </is>
      </c>
      <c r="H119" s="92" t="inlineStr">
        <is>
          <t>حاضر در مقطع 1404/12/29</t>
        </is>
      </c>
      <c r="I119" s="92" t="inlineStr">
        <is>
          <t>FISCAL_PRESENT_AT_BASE</t>
        </is>
      </c>
      <c r="J119" s="92" t="inlineStr">
        <is>
          <t>نمای مالی: حاضر در مبنا طبق پیوستگی تصدی v41</t>
        </is>
      </c>
      <c r="K119" s="92" t="inlineStr"/>
      <c r="L119" s="92" t="inlineStr">
        <is>
          <t>رئیس هیئت مدیره</t>
        </is>
      </c>
      <c r="M119" s="92" t="inlineStr"/>
      <c r="N119" s="92" t="inlineStr">
        <is>
          <t>گروه پتروشیمی تابان فردا</t>
        </is>
      </c>
      <c r="O119" s="92" t="inlineStr"/>
      <c r="P119" s="92" t="inlineStr"/>
      <c r="Q119" s="92" t="inlineStr"/>
      <c r="R119" s="92" t="inlineStr"/>
      <c r="S119" s="92" t="inlineStr">
        <is>
          <t>SRC_SHPN_1404_001</t>
        </is>
      </c>
      <c r="T119" s="92" t="inlineStr">
        <is>
          <t>EXACT؛ شروع 1403/11/03</t>
        </is>
      </c>
      <c r="U119" s="92" t="inlineStr">
        <is>
          <t>استنباطی از تصدی</t>
        </is>
      </c>
      <c r="V119" s="92" t="inlineStr">
        <is>
          <t>حاضر در مبنا بر پایه پیوستگی (شروع دقیق تا 1403/12/29)</t>
        </is>
      </c>
    </row>
    <row r="120" ht="34" customHeight="1" s="76">
      <c r="A120" s="95" t="inlineStr">
        <is>
          <t>PF0117</t>
        </is>
      </c>
      <c r="B120" s="95" t="inlineStr">
        <is>
          <t>وغدیر</t>
        </is>
      </c>
      <c r="C120" s="95" t="inlineStr">
        <is>
          <t>نمای مالی FYE1404</t>
        </is>
      </c>
      <c r="D120" s="95" t="inlineStr">
        <is>
          <t>P-A854A8DF</t>
        </is>
      </c>
      <c r="E120" s="95" t="inlineStr">
        <is>
          <t>متین دیداری</t>
        </is>
      </c>
      <c r="F120" s="95" t="inlineStr">
        <is>
          <t>متین دیداری</t>
        </is>
      </c>
      <c r="G120" s="95" t="inlineStr">
        <is>
          <t>نامشخص (فهرست اسمی مبنا در دسترس نیست)</t>
        </is>
      </c>
      <c r="H120" s="95" t="inlineStr">
        <is>
          <t>حاضر در مقطع 1404/09/30</t>
        </is>
      </c>
      <c r="I120" s="95" t="inlineStr">
        <is>
          <t>FISCAL_ENTRY_AFTER_BASE</t>
        </is>
      </c>
      <c r="J120" s="95" t="inlineStr">
        <is>
          <t>نمای مالی: ورود پس از مبنا طبق تصدی v41</t>
        </is>
      </c>
      <c r="K120" s="95" t="inlineStr"/>
      <c r="L120" s="95" t="inlineStr">
        <is>
          <t>عضو هیئت مدیره</t>
        </is>
      </c>
      <c r="M120" s="95" t="inlineStr"/>
      <c r="N120" s="95" t="inlineStr">
        <is>
          <t>توسعه و مدیریت سرمایه صبا</t>
        </is>
      </c>
      <c r="O120" s="95" t="inlineStr"/>
      <c r="P120" s="95" t="inlineStr"/>
      <c r="Q120" s="95" t="inlineStr"/>
      <c r="R120" s="95" t="inlineStr"/>
      <c r="S120" s="95" t="inlineStr">
        <is>
          <t>SRC_VGHD_1404_001</t>
        </is>
      </c>
      <c r="T120" s="95" t="inlineStr">
        <is>
          <t>EXACT؛ شروع 1404/06/23</t>
        </is>
      </c>
      <c r="U120" s="95" t="inlineStr">
        <is>
          <t>استنباطی از تصدی</t>
        </is>
      </c>
      <c r="V120" s="95" t="inlineStr">
        <is>
          <t>ورود پس از مبنا (شروع دقیق پس از 1403/12/29)؛ فقط تا افق FYE</t>
        </is>
      </c>
    </row>
    <row r="121" ht="34" customHeight="1" s="76">
      <c r="A121" s="92" t="inlineStr">
        <is>
          <t>PF0118</t>
        </is>
      </c>
      <c r="B121" s="92" t="inlineStr">
        <is>
          <t>وغدیر</t>
        </is>
      </c>
      <c r="C121" s="92" t="inlineStr">
        <is>
          <t>نمای مالی FYE1404</t>
        </is>
      </c>
      <c r="D121" s="92" t="inlineStr">
        <is>
          <t>P-4023C653</t>
        </is>
      </c>
      <c r="E121" s="92" t="inlineStr">
        <is>
          <t>مهدی ریاضی کلاهدوزمحله</t>
        </is>
      </c>
      <c r="F121" s="92" t="inlineStr">
        <is>
          <t>مهدی ریاضی کلاهدوزمحله</t>
        </is>
      </c>
      <c r="G121" s="92" t="inlineStr">
        <is>
          <t>نامشخص (فهرست اسمی مبنا در دسترس نیست)</t>
        </is>
      </c>
      <c r="H121" s="92" t="inlineStr">
        <is>
          <t>حاضر در مقطع 1404/09/30</t>
        </is>
      </c>
      <c r="I121" s="92" t="inlineStr">
        <is>
          <t>FISCAL_PRESENT_AT_BASE</t>
        </is>
      </c>
      <c r="J121" s="92" t="inlineStr">
        <is>
          <t>نمای مالی: حاضر در مبنا طبق پیوستگی تصدی v41</t>
        </is>
      </c>
      <c r="K121" s="92" t="inlineStr"/>
      <c r="L121" s="92" t="inlineStr">
        <is>
          <t>عضو هیئت مدیره</t>
        </is>
      </c>
      <c r="M121" s="92" t="inlineStr"/>
      <c r="N121" s="92" t="inlineStr">
        <is>
          <t>سرمایه گذاری تجاری شستان</t>
        </is>
      </c>
      <c r="O121" s="92" t="inlineStr"/>
      <c r="P121" s="92" t="inlineStr"/>
      <c r="Q121" s="92" t="inlineStr"/>
      <c r="R121" s="92" t="inlineStr"/>
      <c r="S121" s="92" t="inlineStr">
        <is>
          <t>SRC_VGHD_1404_001</t>
        </is>
      </c>
      <c r="T121" s="92" t="inlineStr">
        <is>
          <t>EXACT؛ شروع 1403/07/23</t>
        </is>
      </c>
      <c r="U121" s="92" t="inlineStr">
        <is>
          <t>استنباطی از تصدی</t>
        </is>
      </c>
      <c r="V121" s="92" t="inlineStr">
        <is>
          <t>حاضر در مبنا بر پایه پیوستگی (شروع دقیق تا 1403/12/29)؛ فقط تا افق FYE</t>
        </is>
      </c>
    </row>
    <row r="122" ht="34" customHeight="1" s="76">
      <c r="A122" s="95" t="inlineStr">
        <is>
          <t>PF0119</t>
        </is>
      </c>
      <c r="B122" s="95" t="inlineStr">
        <is>
          <t>وغدیر</t>
        </is>
      </c>
      <c r="C122" s="95" t="inlineStr">
        <is>
          <t>نمای مالی FYE1404</t>
        </is>
      </c>
      <c r="D122" s="95" t="inlineStr">
        <is>
          <t>P-57DCC37B</t>
        </is>
      </c>
      <c r="E122" s="95" t="inlineStr">
        <is>
          <t>علی اکبر مصطفی پور</t>
        </is>
      </c>
      <c r="F122" s="95" t="inlineStr">
        <is>
          <t>علی اکبر مصطفی پور</t>
        </is>
      </c>
      <c r="G122" s="95" t="inlineStr">
        <is>
          <t>نامشخص (فهرست اسمی مبنا در دسترس نیست)</t>
        </is>
      </c>
      <c r="H122" s="95" t="inlineStr">
        <is>
          <t>حاضر در مقطع 1404/09/30</t>
        </is>
      </c>
      <c r="I122" s="95" t="inlineStr">
        <is>
          <t>FISCAL_ENTRY_AFTER_BASE</t>
        </is>
      </c>
      <c r="J122" s="95" t="inlineStr">
        <is>
          <t>نمای مالی: ورود پس از مبنا طبق تصدی v41</t>
        </is>
      </c>
      <c r="K122" s="95" t="inlineStr"/>
      <c r="L122" s="95" t="inlineStr">
        <is>
          <t>نایب رئیس هیئت مدیره</t>
        </is>
      </c>
      <c r="M122" s="95" t="inlineStr"/>
      <c r="N122" s="95" t="inlineStr">
        <is>
          <t>صندوق بازنشستگی وظیفه از کار افتادگی و پس انداز کارکنان بانکهای ملی و ادغام شده</t>
        </is>
      </c>
      <c r="O122" s="95" t="inlineStr"/>
      <c r="P122" s="95" t="inlineStr"/>
      <c r="Q122" s="95" t="inlineStr"/>
      <c r="R122" s="95" t="inlineStr"/>
      <c r="S122" s="95" t="inlineStr">
        <is>
          <t>SRC_VGHD_1404_001</t>
        </is>
      </c>
      <c r="T122" s="95" t="inlineStr">
        <is>
          <t>EXACT؛ شروع 1404/01/25</t>
        </is>
      </c>
      <c r="U122" s="95" t="inlineStr">
        <is>
          <t>استنباطی از تصدی</t>
        </is>
      </c>
      <c r="V122" s="95" t="inlineStr">
        <is>
          <t>ورود پس از مبنا (شروع دقیق پس از 1403/12/29)؛ فقط تا افق FYE</t>
        </is>
      </c>
    </row>
    <row r="123" ht="34" customHeight="1" s="76">
      <c r="A123" s="92" t="inlineStr">
        <is>
          <t>PF0120</t>
        </is>
      </c>
      <c r="B123" s="92" t="inlineStr">
        <is>
          <t>وغدیر</t>
        </is>
      </c>
      <c r="C123" s="92" t="inlineStr">
        <is>
          <t>نمای مالی FYE1404</t>
        </is>
      </c>
      <c r="D123" s="92" t="inlineStr">
        <is>
          <t>P-64FD769A</t>
        </is>
      </c>
      <c r="E123" s="92" t="inlineStr">
        <is>
          <t>سیدمجید هدایت</t>
        </is>
      </c>
      <c r="F123" s="92" t="inlineStr">
        <is>
          <t>سیدمجید هدایت</t>
        </is>
      </c>
      <c r="G123" s="92" t="inlineStr">
        <is>
          <t>نامشخص (فهرست اسمی مبنا در دسترس نیست)</t>
        </is>
      </c>
      <c r="H123" s="92" t="inlineStr">
        <is>
          <t>حاضر در مقطع 1404/09/30</t>
        </is>
      </c>
      <c r="I123" s="92" t="inlineStr">
        <is>
          <t>FISCAL_PRESENT_AT_BASE</t>
        </is>
      </c>
      <c r="J123" s="92" t="inlineStr">
        <is>
          <t>نمای مالی: حاضر در مبنا طبق پیوستگی تصدی v41</t>
        </is>
      </c>
      <c r="K123" s="92" t="inlineStr"/>
      <c r="L123" s="92" t="inlineStr">
        <is>
          <t>عضو هیئت مدیره</t>
        </is>
      </c>
      <c r="M123" s="92" t="inlineStr"/>
      <c r="N123" s="92" t="inlineStr">
        <is>
          <t>صندوق بازنشستگی نیروهای مسلح</t>
        </is>
      </c>
      <c r="O123" s="92" t="inlineStr"/>
      <c r="P123" s="92" t="inlineStr"/>
      <c r="Q123" s="92" t="inlineStr"/>
      <c r="R123" s="92" t="inlineStr"/>
      <c r="S123" s="92" t="inlineStr">
        <is>
          <t>SRC_VGHD_1404_001</t>
        </is>
      </c>
      <c r="T123" s="92" t="inlineStr">
        <is>
          <t>EXACT؛ شروع 1403/07/04</t>
        </is>
      </c>
      <c r="U123" s="92" t="inlineStr">
        <is>
          <t>استنباطی از تصدی</t>
        </is>
      </c>
      <c r="V123" s="92" t="inlineStr">
        <is>
          <t>حاضر در مبنا بر پایه پیوستگی (شروع دقیق تا 1403/12/29)؛ فقط تا افق FYE</t>
        </is>
      </c>
    </row>
    <row r="124" ht="34" customHeight="1" s="76">
      <c r="A124" s="92" t="inlineStr">
        <is>
          <t>PF0121</t>
        </is>
      </c>
      <c r="B124" s="92" t="inlineStr">
        <is>
          <t>وغدیر</t>
        </is>
      </c>
      <c r="C124" s="92" t="inlineStr">
        <is>
          <t>نمای مالی FYE1404</t>
        </is>
      </c>
      <c r="D124" s="92" t="inlineStr">
        <is>
          <t>P-78E3D929</t>
        </is>
      </c>
      <c r="E124" s="92" t="inlineStr">
        <is>
          <t>احد امیری</t>
        </is>
      </c>
      <c r="F124" s="92" t="inlineStr">
        <is>
          <t>احد امیری</t>
        </is>
      </c>
      <c r="G124" s="92" t="inlineStr">
        <is>
          <t>نامشخص (فهرست اسمی مبنا در دسترس نیست)</t>
        </is>
      </c>
      <c r="H124" s="92" t="inlineStr">
        <is>
          <t>حاضر در مقطع 1404/09/30</t>
        </is>
      </c>
      <c r="I124" s="92" t="inlineStr">
        <is>
          <t>FISCAL_PRESENT_AT_BASE</t>
        </is>
      </c>
      <c r="J124" s="92" t="inlineStr">
        <is>
          <t>نمای مالی: حاضر در مبنا طبق پیوستگی تصدی v41</t>
        </is>
      </c>
      <c r="K124" s="92" t="inlineStr"/>
      <c r="L124" s="92" t="inlineStr">
        <is>
          <t>رئیس هیئت مدیره</t>
        </is>
      </c>
      <c r="M124" s="92" t="inlineStr"/>
      <c r="N124" s="92" t="inlineStr">
        <is>
          <t>صندوق بیمه عمر و حوادث نیروهای مسلح</t>
        </is>
      </c>
      <c r="O124" s="92" t="inlineStr"/>
      <c r="P124" s="92" t="inlineStr"/>
      <c r="Q124" s="92" t="inlineStr"/>
      <c r="R124" s="92" t="inlineStr"/>
      <c r="S124" s="92" t="inlineStr">
        <is>
          <t>SRC_VGHD_1404_001</t>
        </is>
      </c>
      <c r="T124" s="92" t="inlineStr">
        <is>
          <t>EXACT؛ شروع 1403/07/23</t>
        </is>
      </c>
      <c r="U124" s="92" t="inlineStr">
        <is>
          <t>استنباطی از تصدی</t>
        </is>
      </c>
      <c r="V124" s="92" t="inlineStr">
        <is>
          <t>حاضر در مبنا بر پایه پیوستگی (شروع دقیق تا 1403/12/29)؛ فقط تا افق FYE</t>
        </is>
      </c>
    </row>
    <row r="125" ht="34" customHeight="1" s="76">
      <c r="A125" s="95" t="inlineStr">
        <is>
          <t>PF0122</t>
        </is>
      </c>
      <c r="B125" s="95" t="inlineStr">
        <is>
          <t>نوری</t>
        </is>
      </c>
      <c r="C125" s="95" t="inlineStr">
        <is>
          <t>نمای مالی FYE1404</t>
        </is>
      </c>
      <c r="D125" s="95" t="inlineStr">
        <is>
          <t>P-0542BA62</t>
        </is>
      </c>
      <c r="E125" s="95" t="inlineStr">
        <is>
          <t>صالح رحیمی</t>
        </is>
      </c>
      <c r="F125" s="95" t="inlineStr">
        <is>
          <t>صالح رحیمی</t>
        </is>
      </c>
      <c r="G125" s="95" t="inlineStr">
        <is>
          <t>نامشخص (فهرست اسمی مبنا در دسترس نیست)</t>
        </is>
      </c>
      <c r="H125" s="95" t="inlineStr">
        <is>
          <t>حاضر در مقطع 1404/12/29</t>
        </is>
      </c>
      <c r="I125" s="95" t="inlineStr">
        <is>
          <t>FISCAL_ENTRY_AFTER_BASE</t>
        </is>
      </c>
      <c r="J125" s="95" t="inlineStr">
        <is>
          <t>نمای مالی: ورود پس از مبنا طبق تصدی v41</t>
        </is>
      </c>
      <c r="K125" s="95" t="inlineStr"/>
      <c r="L125" s="95" t="inlineStr">
        <is>
          <t>عضو هیئت مدیره</t>
        </is>
      </c>
      <c r="M125" s="95" t="inlineStr"/>
      <c r="N125" s="95" t="inlineStr">
        <is>
          <t>سرمایه گذاری نفت و گاز و پتروشیمی تامین</t>
        </is>
      </c>
      <c r="O125" s="95" t="inlineStr"/>
      <c r="P125" s="95" t="inlineStr"/>
      <c r="Q125" s="95" t="inlineStr"/>
      <c r="R125" s="95" t="inlineStr"/>
      <c r="S125" s="95" t="inlineStr">
        <is>
          <t>SRC_NOOR_1404_007</t>
        </is>
      </c>
      <c r="T125" s="95" t="inlineStr">
        <is>
          <t>INTERVAL؛ بازه 1404/11/18 تا 1404/12/03</t>
        </is>
      </c>
      <c r="U125" s="95" t="inlineStr">
        <is>
          <t>استنباطی از تصدی</t>
        </is>
      </c>
      <c r="V125" s="95" t="inlineStr">
        <is>
          <t>ورود پس از مبنا (کران پایین پس از 1403/12/29)</t>
        </is>
      </c>
    </row>
    <row r="126" ht="34" customHeight="1" s="76">
      <c r="A126" s="95" t="inlineStr">
        <is>
          <t>PF0123</t>
        </is>
      </c>
      <c r="B126" s="95" t="inlineStr">
        <is>
          <t>نوری</t>
        </is>
      </c>
      <c r="C126" s="95" t="inlineStr">
        <is>
          <t>نمای مالی FYE1404</t>
        </is>
      </c>
      <c r="D126" s="95" t="inlineStr">
        <is>
          <t>P-829A2410</t>
        </is>
      </c>
      <c r="E126" s="95" t="inlineStr">
        <is>
          <t>حسام خوشبین فر</t>
        </is>
      </c>
      <c r="F126" s="95" t="inlineStr">
        <is>
          <t>حسام خوشبین فر</t>
        </is>
      </c>
      <c r="G126" s="95" t="inlineStr">
        <is>
          <t>نامشخص (فهرست اسمی مبنا در دسترس نیست)</t>
        </is>
      </c>
      <c r="H126" s="95" t="inlineStr">
        <is>
          <t>حاضر در مقطع 1404/12/29</t>
        </is>
      </c>
      <c r="I126" s="95" t="inlineStr">
        <is>
          <t>FISCAL_ENTRY_AFTER_BASE</t>
        </is>
      </c>
      <c r="J126" s="95" t="inlineStr">
        <is>
          <t>نمای مالی: ورود پس از مبنا طبق تصدی v41</t>
        </is>
      </c>
      <c r="K126" s="95" t="inlineStr"/>
      <c r="L126" s="95" t="inlineStr">
        <is>
          <t>عضو هیئت مدیره</t>
        </is>
      </c>
      <c r="M126" s="95" t="inlineStr"/>
      <c r="N126" s="95" t="inlineStr">
        <is>
          <t>صنایع پتروشیمی دهدشت</t>
        </is>
      </c>
      <c r="O126" s="95" t="inlineStr"/>
      <c r="P126" s="95" t="inlineStr"/>
      <c r="Q126" s="95" t="inlineStr"/>
      <c r="R126" s="95" t="inlineStr"/>
      <c r="S126" s="95" t="inlineStr">
        <is>
          <t>SRC_NOOR_1404_007</t>
        </is>
      </c>
      <c r="T126" s="95" t="inlineStr">
        <is>
          <t>EXACT؛ شروع 1404/05/27</t>
        </is>
      </c>
      <c r="U126" s="95" t="inlineStr">
        <is>
          <t>استنباطی از تصدی</t>
        </is>
      </c>
      <c r="V126" s="95" t="inlineStr">
        <is>
          <t>ورود پس از مبنا (شروع دقیق پس از 1403/12/29)</t>
        </is>
      </c>
    </row>
    <row r="127" ht="34" customHeight="1" s="76">
      <c r="A127" s="95" t="inlineStr">
        <is>
          <t>PF0124</t>
        </is>
      </c>
      <c r="B127" s="95" t="inlineStr">
        <is>
          <t>نوری</t>
        </is>
      </c>
      <c r="C127" s="95" t="inlineStr">
        <is>
          <t>نمای مالی FYE1404</t>
        </is>
      </c>
      <c r="D127" s="95" t="inlineStr">
        <is>
          <t>P-EF4AA99A</t>
        </is>
      </c>
      <c r="E127" s="95" t="inlineStr">
        <is>
          <t>تقی صانعی</t>
        </is>
      </c>
      <c r="F127" s="95" t="inlineStr">
        <is>
          <t>تقی صانعی</t>
        </is>
      </c>
      <c r="G127" s="95" t="inlineStr">
        <is>
          <t>نامشخص (فهرست اسمی مبنا در دسترس نیست)</t>
        </is>
      </c>
      <c r="H127" s="95" t="inlineStr">
        <is>
          <t>حاضر در مقطع 1404/12/29</t>
        </is>
      </c>
      <c r="I127" s="95" t="inlineStr">
        <is>
          <t>FISCAL_ENTRY_AFTER_BASE</t>
        </is>
      </c>
      <c r="J127" s="95" t="inlineStr">
        <is>
          <t>نمای مالی: ورود پس از مبنا طبق تصدی v41</t>
        </is>
      </c>
      <c r="K127" s="95" t="inlineStr"/>
      <c r="L127" s="95" t="inlineStr">
        <is>
          <t>رئیس هیئت مدیره</t>
        </is>
      </c>
      <c r="M127" s="95" t="inlineStr"/>
      <c r="N127" s="95" t="inlineStr">
        <is>
          <t>پالایش گاز هویزه خلیج فارس</t>
        </is>
      </c>
      <c r="O127" s="95" t="inlineStr"/>
      <c r="P127" s="95" t="inlineStr"/>
      <c r="Q127" s="95" t="inlineStr"/>
      <c r="R127" s="95" t="inlineStr"/>
      <c r="S127" s="95" t="inlineStr">
        <is>
          <t>SRC_NOOR_1404_007</t>
        </is>
      </c>
      <c r="T127" s="95" t="inlineStr">
        <is>
          <t>EXACT؛ شروع 1404/04/03</t>
        </is>
      </c>
      <c r="U127" s="95" t="inlineStr">
        <is>
          <t>استنباطی از تصدی</t>
        </is>
      </c>
      <c r="V127" s="95" t="inlineStr">
        <is>
          <t>ورود پس از مبنا (شروع دقیق پس از 1403/12/29)</t>
        </is>
      </c>
    </row>
    <row r="128" ht="34" customHeight="1" s="76">
      <c r="A128" s="95" t="inlineStr">
        <is>
          <t>PF0125</t>
        </is>
      </c>
      <c r="B128" s="95" t="inlineStr">
        <is>
          <t>نوری</t>
        </is>
      </c>
      <c r="C128" s="95" t="inlineStr">
        <is>
          <t>نمای مالی FYE1404</t>
        </is>
      </c>
      <c r="D128" s="95" t="inlineStr">
        <is>
          <t>P-7BC22E05</t>
        </is>
      </c>
      <c r="E128" s="95" t="inlineStr">
        <is>
          <t>فریدون امیری</t>
        </is>
      </c>
      <c r="F128" s="95" t="inlineStr">
        <is>
          <t>فریدون امیری</t>
        </is>
      </c>
      <c r="G128" s="95" t="inlineStr">
        <is>
          <t>نامشخص (فهرست اسمی مبنا در دسترس نیست)</t>
        </is>
      </c>
      <c r="H128" s="95" t="inlineStr">
        <is>
          <t>حاضر در مقطع 1404/12/29</t>
        </is>
      </c>
      <c r="I128" s="95" t="inlineStr">
        <is>
          <t>FISCAL_ENTRY_AFTER_BASE</t>
        </is>
      </c>
      <c r="J128" s="95" t="inlineStr">
        <is>
          <t>نمای مالی: ورود پس از مبنا طبق تصدی v41</t>
        </is>
      </c>
      <c r="K128" s="95" t="inlineStr"/>
      <c r="L128" s="95" t="inlineStr">
        <is>
          <t>عضو هیئت مدیره</t>
        </is>
      </c>
      <c r="M128" s="95" t="inlineStr"/>
      <c r="N128" s="95" t="inlineStr">
        <is>
          <t>پتروشیمی الماس ماهشهر</t>
        </is>
      </c>
      <c r="O128" s="95" t="inlineStr"/>
      <c r="P128" s="95" t="inlineStr"/>
      <c r="Q128" s="95" t="inlineStr"/>
      <c r="R128" s="95" t="inlineStr"/>
      <c r="S128" s="95" t="inlineStr">
        <is>
          <t>SRC_NOOR_1404_007</t>
        </is>
      </c>
      <c r="T128" s="95" t="inlineStr">
        <is>
          <t>EXACT؛ شروع 1404/08/25</t>
        </is>
      </c>
      <c r="U128" s="95" t="inlineStr">
        <is>
          <t>استنباطی از تصدی</t>
        </is>
      </c>
      <c r="V128" s="95" t="inlineStr">
        <is>
          <t>ورود پس از مبنا (شروع دقیق پس از 1403/12/29)</t>
        </is>
      </c>
    </row>
    <row r="129" ht="34" customHeight="1" s="76">
      <c r="A129" s="92" t="inlineStr">
        <is>
          <t>PF0126</t>
        </is>
      </c>
      <c r="B129" s="92" t="inlineStr">
        <is>
          <t>نوری</t>
        </is>
      </c>
      <c r="C129" s="92" t="inlineStr">
        <is>
          <t>نمای مالی FYE1404</t>
        </is>
      </c>
      <c r="D129" s="92" t="inlineStr">
        <is>
          <t>P-1A147860</t>
        </is>
      </c>
      <c r="E129" s="92" t="inlineStr">
        <is>
          <t>غلامرضا جمشیدی</t>
        </is>
      </c>
      <c r="F129" s="92" t="inlineStr">
        <is>
          <t>غلامرضا جمشیدی</t>
        </is>
      </c>
      <c r="G129" s="92" t="inlineStr">
        <is>
          <t>نامشخص (فهرست اسمی مبنا در دسترس نیست)</t>
        </is>
      </c>
      <c r="H129" s="92" t="inlineStr">
        <is>
          <t>حاضر در مقطع 1404/12/29</t>
        </is>
      </c>
      <c r="I129" s="92" t="inlineStr">
        <is>
          <t>FISCAL_PRESENT_AT_BASE</t>
        </is>
      </c>
      <c r="J129" s="92" t="inlineStr">
        <is>
          <t>نمای مالی: حاضر در مبنا طبق پیوستگی تصدی v41</t>
        </is>
      </c>
      <c r="K129" s="92" t="inlineStr"/>
      <c r="L129" s="92" t="inlineStr">
        <is>
          <t>نایب رئیس هیئت مدیره</t>
        </is>
      </c>
      <c r="M129" s="92" t="inlineStr"/>
      <c r="N129" s="92" t="inlineStr">
        <is>
          <t>پالایش گاز بیدبلند خلیج فارس</t>
        </is>
      </c>
      <c r="O129" s="92" t="inlineStr"/>
      <c r="P129" s="92" t="inlineStr"/>
      <c r="Q129" s="92" t="inlineStr"/>
      <c r="R129" s="92" t="inlineStr"/>
      <c r="S129" s="92" t="inlineStr">
        <is>
          <t>SRC_NOOR_1404_007</t>
        </is>
      </c>
      <c r="T129" s="92" t="inlineStr">
        <is>
          <t>EXACT؛ شروع 1403/08/27</t>
        </is>
      </c>
      <c r="U129" s="92" t="inlineStr">
        <is>
          <t>استنباطی از تصدی</t>
        </is>
      </c>
      <c r="V129" s="92" t="inlineStr">
        <is>
          <t>حاضر در مبنا بر پایه پیوستگی (شروع دقیق تا 1403/12/29)</t>
        </is>
      </c>
    </row>
    <row r="130" ht="34" customHeight="1" s="76">
      <c r="A130" s="92" t="inlineStr">
        <is>
          <t>PF0127</t>
        </is>
      </c>
      <c r="B130" s="92" t="inlineStr">
        <is>
          <t>فولاد</t>
        </is>
      </c>
      <c r="C130" s="92" t="inlineStr">
        <is>
          <t>نمای مالی FYE1404</t>
        </is>
      </c>
      <c r="D130" s="92" t="inlineStr">
        <is>
          <t>P-45E1713F</t>
        </is>
      </c>
      <c r="E130" s="92" t="inlineStr">
        <is>
          <t>محسن صالحی نیا</t>
        </is>
      </c>
      <c r="F130" s="92" t="inlineStr">
        <is>
          <t>محسن صالحی نیا</t>
        </is>
      </c>
      <c r="G130" s="92" t="inlineStr">
        <is>
          <t>نامشخص (فهرست اسمی مبنا در دسترس نیست)</t>
        </is>
      </c>
      <c r="H130" s="92" t="inlineStr">
        <is>
          <t>حاضر در مقطع 1404/12/29</t>
        </is>
      </c>
      <c r="I130" s="92" t="inlineStr">
        <is>
          <t>FISCAL_PRESENT_AT_BASE</t>
        </is>
      </c>
      <c r="J130" s="92" t="inlineStr">
        <is>
          <t>نمای مالی: حاضر در مبنا طبق پیوستگی تصدی v41</t>
        </is>
      </c>
      <c r="K130" s="92" t="inlineStr"/>
      <c r="L130" s="92" t="inlineStr">
        <is>
          <t>نایب رئیس هیئت مدیره</t>
        </is>
      </c>
      <c r="M130" s="92" t="inlineStr"/>
      <c r="N130" s="92" t="inlineStr">
        <is>
          <t>سازمان توسعه و نوسازی معادن و صنایع معدنی ایران</t>
        </is>
      </c>
      <c r="O130" s="92" t="inlineStr"/>
      <c r="P130" s="92" t="inlineStr"/>
      <c r="Q130" s="92" t="inlineStr"/>
      <c r="R130" s="92" t="inlineStr"/>
      <c r="S130" s="92" t="inlineStr">
        <is>
          <t>SRC_FOLD_1404_002</t>
        </is>
      </c>
      <c r="T130" s="92" t="inlineStr">
        <is>
          <t>CONFLICT_MIN؛ لنگر 1402/07/23</t>
        </is>
      </c>
      <c r="U130" s="92" t="inlineStr">
        <is>
          <t>استنباطی از تصدی</t>
        </is>
      </c>
      <c r="V130" s="92" t="inlineStr">
        <is>
          <t>حاضر در مبنا بر پایه حداقل پیوستگی (لنگر تا 1403/12/29)</t>
        </is>
      </c>
    </row>
    <row r="131" ht="34" customHeight="1" s="76">
      <c r="A131" s="95" t="inlineStr">
        <is>
          <t>PF0128</t>
        </is>
      </c>
      <c r="B131" s="95" t="inlineStr">
        <is>
          <t>فولاد</t>
        </is>
      </c>
      <c r="C131" s="95" t="inlineStr">
        <is>
          <t>نمای مالی FYE1404</t>
        </is>
      </c>
      <c r="D131" s="95" t="inlineStr">
        <is>
          <t>P-DFDD856D</t>
        </is>
      </c>
      <c r="E131" s="95" t="inlineStr">
        <is>
          <t>محمدحسین مقیمی</t>
        </is>
      </c>
      <c r="F131" s="95" t="inlineStr">
        <is>
          <t>محمدحسین مقیمی</t>
        </is>
      </c>
      <c r="G131" s="95" t="inlineStr">
        <is>
          <t>نامشخص (فهرست اسمی مبنا در دسترس نیست)</t>
        </is>
      </c>
      <c r="H131" s="95" t="inlineStr">
        <is>
          <t>حاضر در مقطع 1404/12/29</t>
        </is>
      </c>
      <c r="I131" s="95" t="inlineStr">
        <is>
          <t>FISCAL_ENTRY_AFTER_BASE</t>
        </is>
      </c>
      <c r="J131" s="95" t="inlineStr">
        <is>
          <t>نمای مالی: ورود پس از مبنا طبق تصدی v41</t>
        </is>
      </c>
      <c r="K131" s="95" t="inlineStr"/>
      <c r="L131" s="95" t="inlineStr">
        <is>
          <t>رئیس هیئت مدیره</t>
        </is>
      </c>
      <c r="M131" s="95" t="inlineStr"/>
      <c r="N131" s="95" t="inlineStr">
        <is>
          <t>سرمایه گذاری استان اصفهان</t>
        </is>
      </c>
      <c r="O131" s="95" t="inlineStr"/>
      <c r="P131" s="95" t="inlineStr"/>
      <c r="Q131" s="95" t="inlineStr"/>
      <c r="R131" s="95" t="inlineStr"/>
      <c r="S131" s="95" t="inlineStr">
        <is>
          <t>SRC_FOLD_1404_002</t>
        </is>
      </c>
      <c r="T131" s="95" t="inlineStr">
        <is>
          <t>INTERVAL؛ بازه 1404/10/03 تا 1404/10/08</t>
        </is>
      </c>
      <c r="U131" s="95" t="inlineStr">
        <is>
          <t>استنباطی از تصدی</t>
        </is>
      </c>
      <c r="V131" s="95" t="inlineStr">
        <is>
          <t>ورود پس از مبنا (کران پایین پس از 1403/12/29)</t>
        </is>
      </c>
    </row>
    <row r="132" ht="34" customHeight="1" s="76">
      <c r="A132" s="92" t="inlineStr">
        <is>
          <t>PF0129</t>
        </is>
      </c>
      <c r="B132" s="92" t="inlineStr">
        <is>
          <t>فولاد</t>
        </is>
      </c>
      <c r="C132" s="92" t="inlineStr">
        <is>
          <t>نمای مالی FYE1404</t>
        </is>
      </c>
      <c r="D132" s="92" t="inlineStr">
        <is>
          <t>P-77FAEC56</t>
        </is>
      </c>
      <c r="E132" s="92" t="inlineStr">
        <is>
          <t>علی افشین</t>
        </is>
      </c>
      <c r="F132" s="92" t="inlineStr">
        <is>
          <t>علی افشین</t>
        </is>
      </c>
      <c r="G132" s="92" t="inlineStr">
        <is>
          <t>نامشخص (فهرست اسمی مبنا در دسترس نیست)</t>
        </is>
      </c>
      <c r="H132" s="92" t="inlineStr">
        <is>
          <t>حاضر در مقطع 1404/12/29</t>
        </is>
      </c>
      <c r="I132" s="92" t="inlineStr">
        <is>
          <t>FISCAL_PRESENT_AT_BASE</t>
        </is>
      </c>
      <c r="J132" s="92" t="inlineStr">
        <is>
          <t>نمای مالی: حاضر در مبنا طبق پیوستگی تصدی v41</t>
        </is>
      </c>
      <c r="K132" s="92" t="inlineStr"/>
      <c r="L132" s="92" t="inlineStr">
        <is>
          <t>عضو هیئت مدیره</t>
        </is>
      </c>
      <c r="M132" s="92" t="inlineStr"/>
      <c r="N132" s="92" t="inlineStr">
        <is>
          <t>بهسازان انرژی تدبیر زنگان</t>
        </is>
      </c>
      <c r="O132" s="92" t="inlineStr"/>
      <c r="P132" s="92" t="inlineStr"/>
      <c r="Q132" s="92" t="inlineStr"/>
      <c r="R132" s="92" t="inlineStr"/>
      <c r="S132" s="92" t="inlineStr">
        <is>
          <t>SRC_FOLD_1404_002</t>
        </is>
      </c>
      <c r="T132" s="92" t="inlineStr">
        <is>
          <t>EXACT؛ شروع 1402/07/23</t>
        </is>
      </c>
      <c r="U132" s="92" t="inlineStr">
        <is>
          <t>استنباطی از تصدی</t>
        </is>
      </c>
      <c r="V132" s="92" t="inlineStr">
        <is>
          <t>حاضر در مبنا بر پایه پیوستگی (شروع دقیق تا 1403/12/29)</t>
        </is>
      </c>
    </row>
    <row r="133" ht="34" customHeight="1" s="76">
      <c r="A133" s="92" t="inlineStr">
        <is>
          <t>PF0130</t>
        </is>
      </c>
      <c r="B133" s="92" t="inlineStr">
        <is>
          <t>فولاد</t>
        </is>
      </c>
      <c r="C133" s="92" t="inlineStr">
        <is>
          <t>نمای مالی FYE1404</t>
        </is>
      </c>
      <c r="D133" s="92" t="inlineStr">
        <is>
          <t>P-EB53E173</t>
        </is>
      </c>
      <c r="E133" s="92" t="inlineStr">
        <is>
          <t>سعید زرندی</t>
        </is>
      </c>
      <c r="F133" s="92" t="inlineStr">
        <is>
          <t>سعید زرندی</t>
        </is>
      </c>
      <c r="G133" s="92" t="inlineStr">
        <is>
          <t>نامشخص (فهرست اسمی مبنا در دسترس نیست)</t>
        </is>
      </c>
      <c r="H133" s="92" t="inlineStr">
        <is>
          <t>حاضر در مقطع 1404/12/29</t>
        </is>
      </c>
      <c r="I133" s="92" t="inlineStr">
        <is>
          <t>FISCAL_BASE_UNDETERMINED</t>
        </is>
      </c>
      <c r="J133" s="92" t="inlineStr">
        <is>
          <t>نمای مالی: وضعیت در مبنا نامشخص</t>
        </is>
      </c>
      <c r="K133" s="92" t="inlineStr"/>
      <c r="L133" s="92" t="inlineStr">
        <is>
          <t>عضو هیئت مدیره</t>
        </is>
      </c>
      <c r="M133" s="92" t="inlineStr"/>
      <c r="N133" s="92" t="inlineStr">
        <is>
          <t>ملی صنایع مس ایران</t>
        </is>
      </c>
      <c r="O133" s="92" t="inlineStr"/>
      <c r="P133" s="92" t="inlineStr"/>
      <c r="Q133" s="92" t="inlineStr"/>
      <c r="R133" s="92" t="inlineStr"/>
      <c r="S133" s="92" t="inlineStr">
        <is>
          <t>SRC_FOLD_1404_002</t>
        </is>
      </c>
      <c r="T133" s="92" t="inlineStr">
        <is>
          <t>INTERVAL؛ بازه 1403/11/30 تا 1404/01/28</t>
        </is>
      </c>
      <c r="U133" s="92" t="inlineStr">
        <is>
          <t>استنباطی از تصدی</t>
        </is>
      </c>
      <c r="V133" s="92" t="inlineStr">
        <is>
          <t>نامشخص: بازه شروع مبنا را دربر می گیرد</t>
        </is>
      </c>
    </row>
    <row r="134" ht="34" customHeight="1" s="76">
      <c r="A134" s="95" t="inlineStr">
        <is>
          <t>PF0131</t>
        </is>
      </c>
      <c r="B134" s="95" t="inlineStr">
        <is>
          <t>فولاد</t>
        </is>
      </c>
      <c r="C134" s="95" t="inlineStr">
        <is>
          <t>نمای مالی FYE1404</t>
        </is>
      </c>
      <c r="D134" s="95" t="inlineStr">
        <is>
          <t>P-95DA13BF</t>
        </is>
      </c>
      <c r="E134" s="95" t="inlineStr">
        <is>
          <t>مهدی زحمت کش</t>
        </is>
      </c>
      <c r="F134" s="95" t="inlineStr">
        <is>
          <t>مهدی زحمت کش</t>
        </is>
      </c>
      <c r="G134" s="95" t="inlineStr">
        <is>
          <t>نامشخص (فهرست اسمی مبنا در دسترس نیست)</t>
        </is>
      </c>
      <c r="H134" s="95" t="inlineStr">
        <is>
          <t>حاضر در مقطع 1404/12/29</t>
        </is>
      </c>
      <c r="I134" s="95" t="inlineStr">
        <is>
          <t>FISCAL_ENTRY_AFTER_BASE</t>
        </is>
      </c>
      <c r="J134" s="95" t="inlineStr">
        <is>
          <t>نمای مالی: ورود پس از مبنا طبق تصدی v41</t>
        </is>
      </c>
      <c r="K134" s="95" t="inlineStr"/>
      <c r="L134" s="95" t="inlineStr">
        <is>
          <t>عضو هیئت مدیره</t>
        </is>
      </c>
      <c r="M134" s="95" t="inlineStr"/>
      <c r="N134" s="95" t="inlineStr">
        <is>
          <t>سرمایه گذاری توسعه سرمایه رفاه</t>
        </is>
      </c>
      <c r="O134" s="95" t="inlineStr"/>
      <c r="P134" s="95" t="inlineStr"/>
      <c r="Q134" s="95" t="inlineStr"/>
      <c r="R134" s="95" t="inlineStr"/>
      <c r="S134" s="95" t="inlineStr">
        <is>
          <t>SRC_FOLD_1404_002</t>
        </is>
      </c>
      <c r="T134" s="95" t="inlineStr">
        <is>
          <t>INTERVAL؛ بازه 1404/06/29 تا 1404/08/07</t>
        </is>
      </c>
      <c r="U134" s="95" t="inlineStr">
        <is>
          <t>استنباطی از تصدی</t>
        </is>
      </c>
      <c r="V134" s="95" t="inlineStr">
        <is>
          <t>ورود پس از مبنا (کران پایین پس از 1403/12/29)</t>
        </is>
      </c>
    </row>
    <row r="135" ht="34" customHeight="1" s="76">
      <c r="A135" s="95" t="inlineStr">
        <is>
          <t>PF0132</t>
        </is>
      </c>
      <c r="B135" s="95" t="inlineStr">
        <is>
          <t>کچاد</t>
        </is>
      </c>
      <c r="C135" s="95" t="inlineStr">
        <is>
          <t>نمای مالی FYE1404</t>
        </is>
      </c>
      <c r="D135" s="95" t="inlineStr">
        <is>
          <t>P-B63B45D6</t>
        </is>
      </c>
      <c r="E135" s="95" t="inlineStr">
        <is>
          <t>محمدرضا تابش</t>
        </is>
      </c>
      <c r="F135" s="95" t="inlineStr">
        <is>
          <t>محمدرضا تابش</t>
        </is>
      </c>
      <c r="G135" s="95" t="inlineStr">
        <is>
          <t>نامشخص (فهرست اسمی مبنا در دسترس نیست)</t>
        </is>
      </c>
      <c r="H135" s="95" t="inlineStr">
        <is>
          <t>حاضر در مقطع 1404/09/30</t>
        </is>
      </c>
      <c r="I135" s="95" t="inlineStr">
        <is>
          <t>FISCAL_ENTRY_AFTER_BASE</t>
        </is>
      </c>
      <c r="J135" s="95" t="inlineStr">
        <is>
          <t>نمای مالی: ورود پس از مبنا طبق تصدی v41</t>
        </is>
      </c>
      <c r="K135" s="95" t="inlineStr"/>
      <c r="L135" s="95" t="inlineStr">
        <is>
          <t>رئیس هیئت مدیره</t>
        </is>
      </c>
      <c r="M135" s="95" t="inlineStr"/>
      <c r="N135" s="95" t="inlineStr">
        <is>
          <t>گروه مدیریت سرمایه گذاری امید</t>
        </is>
      </c>
      <c r="O135" s="95" t="inlineStr"/>
      <c r="P135" s="95" t="inlineStr"/>
      <c r="Q135" s="95" t="inlineStr"/>
      <c r="R135" s="95" t="inlineStr"/>
      <c r="S135" s="95" t="inlineStr">
        <is>
          <t>SRC_KCHD_1404_001</t>
        </is>
      </c>
      <c r="T135" s="95" t="inlineStr">
        <is>
          <t>EXACT؛ شروع 1404/02/24</t>
        </is>
      </c>
      <c r="U135" s="95" t="inlineStr">
        <is>
          <t>استنباطی از تصدی</t>
        </is>
      </c>
      <c r="V135" s="95" t="inlineStr">
        <is>
          <t>ورود پس از مبنا (شروع دقیق پس از 1403/12/29)؛ فقط تا افق FYE</t>
        </is>
      </c>
    </row>
    <row r="136" ht="34" customHeight="1" s="76">
      <c r="A136" s="92" t="inlineStr">
        <is>
          <t>PF0133</t>
        </is>
      </c>
      <c r="B136" s="92" t="inlineStr">
        <is>
          <t>کچاد</t>
        </is>
      </c>
      <c r="C136" s="92" t="inlineStr">
        <is>
          <t>نمای مالی FYE1404</t>
        </is>
      </c>
      <c r="D136" s="92" t="inlineStr">
        <is>
          <t>P-F92AE52D</t>
        </is>
      </c>
      <c r="E136" s="92" t="inlineStr">
        <is>
          <t>فرید دهقانی</t>
        </is>
      </c>
      <c r="F136" s="92" t="inlineStr">
        <is>
          <t>فرید دهقانی</t>
        </is>
      </c>
      <c r="G136" s="92" t="inlineStr">
        <is>
          <t>نامشخص (فهرست اسمی مبنا در دسترس نیست)</t>
        </is>
      </c>
      <c r="H136" s="92" t="inlineStr">
        <is>
          <t>حاضر در مقطع 1404/09/30</t>
        </is>
      </c>
      <c r="I136" s="92" t="inlineStr">
        <is>
          <t>FISCAL_PRESENT_AT_BASE</t>
        </is>
      </c>
      <c r="J136" s="92" t="inlineStr">
        <is>
          <t>نمای مالی: حاضر در مبنا طبق پیوستگی تصدی v41</t>
        </is>
      </c>
      <c r="K136" s="92" t="inlineStr"/>
      <c r="L136" s="92" t="inlineStr">
        <is>
          <t>عضو هیئت مدیره</t>
        </is>
      </c>
      <c r="M136" s="92" t="inlineStr"/>
      <c r="N136" s="92" t="inlineStr">
        <is>
          <t>سرمایه گذاری توسعه معادن و فلزات</t>
        </is>
      </c>
      <c r="O136" s="92" t="inlineStr"/>
      <c r="P136" s="92" t="inlineStr"/>
      <c r="Q136" s="92" t="inlineStr"/>
      <c r="R136" s="92" t="inlineStr"/>
      <c r="S136" s="92" t="inlineStr">
        <is>
          <t>SRC_KCHD_1404_001</t>
        </is>
      </c>
      <c r="T136" s="92" t="inlineStr">
        <is>
          <t>EXACT؛ شروع 1403/09/04</t>
        </is>
      </c>
      <c r="U136" s="92" t="inlineStr">
        <is>
          <t>استنباطی از تصدی</t>
        </is>
      </c>
      <c r="V136" s="92" t="inlineStr">
        <is>
          <t>حاضر در مبنا بر پایه پیوستگی (شروع دقیق تا 1403/12/29)؛ فقط تا افق FYE</t>
        </is>
      </c>
    </row>
    <row r="137" ht="34" customHeight="1" s="76">
      <c r="A137" s="95" t="inlineStr">
        <is>
          <t>PF0134</t>
        </is>
      </c>
      <c r="B137" s="95" t="inlineStr">
        <is>
          <t>کچاد</t>
        </is>
      </c>
      <c r="C137" s="95" t="inlineStr">
        <is>
          <t>نمای مالی FYE1404</t>
        </is>
      </c>
      <c r="D137" s="95" t="inlineStr">
        <is>
          <t>P-7C2D49A0</t>
        </is>
      </c>
      <c r="E137" s="95" t="inlineStr">
        <is>
          <t>حامد دهقانان</t>
        </is>
      </c>
      <c r="F137" s="95" t="inlineStr">
        <is>
          <t>حامد دهقانان</t>
        </is>
      </c>
      <c r="G137" s="95" t="inlineStr">
        <is>
          <t>نامشخص (فهرست اسمی مبنا در دسترس نیست)</t>
        </is>
      </c>
      <c r="H137" s="95" t="inlineStr">
        <is>
          <t>حاضر در مقطع 1404/09/30</t>
        </is>
      </c>
      <c r="I137" s="95" t="inlineStr">
        <is>
          <t>FISCAL_ENTRY_AFTER_BASE</t>
        </is>
      </c>
      <c r="J137" s="95" t="inlineStr">
        <is>
          <t>نمای مالی: ورود پس از مبنا طبق تصدی v41</t>
        </is>
      </c>
      <c r="K137" s="95" t="inlineStr"/>
      <c r="L137" s="95" t="inlineStr">
        <is>
          <t>نایب رئیس هیئت مدیره</t>
        </is>
      </c>
      <c r="M137" s="95" t="inlineStr"/>
      <c r="N137" s="95" t="inlineStr">
        <is>
          <t>سرمایه گذاری سپه</t>
        </is>
      </c>
      <c r="O137" s="95" t="inlineStr"/>
      <c r="P137" s="95" t="inlineStr"/>
      <c r="Q137" s="95" t="inlineStr"/>
      <c r="R137" s="95" t="inlineStr"/>
      <c r="S137" s="95" t="inlineStr">
        <is>
          <t>SRC_KCHD_1404_001</t>
        </is>
      </c>
      <c r="T137" s="95" t="inlineStr">
        <is>
          <t>EXACT؛ شروع 1404/02/24</t>
        </is>
      </c>
      <c r="U137" s="95" t="inlineStr">
        <is>
          <t>استنباطی از تصدی</t>
        </is>
      </c>
      <c r="V137" s="95" t="inlineStr">
        <is>
          <t>ورود پس از مبنا (شروع دقیق پس از 1403/12/29)؛ فقط تا افق FYE</t>
        </is>
      </c>
    </row>
    <row r="138" ht="34" customHeight="1" s="76">
      <c r="A138" s="92" t="inlineStr">
        <is>
          <t>PF0135</t>
        </is>
      </c>
      <c r="B138" s="92" t="inlineStr">
        <is>
          <t>کچاد</t>
        </is>
      </c>
      <c r="C138" s="92" t="inlineStr">
        <is>
          <t>نمای مالی FYE1404</t>
        </is>
      </c>
      <c r="D138" s="92" t="inlineStr">
        <is>
          <t>P-F29146EF</t>
        </is>
      </c>
      <c r="E138" s="92" t="inlineStr">
        <is>
          <t>مهدی آقاپوربی شک</t>
        </is>
      </c>
      <c r="F138" s="92" t="inlineStr">
        <is>
          <t>مهدی آقاپوربی شک</t>
        </is>
      </c>
      <c r="G138" s="92" t="inlineStr">
        <is>
          <t>نامشخص (فهرست اسمی مبنا در دسترس نیست)</t>
        </is>
      </c>
      <c r="H138" s="92" t="inlineStr">
        <is>
          <t>حاضر در مقطع 1404/09/30</t>
        </is>
      </c>
      <c r="I138" s="92" t="inlineStr">
        <is>
          <t>FISCAL_PRESENT_AT_BASE</t>
        </is>
      </c>
      <c r="J138" s="92" t="inlineStr">
        <is>
          <t>نمای مالی: حاضر در مبنا طبق پیوستگی تصدی v41</t>
        </is>
      </c>
      <c r="K138" s="92" t="inlineStr"/>
      <c r="L138" s="92" t="inlineStr">
        <is>
          <t>عضو هیئت مدیره</t>
        </is>
      </c>
      <c r="M138" s="92" t="inlineStr"/>
      <c r="N138" s="92" t="inlineStr">
        <is>
          <t>فولاد مبارکه اصفهان</t>
        </is>
      </c>
      <c r="O138" s="92" t="inlineStr"/>
      <c r="P138" s="92" t="inlineStr"/>
      <c r="Q138" s="92" t="inlineStr"/>
      <c r="R138" s="92" t="inlineStr"/>
      <c r="S138" s="92" t="inlineStr">
        <is>
          <t>SRC_KCHD_1404_001</t>
        </is>
      </c>
      <c r="T138" s="92" t="inlineStr">
        <is>
          <t>EXACT؛ شروع 1403/09/26</t>
        </is>
      </c>
      <c r="U138" s="92" t="inlineStr">
        <is>
          <t>استنباطی از تصدی</t>
        </is>
      </c>
      <c r="V138" s="92" t="inlineStr">
        <is>
          <t>حاضر در مبنا بر پایه پیوستگی (شروع دقیق تا 1403/12/29)؛ فقط تا افق FYE</t>
        </is>
      </c>
    </row>
    <row r="139" ht="34" customHeight="1" s="76">
      <c r="A139" s="95" t="inlineStr">
        <is>
          <t>PF0136</t>
        </is>
      </c>
      <c r="B139" s="95" t="inlineStr">
        <is>
          <t>کچاد</t>
        </is>
      </c>
      <c r="C139" s="95" t="inlineStr">
        <is>
          <t>نمای مالی FYE1404</t>
        </is>
      </c>
      <c r="D139" s="95" t="inlineStr">
        <is>
          <t>P-4884FFEB</t>
        </is>
      </c>
      <c r="E139" s="95" t="inlineStr">
        <is>
          <t>خدایار کریم نژادسرخی</t>
        </is>
      </c>
      <c r="F139" s="95" t="inlineStr">
        <is>
          <t>خدایار کریم نژادسرخی</t>
        </is>
      </c>
      <c r="G139" s="95" t="inlineStr">
        <is>
          <t>نامشخص (فهرست اسمی مبنا در دسترس نیست)</t>
        </is>
      </c>
      <c r="H139" s="95" t="inlineStr">
        <is>
          <t>حاضر در مقطع 1404/09/30</t>
        </is>
      </c>
      <c r="I139" s="95" t="inlineStr">
        <is>
          <t>FISCAL_ENTRY_AFTER_BASE</t>
        </is>
      </c>
      <c r="J139" s="95" t="inlineStr">
        <is>
          <t>نمای مالی: ورود پس از مبنا طبق تصدی v41</t>
        </is>
      </c>
      <c r="K139" s="95" t="inlineStr"/>
      <c r="L139" s="95" t="inlineStr">
        <is>
          <t>عضو هیئت مدیره</t>
        </is>
      </c>
      <c r="M139" s="95" t="inlineStr"/>
      <c r="N139" s="95" t="inlineStr">
        <is>
          <t>سرمایه گذاری استان خوزستان</t>
        </is>
      </c>
      <c r="O139" s="95" t="inlineStr"/>
      <c r="P139" s="95" t="inlineStr"/>
      <c r="Q139" s="95" t="inlineStr"/>
      <c r="R139" s="95" t="inlineStr"/>
      <c r="S139" s="95" t="inlineStr">
        <is>
          <t>SRC_KCHD_1404_001</t>
        </is>
      </c>
      <c r="T139" s="95" t="inlineStr">
        <is>
          <t>EXACT؛ شروع 1404/05/20</t>
        </is>
      </c>
      <c r="U139" s="95" t="inlineStr">
        <is>
          <t>استنباطی از تصدی</t>
        </is>
      </c>
      <c r="V139" s="95" t="inlineStr">
        <is>
          <t>ورود پس از مبنا (شروع دقیق پس از 1403/12/29)؛ فقط تا افق FYE</t>
        </is>
      </c>
    </row>
    <row r="140" ht="34" customHeight="1" s="76">
      <c r="A140" s="92" t="inlineStr">
        <is>
          <t>PF0137</t>
        </is>
      </c>
      <c r="B140" s="92" t="inlineStr">
        <is>
          <t>کگل</t>
        </is>
      </c>
      <c r="C140" s="92" t="inlineStr">
        <is>
          <t>نمای مالی FYE1404</t>
        </is>
      </c>
      <c r="D140" s="92" t="inlineStr">
        <is>
          <t>P-C3B5F85A</t>
        </is>
      </c>
      <c r="E140" s="92" t="inlineStr">
        <is>
          <t>حمیدرضا فولادگر</t>
        </is>
      </c>
      <c r="F140" s="92" t="inlineStr">
        <is>
          <t>حمیدرضا فولادگر</t>
        </is>
      </c>
      <c r="G140" s="92" t="inlineStr">
        <is>
          <t>نامشخص (فهرست اسمی مبنا در دسترس نیست)</t>
        </is>
      </c>
      <c r="H140" s="92" t="inlineStr">
        <is>
          <t>حاضر در مقطع 1404/09/30</t>
        </is>
      </c>
      <c r="I140" s="92" t="inlineStr">
        <is>
          <t>FISCAL_PRESENT_AT_BASE</t>
        </is>
      </c>
      <c r="J140" s="92" t="inlineStr">
        <is>
          <t>نمای مالی: حاضر در مبنا طبق پیوستگی تصدی v41</t>
        </is>
      </c>
      <c r="K140" s="92" t="inlineStr"/>
      <c r="L140" s="92" t="inlineStr">
        <is>
          <t>عضو هیئت مدیره</t>
        </is>
      </c>
      <c r="M140" s="92" t="inlineStr"/>
      <c r="N140" s="92" t="inlineStr">
        <is>
          <t>فولاد مبارکه اصفهان</t>
        </is>
      </c>
      <c r="O140" s="92" t="inlineStr"/>
      <c r="P140" s="92" t="inlineStr"/>
      <c r="Q140" s="92" t="inlineStr"/>
      <c r="R140" s="92" t="inlineStr"/>
      <c r="S140" s="92" t="inlineStr">
        <is>
          <t>SRC_KGOL_1404_001</t>
        </is>
      </c>
      <c r="T140" s="92" t="inlineStr">
        <is>
          <t>EXACT؛ شروع 1403/03/26</t>
        </is>
      </c>
      <c r="U140" s="92" t="inlineStr">
        <is>
          <t>استنباطی از تصدی</t>
        </is>
      </c>
      <c r="V140" s="92" t="inlineStr">
        <is>
          <t>حاضر در مبنا بر پایه پیوستگی (شروع دقیق تا 1403/12/29)؛ فقط تا افق FYE</t>
        </is>
      </c>
    </row>
    <row r="141" ht="34" customHeight="1" s="76">
      <c r="A141" s="95" t="inlineStr">
        <is>
          <t>PF0138</t>
        </is>
      </c>
      <c r="B141" s="95" t="inlineStr">
        <is>
          <t>کگل</t>
        </is>
      </c>
      <c r="C141" s="95" t="inlineStr">
        <is>
          <t>نمای مالی FYE1404</t>
        </is>
      </c>
      <c r="D141" s="95" t="inlineStr">
        <is>
          <t>P-D304E39A</t>
        </is>
      </c>
      <c r="E141" s="95" t="inlineStr">
        <is>
          <t>مجتبی رضاخواه</t>
        </is>
      </c>
      <c r="F141" s="95" t="inlineStr">
        <is>
          <t>مجتبی رضاخواه</t>
        </is>
      </c>
      <c r="G141" s="95" t="inlineStr">
        <is>
          <t>نامشخص (فهرست اسمی مبنا در دسترس نیست)</t>
        </is>
      </c>
      <c r="H141" s="95" t="inlineStr">
        <is>
          <t>حاضر در مقطع 1404/09/30</t>
        </is>
      </c>
      <c r="I141" s="95" t="inlineStr">
        <is>
          <t>FISCAL_ENTRY_AFTER_BASE</t>
        </is>
      </c>
      <c r="J141" s="95" t="inlineStr">
        <is>
          <t>نمای مالی: ورود پس از مبنا طبق تصدی v41</t>
        </is>
      </c>
      <c r="K141" s="95" t="inlineStr"/>
      <c r="L141" s="95" t="inlineStr">
        <is>
          <t>رئیس هیئت مدیره</t>
        </is>
      </c>
      <c r="M141" s="95" t="inlineStr"/>
      <c r="N141" s="95" t="inlineStr">
        <is>
          <t>گروه مدیریت سرمایه گذاری امید</t>
        </is>
      </c>
      <c r="O141" s="95" t="inlineStr"/>
      <c r="P141" s="95" t="inlineStr"/>
      <c r="Q141" s="95" t="inlineStr"/>
      <c r="R141" s="95" t="inlineStr"/>
      <c r="S141" s="95" t="inlineStr">
        <is>
          <t>SRC_KGOL_1404_001</t>
        </is>
      </c>
      <c r="T141" s="95" t="inlineStr">
        <is>
          <t>EXACT؛ شروع 1404/01/25</t>
        </is>
      </c>
      <c r="U141" s="95" t="inlineStr">
        <is>
          <t>استنباطی از تصدی</t>
        </is>
      </c>
      <c r="V141" s="95" t="inlineStr">
        <is>
          <t>ورود پس از مبنا (شروع دقیق پس از 1403/12/29)؛ فقط تا افق FYE</t>
        </is>
      </c>
    </row>
    <row r="142" ht="34" customHeight="1" s="76">
      <c r="A142" s="92" t="inlineStr">
        <is>
          <t>PF0139</t>
        </is>
      </c>
      <c r="B142" s="92" t="inlineStr">
        <is>
          <t>کگل</t>
        </is>
      </c>
      <c r="C142" s="92" t="inlineStr">
        <is>
          <t>نمای مالی FYE1404</t>
        </is>
      </c>
      <c r="D142" s="92" t="inlineStr">
        <is>
          <t>P-51A5F75D</t>
        </is>
      </c>
      <c r="E142" s="92" t="inlineStr">
        <is>
          <t>ایمان عتیقی</t>
        </is>
      </c>
      <c r="F142" s="92" t="inlineStr">
        <is>
          <t>ایمان عتیقی</t>
        </is>
      </c>
      <c r="G142" s="92" t="inlineStr">
        <is>
          <t>نامشخص (فهرست اسمی مبنا در دسترس نیست)</t>
        </is>
      </c>
      <c r="H142" s="92" t="inlineStr">
        <is>
          <t>حاضر در مقطع 1404/09/30</t>
        </is>
      </c>
      <c r="I142" s="92" t="inlineStr">
        <is>
          <t>FISCAL_PRESENT_AT_BASE</t>
        </is>
      </c>
      <c r="J142" s="92" t="inlineStr">
        <is>
          <t>نمای مالی: حاضر در مبنا طبق پیوستگی تصدی v41</t>
        </is>
      </c>
      <c r="K142" s="92" t="inlineStr"/>
      <c r="L142" s="92" t="inlineStr">
        <is>
          <t>عضو هیئت مدیره</t>
        </is>
      </c>
      <c r="M142" s="92" t="inlineStr"/>
      <c r="N142" s="92" t="inlineStr">
        <is>
          <t>سرمایه گذاری توسعه معادن و فلزات</t>
        </is>
      </c>
      <c r="O142" s="92" t="inlineStr"/>
      <c r="P142" s="92" t="inlineStr"/>
      <c r="Q142" s="92" t="inlineStr"/>
      <c r="R142" s="92" t="inlineStr"/>
      <c r="S142" s="92" t="inlineStr">
        <is>
          <t>SRC_KGOL_1404_001</t>
        </is>
      </c>
      <c r="T142" s="92" t="inlineStr">
        <is>
          <t>MIN_CONTINUOUS؛ لنگر 1401/01/28</t>
        </is>
      </c>
      <c r="U142" s="92" t="inlineStr">
        <is>
          <t>استنباطی از تصدی</t>
        </is>
      </c>
      <c r="V142" s="92" t="inlineStr">
        <is>
          <t>حاضر در مبنا بر پایه حداقل پیوستگی (لنگر تا 1403/12/29)؛ فقط تا افق FYE</t>
        </is>
      </c>
    </row>
    <row r="143" ht="34" customHeight="1" s="76">
      <c r="A143" s="92" t="inlineStr">
        <is>
          <t>PF0140</t>
        </is>
      </c>
      <c r="B143" s="92" t="inlineStr">
        <is>
          <t>کگل</t>
        </is>
      </c>
      <c r="C143" s="92" t="inlineStr">
        <is>
          <t>نمای مالی FYE1404</t>
        </is>
      </c>
      <c r="D143" s="92" t="inlineStr">
        <is>
          <t>P-33D5FD2A</t>
        </is>
      </c>
      <c r="E143" s="92" t="inlineStr">
        <is>
          <t>محمد امید</t>
        </is>
      </c>
      <c r="F143" s="92" t="inlineStr">
        <is>
          <t>محمد امید</t>
        </is>
      </c>
      <c r="G143" s="92" t="inlineStr">
        <is>
          <t>نامشخص (فهرست اسمی مبنا در دسترس نیست)</t>
        </is>
      </c>
      <c r="H143" s="92" t="inlineStr">
        <is>
          <t>حاضر در مقطع 1404/09/30</t>
        </is>
      </c>
      <c r="I143" s="92" t="inlineStr">
        <is>
          <t>FISCAL_PRESENT_AT_BASE</t>
        </is>
      </c>
      <c r="J143" s="92" t="inlineStr">
        <is>
          <t>نمای مالی: حاضر در مبنا طبق پیوستگی تصدی v41</t>
        </is>
      </c>
      <c r="K143" s="92" t="inlineStr"/>
      <c r="L143" s="92" t="inlineStr">
        <is>
          <t>عضو هیئت مدیره</t>
        </is>
      </c>
      <c r="M143" s="92" t="inlineStr"/>
      <c r="N143" s="92" t="inlineStr">
        <is>
          <t>توسعه معدنی و صنعتی صبانور</t>
        </is>
      </c>
      <c r="O143" s="92" t="inlineStr"/>
      <c r="P143" s="92" t="inlineStr"/>
      <c r="Q143" s="92" t="inlineStr"/>
      <c r="R143" s="92" t="inlineStr"/>
      <c r="S143" s="92" t="inlineStr">
        <is>
          <t>SRC_KGOL_1404_001</t>
        </is>
      </c>
      <c r="T143" s="92" t="inlineStr">
        <is>
          <t>EXACT؛ شروع 1403/12/19</t>
        </is>
      </c>
      <c r="U143" s="92" t="inlineStr">
        <is>
          <t>استنباطی از تصدی</t>
        </is>
      </c>
      <c r="V143" s="92" t="inlineStr">
        <is>
          <t>حاضر در مبنا بر پایه پیوستگی (شروع دقیق تا 1403/12/29)؛ فقط تا افق FYE</t>
        </is>
      </c>
    </row>
    <row r="144" ht="34" customHeight="1" s="76">
      <c r="A144" s="92" t="inlineStr">
        <is>
          <t>PF0141</t>
        </is>
      </c>
      <c r="B144" s="92" t="inlineStr">
        <is>
          <t>کگل</t>
        </is>
      </c>
      <c r="C144" s="92" t="inlineStr">
        <is>
          <t>نمای مالی FYE1404</t>
        </is>
      </c>
      <c r="D144" s="92" t="inlineStr">
        <is>
          <t>P-94BFE904</t>
        </is>
      </c>
      <c r="E144" s="92" t="inlineStr">
        <is>
          <t>محمدحسین ایران منش</t>
        </is>
      </c>
      <c r="F144" s="92" t="inlineStr">
        <is>
          <t>محمدحسین ایران منش</t>
        </is>
      </c>
      <c r="G144" s="92" t="inlineStr">
        <is>
          <t>نامشخص (فهرست اسمی مبنا در دسترس نیست)</t>
        </is>
      </c>
      <c r="H144" s="92" t="inlineStr">
        <is>
          <t>حاضر در مقطع 1404/09/30</t>
        </is>
      </c>
      <c r="I144" s="92" t="inlineStr">
        <is>
          <t>FISCAL_PRESENT_AT_BASE</t>
        </is>
      </c>
      <c r="J144" s="92" t="inlineStr">
        <is>
          <t>نمای مالی: حاضر در مبنا طبق پیوستگی تصدی v41</t>
        </is>
      </c>
      <c r="K144" s="92" t="inlineStr"/>
      <c r="L144" s="92" t="inlineStr">
        <is>
          <t>نایب رئیس هیئت مدیره</t>
        </is>
      </c>
      <c r="M144" s="92" t="inlineStr"/>
      <c r="N144" s="92" t="inlineStr">
        <is>
          <t>سرمایه گذاری سپه</t>
        </is>
      </c>
      <c r="O144" s="92" t="inlineStr"/>
      <c r="P144" s="92" t="inlineStr"/>
      <c r="Q144" s="92" t="inlineStr"/>
      <c r="R144" s="92" t="inlineStr"/>
      <c r="S144" s="92" t="inlineStr">
        <is>
          <t>SRC_KGOL_1404_001</t>
        </is>
      </c>
      <c r="T144" s="92" t="inlineStr">
        <is>
          <t>MIN_CONTINUOUS؛ لنگر 1401/01/28</t>
        </is>
      </c>
      <c r="U144" s="92" t="inlineStr">
        <is>
          <t>استنباطی از تصدی</t>
        </is>
      </c>
      <c r="V144" s="92" t="inlineStr">
        <is>
          <t>حاضر در مبنا بر پایه حداقل پیوستگی (لنگر تا 1403/12/29)؛ فقط تا افق FYE</t>
        </is>
      </c>
    </row>
    <row r="145" ht="34" customHeight="1" s="76">
      <c r="A145" s="92" t="inlineStr">
        <is>
          <t>PF0142</t>
        </is>
      </c>
      <c r="B145" s="92" t="inlineStr">
        <is>
          <t>پارسان</t>
        </is>
      </c>
      <c r="C145" s="92" t="inlineStr">
        <is>
          <t>نمای مالی FYE1404</t>
        </is>
      </c>
      <c r="D145" s="92" t="inlineStr">
        <is>
          <t>P-F09275F4</t>
        </is>
      </c>
      <c r="E145" s="92" t="inlineStr">
        <is>
          <t>سیدجعفر هاشمی</t>
        </is>
      </c>
      <c r="F145" s="92" t="inlineStr">
        <is>
          <t>سیدجعفر هاشمی</t>
        </is>
      </c>
      <c r="G145" s="92" t="inlineStr">
        <is>
          <t>نامشخص (فهرست اسمی مبنا در دسترس نیست)</t>
        </is>
      </c>
      <c r="H145" s="92" t="inlineStr">
        <is>
          <t>حاضر در مقطع 1404/06/31</t>
        </is>
      </c>
      <c r="I145" s="92" t="inlineStr">
        <is>
          <t>FISCAL_PRESENT_AT_BASE</t>
        </is>
      </c>
      <c r="J145" s="92" t="inlineStr">
        <is>
          <t>نمای مالی: حاضر در مبنا طبق پیوستگی تصدی v41</t>
        </is>
      </c>
      <c r="K145" s="92" t="inlineStr"/>
      <c r="L145" s="92" t="inlineStr">
        <is>
          <t>عضو هیئت مدیره</t>
        </is>
      </c>
      <c r="M145" s="92" t="inlineStr"/>
      <c r="N145" s="92" t="inlineStr">
        <is>
          <t>سرمایه گذاری غدیر</t>
        </is>
      </c>
      <c r="O145" s="92" t="inlineStr"/>
      <c r="P145" s="92" t="inlineStr"/>
      <c r="Q145" s="92" t="inlineStr"/>
      <c r="R145" s="92" t="inlineStr"/>
      <c r="S145" s="92" t="inlineStr">
        <is>
          <t>SRC_PRSN_1404_007</t>
        </is>
      </c>
      <c r="T145" s="92" t="inlineStr">
        <is>
          <t>INTERVAL؛ بازه 1402/02/14 تا 1403/02/24</t>
        </is>
      </c>
      <c r="U145" s="92" t="inlineStr">
        <is>
          <t>استنباطی از تصدی</t>
        </is>
      </c>
      <c r="V145" s="92" t="inlineStr">
        <is>
          <t>حاضر در مبنا بر پایه پیوستگی (کران بالا تا 1403/12/29)؛ فقط تا افق FYE</t>
        </is>
      </c>
    </row>
    <row r="146" ht="34" customHeight="1" s="76">
      <c r="A146" s="92" t="inlineStr">
        <is>
          <t>PF0143</t>
        </is>
      </c>
      <c r="B146" s="92" t="inlineStr">
        <is>
          <t>پارسان</t>
        </is>
      </c>
      <c r="C146" s="92" t="inlineStr">
        <is>
          <t>نمای مالی FYE1404</t>
        </is>
      </c>
      <c r="D146" s="92" t="inlineStr">
        <is>
          <t>P-71B57E34</t>
        </is>
      </c>
      <c r="E146" s="92" t="inlineStr">
        <is>
          <t>رحیم اسماعیلی دانا</t>
        </is>
      </c>
      <c r="F146" s="92" t="inlineStr">
        <is>
          <t>رحیم اسماعیلی دانا</t>
        </is>
      </c>
      <c r="G146" s="92" t="inlineStr">
        <is>
          <t>نامشخص (فهرست اسمی مبنا در دسترس نیست)</t>
        </is>
      </c>
      <c r="H146" s="92" t="inlineStr">
        <is>
          <t>حاضر در مقطع 1404/06/31</t>
        </is>
      </c>
      <c r="I146" s="92" t="inlineStr">
        <is>
          <t>FISCAL_PRESENT_AT_BASE</t>
        </is>
      </c>
      <c r="J146" s="92" t="inlineStr">
        <is>
          <t>نمای مالی: حاضر در مبنا طبق پیوستگی تصدی v41</t>
        </is>
      </c>
      <c r="K146" s="92" t="inlineStr"/>
      <c r="L146" s="92" t="inlineStr">
        <is>
          <t>نایب رئیس هیئت مدیره</t>
        </is>
      </c>
      <c r="M146" s="92" t="inlineStr"/>
      <c r="N146" s="92" t="inlineStr">
        <is>
          <t>سرمایه گذاری اعتضاد غدیر</t>
        </is>
      </c>
      <c r="O146" s="92" t="inlineStr"/>
      <c r="P146" s="92" t="inlineStr"/>
      <c r="Q146" s="92" t="inlineStr"/>
      <c r="R146" s="92" t="inlineStr"/>
      <c r="S146" s="92" t="inlineStr">
        <is>
          <t>SRC_PRSN_1404_007</t>
        </is>
      </c>
      <c r="T146" s="92" t="inlineStr">
        <is>
          <t>EXACT؛ شروع 1390/07/12</t>
        </is>
      </c>
      <c r="U146" s="92" t="inlineStr">
        <is>
          <t>استنباطی از تصدی</t>
        </is>
      </c>
      <c r="V146" s="92" t="inlineStr">
        <is>
          <t>حاضر در مبنا بر پایه پیوستگی (شروع دقیق تا 1403/12/29)؛ فقط تا افق FYE</t>
        </is>
      </c>
    </row>
    <row r="147" ht="34" customHeight="1" s="76">
      <c r="A147" s="95" t="inlineStr">
        <is>
          <t>PF0144</t>
        </is>
      </c>
      <c r="B147" s="95" t="inlineStr">
        <is>
          <t>پارسان</t>
        </is>
      </c>
      <c r="C147" s="95" t="inlineStr">
        <is>
          <t>نمای مالی FYE1404</t>
        </is>
      </c>
      <c r="D147" s="95" t="inlineStr">
        <is>
          <t>P-669EA9C7</t>
        </is>
      </c>
      <c r="E147" s="95" t="inlineStr">
        <is>
          <t>علی مهری پرگو</t>
        </is>
      </c>
      <c r="F147" s="95" t="inlineStr">
        <is>
          <t>علی مهری پرگو</t>
        </is>
      </c>
      <c r="G147" s="95" t="inlineStr">
        <is>
          <t>نامشخص (فهرست اسمی مبنا در دسترس نیست)</t>
        </is>
      </c>
      <c r="H147" s="95" t="inlineStr">
        <is>
          <t>حاضر در مقطع 1404/06/31</t>
        </is>
      </c>
      <c r="I147" s="95" t="inlineStr">
        <is>
          <t>FISCAL_ENTRY_AFTER_BASE</t>
        </is>
      </c>
      <c r="J147" s="95" t="inlineStr">
        <is>
          <t>نمای مالی: ورود پس از مبنا طبق تصدی v41</t>
        </is>
      </c>
      <c r="K147" s="95" t="inlineStr"/>
      <c r="L147" s="95" t="inlineStr">
        <is>
          <t>عضو هیئت مدیره</t>
        </is>
      </c>
      <c r="M147" s="95" t="inlineStr"/>
      <c r="N147" s="95" t="inlineStr">
        <is>
          <t>دریابان جنوب ایران کیش</t>
        </is>
      </c>
      <c r="O147" s="95" t="inlineStr"/>
      <c r="P147" s="95" t="inlineStr"/>
      <c r="Q147" s="95" t="inlineStr"/>
      <c r="R147" s="95" t="inlineStr"/>
      <c r="S147" s="95" t="inlineStr">
        <is>
          <t>SRC_PRSN_1404_007</t>
        </is>
      </c>
      <c r="T147" s="95" t="inlineStr">
        <is>
          <t>EXACT؛ شروع 1404/02/24</t>
        </is>
      </c>
      <c r="U147" s="95" t="inlineStr">
        <is>
          <t>استنباطی از تصدی</t>
        </is>
      </c>
      <c r="V147" s="95" t="inlineStr">
        <is>
          <t>ورود پس از مبنا (شروع دقیق پس از 1403/12/29)؛ فقط تا افق FYE</t>
        </is>
      </c>
    </row>
    <row r="148" ht="34" customHeight="1" s="76">
      <c r="A148" s="95" t="inlineStr">
        <is>
          <t>PF0145</t>
        </is>
      </c>
      <c r="B148" s="95" t="inlineStr">
        <is>
          <t>پارسان</t>
        </is>
      </c>
      <c r="C148" s="95" t="inlineStr">
        <is>
          <t>نمای مالی FYE1404</t>
        </is>
      </c>
      <c r="D148" s="95" t="inlineStr">
        <is>
          <t>P-DFFE11D7</t>
        </is>
      </c>
      <c r="E148" s="95" t="inlineStr">
        <is>
          <t>علیرضا غلامی</t>
        </is>
      </c>
      <c r="F148" s="95" t="inlineStr">
        <is>
          <t>علیرضا غلامی</t>
        </is>
      </c>
      <c r="G148" s="95" t="inlineStr">
        <is>
          <t>نامشخص (فهرست اسمی مبنا در دسترس نیست)</t>
        </is>
      </c>
      <c r="H148" s="95" t="inlineStr">
        <is>
          <t>حاضر در مقطع 1404/06/31</t>
        </is>
      </c>
      <c r="I148" s="95" t="inlineStr">
        <is>
          <t>FISCAL_ENTRY_AFTER_BASE</t>
        </is>
      </c>
      <c r="J148" s="95" t="inlineStr">
        <is>
          <t>نمای مالی: ورود پس از مبنا طبق تصدی v41</t>
        </is>
      </c>
      <c r="K148" s="95" t="inlineStr"/>
      <c r="L148" s="95" t="inlineStr">
        <is>
          <t>عضو هیئت مدیره</t>
        </is>
      </c>
      <c r="M148" s="95" t="inlineStr"/>
      <c r="N148" s="95" t="inlineStr">
        <is>
          <t>صنعتی و بازرگانی غدیر</t>
        </is>
      </c>
      <c r="O148" s="95" t="inlineStr"/>
      <c r="P148" s="95" t="inlineStr"/>
      <c r="Q148" s="95" t="inlineStr"/>
      <c r="R148" s="95" t="inlineStr"/>
      <c r="S148" s="95" t="inlineStr">
        <is>
          <t>SRC_PRSN_1404_007</t>
        </is>
      </c>
      <c r="T148" s="95" t="inlineStr">
        <is>
          <t>EXACT؛ شروع 1404/02/24</t>
        </is>
      </c>
      <c r="U148" s="95" t="inlineStr">
        <is>
          <t>استنباطی از تصدی</t>
        </is>
      </c>
      <c r="V148" s="95" t="inlineStr">
        <is>
          <t>ورود پس از مبنا (شروع دقیق پس از 1403/12/29)؛ فقط تا افق FYE</t>
        </is>
      </c>
    </row>
    <row r="149" ht="34" customHeight="1" s="76">
      <c r="A149" s="92" t="inlineStr">
        <is>
          <t>PF0146</t>
        </is>
      </c>
      <c r="B149" s="92" t="inlineStr">
        <is>
          <t>پارسان</t>
        </is>
      </c>
      <c r="C149" s="92" t="inlineStr">
        <is>
          <t>نمای مالی FYE1404</t>
        </is>
      </c>
      <c r="D149" s="92" t="inlineStr">
        <is>
          <t>P-EAB6FDB5</t>
        </is>
      </c>
      <c r="E149" s="92" t="inlineStr">
        <is>
          <t>احد امیری</t>
        </is>
      </c>
      <c r="F149" s="92" t="inlineStr">
        <is>
          <t>احد امیری</t>
        </is>
      </c>
      <c r="G149" s="92" t="inlineStr">
        <is>
          <t>نامشخص (فهرست اسمی مبنا در دسترس نیست)</t>
        </is>
      </c>
      <c r="H149" s="92" t="inlineStr">
        <is>
          <t>حاضر در مقطع 1404/06/31</t>
        </is>
      </c>
      <c r="I149" s="92" t="inlineStr">
        <is>
          <t>FISCAL_PRESENT_AT_BASE</t>
        </is>
      </c>
      <c r="J149" s="92" t="inlineStr">
        <is>
          <t>نمای مالی: حاضر در مبنا طبق پیوستگی تصدی v41</t>
        </is>
      </c>
      <c r="K149" s="92" t="inlineStr"/>
      <c r="L149" s="92" t="inlineStr">
        <is>
          <t>رئیس هیئت مدیره</t>
        </is>
      </c>
      <c r="M149" s="92" t="inlineStr"/>
      <c r="N149" s="92" t="inlineStr">
        <is>
          <t>سرمایه گذاری مهرگان تامین پارس</t>
        </is>
      </c>
      <c r="O149" s="92" t="inlineStr"/>
      <c r="P149" s="92" t="inlineStr"/>
      <c r="Q149" s="92" t="inlineStr"/>
      <c r="R149" s="92" t="inlineStr"/>
      <c r="S149" s="92" t="inlineStr">
        <is>
          <t>SRC_PRSN_1404_007</t>
        </is>
      </c>
      <c r="T149" s="92" t="inlineStr">
        <is>
          <t>EXACT؛ شروع 1402/07/22</t>
        </is>
      </c>
      <c r="U149" s="92" t="inlineStr">
        <is>
          <t>استنباطی از تصدی</t>
        </is>
      </c>
      <c r="V149" s="92" t="inlineStr">
        <is>
          <t>حاضر در مبنا بر پایه پیوستگی (شروع دقیق تا 1403/12/29)؛ فقط تا افق FYE</t>
        </is>
      </c>
    </row>
    <row r="150" ht="34" customHeight="1" s="76">
      <c r="A150" s="92" t="inlineStr">
        <is>
          <t>PF0147</t>
        </is>
      </c>
      <c r="B150" s="92" t="inlineStr">
        <is>
          <t>اخابر</t>
        </is>
      </c>
      <c r="C150" s="92" t="inlineStr">
        <is>
          <t>نمای مالی FYE1404</t>
        </is>
      </c>
      <c r="D150" s="92" t="inlineStr">
        <is>
          <t>P-6620C6FF</t>
        </is>
      </c>
      <c r="E150" s="92" t="inlineStr">
        <is>
          <t>محمد جعفرپورترشیزی</t>
        </is>
      </c>
      <c r="F150" s="92" t="inlineStr">
        <is>
          <t>محمد جعفرپورترشیزی</t>
        </is>
      </c>
      <c r="G150" s="92" t="inlineStr">
        <is>
          <t>نامشخص (فهرست اسمی مبنا در دسترس نیست)</t>
        </is>
      </c>
      <c r="H150" s="92" t="inlineStr">
        <is>
          <t>حاضر در مقطع 1404/12/29</t>
        </is>
      </c>
      <c r="I150" s="92" t="inlineStr">
        <is>
          <t>FISCAL_PRESENT_AT_BASE</t>
        </is>
      </c>
      <c r="J150" s="92" t="inlineStr">
        <is>
          <t>نمای مالی: حاضر در مبنا طبق پیوستگی تصدی v41</t>
        </is>
      </c>
      <c r="K150" s="92" t="inlineStr"/>
      <c r="L150" s="92" t="inlineStr">
        <is>
          <t>عضو هیئت مدیره</t>
        </is>
      </c>
      <c r="M150" s="92" t="inlineStr"/>
      <c r="N150" s="92" t="inlineStr">
        <is>
          <t>وزارت امور اقتصادی و دارایی</t>
        </is>
      </c>
      <c r="O150" s="92" t="inlineStr"/>
      <c r="P150" s="92" t="inlineStr"/>
      <c r="Q150" s="92" t="inlineStr"/>
      <c r="R150" s="92" t="inlineStr"/>
      <c r="S150" s="92" t="inlineStr">
        <is>
          <t>SRC_AKHB_1404_001</t>
        </is>
      </c>
      <c r="T150" s="92" t="inlineStr">
        <is>
          <t>EXACT؛ شروع 1403/06/21</t>
        </is>
      </c>
      <c r="U150" s="92" t="inlineStr">
        <is>
          <t>استنباطی از تصدی</t>
        </is>
      </c>
      <c r="V150" s="92" t="inlineStr">
        <is>
          <t>حاضر در مبنا بر پایه پیوستگی (شروع دقیق تا 1403/12/29)</t>
        </is>
      </c>
    </row>
    <row r="151" ht="34" customHeight="1" s="76">
      <c r="A151" s="92" t="inlineStr">
        <is>
          <t>PF0148</t>
        </is>
      </c>
      <c r="B151" s="92" t="inlineStr">
        <is>
          <t>اخابر</t>
        </is>
      </c>
      <c r="C151" s="92" t="inlineStr">
        <is>
          <t>نمای مالی FYE1404</t>
        </is>
      </c>
      <c r="D151" s="92" t="inlineStr">
        <is>
          <t>P-83AE22BE</t>
        </is>
      </c>
      <c r="E151" s="92" t="inlineStr">
        <is>
          <t>سیداسداله دهناد</t>
        </is>
      </c>
      <c r="F151" s="92" t="inlineStr">
        <is>
          <t>سیداسداله دهناد</t>
        </is>
      </c>
      <c r="G151" s="92" t="inlineStr">
        <is>
          <t>نامشخص (فهرست اسمی مبنا در دسترس نیست)</t>
        </is>
      </c>
      <c r="H151" s="92" t="inlineStr">
        <is>
          <t>حاضر در مقطع 1404/12/29</t>
        </is>
      </c>
      <c r="I151" s="92" t="inlineStr">
        <is>
          <t>FISCAL_PRESENT_AT_BASE</t>
        </is>
      </c>
      <c r="J151" s="92" t="inlineStr">
        <is>
          <t>نمای مالی: حاضر در مبنا طبق پیوستگی تصدی v41</t>
        </is>
      </c>
      <c r="K151" s="92" t="inlineStr"/>
      <c r="L151" s="92" t="inlineStr">
        <is>
          <t>نایب رئیس هیئت مدیره</t>
        </is>
      </c>
      <c r="M151" s="92" t="inlineStr"/>
      <c r="N151" s="92" t="inlineStr">
        <is>
          <t>توسعه اعتماد مبین</t>
        </is>
      </c>
      <c r="O151" s="92" t="inlineStr"/>
      <c r="P151" s="92" t="inlineStr"/>
      <c r="Q151" s="92" t="inlineStr"/>
      <c r="R151" s="92" t="inlineStr"/>
      <c r="S151" s="92" t="inlineStr">
        <is>
          <t>SRC_AKHB_1404_001</t>
        </is>
      </c>
      <c r="T151" s="92" t="inlineStr">
        <is>
          <t>MIN_CONTINUOUS؛ لنگر 1401/01/17</t>
        </is>
      </c>
      <c r="U151" s="92" t="inlineStr">
        <is>
          <t>استنباطی از تصدی</t>
        </is>
      </c>
      <c r="V151" s="92" t="inlineStr">
        <is>
          <t>حاضر در مبنا بر پایه حداقل پیوستگی (لنگر تا 1403/12/29)</t>
        </is>
      </c>
    </row>
    <row r="152" ht="34" customHeight="1" s="76">
      <c r="A152" s="95" t="inlineStr">
        <is>
          <t>PF0149</t>
        </is>
      </c>
      <c r="B152" s="95" t="inlineStr">
        <is>
          <t>اخابر</t>
        </is>
      </c>
      <c r="C152" s="95" t="inlineStr">
        <is>
          <t>نمای مالی FYE1404</t>
        </is>
      </c>
      <c r="D152" s="95" t="inlineStr">
        <is>
          <t>P-295CE1B4</t>
        </is>
      </c>
      <c r="E152" s="95" t="inlineStr">
        <is>
          <t>رضا خضردوست</t>
        </is>
      </c>
      <c r="F152" s="95" t="inlineStr">
        <is>
          <t>رضا خضردوست</t>
        </is>
      </c>
      <c r="G152" s="95" t="inlineStr">
        <is>
          <t>نامشخص (فهرست اسمی مبنا در دسترس نیست)</t>
        </is>
      </c>
      <c r="H152" s="95" t="inlineStr">
        <is>
          <t>حاضر در مقطع 1404/12/29</t>
        </is>
      </c>
      <c r="I152" s="95" t="inlineStr">
        <is>
          <t>FISCAL_ENTRY_AFTER_BASE</t>
        </is>
      </c>
      <c r="J152" s="95" t="inlineStr">
        <is>
          <t>نمای مالی: ورود پس از مبنا طبق تصدی v41</t>
        </is>
      </c>
      <c r="K152" s="95" t="inlineStr"/>
      <c r="L152" s="95" t="inlineStr">
        <is>
          <t>عضو هیئت مدیره</t>
        </is>
      </c>
      <c r="M152" s="95" t="inlineStr"/>
      <c r="N152" s="95" t="inlineStr">
        <is>
          <t>سرمایه گذاری استان تهران</t>
        </is>
      </c>
      <c r="O152" s="95" t="inlineStr"/>
      <c r="P152" s="95" t="inlineStr"/>
      <c r="Q152" s="95" t="inlineStr"/>
      <c r="R152" s="95" t="inlineStr"/>
      <c r="S152" s="95" t="inlineStr">
        <is>
          <t>SRC_AKHB_1404_001</t>
        </is>
      </c>
      <c r="T152" s="95" t="inlineStr">
        <is>
          <t>EXACT؛ شروع 1404/08/13</t>
        </is>
      </c>
      <c r="U152" s="95" t="inlineStr">
        <is>
          <t>استنباطی از تصدی</t>
        </is>
      </c>
      <c r="V152" s="95" t="inlineStr">
        <is>
          <t>ورود پس از مبنا (شروع دقیق پس از 1403/12/29)</t>
        </is>
      </c>
    </row>
    <row r="153" ht="34" customHeight="1" s="76">
      <c r="A153" s="92" t="inlineStr">
        <is>
          <t>PF0150</t>
        </is>
      </c>
      <c r="B153" s="92" t="inlineStr">
        <is>
          <t>اخابر</t>
        </is>
      </c>
      <c r="C153" s="92" t="inlineStr">
        <is>
          <t>نمای مالی FYE1404</t>
        </is>
      </c>
      <c r="D153" s="92" t="inlineStr">
        <is>
          <t>P-49126898</t>
        </is>
      </c>
      <c r="E153" s="92" t="inlineStr">
        <is>
          <t>ابراهیم محمودزاده</t>
        </is>
      </c>
      <c r="F153" s="92" t="inlineStr">
        <is>
          <t>ابراهیم محمودزاده</t>
        </is>
      </c>
      <c r="G153" s="92" t="inlineStr">
        <is>
          <t>نامشخص (فهرست اسمی مبنا در دسترس نیست)</t>
        </is>
      </c>
      <c r="H153" s="92" t="inlineStr">
        <is>
          <t>حاضر در مقطع 1404/12/29</t>
        </is>
      </c>
      <c r="I153" s="92" t="inlineStr">
        <is>
          <t>FISCAL_PRESENT_AT_BASE</t>
        </is>
      </c>
      <c r="J153" s="92" t="inlineStr">
        <is>
          <t>نمای مالی: حاضر در مبنا طبق پیوستگی تصدی v41</t>
        </is>
      </c>
      <c r="K153" s="92" t="inlineStr"/>
      <c r="L153" s="92" t="inlineStr">
        <is>
          <t>رئیس هیئت مدیره</t>
        </is>
      </c>
      <c r="M153" s="92" t="inlineStr"/>
      <c r="N153" s="92" t="inlineStr">
        <is>
          <t>فراز و فرود اقتصاد آینده</t>
        </is>
      </c>
      <c r="O153" s="92" t="inlineStr"/>
      <c r="P153" s="92" t="inlineStr"/>
      <c r="Q153" s="92" t="inlineStr"/>
      <c r="R153" s="92" t="inlineStr"/>
      <c r="S153" s="92" t="inlineStr">
        <is>
          <t>SRC_AKHB_1404_001</t>
        </is>
      </c>
      <c r="T153" s="92" t="inlineStr">
        <is>
          <t>MIN_CONTINUOUS؛ لنگر 1401/01/17</t>
        </is>
      </c>
      <c r="U153" s="92" t="inlineStr">
        <is>
          <t>استنباطی از تصدی</t>
        </is>
      </c>
      <c r="V153" s="92" t="inlineStr">
        <is>
          <t>حاضر در مبنا بر پایه حداقل پیوستگی (لنگر تا 1403/12/29)</t>
        </is>
      </c>
    </row>
    <row r="154" ht="34" customHeight="1" s="76">
      <c r="A154" s="92" t="inlineStr">
        <is>
          <t>PF0151</t>
        </is>
      </c>
      <c r="B154" s="92" t="inlineStr">
        <is>
          <t>اخابر</t>
        </is>
      </c>
      <c r="C154" s="92" t="inlineStr">
        <is>
          <t>نمای مالی FYE1404</t>
        </is>
      </c>
      <c r="D154" s="92" t="inlineStr">
        <is>
          <t>P-6DDE9BA1</t>
        </is>
      </c>
      <c r="E154" s="92" t="inlineStr">
        <is>
          <t>علی اصغر طراوتی</t>
        </is>
      </c>
      <c r="F154" s="92" t="inlineStr">
        <is>
          <t>علی اصغر طراوتی</t>
        </is>
      </c>
      <c r="G154" s="92" t="inlineStr">
        <is>
          <t>نامشخص (فهرست اسمی مبنا در دسترس نیست)</t>
        </is>
      </c>
      <c r="H154" s="92" t="inlineStr">
        <is>
          <t>حاضر در مقطع 1404/12/29</t>
        </is>
      </c>
      <c r="I154" s="92" t="inlineStr">
        <is>
          <t>FISCAL_PRESENT_AT_BASE</t>
        </is>
      </c>
      <c r="J154" s="92" t="inlineStr">
        <is>
          <t>نمای مالی: حاضر در مبنا طبق پیوستگی تصدی v41</t>
        </is>
      </c>
      <c r="K154" s="92" t="inlineStr"/>
      <c r="L154" s="92" t="inlineStr">
        <is>
          <t>عضو هیئت مدیره</t>
        </is>
      </c>
      <c r="M154" s="92" t="inlineStr"/>
      <c r="N154" s="92" t="inlineStr">
        <is>
          <t>امین اعتماد پیشرو</t>
        </is>
      </c>
      <c r="O154" s="92" t="inlineStr"/>
      <c r="P154" s="92" t="inlineStr"/>
      <c r="Q154" s="92" t="inlineStr"/>
      <c r="R154" s="92" t="inlineStr"/>
      <c r="S154" s="92" t="inlineStr">
        <is>
          <t>SRC_AKHB_1404_001</t>
        </is>
      </c>
      <c r="T154" s="92" t="inlineStr">
        <is>
          <t>MIN_CONTINUOUS؛ لنگر 1401/01/17</t>
        </is>
      </c>
      <c r="U154" s="92" t="inlineStr">
        <is>
          <t>استنباطی از تصدی</t>
        </is>
      </c>
      <c r="V154" s="92" t="inlineStr">
        <is>
          <t>حاضر در مبنا بر پایه حداقل پیوستگی (لنگر تا 1403/12/29)</t>
        </is>
      </c>
    </row>
    <row r="155" ht="34" customHeight="1" s="76">
      <c r="A155" s="92" t="inlineStr">
        <is>
          <t>PF0152</t>
        </is>
      </c>
      <c r="B155" s="92" t="inlineStr">
        <is>
          <t>جم</t>
        </is>
      </c>
      <c r="C155" s="92" t="inlineStr">
        <is>
          <t>نمای مالی FYE1404</t>
        </is>
      </c>
      <c r="D155" s="92" t="inlineStr">
        <is>
          <t>P-036E3F71</t>
        </is>
      </c>
      <c r="E155" s="92" t="inlineStr">
        <is>
          <t>امیر اکبری</t>
        </is>
      </c>
      <c r="F155" s="92" t="inlineStr">
        <is>
          <t>امیر اکبری</t>
        </is>
      </c>
      <c r="G155" s="92" t="inlineStr">
        <is>
          <t>نامشخص (فهرست اسمی مبنا در دسترس نیست)</t>
        </is>
      </c>
      <c r="H155" s="92" t="inlineStr">
        <is>
          <t>حاضر در مقطع 1404/12/29</t>
        </is>
      </c>
      <c r="I155" s="92" t="inlineStr">
        <is>
          <t>FISCAL_PRESENT_AT_BASE</t>
        </is>
      </c>
      <c r="J155" s="92" t="inlineStr">
        <is>
          <t>نمای مالی: حاضر در مبنا طبق پیوستگی تصدی v41</t>
        </is>
      </c>
      <c r="K155" s="92" t="inlineStr"/>
      <c r="L155" s="92" t="inlineStr">
        <is>
          <t>نایب رئیس هیئت مدیره</t>
        </is>
      </c>
      <c r="M155" s="92" t="inlineStr"/>
      <c r="N155" s="92" t="inlineStr">
        <is>
          <t>صبا انرژی جهان گستر</t>
        </is>
      </c>
      <c r="O155" s="92" t="inlineStr"/>
      <c r="P155" s="92" t="inlineStr"/>
      <c r="Q155" s="92" t="inlineStr"/>
      <c r="R155" s="92" t="inlineStr"/>
      <c r="S155" s="92" t="inlineStr">
        <is>
          <t>SRC_JAM_1404_001</t>
        </is>
      </c>
      <c r="T155" s="92" t="inlineStr">
        <is>
          <t>EXACT؛ شروع 1402/12/28</t>
        </is>
      </c>
      <c r="U155" s="92" t="inlineStr">
        <is>
          <t>استنباطی از تصدی</t>
        </is>
      </c>
      <c r="V155" s="92" t="inlineStr">
        <is>
          <t>حاضر در مبنا بر پایه پیوستگی (شروع دقیق تا 1403/12/29)</t>
        </is>
      </c>
    </row>
    <row r="156" ht="34" customHeight="1" s="76">
      <c r="A156" s="92" t="inlineStr">
        <is>
          <t>PF0153</t>
        </is>
      </c>
      <c r="B156" s="92" t="inlineStr">
        <is>
          <t>جم</t>
        </is>
      </c>
      <c r="C156" s="92" t="inlineStr">
        <is>
          <t>نمای مالی FYE1404</t>
        </is>
      </c>
      <c r="D156" s="92" t="inlineStr">
        <is>
          <t>P-381F6276</t>
        </is>
      </c>
      <c r="E156" s="92" t="inlineStr">
        <is>
          <t>محمدسجاد سیاهکارزاده</t>
        </is>
      </c>
      <c r="F156" s="92" t="inlineStr">
        <is>
          <t>محمدسجاد سیاهکارزاده</t>
        </is>
      </c>
      <c r="G156" s="92" t="inlineStr">
        <is>
          <t>نامشخص (فهرست اسمی مبنا در دسترس نیست)</t>
        </is>
      </c>
      <c r="H156" s="92" t="inlineStr">
        <is>
          <t>حاضر در مقطع 1404/12/29</t>
        </is>
      </c>
      <c r="I156" s="92" t="inlineStr">
        <is>
          <t>FISCAL_PRESENT_AT_BASE</t>
        </is>
      </c>
      <c r="J156" s="92" t="inlineStr">
        <is>
          <t>نمای مالی: حاضر در مبنا طبق پیوستگی تصدی v41</t>
        </is>
      </c>
      <c r="K156" s="92" t="inlineStr"/>
      <c r="L156" s="92" t="inlineStr">
        <is>
          <t>رئیس هیئت مدیره</t>
        </is>
      </c>
      <c r="M156" s="92" t="inlineStr"/>
      <c r="N156" s="92" t="inlineStr">
        <is>
          <t>کاوشگران بازار سرمایه</t>
        </is>
      </c>
      <c r="O156" s="92" t="inlineStr"/>
      <c r="P156" s="92" t="inlineStr"/>
      <c r="Q156" s="92" t="inlineStr"/>
      <c r="R156" s="92" t="inlineStr"/>
      <c r="S156" s="92" t="inlineStr">
        <is>
          <t>SRC_JAM_1404_001</t>
        </is>
      </c>
      <c r="T156" s="92" t="inlineStr">
        <is>
          <t>MIN_CONTINUOUS؛ لنگر 1401/01/10</t>
        </is>
      </c>
      <c r="U156" s="92" t="inlineStr">
        <is>
          <t>استنباطی از تصدی</t>
        </is>
      </c>
      <c r="V156" s="92" t="inlineStr">
        <is>
          <t>حاضر در مبنا بر پایه حداقل پیوستگی (لنگر تا 1403/12/29)</t>
        </is>
      </c>
    </row>
    <row r="157" ht="34" customHeight="1" s="76">
      <c r="A157" s="92" t="inlineStr">
        <is>
          <t>PF0154</t>
        </is>
      </c>
      <c r="B157" s="92" t="inlineStr">
        <is>
          <t>جم</t>
        </is>
      </c>
      <c r="C157" s="92" t="inlineStr">
        <is>
          <t>نمای مالی FYE1404</t>
        </is>
      </c>
      <c r="D157" s="92" t="inlineStr">
        <is>
          <t>P-AC090FE6</t>
        </is>
      </c>
      <c r="E157" s="92" t="inlineStr">
        <is>
          <t>مهدی قربانی</t>
        </is>
      </c>
      <c r="F157" s="92" t="inlineStr">
        <is>
          <t>مهدی قربانی</t>
        </is>
      </c>
      <c r="G157" s="92" t="inlineStr">
        <is>
          <t>نامشخص (فهرست اسمی مبنا در دسترس نیست)</t>
        </is>
      </c>
      <c r="H157" s="92" t="inlineStr">
        <is>
          <t>حاضر در مقطع 1404/12/29</t>
        </is>
      </c>
      <c r="I157" s="92" t="inlineStr">
        <is>
          <t>FISCAL_PRESENT_AT_BASE</t>
        </is>
      </c>
      <c r="J157" s="92" t="inlineStr">
        <is>
          <t>نمای مالی: حاضر در مبنا طبق پیوستگی تصدی v41</t>
        </is>
      </c>
      <c r="K157" s="92" t="inlineStr"/>
      <c r="L157" s="92" t="inlineStr">
        <is>
          <t>عضو هیئت مدیره</t>
        </is>
      </c>
      <c r="M157" s="92" t="inlineStr"/>
      <c r="N157" s="92" t="inlineStr">
        <is>
          <t>سرمایه گذاری استان اردبیل</t>
        </is>
      </c>
      <c r="O157" s="92" t="inlineStr"/>
      <c r="P157" s="92" t="inlineStr"/>
      <c r="Q157" s="92" t="inlineStr"/>
      <c r="R157" s="92" t="inlineStr"/>
      <c r="S157" s="92" t="inlineStr">
        <is>
          <t>SRC_JAM_1404_001</t>
        </is>
      </c>
      <c r="T157" s="92" t="inlineStr">
        <is>
          <t>EXACT؛ شروع 1402/08/07</t>
        </is>
      </c>
      <c r="U157" s="92" t="inlineStr">
        <is>
          <t>استنباطی از تصدی</t>
        </is>
      </c>
      <c r="V157" s="92" t="inlineStr">
        <is>
          <t>حاضر در مبنا بر پایه پیوستگی (شروع دقیق تا 1403/12/29)</t>
        </is>
      </c>
    </row>
    <row r="158" ht="34" customHeight="1" s="76">
      <c r="A158" s="95" t="inlineStr">
        <is>
          <t>PF0155</t>
        </is>
      </c>
      <c r="B158" s="95" t="inlineStr">
        <is>
          <t>جم</t>
        </is>
      </c>
      <c r="C158" s="95" t="inlineStr">
        <is>
          <t>نمای مالی FYE1404</t>
        </is>
      </c>
      <c r="D158" s="95" t="inlineStr">
        <is>
          <t>P-4CA95D51</t>
        </is>
      </c>
      <c r="E158" s="95" t="inlineStr">
        <is>
          <t>حسن معینی</t>
        </is>
      </c>
      <c r="F158" s="95" t="inlineStr">
        <is>
          <t>حسن معینی</t>
        </is>
      </c>
      <c r="G158" s="95" t="inlineStr">
        <is>
          <t>نامشخص (فهرست اسمی مبنا در دسترس نیست)</t>
        </is>
      </c>
      <c r="H158" s="95" t="inlineStr">
        <is>
          <t>حاضر در مقطع 1404/12/29</t>
        </is>
      </c>
      <c r="I158" s="95" t="inlineStr">
        <is>
          <t>FISCAL_ENTRY_AFTER_BASE</t>
        </is>
      </c>
      <c r="J158" s="95" t="inlineStr">
        <is>
          <t>نمای مالی: ورود پس از مبنا طبق تصدی v41</t>
        </is>
      </c>
      <c r="K158" s="95" t="inlineStr"/>
      <c r="L158" s="95" t="inlineStr">
        <is>
          <t>عضو هیئت مدیره</t>
        </is>
      </c>
      <c r="M158" s="95" t="inlineStr"/>
      <c r="N158" s="95" t="inlineStr">
        <is>
          <t>خدمات گستر صبا انرژی</t>
        </is>
      </c>
      <c r="O158" s="95" t="inlineStr"/>
      <c r="P158" s="95" t="inlineStr"/>
      <c r="Q158" s="95" t="inlineStr"/>
      <c r="R158" s="95" t="inlineStr"/>
      <c r="S158" s="95" t="inlineStr">
        <is>
          <t>SRC_JAM_1404_001</t>
        </is>
      </c>
      <c r="T158" s="95" t="inlineStr">
        <is>
          <t>EXACT؛ شروع 1404/12/25</t>
        </is>
      </c>
      <c r="U158" s="95" t="inlineStr">
        <is>
          <t>استنباطی از تصدی</t>
        </is>
      </c>
      <c r="V158" s="95" t="inlineStr">
        <is>
          <t>ورود پس از مبنا (شروع دقیق پس از 1403/12/29)</t>
        </is>
      </c>
    </row>
    <row r="159" ht="34" customHeight="1" s="76">
      <c r="A159" s="92" t="inlineStr">
        <is>
          <t>PF0156</t>
        </is>
      </c>
      <c r="B159" s="92" t="inlineStr">
        <is>
          <t>جم</t>
        </is>
      </c>
      <c r="C159" s="92" t="inlineStr">
        <is>
          <t>نمای مالی FYE1404</t>
        </is>
      </c>
      <c r="D159" s="92" t="inlineStr">
        <is>
          <t>P-FF72D32A</t>
        </is>
      </c>
      <c r="E159" s="92" t="inlineStr">
        <is>
          <t>متین دیداری</t>
        </is>
      </c>
      <c r="F159" s="92" t="inlineStr">
        <is>
          <t>متین دیداری</t>
        </is>
      </c>
      <c r="G159" s="92" t="inlineStr">
        <is>
          <t>نامشخص (فهرست اسمی مبنا در دسترس نیست)</t>
        </is>
      </c>
      <c r="H159" s="92" t="inlineStr">
        <is>
          <t>حاضر در مقطع 1404/12/29</t>
        </is>
      </c>
      <c r="I159" s="92" t="inlineStr">
        <is>
          <t>FISCAL_PRESENT_AT_BASE</t>
        </is>
      </c>
      <c r="J159" s="92" t="inlineStr">
        <is>
          <t>نمای مالی: حاضر در مبنا طبق پیوستگی تصدی v41</t>
        </is>
      </c>
      <c r="K159" s="92" t="inlineStr"/>
      <c r="L159" s="92" t="inlineStr">
        <is>
          <t>عضو هیئت مدیره</t>
        </is>
      </c>
      <c r="M159" s="92" t="inlineStr"/>
      <c r="N159" s="92" t="inlineStr">
        <is>
          <t>گسترش تجارت هامون</t>
        </is>
      </c>
      <c r="O159" s="92" t="inlineStr"/>
      <c r="P159" s="92" t="inlineStr"/>
      <c r="Q159" s="92" t="inlineStr"/>
      <c r="R159" s="92" t="inlineStr"/>
      <c r="S159" s="92" t="inlineStr">
        <is>
          <t>SRC_JAM_1404_001</t>
        </is>
      </c>
      <c r="T159" s="92" t="inlineStr">
        <is>
          <t>EXACT؛ شروع 1402/11/14</t>
        </is>
      </c>
      <c r="U159" s="92" t="inlineStr">
        <is>
          <t>استنباطی از تصدی</t>
        </is>
      </c>
      <c r="V159" s="92" t="inlineStr">
        <is>
          <t>حاضر در مبنا بر پایه پیوستگی (شروع دقیق تا 1403/12/29)</t>
        </is>
      </c>
    </row>
    <row r="160" ht="34" customHeight="1" s="76">
      <c r="A160" s="95" t="inlineStr">
        <is>
          <t>PF0157</t>
        </is>
      </c>
      <c r="B160" s="95" t="inlineStr">
        <is>
          <t>ومعادن</t>
        </is>
      </c>
      <c r="C160" s="95" t="inlineStr">
        <is>
          <t>نمای مالی FYE1404</t>
        </is>
      </c>
      <c r="D160" s="95" t="inlineStr">
        <is>
          <t>P-4CB95C87</t>
        </is>
      </c>
      <c r="E160" s="95" t="inlineStr">
        <is>
          <t>محمد آقاجانلو</t>
        </is>
      </c>
      <c r="F160" s="95" t="inlineStr">
        <is>
          <t>محمد آقاجانلو</t>
        </is>
      </c>
      <c r="G160" s="95" t="inlineStr">
        <is>
          <t>نامشخص (فهرست اسمی مبنا در دسترس نیست)</t>
        </is>
      </c>
      <c r="H160" s="95" t="inlineStr">
        <is>
          <t>حاضر در مقطع 1404/12/29</t>
        </is>
      </c>
      <c r="I160" s="95" t="inlineStr">
        <is>
          <t>FISCAL_ENTRY_AFTER_BASE</t>
        </is>
      </c>
      <c r="J160" s="95" t="inlineStr">
        <is>
          <t>نمای مالی: ورود پس از مبنا طبق تصدی v41</t>
        </is>
      </c>
      <c r="K160" s="95" t="inlineStr"/>
      <c r="L160" s="95" t="inlineStr">
        <is>
          <t>رئیس هیئت مدیره</t>
        </is>
      </c>
      <c r="M160" s="95" t="inlineStr"/>
      <c r="N160" s="95" t="inlineStr">
        <is>
          <t>فولاد مبارکه اصفهان</t>
        </is>
      </c>
      <c r="O160" s="95" t="inlineStr"/>
      <c r="P160" s="95" t="inlineStr"/>
      <c r="Q160" s="95" t="inlineStr"/>
      <c r="R160" s="95" t="inlineStr"/>
      <c r="S160" s="95" t="inlineStr">
        <is>
          <t>SRC_VMDN_1404_001</t>
        </is>
      </c>
      <c r="T160" s="95" t="inlineStr">
        <is>
          <t>EXACT؛ شروع 1404/07/30</t>
        </is>
      </c>
      <c r="U160" s="95" t="inlineStr">
        <is>
          <t>استنباطی از تصدی</t>
        </is>
      </c>
      <c r="V160" s="95" t="inlineStr">
        <is>
          <t>ورود پس از مبنا (شروع دقیق پس از 1403/12/29)</t>
        </is>
      </c>
    </row>
    <row r="161" ht="34" customHeight="1" s="76">
      <c r="A161" s="95" t="inlineStr">
        <is>
          <t>PF0158</t>
        </is>
      </c>
      <c r="B161" s="95" t="inlineStr">
        <is>
          <t>ومعادن</t>
        </is>
      </c>
      <c r="C161" s="95" t="inlineStr">
        <is>
          <t>نمای مالی FYE1404</t>
        </is>
      </c>
      <c r="D161" s="95" t="inlineStr">
        <is>
          <t>P-E6EE6AD7</t>
        </is>
      </c>
      <c r="E161" s="95" t="inlineStr">
        <is>
          <t>سجاد طهماسبی</t>
        </is>
      </c>
      <c r="F161" s="95" t="inlineStr">
        <is>
          <t>سجاد طهماسبی</t>
        </is>
      </c>
      <c r="G161" s="95" t="inlineStr">
        <is>
          <t>نامشخص (فهرست اسمی مبنا در دسترس نیست)</t>
        </is>
      </c>
      <c r="H161" s="95" t="inlineStr">
        <is>
          <t>حاضر در مقطع 1404/12/29</t>
        </is>
      </c>
      <c r="I161" s="95" t="inlineStr">
        <is>
          <t>FISCAL_ENTRY_AFTER_BASE</t>
        </is>
      </c>
      <c r="J161" s="95" t="inlineStr">
        <is>
          <t>نمای مالی: ورود پس از مبنا طبق تصدی v41</t>
        </is>
      </c>
      <c r="K161" s="95" t="inlineStr"/>
      <c r="L161" s="95" t="inlineStr">
        <is>
          <t>عضو هیئت مدیره</t>
        </is>
      </c>
      <c r="M161" s="95" t="inlineStr"/>
      <c r="N161" s="95" t="inlineStr">
        <is>
          <t>معدنی و صنعتی فولاد سنگ مبارکه اصفهان</t>
        </is>
      </c>
      <c r="O161" s="95" t="inlineStr"/>
      <c r="P161" s="95" t="inlineStr"/>
      <c r="Q161" s="95" t="inlineStr"/>
      <c r="R161" s="95" t="inlineStr"/>
      <c r="S161" s="95" t="inlineStr">
        <is>
          <t>SRC_VMDN_1404_001</t>
        </is>
      </c>
      <c r="T161" s="95" t="inlineStr">
        <is>
          <t>EXACT؛ شروع 1404/05/08</t>
        </is>
      </c>
      <c r="U161" s="95" t="inlineStr">
        <is>
          <t>استنباطی از تصدی</t>
        </is>
      </c>
      <c r="V161" s="95" t="inlineStr">
        <is>
          <t>ورود پس از مبنا (شروع دقیق پس از 1403/12/29)</t>
        </is>
      </c>
    </row>
    <row r="162" ht="34" customHeight="1" s="76">
      <c r="A162" s="92" t="inlineStr">
        <is>
          <t>PF0159</t>
        </is>
      </c>
      <c r="B162" s="92" t="inlineStr">
        <is>
          <t>ومعادن</t>
        </is>
      </c>
      <c r="C162" s="92" t="inlineStr">
        <is>
          <t>نمای مالی FYE1404</t>
        </is>
      </c>
      <c r="D162" s="92" t="inlineStr">
        <is>
          <t>P-9CE971ED</t>
        </is>
      </c>
      <c r="E162" s="92" t="inlineStr">
        <is>
          <t>اردشیر سعدمحمدی</t>
        </is>
      </c>
      <c r="F162" s="92" t="inlineStr">
        <is>
          <t>اردشیر سعدمحمدی</t>
        </is>
      </c>
      <c r="G162" s="92" t="inlineStr">
        <is>
          <t>نامشخص (فهرست اسمی مبنا در دسترس نیست)</t>
        </is>
      </c>
      <c r="H162" s="92" t="inlineStr">
        <is>
          <t>حاضر در مقطع 1404/12/29</t>
        </is>
      </c>
      <c r="I162" s="92" t="inlineStr">
        <is>
          <t>FISCAL_PRESENT_AT_BASE</t>
        </is>
      </c>
      <c r="J162" s="92" t="inlineStr">
        <is>
          <t>نمای مالی: حاضر در مبنا طبق پیوستگی تصدی v41</t>
        </is>
      </c>
      <c r="K162" s="92" t="inlineStr"/>
      <c r="L162" s="92" t="inlineStr">
        <is>
          <t>عضو هیئت مدیره</t>
        </is>
      </c>
      <c r="M162" s="92" t="inlineStr"/>
      <c r="N162" s="92" t="inlineStr">
        <is>
          <t>فولاد هرمزگان جنوب</t>
        </is>
      </c>
      <c r="O162" s="92" t="inlineStr"/>
      <c r="P162" s="92" t="inlineStr"/>
      <c r="Q162" s="92" t="inlineStr"/>
      <c r="R162" s="92" t="inlineStr"/>
      <c r="S162" s="92" t="inlineStr">
        <is>
          <t>SRC_VMDN_1404_001</t>
        </is>
      </c>
      <c r="T162" s="92" t="inlineStr">
        <is>
          <t>EXACT؛ شروع 1400/12/25</t>
        </is>
      </c>
      <c r="U162" s="92" t="inlineStr">
        <is>
          <t>استنباطی از تصدی</t>
        </is>
      </c>
      <c r="V162" s="92" t="inlineStr">
        <is>
          <t>حاضر در مبنا بر پایه پیوستگی (شروع دقیق تا 1403/12/29)</t>
        </is>
      </c>
    </row>
    <row r="163" ht="34" customHeight="1" s="76">
      <c r="A163" s="92" t="inlineStr">
        <is>
          <t>PF0160</t>
        </is>
      </c>
      <c r="B163" s="92" t="inlineStr">
        <is>
          <t>ومعادن</t>
        </is>
      </c>
      <c r="C163" s="92" t="inlineStr">
        <is>
          <t>نمای مالی FYE1404</t>
        </is>
      </c>
      <c r="D163" s="92" t="inlineStr">
        <is>
          <t>P-8B53F35D</t>
        </is>
      </c>
      <c r="E163" s="92" t="inlineStr">
        <is>
          <t>محمدرضا درخشنده</t>
        </is>
      </c>
      <c r="F163" s="92" t="inlineStr">
        <is>
          <t>محمدرضا درخشنده</t>
        </is>
      </c>
      <c r="G163" s="92" t="inlineStr">
        <is>
          <t>نامشخص (فهرست اسمی مبنا در دسترس نیست)</t>
        </is>
      </c>
      <c r="H163" s="92" t="inlineStr">
        <is>
          <t>حاضر در مقطع 1404/12/29</t>
        </is>
      </c>
      <c r="I163" s="92" t="inlineStr">
        <is>
          <t>FISCAL_PRESENT_AT_BASE</t>
        </is>
      </c>
      <c r="J163" s="92" t="inlineStr">
        <is>
          <t>نمای مالی: حاضر در مبنا طبق پیوستگی تصدی v41</t>
        </is>
      </c>
      <c r="K163" s="92" t="inlineStr"/>
      <c r="L163" s="92" t="inlineStr">
        <is>
          <t>عضو هیئت مدیره</t>
        </is>
      </c>
      <c r="M163" s="92" t="inlineStr"/>
      <c r="N163" s="92" t="inlineStr">
        <is>
          <t>سرمایه گذاری ملی ایران</t>
        </is>
      </c>
      <c r="O163" s="92" t="inlineStr"/>
      <c r="P163" s="92" t="inlineStr"/>
      <c r="Q163" s="92" t="inlineStr"/>
      <c r="R163" s="92" t="inlineStr"/>
      <c r="S163" s="92" t="inlineStr">
        <is>
          <t>SRC_VMDN_1404_001</t>
        </is>
      </c>
      <c r="T163" s="92" t="inlineStr">
        <is>
          <t>EXACT؛ شروع 1402/11/01</t>
        </is>
      </c>
      <c r="U163" s="92" t="inlineStr">
        <is>
          <t>استنباطی از تصدی</t>
        </is>
      </c>
      <c r="V163" s="92" t="inlineStr">
        <is>
          <t>حاضر در مبنا بر پایه پیوستگی (شروع دقیق تا 1403/12/29)</t>
        </is>
      </c>
    </row>
    <row r="164" ht="34" customHeight="1" s="76">
      <c r="A164" s="92" t="inlineStr">
        <is>
          <t>PF0161</t>
        </is>
      </c>
      <c r="B164" s="92" t="inlineStr">
        <is>
          <t>ومعادن</t>
        </is>
      </c>
      <c r="C164" s="92" t="inlineStr">
        <is>
          <t>نمای مالی FYE1404</t>
        </is>
      </c>
      <c r="D164" s="92" t="inlineStr">
        <is>
          <t>P-72E09ACB</t>
        </is>
      </c>
      <c r="E164" s="92" t="inlineStr">
        <is>
          <t>محمد کلانتری</t>
        </is>
      </c>
      <c r="F164" s="92" t="inlineStr">
        <is>
          <t>محمد کلانتری</t>
        </is>
      </c>
      <c r="G164" s="92" t="inlineStr">
        <is>
          <t>نامشخص (فهرست اسمی مبنا در دسترس نیست)</t>
        </is>
      </c>
      <c r="H164" s="92" t="inlineStr">
        <is>
          <t>حاضر در مقطع 1404/12/29</t>
        </is>
      </c>
      <c r="I164" s="92" t="inlineStr">
        <is>
          <t>FISCAL_PRESENT_AT_BASE</t>
        </is>
      </c>
      <c r="J164" s="92" t="inlineStr">
        <is>
          <t>نمای مالی: حاضر در مبنا طبق پیوستگی تصدی v41</t>
        </is>
      </c>
      <c r="K164" s="92" t="inlineStr"/>
      <c r="L164" s="92" t="inlineStr">
        <is>
          <t>نایب رئیس هیئت مدیره</t>
        </is>
      </c>
      <c r="M164" s="92" t="inlineStr"/>
      <c r="N164" s="92" t="inlineStr">
        <is>
          <t>سرمایه گذاری ارشک</t>
        </is>
      </c>
      <c r="O164" s="92" t="inlineStr"/>
      <c r="P164" s="92" t="inlineStr"/>
      <c r="Q164" s="92" t="inlineStr"/>
      <c r="R164" s="92" t="inlineStr"/>
      <c r="S164" s="92" t="inlineStr">
        <is>
          <t>SRC_VMDN_1404_001</t>
        </is>
      </c>
      <c r="T164" s="92" t="inlineStr">
        <is>
          <t>EXACT؛ شروع 1403/11/28</t>
        </is>
      </c>
      <c r="U164" s="92" t="inlineStr">
        <is>
          <t>استنباطی از تصدی</t>
        </is>
      </c>
      <c r="V164" s="92" t="inlineStr">
        <is>
          <t>حاضر در مبنا بر پایه پیوستگی (شروع دقیق تا 1403/12/29)</t>
        </is>
      </c>
    </row>
    <row r="165" ht="34" customHeight="1" s="76">
      <c r="A165" s="92" t="inlineStr">
        <is>
          <t>PF0162</t>
        </is>
      </c>
      <c r="B165" s="92" t="inlineStr">
        <is>
          <t>وامید</t>
        </is>
      </c>
      <c r="C165" s="92" t="inlineStr">
        <is>
          <t>نمای مالی FYE1404</t>
        </is>
      </c>
      <c r="D165" s="92" t="inlineStr">
        <is>
          <t>P-8B90FFB8</t>
        </is>
      </c>
      <c r="E165" s="92" t="inlineStr">
        <is>
          <t>سیدبابک ابراهیمی</t>
        </is>
      </c>
      <c r="F165" s="92" t="inlineStr">
        <is>
          <t>سیدبابک ابراهیمی</t>
        </is>
      </c>
      <c r="G165" s="92" t="inlineStr">
        <is>
          <t>نامشخص (فهرست اسمی مبنا در دسترس نیست)</t>
        </is>
      </c>
      <c r="H165" s="92" t="inlineStr">
        <is>
          <t>حاضر در مقطع 1404/10/30</t>
        </is>
      </c>
      <c r="I165" s="92" t="inlineStr">
        <is>
          <t>FISCAL_PRESENT_AT_BASE</t>
        </is>
      </c>
      <c r="J165" s="92" t="inlineStr">
        <is>
          <t>نمای مالی: حاضر در مبنا طبق پیوستگی تصدی v41</t>
        </is>
      </c>
      <c r="K165" s="92" t="inlineStr"/>
      <c r="L165" s="92" t="inlineStr">
        <is>
          <t>عضو هیئت مدیره</t>
        </is>
      </c>
      <c r="M165" s="92" t="inlineStr"/>
      <c r="N165" s="92" t="inlineStr">
        <is>
          <t>بانک سپه</t>
        </is>
      </c>
      <c r="O165" s="92" t="inlineStr"/>
      <c r="P165" s="92" t="inlineStr"/>
      <c r="Q165" s="92" t="inlineStr"/>
      <c r="R165" s="92" t="inlineStr"/>
      <c r="S165" s="92" t="inlineStr">
        <is>
          <t>SRC_VAMD_1404_001</t>
        </is>
      </c>
      <c r="T165" s="92" t="inlineStr">
        <is>
          <t>EXACT؛ شروع 1403/09/06</t>
        </is>
      </c>
      <c r="U165" s="92" t="inlineStr">
        <is>
          <t>استنباطی از تصدی</t>
        </is>
      </c>
      <c r="V165" s="92" t="inlineStr">
        <is>
          <t>حاضر در مبنا بر پایه پیوستگی (شروع دقیق تا 1403/12/29)؛ فقط تا افق FYE</t>
        </is>
      </c>
    </row>
    <row r="166" ht="34" customHeight="1" s="76">
      <c r="A166" s="92" t="inlineStr">
        <is>
          <t>PF0163</t>
        </is>
      </c>
      <c r="B166" s="92" t="inlineStr">
        <is>
          <t>وامید</t>
        </is>
      </c>
      <c r="C166" s="92" t="inlineStr">
        <is>
          <t>نمای مالی FYE1404</t>
        </is>
      </c>
      <c r="D166" s="92" t="inlineStr">
        <is>
          <t>P-8312307B</t>
        </is>
      </c>
      <c r="E166" s="92" t="inlineStr">
        <is>
          <t>محمدعلی یزدان جو</t>
        </is>
      </c>
      <c r="F166" s="92" t="inlineStr">
        <is>
          <t>محمدعلی یزدان جو</t>
        </is>
      </c>
      <c r="G166" s="92" t="inlineStr">
        <is>
          <t>نامشخص (فهرست اسمی مبنا در دسترس نیست)</t>
        </is>
      </c>
      <c r="H166" s="92" t="inlineStr">
        <is>
          <t>حاضر در مقطع 1404/10/30</t>
        </is>
      </c>
      <c r="I166" s="92" t="inlineStr">
        <is>
          <t>FISCAL_PRESENT_AT_BASE</t>
        </is>
      </c>
      <c r="J166" s="92" t="inlineStr">
        <is>
          <t>نمای مالی: حاضر در مبنا طبق پیوستگی تصدی v41</t>
        </is>
      </c>
      <c r="K166" s="92" t="inlineStr"/>
      <c r="L166" s="92" t="inlineStr">
        <is>
          <t>نایب رئیس هیئت مدیره</t>
        </is>
      </c>
      <c r="M166" s="92" t="inlineStr"/>
      <c r="N166" s="92" t="inlineStr">
        <is>
          <t>گروه مالی سپه</t>
        </is>
      </c>
      <c r="O166" s="92" t="inlineStr"/>
      <c r="P166" s="92" t="inlineStr"/>
      <c r="Q166" s="92" t="inlineStr"/>
      <c r="R166" s="92" t="inlineStr"/>
      <c r="S166" s="92" t="inlineStr">
        <is>
          <t>SRC_VAMD_1404_001</t>
        </is>
      </c>
      <c r="T166" s="92" t="inlineStr">
        <is>
          <t>MIN_CONTINUOUS؛ لنگر 1401/04/04</t>
        </is>
      </c>
      <c r="U166" s="92" t="inlineStr">
        <is>
          <t>استنباطی از تصدی</t>
        </is>
      </c>
      <c r="V166" s="92" t="inlineStr">
        <is>
          <t>حاضر در مبنا بر پایه حداقل پیوستگی (لنگر تا 1403/12/29)؛ فقط تا افق FYE</t>
        </is>
      </c>
    </row>
    <row r="167" ht="34" customHeight="1" s="76">
      <c r="A167" s="92" t="inlineStr">
        <is>
          <t>PF0164</t>
        </is>
      </c>
      <c r="B167" s="92" t="inlineStr">
        <is>
          <t>وامید</t>
        </is>
      </c>
      <c r="C167" s="92" t="inlineStr">
        <is>
          <t>نمای مالی FYE1404</t>
        </is>
      </c>
      <c r="D167" s="92" t="inlineStr">
        <is>
          <t>P-A4B3162C</t>
        </is>
      </c>
      <c r="E167" s="92" t="inlineStr">
        <is>
          <t>حامد دهقانان</t>
        </is>
      </c>
      <c r="F167" s="92" t="inlineStr">
        <is>
          <t>حامد دهقانان</t>
        </is>
      </c>
      <c r="G167" s="92" t="inlineStr">
        <is>
          <t>نامشخص (فهرست اسمی مبنا در دسترس نیست)</t>
        </is>
      </c>
      <c r="H167" s="92" t="inlineStr">
        <is>
          <t>حاضر در مقطع 1404/10/30</t>
        </is>
      </c>
      <c r="I167" s="92" t="inlineStr">
        <is>
          <t>FISCAL_PRESENT_AT_BASE</t>
        </is>
      </c>
      <c r="J167" s="92" t="inlineStr">
        <is>
          <t>نمای مالی: حاضر در مبنا طبق پیوستگی تصدی v41</t>
        </is>
      </c>
      <c r="K167" s="92" t="inlineStr"/>
      <c r="L167" s="92" t="inlineStr">
        <is>
          <t>عضو هیئت مدیره</t>
        </is>
      </c>
      <c r="M167" s="92" t="inlineStr"/>
      <c r="N167" s="92" t="inlineStr">
        <is>
          <t>صندوق بازنشستگی وظیفه از کار افتادگی و پس انداز کارکنان بانکهای ملی و ادغام شده</t>
        </is>
      </c>
      <c r="O167" s="92" t="inlineStr"/>
      <c r="P167" s="92" t="inlineStr"/>
      <c r="Q167" s="92" t="inlineStr"/>
      <c r="R167" s="92" t="inlineStr"/>
      <c r="S167" s="92" t="inlineStr">
        <is>
          <t>SRC_VAMD_1404_001</t>
        </is>
      </c>
      <c r="T167" s="92" t="inlineStr">
        <is>
          <t>EXACT؛ شروع 1401/11/18</t>
        </is>
      </c>
      <c r="U167" s="92" t="inlineStr">
        <is>
          <t>استنباطی از تصدی</t>
        </is>
      </c>
      <c r="V167" s="92" t="inlineStr">
        <is>
          <t>حاضر در مبنا بر پایه پیوستگی (شروع دقیق تا 1403/12/29)؛ فقط تا افق FYE</t>
        </is>
      </c>
    </row>
    <row r="168" ht="34" customHeight="1" s="76">
      <c r="A168" s="92" t="inlineStr">
        <is>
          <t>PF0165</t>
        </is>
      </c>
      <c r="B168" s="92" t="inlineStr">
        <is>
          <t>وامید</t>
        </is>
      </c>
      <c r="C168" s="92" t="inlineStr">
        <is>
          <t>نمای مالی FYE1404</t>
        </is>
      </c>
      <c r="D168" s="92" t="inlineStr">
        <is>
          <t>P-800E8DF9</t>
        </is>
      </c>
      <c r="E168" s="92" t="inlineStr">
        <is>
          <t>سیدمصطفی سیدهاشمی</t>
        </is>
      </c>
      <c r="F168" s="92" t="inlineStr">
        <is>
          <t>سیدمصطفی سیدهاشمی</t>
        </is>
      </c>
      <c r="G168" s="92" t="inlineStr">
        <is>
          <t>نامشخص (فهرست اسمی مبنا در دسترس نیست)</t>
        </is>
      </c>
      <c r="H168" s="92" t="inlineStr">
        <is>
          <t>حاضر در مقطع 1404/10/30</t>
        </is>
      </c>
      <c r="I168" s="92" t="inlineStr">
        <is>
          <t>FISCAL_PRESENT_AT_BASE</t>
        </is>
      </c>
      <c r="J168" s="92" t="inlineStr">
        <is>
          <t>نمای مالی: حاضر در مبنا طبق پیوستگی تصدی v41</t>
        </is>
      </c>
      <c r="K168" s="92" t="inlineStr"/>
      <c r="L168" s="92" t="inlineStr">
        <is>
          <t>رئیس هیئت مدیره</t>
        </is>
      </c>
      <c r="M168" s="92" t="inlineStr"/>
      <c r="N168" s="92" t="inlineStr">
        <is>
          <t>گروه خدمات کارکنان سپه نوین</t>
        </is>
      </c>
      <c r="O168" s="92" t="inlineStr"/>
      <c r="P168" s="92" t="inlineStr"/>
      <c r="Q168" s="92" t="inlineStr"/>
      <c r="R168" s="92" t="inlineStr"/>
      <c r="S168" s="92" t="inlineStr">
        <is>
          <t>SRC_VAMD_1404_001</t>
        </is>
      </c>
      <c r="T168" s="92" t="inlineStr">
        <is>
          <t>EXACT؛ شروع 1402/09/15</t>
        </is>
      </c>
      <c r="U168" s="92" t="inlineStr">
        <is>
          <t>استنباطی از تصدی</t>
        </is>
      </c>
      <c r="V168" s="92" t="inlineStr">
        <is>
          <t>حاضر در مبنا بر پایه پیوستگی (شروع دقیق تا 1403/12/29)؛ فقط تا افق FYE</t>
        </is>
      </c>
    </row>
    <row r="169" ht="34" customHeight="1" s="76">
      <c r="A169" s="92" t="inlineStr">
        <is>
          <t>PF0166</t>
        </is>
      </c>
      <c r="B169" s="92" t="inlineStr">
        <is>
          <t>وامید</t>
        </is>
      </c>
      <c r="C169" s="92" t="inlineStr">
        <is>
          <t>نمای مالی FYE1404</t>
        </is>
      </c>
      <c r="D169" s="92" t="inlineStr">
        <is>
          <t>P-649D002B</t>
        </is>
      </c>
      <c r="E169" s="92" t="inlineStr">
        <is>
          <t>وحید خاشعی ورنامخواستی</t>
        </is>
      </c>
      <c r="F169" s="92" t="inlineStr">
        <is>
          <t>وحید خاشعی ورنامخواستی</t>
        </is>
      </c>
      <c r="G169" s="92" t="inlineStr">
        <is>
          <t>نامشخص (فهرست اسمی مبنا در دسترس نیست)</t>
        </is>
      </c>
      <c r="H169" s="92" t="inlineStr">
        <is>
          <t>حاضر در مقطع 1404/10/30</t>
        </is>
      </c>
      <c r="I169" s="92" t="inlineStr">
        <is>
          <t>FISCAL_PRESENT_AT_BASE</t>
        </is>
      </c>
      <c r="J169" s="92" t="inlineStr">
        <is>
          <t>نمای مالی: حاضر در مبنا طبق پیوستگی تصدی v41</t>
        </is>
      </c>
      <c r="K169" s="92" t="inlineStr"/>
      <c r="L169" s="92" t="inlineStr">
        <is>
          <t>عضو هیئت مدیره</t>
        </is>
      </c>
      <c r="M169" s="92" t="inlineStr"/>
      <c r="N169" s="92" t="inlineStr">
        <is>
          <t>توسعه کسب و کار مهستان</t>
        </is>
      </c>
      <c r="O169" s="92" t="inlineStr"/>
      <c r="P169" s="92" t="inlineStr"/>
      <c r="Q169" s="92" t="inlineStr"/>
      <c r="R169" s="92" t="inlineStr"/>
      <c r="S169" s="92" t="inlineStr">
        <is>
          <t>SRC_VAMD_1404_001</t>
        </is>
      </c>
      <c r="T169" s="92" t="inlineStr">
        <is>
          <t>MIN_CONTINUOUS؛ لنگر 1401/04/04</t>
        </is>
      </c>
      <c r="U169" s="92" t="inlineStr">
        <is>
          <t>استنباطی از تصدی</t>
        </is>
      </c>
      <c r="V169" s="92" t="inlineStr">
        <is>
          <t>حاضر در مبنا بر پایه حداقل پیوستگی (لنگر تا 1403/12/29)؛ فقط تا افق FYE</t>
        </is>
      </c>
    </row>
    <row r="170" ht="34" customHeight="1" s="76">
      <c r="A170" s="95" t="inlineStr">
        <is>
          <t>PF0167</t>
        </is>
      </c>
      <c r="B170" s="95" t="inlineStr">
        <is>
          <t>خساپا</t>
        </is>
      </c>
      <c r="C170" s="95" t="inlineStr">
        <is>
          <t>نمای مالی FYE1404</t>
        </is>
      </c>
      <c r="D170" s="95" t="inlineStr">
        <is>
          <t>P-EA1F4570</t>
        </is>
      </c>
      <c r="E170" s="95" t="inlineStr">
        <is>
          <t>رحیم علیشاهی</t>
        </is>
      </c>
      <c r="F170" s="95" t="inlineStr">
        <is>
          <t>رحیم علیشاهی</t>
        </is>
      </c>
      <c r="G170" s="95" t="inlineStr">
        <is>
          <t>نامشخص (فهرست اسمی مبنا در دسترس نیست)</t>
        </is>
      </c>
      <c r="H170" s="95" t="inlineStr">
        <is>
          <t>حاضر در مقطع 1404/12/29</t>
        </is>
      </c>
      <c r="I170" s="95" t="inlineStr">
        <is>
          <t>FISCAL_ENTRY_AFTER_BASE</t>
        </is>
      </c>
      <c r="J170" s="95" t="inlineStr">
        <is>
          <t>نمای مالی: ورود پس از مبنا طبق تصدی v41</t>
        </is>
      </c>
      <c r="K170" s="95" t="inlineStr"/>
      <c r="L170" s="95" t="inlineStr">
        <is>
          <t>عضو هیئت مدیره</t>
        </is>
      </c>
      <c r="M170" s="95" t="inlineStr"/>
      <c r="N170" s="95" t="inlineStr">
        <is>
          <t>سرمایه گذاری گروه صنعتی رنا</t>
        </is>
      </c>
      <c r="O170" s="95" t="inlineStr"/>
      <c r="P170" s="95" t="inlineStr"/>
      <c r="Q170" s="95" t="inlineStr"/>
      <c r="R170" s="95" t="inlineStr"/>
      <c r="S170" s="95" t="inlineStr">
        <is>
          <t>SRC_KHSP_1404_001</t>
        </is>
      </c>
      <c r="T170" s="95" t="inlineStr">
        <is>
          <t>EXACT؛ شروع 1404/02/08</t>
        </is>
      </c>
      <c r="U170" s="95" t="inlineStr">
        <is>
          <t>استنباطی از تصدی</t>
        </is>
      </c>
      <c r="V170" s="95" t="inlineStr">
        <is>
          <t>ورود پس از مبنا (شروع دقیق پس از 1403/12/29)</t>
        </is>
      </c>
    </row>
    <row r="171" ht="34" customHeight="1" s="76">
      <c r="A171" s="92" t="inlineStr">
        <is>
          <t>PF0168</t>
        </is>
      </c>
      <c r="B171" s="92" t="inlineStr">
        <is>
          <t>خساپا</t>
        </is>
      </c>
      <c r="C171" s="92" t="inlineStr">
        <is>
          <t>نمای مالی FYE1404</t>
        </is>
      </c>
      <c r="D171" s="92" t="inlineStr">
        <is>
          <t>P-48E12B91</t>
        </is>
      </c>
      <c r="E171" s="92" t="inlineStr">
        <is>
          <t>علی شیخ زاده</t>
        </is>
      </c>
      <c r="F171" s="92" t="inlineStr">
        <is>
          <t>علی شیخ زاده</t>
        </is>
      </c>
      <c r="G171" s="92" t="inlineStr">
        <is>
          <t>نامشخص (فهرست اسمی مبنا در دسترس نیست)</t>
        </is>
      </c>
      <c r="H171" s="92" t="inlineStr">
        <is>
          <t>حاضر در مقطع 1404/12/29</t>
        </is>
      </c>
      <c r="I171" s="92" t="inlineStr">
        <is>
          <t>FISCAL_PRESENT_AT_BASE</t>
        </is>
      </c>
      <c r="J171" s="92" t="inlineStr">
        <is>
          <t>نمای مالی: حاضر در مبنا طبق پیوستگی تصدی v41</t>
        </is>
      </c>
      <c r="K171" s="92" t="inlineStr"/>
      <c r="L171" s="92" t="inlineStr">
        <is>
          <t>نایب رئیس هیئت مدیره</t>
        </is>
      </c>
      <c r="M171" s="92" t="inlineStr"/>
      <c r="N171" s="92" t="inlineStr">
        <is>
          <t>گروه سرمایه گذاری کارکنان سایپا</t>
        </is>
      </c>
      <c r="O171" s="92" t="inlineStr"/>
      <c r="P171" s="92" t="inlineStr"/>
      <c r="Q171" s="92" t="inlineStr"/>
      <c r="R171" s="92" t="inlineStr"/>
      <c r="S171" s="92" t="inlineStr">
        <is>
          <t>SRC_KHSP_1404_001</t>
        </is>
      </c>
      <c r="T171" s="92" t="inlineStr">
        <is>
          <t>INTERVAL؛ بازه 1403/09/14 تا 1403/09/21</t>
        </is>
      </c>
      <c r="U171" s="92" t="inlineStr">
        <is>
          <t>استنباطی از تصدی</t>
        </is>
      </c>
      <c r="V171" s="92" t="inlineStr">
        <is>
          <t>حاضر در مبنا بر پایه پیوستگی (کران بالا تا 1403/12/29)</t>
        </is>
      </c>
    </row>
    <row r="172" ht="34" customHeight="1" s="76">
      <c r="A172" s="92" t="inlineStr">
        <is>
          <t>PF0169</t>
        </is>
      </c>
      <c r="B172" s="92" t="inlineStr">
        <is>
          <t>خساپا</t>
        </is>
      </c>
      <c r="C172" s="92" t="inlineStr">
        <is>
          <t>نمای مالی FYE1404</t>
        </is>
      </c>
      <c r="D172" s="92" t="inlineStr">
        <is>
          <t>P-73F3BD4A</t>
        </is>
      </c>
      <c r="E172" s="92" t="inlineStr">
        <is>
          <t>مجید بهرامی</t>
        </is>
      </c>
      <c r="F172" s="92" t="inlineStr">
        <is>
          <t>مجید بهرامی</t>
        </is>
      </c>
      <c r="G172" s="92" t="inlineStr">
        <is>
          <t>نامشخص (فهرست اسمی مبنا در دسترس نیست)</t>
        </is>
      </c>
      <c r="H172" s="92" t="inlineStr">
        <is>
          <t>حاضر در مقطع 1404/12/29</t>
        </is>
      </c>
      <c r="I172" s="92" t="inlineStr">
        <is>
          <t>FISCAL_PRESENT_AT_BASE</t>
        </is>
      </c>
      <c r="J172" s="92" t="inlineStr">
        <is>
          <t>نمای مالی: حاضر در مبنا طبق پیوستگی تصدی v41</t>
        </is>
      </c>
      <c r="K172" s="92" t="inlineStr"/>
      <c r="L172" s="92" t="inlineStr">
        <is>
          <t>عضو هیئت مدیره</t>
        </is>
      </c>
      <c r="M172" s="92" t="inlineStr"/>
      <c r="N172" s="92" t="inlineStr">
        <is>
          <t>صندوق حمایت وبازنشستگی کارکنان فولاد</t>
        </is>
      </c>
      <c r="O172" s="92" t="inlineStr"/>
      <c r="P172" s="92" t="inlineStr"/>
      <c r="Q172" s="92" t="inlineStr"/>
      <c r="R172" s="92" t="inlineStr"/>
      <c r="S172" s="92" t="inlineStr">
        <is>
          <t>SRC_KHSP_1404_001</t>
        </is>
      </c>
      <c r="T172" s="92" t="inlineStr">
        <is>
          <t>EXACT؛ شروع 1403/11/03</t>
        </is>
      </c>
      <c r="U172" s="92" t="inlineStr">
        <is>
          <t>استنباطی از تصدی</t>
        </is>
      </c>
      <c r="V172" s="92" t="inlineStr">
        <is>
          <t>حاضر در مبنا بر پایه پیوستگی (شروع دقیق تا 1403/12/29)</t>
        </is>
      </c>
    </row>
    <row r="173" ht="34" customHeight="1" s="76">
      <c r="A173" s="95" t="inlineStr">
        <is>
          <t>PF0170</t>
        </is>
      </c>
      <c r="B173" s="95" t="inlineStr">
        <is>
          <t>خساپا</t>
        </is>
      </c>
      <c r="C173" s="95" t="inlineStr">
        <is>
          <t>نمای مالی FYE1404</t>
        </is>
      </c>
      <c r="D173" s="95" t="inlineStr">
        <is>
          <t>P-2020B14C</t>
        </is>
      </c>
      <c r="E173" s="95" t="inlineStr">
        <is>
          <t>مهدی رادمنش</t>
        </is>
      </c>
      <c r="F173" s="95" t="inlineStr">
        <is>
          <t>مهدی رادمنش</t>
        </is>
      </c>
      <c r="G173" s="95" t="inlineStr">
        <is>
          <t>نامشخص (فهرست اسمی مبنا در دسترس نیست)</t>
        </is>
      </c>
      <c r="H173" s="95" t="inlineStr">
        <is>
          <t>حاضر در مقطع 1404/12/29</t>
        </is>
      </c>
      <c r="I173" s="95" t="inlineStr">
        <is>
          <t>FISCAL_ENTRY_AFTER_BASE</t>
        </is>
      </c>
      <c r="J173" s="95" t="inlineStr">
        <is>
          <t>نمای مالی: ورود پس از مبنا طبق تصدی v41</t>
        </is>
      </c>
      <c r="K173" s="95" t="inlineStr"/>
      <c r="L173" s="95" t="inlineStr">
        <is>
          <t>عضو هیئت مدیره</t>
        </is>
      </c>
      <c r="M173" s="95" t="inlineStr"/>
      <c r="N173" s="95" t="inlineStr">
        <is>
          <t>توسعه سرمایه رادین</t>
        </is>
      </c>
      <c r="O173" s="95" t="inlineStr"/>
      <c r="P173" s="95" t="inlineStr"/>
      <c r="Q173" s="95" t="inlineStr"/>
      <c r="R173" s="95" t="inlineStr"/>
      <c r="S173" s="95" t="inlineStr">
        <is>
          <t>SRC_KHSP_1404_001</t>
        </is>
      </c>
      <c r="T173" s="95" t="inlineStr">
        <is>
          <t>EXACT؛ شروع 1404/02/08</t>
        </is>
      </c>
      <c r="U173" s="95" t="inlineStr">
        <is>
          <t>استنباطی از تصدی</t>
        </is>
      </c>
      <c r="V173" s="95" t="inlineStr">
        <is>
          <t>ورود پس از مبنا (شروع دقیق پس از 1403/12/29)</t>
        </is>
      </c>
    </row>
    <row r="174" ht="34" customHeight="1" s="76">
      <c r="A174" s="92" t="inlineStr">
        <is>
          <t>PF0171</t>
        </is>
      </c>
      <c r="B174" s="92" t="inlineStr">
        <is>
          <t>خساپا</t>
        </is>
      </c>
      <c r="C174" s="92" t="inlineStr">
        <is>
          <t>نمای مالی FYE1404</t>
        </is>
      </c>
      <c r="D174" s="92" t="inlineStr">
        <is>
          <t>P-729F47F7</t>
        </is>
      </c>
      <c r="E174" s="92" t="inlineStr">
        <is>
          <t>کورش پرویزیان</t>
        </is>
      </c>
      <c r="F174" s="92" t="inlineStr">
        <is>
          <t>کورش پرویزیان</t>
        </is>
      </c>
      <c r="G174" s="92" t="inlineStr">
        <is>
          <t>نامشخص (فهرست اسمی مبنا در دسترس نیست)</t>
        </is>
      </c>
      <c r="H174" s="92" t="inlineStr">
        <is>
          <t>حاضر در مقطع 1404/12/29</t>
        </is>
      </c>
      <c r="I174" s="92" t="inlineStr">
        <is>
          <t>FISCAL_PRESENT_AT_BASE</t>
        </is>
      </c>
      <c r="J174" s="92" t="inlineStr">
        <is>
          <t>نمای مالی: حاضر در مبنا طبق پیوستگی تصدی v41</t>
        </is>
      </c>
      <c r="K174" s="92" t="inlineStr"/>
      <c r="L174" s="92" t="inlineStr">
        <is>
          <t>رئیس هیئت مدیره</t>
        </is>
      </c>
      <c r="M174" s="92" t="inlineStr"/>
      <c r="N174" s="92" t="inlineStr">
        <is>
          <t>سازمان مدیریت صنعتی</t>
        </is>
      </c>
      <c r="O174" s="92" t="inlineStr"/>
      <c r="P174" s="92" t="inlineStr"/>
      <c r="Q174" s="92" t="inlineStr"/>
      <c r="R174" s="92" t="inlineStr"/>
      <c r="S174" s="92" t="inlineStr">
        <is>
          <t>SRC_KHSP_1404_001</t>
        </is>
      </c>
      <c r="T174" s="92" t="inlineStr">
        <is>
          <t>INTERVAL؛ بازه 1403/09/14 تا 1403/09/21</t>
        </is>
      </c>
      <c r="U174" s="92" t="inlineStr">
        <is>
          <t>استنباطی از تصدی</t>
        </is>
      </c>
      <c r="V174" s="92" t="inlineStr">
        <is>
          <t>حاضر در مبنا بر پایه پیوستگی (کران بالا تا 1403/12/29)</t>
        </is>
      </c>
    </row>
    <row r="175" ht="34" customHeight="1" s="76">
      <c r="A175" s="92" t="inlineStr">
        <is>
          <t>PF0172</t>
        </is>
      </c>
      <c r="B175" s="92" t="inlineStr">
        <is>
          <t>همراه</t>
        </is>
      </c>
      <c r="C175" s="92" t="inlineStr">
        <is>
          <t>نمای مالی FYE1404</t>
        </is>
      </c>
      <c r="D175" s="92" t="inlineStr">
        <is>
          <t>P-49165FDB</t>
        </is>
      </c>
      <c r="E175" s="92" t="inlineStr">
        <is>
          <t>حجت اله نیکی ملکی</t>
        </is>
      </c>
      <c r="F175" s="92" t="inlineStr">
        <is>
          <t>حجت اله نیکی ملکی</t>
        </is>
      </c>
      <c r="G175" s="92" t="inlineStr">
        <is>
          <t>نامشخص (فهرست اسمی مبنا در دسترس نیست)</t>
        </is>
      </c>
      <c r="H175" s="92" t="inlineStr">
        <is>
          <t>حاضر در مقطع 1404/12/29</t>
        </is>
      </c>
      <c r="I175" s="92" t="inlineStr">
        <is>
          <t>FISCAL_PRESENT_AT_BASE</t>
        </is>
      </c>
      <c r="J175" s="92" t="inlineStr">
        <is>
          <t>نمای مالی: حاضر در مبنا طبق پیوستگی تصدی v41</t>
        </is>
      </c>
      <c r="K175" s="92" t="inlineStr"/>
      <c r="L175" s="92" t="inlineStr">
        <is>
          <t>عضو هیئت مدیره</t>
        </is>
      </c>
      <c r="M175" s="92" t="inlineStr"/>
      <c r="N175" s="92" t="inlineStr">
        <is>
          <t>مخابرات ایران</t>
        </is>
      </c>
      <c r="O175" s="92" t="inlineStr"/>
      <c r="P175" s="92" t="inlineStr"/>
      <c r="Q175" s="92" t="inlineStr"/>
      <c r="R175" s="92" t="inlineStr"/>
      <c r="S175" s="92" t="inlineStr">
        <is>
          <t>SRC_HMRH_1404_001</t>
        </is>
      </c>
      <c r="T175" s="92" t="inlineStr">
        <is>
          <t>EXACT؛ شروع 1400/08/09</t>
        </is>
      </c>
      <c r="U175" s="92" t="inlineStr">
        <is>
          <t>استنباطی از تصدی</t>
        </is>
      </c>
      <c r="V175" s="92" t="inlineStr">
        <is>
          <t>حاضر در مبنا بر پایه پیوستگی (شروع دقیق تا 1403/12/29)</t>
        </is>
      </c>
    </row>
    <row r="176" ht="34" customHeight="1" s="76">
      <c r="A176" s="92" t="inlineStr">
        <is>
          <t>PF0173</t>
        </is>
      </c>
      <c r="B176" s="92" t="inlineStr">
        <is>
          <t>همراه</t>
        </is>
      </c>
      <c r="C176" s="92" t="inlineStr">
        <is>
          <t>نمای مالی FYE1404</t>
        </is>
      </c>
      <c r="D176" s="92" t="inlineStr">
        <is>
          <t>P-5362B087</t>
        </is>
      </c>
      <c r="E176" s="92" t="inlineStr">
        <is>
          <t>محمد پیری</t>
        </is>
      </c>
      <c r="F176" s="92" t="inlineStr">
        <is>
          <t>محمد پیری</t>
        </is>
      </c>
      <c r="G176" s="92" t="inlineStr">
        <is>
          <t>نامشخص (فهرست اسمی مبنا در دسترس نیست)</t>
        </is>
      </c>
      <c r="H176" s="92" t="inlineStr">
        <is>
          <t>حاضر در مقطع 1404/12/29</t>
        </is>
      </c>
      <c r="I176" s="92" t="inlineStr">
        <is>
          <t>FISCAL_PRESENT_AT_BASE</t>
        </is>
      </c>
      <c r="J176" s="92" t="inlineStr">
        <is>
          <t>نمای مالی: حاضر در مبنا طبق پیوستگی تصدی v41</t>
        </is>
      </c>
      <c r="K176" s="92" t="inlineStr"/>
      <c r="L176" s="92" t="inlineStr">
        <is>
          <t>نایب رئیس هیئت مدیره</t>
        </is>
      </c>
      <c r="M176" s="92" t="inlineStr"/>
      <c r="N176" s="92" t="inlineStr">
        <is>
          <t>سرمایه گذاری مهر اقتصاد مبین</t>
        </is>
      </c>
      <c r="O176" s="92" t="inlineStr"/>
      <c r="P176" s="92" t="inlineStr"/>
      <c r="Q176" s="92" t="inlineStr"/>
      <c r="R176" s="92" t="inlineStr"/>
      <c r="S176" s="92" t="inlineStr">
        <is>
          <t>SRC_HMRH_1404_001</t>
        </is>
      </c>
      <c r="T176" s="92" t="inlineStr">
        <is>
          <t>EXACT؛ شروع 1402/07/23</t>
        </is>
      </c>
      <c r="U176" s="92" t="inlineStr">
        <is>
          <t>استنباطی از تصدی</t>
        </is>
      </c>
      <c r="V176" s="92" t="inlineStr">
        <is>
          <t>حاضر در مبنا بر پایه پیوستگی (شروع دقیق تا 1403/12/29)</t>
        </is>
      </c>
    </row>
    <row r="177" ht="34" customHeight="1" s="76">
      <c r="A177" s="92" t="inlineStr">
        <is>
          <t>PF0174</t>
        </is>
      </c>
      <c r="B177" s="92" t="inlineStr">
        <is>
          <t>همراه</t>
        </is>
      </c>
      <c r="C177" s="92" t="inlineStr">
        <is>
          <t>نمای مالی FYE1404</t>
        </is>
      </c>
      <c r="D177" s="92" t="inlineStr">
        <is>
          <t>P-D596CC82</t>
        </is>
      </c>
      <c r="E177" s="92" t="inlineStr">
        <is>
          <t>علی بقائی</t>
        </is>
      </c>
      <c r="F177" s="92" t="inlineStr">
        <is>
          <t>علی بقائی</t>
        </is>
      </c>
      <c r="G177" s="92" t="inlineStr">
        <is>
          <t>نامشخص (فهرست اسمی مبنا در دسترس نیست)</t>
        </is>
      </c>
      <c r="H177" s="92" t="inlineStr">
        <is>
          <t>حاضر در مقطع 1404/12/29</t>
        </is>
      </c>
      <c r="I177" s="92" t="inlineStr">
        <is>
          <t>FISCAL_PRESENT_AT_BASE</t>
        </is>
      </c>
      <c r="J177" s="92" t="inlineStr">
        <is>
          <t>نمای مالی: حاضر در مبنا طبق پیوستگی تصدی v41</t>
        </is>
      </c>
      <c r="K177" s="92" t="inlineStr"/>
      <c r="L177" s="92" t="inlineStr">
        <is>
          <t>رئیس هیئت مدیره</t>
        </is>
      </c>
      <c r="M177" s="92" t="inlineStr"/>
      <c r="N177" s="92" t="inlineStr">
        <is>
          <t>گسترش الکترونیک تدبیر ایران</t>
        </is>
      </c>
      <c r="O177" s="92" t="inlineStr"/>
      <c r="P177" s="92" t="inlineStr"/>
      <c r="Q177" s="92" t="inlineStr"/>
      <c r="R177" s="92" t="inlineStr"/>
      <c r="S177" s="92" t="inlineStr">
        <is>
          <t>SRC_HMRH_1404_001</t>
        </is>
      </c>
      <c r="T177" s="92" t="inlineStr">
        <is>
          <t>EXACT؛ شروع 1395/02/13</t>
        </is>
      </c>
      <c r="U177" s="92" t="inlineStr">
        <is>
          <t>استنباطی از تصدی</t>
        </is>
      </c>
      <c r="V177" s="92" t="inlineStr">
        <is>
          <t>حاضر در مبنا بر پایه پیوستگی (شروع دقیق تا 1403/12/29)</t>
        </is>
      </c>
    </row>
    <row r="178" ht="34" customHeight="1" s="76">
      <c r="A178" s="92" t="inlineStr">
        <is>
          <t>PF0175</t>
        </is>
      </c>
      <c r="B178" s="92" t="inlineStr">
        <is>
          <t>همراه</t>
        </is>
      </c>
      <c r="C178" s="92" t="inlineStr">
        <is>
          <t>نمای مالی FYE1404</t>
        </is>
      </c>
      <c r="D178" s="92" t="inlineStr">
        <is>
          <t>P-5ACF5317</t>
        </is>
      </c>
      <c r="E178" s="92" t="inlineStr">
        <is>
          <t>حسین میرزاپور</t>
        </is>
      </c>
      <c r="F178" s="92" t="inlineStr">
        <is>
          <t>حسین میرزاپور</t>
        </is>
      </c>
      <c r="G178" s="92" t="inlineStr">
        <is>
          <t>نامشخص (فهرست اسمی مبنا در دسترس نیست)</t>
        </is>
      </c>
      <c r="H178" s="92" t="inlineStr">
        <is>
          <t>حاضر در مقطع 1404/12/29</t>
        </is>
      </c>
      <c r="I178" s="92" t="inlineStr">
        <is>
          <t>FISCAL_PRESENT_AT_BASE</t>
        </is>
      </c>
      <c r="J178" s="92" t="inlineStr">
        <is>
          <t>نمای مالی: حاضر در مبنا طبق پیوستگی تصدی v41</t>
        </is>
      </c>
      <c r="K178" s="92" t="inlineStr"/>
      <c r="L178" s="92" t="inlineStr">
        <is>
          <t>عضو هیئت مدیره</t>
        </is>
      </c>
      <c r="M178" s="92" t="inlineStr"/>
      <c r="N178" s="92" t="inlineStr">
        <is>
          <t>گسترش خدمات ارتباطات کارا شاب</t>
        </is>
      </c>
      <c r="O178" s="92" t="inlineStr"/>
      <c r="P178" s="92" t="inlineStr"/>
      <c r="Q178" s="92" t="inlineStr"/>
      <c r="R178" s="92" t="inlineStr"/>
      <c r="S178" s="92" t="inlineStr">
        <is>
          <t>SRC_HMRH_1404_001</t>
        </is>
      </c>
      <c r="T178" s="92" t="inlineStr">
        <is>
          <t>EXACT؛ شروع 1401/09/13</t>
        </is>
      </c>
      <c r="U178" s="92" t="inlineStr">
        <is>
          <t>استنباطی از تصدی</t>
        </is>
      </c>
      <c r="V178" s="92" t="inlineStr">
        <is>
          <t>حاضر در مبنا بر پایه پیوستگی (شروع دقیق تا 1403/12/29)</t>
        </is>
      </c>
    </row>
    <row r="179" ht="34" customHeight="1" s="76">
      <c r="A179" s="92" t="inlineStr">
        <is>
          <t>PF0176</t>
        </is>
      </c>
      <c r="B179" s="92" t="inlineStr">
        <is>
          <t>همراه</t>
        </is>
      </c>
      <c r="C179" s="92" t="inlineStr">
        <is>
          <t>نمای مالی FYE1404</t>
        </is>
      </c>
      <c r="D179" s="92" t="inlineStr">
        <is>
          <t>P-2E4ED336</t>
        </is>
      </c>
      <c r="E179" s="92" t="inlineStr">
        <is>
          <t>مهدی اخوان بهابادی</t>
        </is>
      </c>
      <c r="F179" s="92" t="inlineStr">
        <is>
          <t>مهدی اخوان بهابادی</t>
        </is>
      </c>
      <c r="G179" s="92" t="inlineStr">
        <is>
          <t>نامشخص (فهرست اسمی مبنا در دسترس نیست)</t>
        </is>
      </c>
      <c r="H179" s="92" t="inlineStr">
        <is>
          <t>حاضر در مقطع 1404/12/29</t>
        </is>
      </c>
      <c r="I179" s="92" t="inlineStr">
        <is>
          <t>FISCAL_PRESENT_AT_BASE</t>
        </is>
      </c>
      <c r="J179" s="92" t="inlineStr">
        <is>
          <t>نمای مالی: حاضر در مبنا طبق پیوستگی تصدی v41</t>
        </is>
      </c>
      <c r="K179" s="92" t="inlineStr"/>
      <c r="L179" s="92" t="inlineStr">
        <is>
          <t>عضو هیئت مدیره</t>
        </is>
      </c>
      <c r="M179" s="92" t="inlineStr"/>
      <c r="N179" s="92" t="inlineStr">
        <is>
          <t>مدیریت سامان سازه غدیر</t>
        </is>
      </c>
      <c r="O179" s="92" t="inlineStr"/>
      <c r="P179" s="92" t="inlineStr"/>
      <c r="Q179" s="92" t="inlineStr"/>
      <c r="R179" s="92" t="inlineStr"/>
      <c r="S179" s="92" t="inlineStr">
        <is>
          <t>SRC_HMRH_1404_001</t>
        </is>
      </c>
      <c r="T179" s="92" t="inlineStr">
        <is>
          <t>EXACT؛ شروع 1403/04/19</t>
        </is>
      </c>
      <c r="U179" s="92" t="inlineStr">
        <is>
          <t>استنباطی از تصدی</t>
        </is>
      </c>
      <c r="V179" s="92" t="inlineStr">
        <is>
          <t>حاضر در مبنا بر پایه پیوستگی (شروع دقیق تا 1403/12/29)</t>
        </is>
      </c>
    </row>
    <row r="180" ht="34" customHeight="1" s="76">
      <c r="A180" s="92" t="inlineStr">
        <is>
          <t>PF0177</t>
        </is>
      </c>
      <c r="B180" s="92" t="inlineStr">
        <is>
          <t>وبملت</t>
        </is>
      </c>
      <c r="C180" s="92" t="inlineStr">
        <is>
          <t>نمای مالی FYE1404</t>
        </is>
      </c>
      <c r="D180" s="92" t="inlineStr">
        <is>
          <t>P-6A7A31EC</t>
        </is>
      </c>
      <c r="E180" s="92" t="inlineStr">
        <is>
          <t>سیدکاظم چاوشی</t>
        </is>
      </c>
      <c r="F180" s="92" t="inlineStr">
        <is>
          <t>سیدکاظم چاوشی</t>
        </is>
      </c>
      <c r="G180" s="92" t="inlineStr">
        <is>
          <t>نامشخص (فهرست اسمی مبنا در دسترس نیست)</t>
        </is>
      </c>
      <c r="H180" s="92" t="inlineStr">
        <is>
          <t>حاضر در مقطع 1404/12/29</t>
        </is>
      </c>
      <c r="I180" s="92" t="inlineStr">
        <is>
          <t>FISCAL_PRESENT_AT_BASE</t>
        </is>
      </c>
      <c r="J180" s="92" t="inlineStr">
        <is>
          <t>نمای مالی: حاضر در مبنا طبق پیوستگی تصدی v41</t>
        </is>
      </c>
      <c r="K180" s="92" t="inlineStr"/>
      <c r="L180" s="92" t="inlineStr">
        <is>
          <t>نایب رئیس هیئت مدیره</t>
        </is>
      </c>
      <c r="M180" s="92" t="inlineStr"/>
      <c r="N180" s="92" t="inlineStr"/>
      <c r="O180" s="92" t="inlineStr"/>
      <c r="P180" s="92" t="inlineStr"/>
      <c r="Q180" s="92" t="inlineStr"/>
      <c r="R180" s="92" t="inlineStr"/>
      <c r="S180" s="92" t="inlineStr">
        <is>
          <t>SRC_MELT_1404_002</t>
        </is>
      </c>
      <c r="T180" s="92" t="inlineStr">
        <is>
          <t>MIN_CONTINUOUS؛ لنگر 1401/03/01</t>
        </is>
      </c>
      <c r="U180" s="92" t="inlineStr">
        <is>
          <t>استنباطی از تصدی</t>
        </is>
      </c>
      <c r="V180" s="92" t="inlineStr">
        <is>
          <t>حاضر در مبنا بر پایه حداقل پیوستگی (لنگر تا 1403/12/29)</t>
        </is>
      </c>
    </row>
    <row r="181" ht="34" customHeight="1" s="76">
      <c r="A181" s="92" t="inlineStr">
        <is>
          <t>PF0178</t>
        </is>
      </c>
      <c r="B181" s="92" t="inlineStr">
        <is>
          <t>وبملت</t>
        </is>
      </c>
      <c r="C181" s="92" t="inlineStr">
        <is>
          <t>نمای مالی FYE1404</t>
        </is>
      </c>
      <c r="D181" s="92" t="inlineStr">
        <is>
          <t>P-0EB0796A</t>
        </is>
      </c>
      <c r="E181" s="92" t="inlineStr">
        <is>
          <t>مسعود نصراصفهانی</t>
        </is>
      </c>
      <c r="F181" s="92" t="inlineStr">
        <is>
          <t>مسعود نصراصفهانی</t>
        </is>
      </c>
      <c r="G181" s="92" t="inlineStr">
        <is>
          <t>نامشخص (فهرست اسمی مبنا در دسترس نیست)</t>
        </is>
      </c>
      <c r="H181" s="92" t="inlineStr">
        <is>
          <t>حاضر در مقطع 1404/12/29</t>
        </is>
      </c>
      <c r="I181" s="92" t="inlineStr">
        <is>
          <t>FISCAL_PRESENT_AT_BASE</t>
        </is>
      </c>
      <c r="J181" s="92" t="inlineStr">
        <is>
          <t>نمای مالی: حاضر در مبنا طبق پیوستگی تصدی v41</t>
        </is>
      </c>
      <c r="K181" s="92" t="inlineStr"/>
      <c r="L181" s="92" t="inlineStr">
        <is>
          <t>رئیس هیئت مدیره</t>
        </is>
      </c>
      <c r="M181" s="92" t="inlineStr"/>
      <c r="N181" s="92" t="inlineStr"/>
      <c r="O181" s="92" t="inlineStr"/>
      <c r="P181" s="92" t="inlineStr"/>
      <c r="Q181" s="92" t="inlineStr"/>
      <c r="R181" s="92" t="inlineStr"/>
      <c r="S181" s="92" t="inlineStr">
        <is>
          <t>SRC_MELT_1404_002</t>
        </is>
      </c>
      <c r="T181" s="92" t="inlineStr">
        <is>
          <t>MIN_CONTINUOUS؛ لنگر 1401/03/01</t>
        </is>
      </c>
      <c r="U181" s="92" t="inlineStr">
        <is>
          <t>استنباطی از تصدی</t>
        </is>
      </c>
      <c r="V181" s="92" t="inlineStr">
        <is>
          <t>حاضر در مبنا بر پایه حداقل پیوستگی (لنگر تا 1403/12/29)</t>
        </is>
      </c>
    </row>
    <row r="182" ht="34" customHeight="1" s="76">
      <c r="A182" s="92" t="inlineStr">
        <is>
          <t>PF0179</t>
        </is>
      </c>
      <c r="B182" s="92" t="inlineStr">
        <is>
          <t>وبملت</t>
        </is>
      </c>
      <c r="C182" s="92" t="inlineStr">
        <is>
          <t>نمای مالی FYE1404</t>
        </is>
      </c>
      <c r="D182" s="92" t="inlineStr">
        <is>
          <t>P-1905BDE9</t>
        </is>
      </c>
      <c r="E182" s="92" t="inlineStr">
        <is>
          <t>عباس اشرف نژاد</t>
        </is>
      </c>
      <c r="F182" s="92" t="inlineStr">
        <is>
          <t>عباس اشرف نژاد</t>
        </is>
      </c>
      <c r="G182" s="92" t="inlineStr">
        <is>
          <t>نامشخص (فهرست اسمی مبنا در دسترس نیست)</t>
        </is>
      </c>
      <c r="H182" s="92" t="inlineStr">
        <is>
          <t>حاضر در مقطع 1404/12/29</t>
        </is>
      </c>
      <c r="I182" s="92" t="inlineStr">
        <is>
          <t>FISCAL_PRESENT_AT_BASE</t>
        </is>
      </c>
      <c r="J182" s="92" t="inlineStr">
        <is>
          <t>نمای مالی: حاضر در مبنا طبق پیوستگی تصدی v41</t>
        </is>
      </c>
      <c r="K182" s="92" t="inlineStr"/>
      <c r="L182" s="92" t="inlineStr">
        <is>
          <t>عضو هیئت مدیره</t>
        </is>
      </c>
      <c r="M182" s="92" t="inlineStr"/>
      <c r="N182" s="92" t="inlineStr"/>
      <c r="O182" s="92" t="inlineStr"/>
      <c r="P182" s="92" t="inlineStr"/>
      <c r="Q182" s="92" t="inlineStr"/>
      <c r="R182" s="92" t="inlineStr"/>
      <c r="S182" s="92" t="inlineStr">
        <is>
          <t>SRC_MELT_1404_002</t>
        </is>
      </c>
      <c r="T182" s="92" t="inlineStr">
        <is>
          <t>MIN_CONTINUOUS؛ لنگر 1401/03/01</t>
        </is>
      </c>
      <c r="U182" s="92" t="inlineStr">
        <is>
          <t>استنباطی از تصدی</t>
        </is>
      </c>
      <c r="V182" s="92" t="inlineStr">
        <is>
          <t>حاضر در مبنا بر پایه حداقل پیوستگی (لنگر تا 1403/12/29)</t>
        </is>
      </c>
    </row>
    <row r="183" ht="34" customHeight="1" s="76">
      <c r="A183" s="92" t="inlineStr">
        <is>
          <t>PF0180</t>
        </is>
      </c>
      <c r="B183" s="92" t="inlineStr">
        <is>
          <t>وبملت</t>
        </is>
      </c>
      <c r="C183" s="92" t="inlineStr">
        <is>
          <t>نمای مالی FYE1404</t>
        </is>
      </c>
      <c r="D183" s="92" t="inlineStr">
        <is>
          <t>P-981A53E0</t>
        </is>
      </c>
      <c r="E183" s="92" t="inlineStr">
        <is>
          <t>سیدرضا موسوی</t>
        </is>
      </c>
      <c r="F183" s="92" t="inlineStr">
        <is>
          <t>سیدرضا موسوی</t>
        </is>
      </c>
      <c r="G183" s="92" t="inlineStr">
        <is>
          <t>نامشخص (فهرست اسمی مبنا در دسترس نیست)</t>
        </is>
      </c>
      <c r="H183" s="92" t="inlineStr">
        <is>
          <t>حاضر در مقطع 1404/12/29</t>
        </is>
      </c>
      <c r="I183" s="92" t="inlineStr">
        <is>
          <t>FISCAL_PRESENT_AT_BASE</t>
        </is>
      </c>
      <c r="J183" s="92" t="inlineStr">
        <is>
          <t>نمای مالی: حاضر در مبنا طبق پیوستگی تصدی v41</t>
        </is>
      </c>
      <c r="K183" s="92" t="inlineStr"/>
      <c r="L183" s="92" t="inlineStr">
        <is>
          <t>عضو هیئت مدیره</t>
        </is>
      </c>
      <c r="M183" s="92" t="inlineStr"/>
      <c r="N183" s="92" t="inlineStr"/>
      <c r="O183" s="92" t="inlineStr"/>
      <c r="P183" s="92" t="inlineStr"/>
      <c r="Q183" s="92" t="inlineStr"/>
      <c r="R183" s="92" t="inlineStr"/>
      <c r="S183" s="92" t="inlineStr">
        <is>
          <t>SRC_MELT_1404_002</t>
        </is>
      </c>
      <c r="T183" s="92" t="inlineStr">
        <is>
          <t>EXACT؛ شروع 1402/12/24</t>
        </is>
      </c>
      <c r="U183" s="92" t="inlineStr">
        <is>
          <t>استنباطی از تصدی</t>
        </is>
      </c>
      <c r="V183" s="92" t="inlineStr">
        <is>
          <t>حاضر در مبنا بر پایه پیوستگی (شروع دقیق تا 1403/12/29)</t>
        </is>
      </c>
    </row>
    <row r="184" ht="34" customHeight="1" s="76">
      <c r="A184" s="92" t="inlineStr">
        <is>
          <t>PF0181</t>
        </is>
      </c>
      <c r="B184" s="92" t="inlineStr">
        <is>
          <t>وبملت</t>
        </is>
      </c>
      <c r="C184" s="92" t="inlineStr">
        <is>
          <t>نمای مالی FYE1404</t>
        </is>
      </c>
      <c r="D184" s="92" t="inlineStr">
        <is>
          <t>P-B3DB11C8</t>
        </is>
      </c>
      <c r="E184" s="92" t="inlineStr">
        <is>
          <t>فرشید فرخ نژاد</t>
        </is>
      </c>
      <c r="F184" s="92" t="inlineStr">
        <is>
          <t>فرشید فرخ نژاد</t>
        </is>
      </c>
      <c r="G184" s="92" t="inlineStr">
        <is>
          <t>نامشخص (فهرست اسمی مبنا در دسترس نیست)</t>
        </is>
      </c>
      <c r="H184" s="92" t="inlineStr">
        <is>
          <t>حاضر در مقطع 1404/12/29</t>
        </is>
      </c>
      <c r="I184" s="92" t="inlineStr">
        <is>
          <t>FISCAL_PRESENT_AT_BASE</t>
        </is>
      </c>
      <c r="J184" s="92" t="inlineStr">
        <is>
          <t>نمای مالی: حاضر در مبنا طبق پیوستگی تصدی v41</t>
        </is>
      </c>
      <c r="K184" s="92" t="inlineStr"/>
      <c r="L184" s="92" t="inlineStr">
        <is>
          <t>عضو هیئت مدیره</t>
        </is>
      </c>
      <c r="M184" s="92" t="inlineStr"/>
      <c r="N184" s="92" t="inlineStr"/>
      <c r="O184" s="92" t="inlineStr"/>
      <c r="P184" s="92" t="inlineStr"/>
      <c r="Q184" s="92" t="inlineStr"/>
      <c r="R184" s="92" t="inlineStr"/>
      <c r="S184" s="92" t="inlineStr">
        <is>
          <t>SRC_MELT_1404_002</t>
        </is>
      </c>
      <c r="T184" s="92" t="inlineStr">
        <is>
          <t>EXACT؛ شروع 1402/12/24</t>
        </is>
      </c>
      <c r="U184" s="92" t="inlineStr">
        <is>
          <t>استنباطی از تصدی</t>
        </is>
      </c>
      <c r="V184" s="92" t="inlineStr">
        <is>
          <t>حاضر در مبنا بر پایه پیوستگی (شروع دقیق تا 1403/12/29)</t>
        </is>
      </c>
    </row>
    <row r="185" ht="34" customHeight="1" s="76">
      <c r="A185" s="92" t="inlineStr">
        <is>
          <t>PF0182</t>
        </is>
      </c>
      <c r="B185" s="92" t="inlineStr">
        <is>
          <t>وبصادر</t>
        </is>
      </c>
      <c r="C185" s="92" t="inlineStr">
        <is>
          <t>نمای مالی FYE1404</t>
        </is>
      </c>
      <c r="D185" s="92" t="inlineStr">
        <is>
          <t>P-8C988BBF</t>
        </is>
      </c>
      <c r="E185" s="92" t="inlineStr">
        <is>
          <t>یاسر مرادی</t>
        </is>
      </c>
      <c r="F185" s="92" t="inlineStr">
        <is>
          <t>یاسر مرادی</t>
        </is>
      </c>
      <c r="G185" s="92" t="inlineStr">
        <is>
          <t>نامشخص (فهرست اسمی مبنا در دسترس نیست)</t>
        </is>
      </c>
      <c r="H185" s="92" t="inlineStr">
        <is>
          <t>حاضر در مقطع 1404/12/29</t>
        </is>
      </c>
      <c r="I185" s="92" t="inlineStr">
        <is>
          <t>FISCAL_PRESENT_AT_BASE</t>
        </is>
      </c>
      <c r="J185" s="92" t="inlineStr">
        <is>
          <t>نمای مالی: حاضر در مبنا طبق پیوستگی تصدی v41</t>
        </is>
      </c>
      <c r="K185" s="92" t="inlineStr"/>
      <c r="L185" s="92" t="inlineStr">
        <is>
          <t>عضو هیئت مدیره</t>
        </is>
      </c>
      <c r="M185" s="92" t="inlineStr"/>
      <c r="N185" s="92" t="inlineStr"/>
      <c r="O185" s="92" t="inlineStr"/>
      <c r="P185" s="92" t="inlineStr"/>
      <c r="Q185" s="92" t="inlineStr"/>
      <c r="R185" s="92" t="inlineStr"/>
      <c r="S185" s="92" t="inlineStr">
        <is>
          <t>SRC_VBSD_1404_001</t>
        </is>
      </c>
      <c r="T185" s="92" t="inlineStr">
        <is>
          <t>MIN_CONTINUOUS؛ لنگر 1401/03/12</t>
        </is>
      </c>
      <c r="U185" s="92" t="inlineStr">
        <is>
          <t>استنباطی از تصدی</t>
        </is>
      </c>
      <c r="V185" s="92" t="inlineStr">
        <is>
          <t>حاضر در مبنا بر پایه حداقل پیوستگی (لنگر تا 1403/12/29)</t>
        </is>
      </c>
    </row>
    <row r="186" ht="34" customHeight="1" s="76">
      <c r="A186" s="92" t="inlineStr">
        <is>
          <t>PF0183</t>
        </is>
      </c>
      <c r="B186" s="92" t="inlineStr">
        <is>
          <t>وبصادر</t>
        </is>
      </c>
      <c r="C186" s="92" t="inlineStr">
        <is>
          <t>نمای مالی FYE1404</t>
        </is>
      </c>
      <c r="D186" s="92" t="inlineStr">
        <is>
          <t>P-683645D8</t>
        </is>
      </c>
      <c r="E186" s="92" t="inlineStr">
        <is>
          <t>محسن سیفی کفشگری</t>
        </is>
      </c>
      <c r="F186" s="92" t="inlineStr">
        <is>
          <t>محسن سیفی کفشگری</t>
        </is>
      </c>
      <c r="G186" s="92" t="inlineStr">
        <is>
          <t>نامشخص (فهرست اسمی مبنا در دسترس نیست)</t>
        </is>
      </c>
      <c r="H186" s="92" t="inlineStr">
        <is>
          <t>حاضر در مقطع 1404/12/29</t>
        </is>
      </c>
      <c r="I186" s="92" t="inlineStr">
        <is>
          <t>FISCAL_PRESENT_AT_BASE</t>
        </is>
      </c>
      <c r="J186" s="92" t="inlineStr">
        <is>
          <t>نمای مالی: حاضر در مبنا طبق پیوستگی تصدی v41</t>
        </is>
      </c>
      <c r="K186" s="92" t="inlineStr"/>
      <c r="L186" s="92" t="inlineStr">
        <is>
          <t>عضو هیئت مدیره</t>
        </is>
      </c>
      <c r="M186" s="92" t="inlineStr"/>
      <c r="N186" s="92" t="inlineStr"/>
      <c r="O186" s="92" t="inlineStr"/>
      <c r="P186" s="92" t="inlineStr"/>
      <c r="Q186" s="92" t="inlineStr"/>
      <c r="R186" s="92" t="inlineStr"/>
      <c r="S186" s="92" t="inlineStr">
        <is>
          <t>SRC_VBSD_1404_001</t>
        </is>
      </c>
      <c r="T186" s="92" t="inlineStr">
        <is>
          <t>INTERVAL؛ بازه 1401/05/03 تا 1402/08/22</t>
        </is>
      </c>
      <c r="U186" s="92" t="inlineStr">
        <is>
          <t>استنباطی از تصدی</t>
        </is>
      </c>
      <c r="V186" s="92" t="inlineStr">
        <is>
          <t>حاضر در مبنا بر پایه پیوستگی (کران بالا تا 1403/12/29)</t>
        </is>
      </c>
    </row>
    <row r="187" ht="34" customHeight="1" s="76">
      <c r="A187" s="92" t="inlineStr">
        <is>
          <t>PF0184</t>
        </is>
      </c>
      <c r="B187" s="92" t="inlineStr">
        <is>
          <t>وبصادر</t>
        </is>
      </c>
      <c r="C187" s="92" t="inlineStr">
        <is>
          <t>نمای مالی FYE1404</t>
        </is>
      </c>
      <c r="D187" s="92" t="inlineStr">
        <is>
          <t>P-555BD450</t>
        </is>
      </c>
      <c r="E187" s="92" t="inlineStr">
        <is>
          <t>قربان اسکندری کبودان</t>
        </is>
      </c>
      <c r="F187" s="92" t="inlineStr">
        <is>
          <t>قربان اسکندری کبودان</t>
        </is>
      </c>
      <c r="G187" s="92" t="inlineStr">
        <is>
          <t>نامشخص (فهرست اسمی مبنا در دسترس نیست)</t>
        </is>
      </c>
      <c r="H187" s="92" t="inlineStr">
        <is>
          <t>حاضر در مقطع 1404/12/29</t>
        </is>
      </c>
      <c r="I187" s="92" t="inlineStr">
        <is>
          <t>FISCAL_PRESENT_AT_BASE</t>
        </is>
      </c>
      <c r="J187" s="92" t="inlineStr">
        <is>
          <t>نمای مالی: حاضر در مبنا طبق پیوستگی تصدی v41</t>
        </is>
      </c>
      <c r="K187" s="92" t="inlineStr"/>
      <c r="L187" s="92" t="inlineStr">
        <is>
          <t>رئیس هیئت مدیره</t>
        </is>
      </c>
      <c r="M187" s="92" t="inlineStr"/>
      <c r="N187" s="92" t="inlineStr"/>
      <c r="O187" s="92" t="inlineStr"/>
      <c r="P187" s="92" t="inlineStr"/>
      <c r="Q187" s="92" t="inlineStr"/>
      <c r="R187" s="92" t="inlineStr"/>
      <c r="S187" s="92" t="inlineStr">
        <is>
          <t>SRC_VBSD_1404_001</t>
        </is>
      </c>
      <c r="T187" s="92" t="inlineStr">
        <is>
          <t>EXACT؛ شروع 1402/08/02</t>
        </is>
      </c>
      <c r="U187" s="92" t="inlineStr">
        <is>
          <t>استنباطی از تصدی</t>
        </is>
      </c>
      <c r="V187" s="92" t="inlineStr">
        <is>
          <t>حاضر در مبنا بر پایه پیوستگی (شروع دقیق تا 1403/12/29)</t>
        </is>
      </c>
    </row>
    <row r="188" ht="34" customHeight="1" s="76">
      <c r="A188" s="92" t="inlineStr">
        <is>
          <t>PF0185</t>
        </is>
      </c>
      <c r="B188" s="92" t="inlineStr">
        <is>
          <t>وبصادر</t>
        </is>
      </c>
      <c r="C188" s="92" t="inlineStr">
        <is>
          <t>نمای مالی FYE1404</t>
        </is>
      </c>
      <c r="D188" s="92" t="inlineStr">
        <is>
          <t>P-BCE8A3F9</t>
        </is>
      </c>
      <c r="E188" s="92" t="inlineStr">
        <is>
          <t>محمد وطن پور</t>
        </is>
      </c>
      <c r="F188" s="92" t="inlineStr">
        <is>
          <t>محمد وطن پور</t>
        </is>
      </c>
      <c r="G188" s="92" t="inlineStr">
        <is>
          <t>نامشخص (فهرست اسمی مبنا در دسترس نیست)</t>
        </is>
      </c>
      <c r="H188" s="92" t="inlineStr">
        <is>
          <t>حاضر در مقطع 1404/12/29</t>
        </is>
      </c>
      <c r="I188" s="92" t="inlineStr">
        <is>
          <t>FISCAL_PRESENT_AT_BASE</t>
        </is>
      </c>
      <c r="J188" s="92" t="inlineStr">
        <is>
          <t>نمای مالی: حاضر در مبنا طبق پیوستگی تصدی v41</t>
        </is>
      </c>
      <c r="K188" s="92" t="inlineStr"/>
      <c r="L188" s="92" t="inlineStr">
        <is>
          <t>عضو هیئت مدیره</t>
        </is>
      </c>
      <c r="M188" s="92" t="inlineStr"/>
      <c r="N188" s="92" t="inlineStr"/>
      <c r="O188" s="92" t="inlineStr"/>
      <c r="P188" s="92" t="inlineStr"/>
      <c r="Q188" s="92" t="inlineStr"/>
      <c r="R188" s="92" t="inlineStr"/>
      <c r="S188" s="92" t="inlineStr">
        <is>
          <t>SRC_VBSD_1404_001</t>
        </is>
      </c>
      <c r="T188" s="92" t="inlineStr">
        <is>
          <t>EXACT؛ شروع 1403/10/22</t>
        </is>
      </c>
      <c r="U188" s="92" t="inlineStr">
        <is>
          <t>استنباطی از تصدی</t>
        </is>
      </c>
      <c r="V188" s="92" t="inlineStr">
        <is>
          <t>حاضر در مبنا بر پایه پیوستگی (شروع دقیق تا 1403/12/29)</t>
        </is>
      </c>
    </row>
    <row r="189" ht="34" customHeight="1" s="76">
      <c r="A189" s="92" t="inlineStr">
        <is>
          <t>PF0186</t>
        </is>
      </c>
      <c r="B189" s="92" t="inlineStr">
        <is>
          <t>وبصادر</t>
        </is>
      </c>
      <c r="C189" s="92" t="inlineStr">
        <is>
          <t>نمای مالی FYE1404</t>
        </is>
      </c>
      <c r="D189" s="92" t="inlineStr">
        <is>
          <t>P-4838EF44</t>
        </is>
      </c>
      <c r="E189" s="92" t="inlineStr">
        <is>
          <t>مهدی اقبالی راد</t>
        </is>
      </c>
      <c r="F189" s="92" t="inlineStr">
        <is>
          <t>مهدی اقبالی راد</t>
        </is>
      </c>
      <c r="G189" s="92" t="inlineStr">
        <is>
          <t>نامشخص (فهرست اسمی مبنا در دسترس نیست)</t>
        </is>
      </c>
      <c r="H189" s="92" t="inlineStr">
        <is>
          <t>حاضر در مقطع 1404/12/29</t>
        </is>
      </c>
      <c r="I189" s="92" t="inlineStr">
        <is>
          <t>FISCAL_PRESENT_AT_BASE</t>
        </is>
      </c>
      <c r="J189" s="92" t="inlineStr">
        <is>
          <t>نمای مالی: حاضر در مبنا طبق پیوستگی تصدی v41</t>
        </is>
      </c>
      <c r="K189" s="92" t="inlineStr"/>
      <c r="L189" s="92" t="inlineStr">
        <is>
          <t>نایب رئیس هیئت مدیره</t>
        </is>
      </c>
      <c r="M189" s="92" t="inlineStr"/>
      <c r="N189" s="92" t="inlineStr"/>
      <c r="O189" s="92" t="inlineStr"/>
      <c r="P189" s="92" t="inlineStr"/>
      <c r="Q189" s="92" t="inlineStr"/>
      <c r="R189" s="92" t="inlineStr"/>
      <c r="S189" s="92" t="inlineStr">
        <is>
          <t>SRC_VBSD_1404_001</t>
        </is>
      </c>
      <c r="T189" s="92" t="inlineStr">
        <is>
          <t>EXACT؛ شروع 1402/08/22</t>
        </is>
      </c>
      <c r="U189" s="92" t="inlineStr">
        <is>
          <t>استنباطی از تصدی</t>
        </is>
      </c>
      <c r="V189" s="92" t="inlineStr">
        <is>
          <t>حاضر در مبنا بر پایه پیوستگی (شروع دقیق تا 1403/12/29)</t>
        </is>
      </c>
    </row>
    <row r="190">
      <c r="A190" s="94" t="inlineStr">
        <is>
          <t>PF0187</t>
        </is>
      </c>
      <c r="B190" s="94" t="inlineStr">
        <is>
          <t>وپاسار</t>
        </is>
      </c>
      <c r="C190" s="94" t="inlineStr">
        <is>
          <t>نمای مالی FYE1404</t>
        </is>
      </c>
      <c r="D190" s="94" t="inlineStr"/>
      <c r="E190" s="94" t="inlineStr"/>
      <c r="F190" s="94" t="inlineStr"/>
      <c r="G190" s="94" t="inlineStr">
        <is>
          <t>نامشخص</t>
        </is>
      </c>
      <c r="H190" s="94" t="inlineStr">
        <is>
          <t>فهرست ندارد</t>
        </is>
      </c>
      <c r="I190" s="94" t="inlineStr">
        <is>
          <t>FISCAL_NO_ROSTER</t>
        </is>
      </c>
      <c r="J190" s="94" t="inlineStr">
        <is>
          <t>فهرست ندارد</t>
        </is>
      </c>
      <c r="K190" s="94" t="inlineStr"/>
      <c r="L190" s="94" t="inlineStr"/>
      <c r="M190" s="94" t="inlineStr"/>
      <c r="N190" s="94" t="inlineStr"/>
      <c r="O190" s="94" t="inlineStr"/>
      <c r="P190" s="94" t="inlineStr"/>
      <c r="Q190" s="94" t="inlineStr"/>
      <c r="R190" s="94" t="inlineStr"/>
      <c r="S190" s="94" t="inlineStr"/>
      <c r="T190" s="94" t="inlineStr"/>
      <c r="U190" s="94" t="inlineStr">
        <is>
          <t>ندارد</t>
        </is>
      </c>
      <c r="V190" s="94" t="inlineStr">
        <is>
          <t>گزارش FY1404 و ن۴۵ در آرشیو نیست</t>
        </is>
      </c>
    </row>
    <row r="191">
      <c r="A191" s="93" t="inlineStr">
        <is>
          <t>PF0188</t>
        </is>
      </c>
      <c r="B191" s="93" t="inlineStr">
        <is>
          <t>حکشتی</t>
        </is>
      </c>
      <c r="C191" s="93" t="inlineStr">
        <is>
          <t>نمای مالی FYE1404</t>
        </is>
      </c>
      <c r="D191" s="93" t="inlineStr"/>
      <c r="E191" s="93" t="inlineStr">
        <is>
          <t>(نماینده نامشخص)</t>
        </is>
      </c>
      <c r="F191" s="93" t="inlineStr"/>
      <c r="G191" s="93" t="inlineStr">
        <is>
          <t>نامشخص</t>
        </is>
      </c>
      <c r="H191" s="93" t="inlineStr">
        <is>
          <t>کرسی حقوقی با نماینده نامشخص</t>
        </is>
      </c>
      <c r="I191" s="93" t="inlineStr">
        <is>
          <t>FISCAL_BASE_UNDETERMINED</t>
        </is>
      </c>
      <c r="J191" s="93" t="inlineStr">
        <is>
          <t>نمای مالی: وضعیت در مبنا نامشخص</t>
        </is>
      </c>
      <c r="K191" s="93" t="inlineStr"/>
      <c r="L191" s="93" t="inlineStr">
        <is>
          <t>نایب رئیس هیئت مدیره</t>
        </is>
      </c>
      <c r="M191" s="93" t="inlineStr"/>
      <c r="N191" s="93" t="inlineStr">
        <is>
          <t>سرمایه گذاری تأمین اجتماعی</t>
        </is>
      </c>
      <c r="O191" s="93" t="inlineStr"/>
      <c r="P191" s="93" t="inlineStr"/>
      <c r="Q191" s="93" t="inlineStr"/>
      <c r="R191" s="93" t="inlineStr"/>
      <c r="S191" s="93" t="inlineStr">
        <is>
          <t>SRC_HKSH_1404_002</t>
        </is>
      </c>
      <c r="T191" s="93" t="inlineStr">
        <is>
          <t>UNKNOWN</t>
        </is>
      </c>
      <c r="U191" s="93" t="inlineStr">
        <is>
          <t>ندارد</t>
        </is>
      </c>
      <c r="V191" s="93" t="inlineStr">
        <is>
          <t>نماینده معلوم نیست؛ به خروج یا صفر تبدیل نشد</t>
        </is>
      </c>
    </row>
    <row r="192">
      <c r="A192" s="93" t="inlineStr">
        <is>
          <t>PF0189</t>
        </is>
      </c>
      <c r="B192" s="93" t="inlineStr">
        <is>
          <t>حکشتی</t>
        </is>
      </c>
      <c r="C192" s="93" t="inlineStr">
        <is>
          <t>نمای مالی FYE1404</t>
        </is>
      </c>
      <c r="D192" s="93" t="inlineStr"/>
      <c r="E192" s="93" t="inlineStr">
        <is>
          <t>(نماینده نامشخص)</t>
        </is>
      </c>
      <c r="F192" s="93" t="inlineStr"/>
      <c r="G192" s="93" t="inlineStr">
        <is>
          <t>نامشخص</t>
        </is>
      </c>
      <c r="H192" s="93" t="inlineStr">
        <is>
          <t>کرسی حقوقی با نماینده نامشخص</t>
        </is>
      </c>
      <c r="I192" s="93" t="inlineStr">
        <is>
          <t>FISCAL_BASE_UNDETERMINED</t>
        </is>
      </c>
      <c r="J192" s="93" t="inlineStr">
        <is>
          <t>نمای مالی: وضعیت در مبنا نامشخص</t>
        </is>
      </c>
      <c r="K192" s="93" t="inlineStr"/>
      <c r="L192" s="93" t="inlineStr">
        <is>
          <t>رئیس هیئت مدیره</t>
        </is>
      </c>
      <c r="M192" s="93" t="inlineStr"/>
      <c r="N192" s="93" t="inlineStr">
        <is>
          <t>مادر تخصصی بازرگانی دولتی ایران</t>
        </is>
      </c>
      <c r="O192" s="93" t="inlineStr"/>
      <c r="P192" s="93" t="inlineStr"/>
      <c r="Q192" s="93" t="inlineStr"/>
      <c r="R192" s="93" t="inlineStr"/>
      <c r="S192" s="93" t="inlineStr">
        <is>
          <t>SRC_HKSH_1404_002</t>
        </is>
      </c>
      <c r="T192" s="93" t="inlineStr">
        <is>
          <t>UNKNOWN</t>
        </is>
      </c>
      <c r="U192" s="93" t="inlineStr">
        <is>
          <t>ندارد</t>
        </is>
      </c>
      <c r="V192" s="93" t="inlineStr">
        <is>
          <t>نماینده معلوم نیست؛ به خروج یا صفر تبدیل نشد</t>
        </is>
      </c>
    </row>
    <row r="193">
      <c r="A193" s="93" t="inlineStr">
        <is>
          <t>PF0190</t>
        </is>
      </c>
      <c r="B193" s="93" t="inlineStr">
        <is>
          <t>حکشتی</t>
        </is>
      </c>
      <c r="C193" s="93" t="inlineStr">
        <is>
          <t>نمای مالی FYE1404</t>
        </is>
      </c>
      <c r="D193" s="93" t="inlineStr"/>
      <c r="E193" s="93" t="inlineStr">
        <is>
          <t>(نماینده نامشخص)</t>
        </is>
      </c>
      <c r="F193" s="93" t="inlineStr"/>
      <c r="G193" s="93" t="inlineStr">
        <is>
          <t>نامشخص</t>
        </is>
      </c>
      <c r="H193" s="93" t="inlineStr">
        <is>
          <t>کرسی حقوقی با نماینده نامشخص</t>
        </is>
      </c>
      <c r="I193" s="93" t="inlineStr">
        <is>
          <t>FISCAL_BASE_UNDETERMINED</t>
        </is>
      </c>
      <c r="J193" s="93" t="inlineStr">
        <is>
          <t>نمای مالی: وضعیت در مبنا نامشخص</t>
        </is>
      </c>
      <c r="K193" s="93" t="inlineStr"/>
      <c r="L193" s="93" t="inlineStr">
        <is>
          <t>عضو هیئت مدیره</t>
        </is>
      </c>
      <c r="M193" s="93" t="inlineStr"/>
      <c r="N193" s="93" t="inlineStr">
        <is>
          <t>سرمایه گذاری صباتأمین</t>
        </is>
      </c>
      <c r="O193" s="93" t="inlineStr"/>
      <c r="P193" s="93" t="inlineStr"/>
      <c r="Q193" s="93" t="inlineStr"/>
      <c r="R193" s="93" t="inlineStr"/>
      <c r="S193" s="93" t="inlineStr">
        <is>
          <t>SRC_HKSH_1404_002</t>
        </is>
      </c>
      <c r="T193" s="93" t="inlineStr">
        <is>
          <t>UNKNOWN</t>
        </is>
      </c>
      <c r="U193" s="93" t="inlineStr">
        <is>
          <t>ندارد</t>
        </is>
      </c>
      <c r="V193" s="93" t="inlineStr">
        <is>
          <t>نماینده معلوم نیست؛ به خروج یا صفر تبدیل نشد</t>
        </is>
      </c>
    </row>
    <row r="194">
      <c r="A194" s="93" t="inlineStr">
        <is>
          <t>PF0191</t>
        </is>
      </c>
      <c r="B194" s="93" t="inlineStr">
        <is>
          <t>حکشتی</t>
        </is>
      </c>
      <c r="C194" s="93" t="inlineStr">
        <is>
          <t>نمای مالی FYE1404</t>
        </is>
      </c>
      <c r="D194" s="93" t="inlineStr"/>
      <c r="E194" s="93" t="inlineStr">
        <is>
          <t>(نماینده نامشخص)</t>
        </is>
      </c>
      <c r="F194" s="93" t="inlineStr"/>
      <c r="G194" s="93" t="inlineStr">
        <is>
          <t>نامشخص</t>
        </is>
      </c>
      <c r="H194" s="93" t="inlineStr">
        <is>
          <t>کرسی حقوقی با نماینده نامشخص</t>
        </is>
      </c>
      <c r="I194" s="93" t="inlineStr">
        <is>
          <t>FISCAL_BASE_UNDETERMINED</t>
        </is>
      </c>
      <c r="J194" s="93" t="inlineStr">
        <is>
          <t>نمای مالی: وضعیت در مبنا نامشخص</t>
        </is>
      </c>
      <c r="K194" s="93" t="inlineStr"/>
      <c r="L194" s="93" t="inlineStr">
        <is>
          <t>عضو هیئت مدیره</t>
        </is>
      </c>
      <c r="M194" s="93" t="inlineStr"/>
      <c r="N194" s="93" t="inlineStr">
        <is>
          <t>صندوق بازنشستگی کشوری</t>
        </is>
      </c>
      <c r="O194" s="93" t="inlineStr"/>
      <c r="P194" s="93" t="inlineStr"/>
      <c r="Q194" s="93" t="inlineStr"/>
      <c r="R194" s="93" t="inlineStr"/>
      <c r="S194" s="93" t="inlineStr">
        <is>
          <t>SRC_HKSH_1404_002</t>
        </is>
      </c>
      <c r="T194" s="93" t="inlineStr">
        <is>
          <t>UNKNOWN</t>
        </is>
      </c>
      <c r="U194" s="93" t="inlineStr">
        <is>
          <t>ندارد</t>
        </is>
      </c>
      <c r="V194" s="93" t="inlineStr">
        <is>
          <t>نماینده معلوم نیست؛ به خروج یا صفر تبدیل نشد</t>
        </is>
      </c>
    </row>
    <row r="195">
      <c r="A195" s="93" t="inlineStr">
        <is>
          <t>PF0192</t>
        </is>
      </c>
      <c r="B195" s="93" t="inlineStr">
        <is>
          <t>حکشتی</t>
        </is>
      </c>
      <c r="C195" s="93" t="inlineStr">
        <is>
          <t>نمای مالی FYE1404</t>
        </is>
      </c>
      <c r="D195" s="93" t="inlineStr"/>
      <c r="E195" s="93" t="inlineStr">
        <is>
          <t>(نماینده نامشخص)</t>
        </is>
      </c>
      <c r="F195" s="93" t="inlineStr"/>
      <c r="G195" s="93" t="inlineStr">
        <is>
          <t>نامشخص</t>
        </is>
      </c>
      <c r="H195" s="93" t="inlineStr">
        <is>
          <t>کرسی حقوقی با نماینده نامشخص</t>
        </is>
      </c>
      <c r="I195" s="93" t="inlineStr">
        <is>
          <t>FISCAL_BASE_UNDETERMINED</t>
        </is>
      </c>
      <c r="J195" s="93" t="inlineStr">
        <is>
          <t>نمای مالی: وضعیت در مبنا نامشخص</t>
        </is>
      </c>
      <c r="K195" s="93" t="inlineStr"/>
      <c r="L195" s="93" t="inlineStr">
        <is>
          <t>عضو هیئت مدیره</t>
        </is>
      </c>
      <c r="M195" s="93" t="inlineStr"/>
      <c r="N195" s="93" t="inlineStr">
        <is>
          <t>سرمایه گذاری استان گیلان</t>
        </is>
      </c>
      <c r="O195" s="93" t="inlineStr"/>
      <c r="P195" s="93" t="inlineStr"/>
      <c r="Q195" s="93" t="inlineStr"/>
      <c r="R195" s="93" t="inlineStr"/>
      <c r="S195" s="93" t="inlineStr">
        <is>
          <t>SRC_HKSH_1404_002</t>
        </is>
      </c>
      <c r="T195" s="93" t="inlineStr">
        <is>
          <t>UNKNOWN</t>
        </is>
      </c>
      <c r="U195" s="93" t="inlineStr">
        <is>
          <t>ندارد</t>
        </is>
      </c>
      <c r="V195" s="93" t="inlineStr">
        <is>
          <t>نماینده معلوم نیست؛ به خروج یا صفر تبدیل نشد</t>
        </is>
      </c>
    </row>
    <row r="196" ht="34" customHeight="1" s="76">
      <c r="A196" s="92" t="inlineStr">
        <is>
          <t>PF0193</t>
        </is>
      </c>
      <c r="B196" s="92" t="inlineStr">
        <is>
          <t>شپدیس</t>
        </is>
      </c>
      <c r="C196" s="92" t="inlineStr">
        <is>
          <t>نمای مالی FYE1404</t>
        </is>
      </c>
      <c r="D196" s="92" t="inlineStr">
        <is>
          <t>P-0D107FC5</t>
        </is>
      </c>
      <c r="E196" s="92" t="inlineStr">
        <is>
          <t>عبدالرحیم قنبریان</t>
        </is>
      </c>
      <c r="F196" s="92" t="inlineStr">
        <is>
          <t>عبدالرحیم قنبریان</t>
        </is>
      </c>
      <c r="G196" s="92" t="inlineStr">
        <is>
          <t>نامشخص (فهرست اسمی مبنا در دسترس نیست)</t>
        </is>
      </c>
      <c r="H196" s="92" t="inlineStr">
        <is>
          <t>حاضر در مقطع 1404/06/31</t>
        </is>
      </c>
      <c r="I196" s="92" t="inlineStr">
        <is>
          <t>FISCAL_PRESENT_AT_BASE</t>
        </is>
      </c>
      <c r="J196" s="92" t="inlineStr">
        <is>
          <t>نمای مالی: حاضر در مبنا طبق پیوستگی تصدی v41</t>
        </is>
      </c>
      <c r="K196" s="92" t="inlineStr"/>
      <c r="L196" s="92" t="inlineStr">
        <is>
          <t>نایب رئیس هیئت مدیره</t>
        </is>
      </c>
      <c r="M196" s="92" t="inlineStr"/>
      <c r="N196" s="92" t="inlineStr">
        <is>
          <t>گروه گسترش نفت و گاز پارسیان</t>
        </is>
      </c>
      <c r="O196" s="92" t="inlineStr"/>
      <c r="P196" s="92" t="inlineStr"/>
      <c r="Q196" s="92" t="inlineStr"/>
      <c r="R196" s="92" t="inlineStr"/>
      <c r="S196" s="92" t="inlineStr">
        <is>
          <t>SRC_SHPD_1404_001</t>
        </is>
      </c>
      <c r="T196" s="92" t="inlineStr">
        <is>
          <t>EXACT؛ شروع 1403/11/29</t>
        </is>
      </c>
      <c r="U196" s="92" t="inlineStr">
        <is>
          <t>استنباطی از تصدی</t>
        </is>
      </c>
      <c r="V196" s="92" t="inlineStr">
        <is>
          <t>حاضر در مبنا بر پایه پیوستگی (شروع دقیق تا 1403/12/29)؛ فقط تا افق FYE</t>
        </is>
      </c>
    </row>
    <row r="197" ht="34" customHeight="1" s="76">
      <c r="A197" s="95" t="inlineStr">
        <is>
          <t>PF0194</t>
        </is>
      </c>
      <c r="B197" s="95" t="inlineStr">
        <is>
          <t>شپدیس</t>
        </is>
      </c>
      <c r="C197" s="95" t="inlineStr">
        <is>
          <t>نمای مالی FYE1404</t>
        </is>
      </c>
      <c r="D197" s="95" t="inlineStr">
        <is>
          <t>P-280FA4EB</t>
        </is>
      </c>
      <c r="E197" s="95" t="inlineStr">
        <is>
          <t>سعید کاردار</t>
        </is>
      </c>
      <c r="F197" s="95" t="inlineStr">
        <is>
          <t>سعید کاردار</t>
        </is>
      </c>
      <c r="G197" s="95" t="inlineStr">
        <is>
          <t>نامشخص (فهرست اسمی مبنا در دسترس نیست)</t>
        </is>
      </c>
      <c r="H197" s="95" t="inlineStr">
        <is>
          <t>حاضر در مقطع 1404/06/31</t>
        </is>
      </c>
      <c r="I197" s="95" t="inlineStr">
        <is>
          <t>FISCAL_ENTRY_AFTER_BASE</t>
        </is>
      </c>
      <c r="J197" s="95" t="inlineStr">
        <is>
          <t>نمای مالی: ورود پس از مبنا طبق تصدی v41</t>
        </is>
      </c>
      <c r="K197" s="95" t="inlineStr"/>
      <c r="L197" s="95" t="inlineStr">
        <is>
          <t>عضو هیئت مدیره</t>
        </is>
      </c>
      <c r="M197" s="95" t="inlineStr"/>
      <c r="N197" s="95" t="inlineStr">
        <is>
          <t>بازرگانی پتروشیمی</t>
        </is>
      </c>
      <c r="O197" s="95" t="inlineStr"/>
      <c r="P197" s="95" t="inlineStr"/>
      <c r="Q197" s="95" t="inlineStr"/>
      <c r="R197" s="95" t="inlineStr"/>
      <c r="S197" s="95" t="inlineStr">
        <is>
          <t>SRC_SHPD_1404_001</t>
        </is>
      </c>
      <c r="T197" s="95" t="inlineStr">
        <is>
          <t>EXACT؛ شروع 1404/03/11</t>
        </is>
      </c>
      <c r="U197" s="95" t="inlineStr">
        <is>
          <t>استنباطی از تصدی</t>
        </is>
      </c>
      <c r="V197" s="95" t="inlineStr">
        <is>
          <t>ورود پس از مبنا (شروع دقیق پس از 1403/12/29)؛ فقط تا افق FYE</t>
        </is>
      </c>
    </row>
    <row r="198" ht="34" customHeight="1" s="76">
      <c r="A198" s="92" t="inlineStr">
        <is>
          <t>PF0195</t>
        </is>
      </c>
      <c r="B198" s="92" t="inlineStr">
        <is>
          <t>شپدیس</t>
        </is>
      </c>
      <c r="C198" s="92" t="inlineStr">
        <is>
          <t>نمای مالی FYE1404</t>
        </is>
      </c>
      <c r="D198" s="92" t="inlineStr">
        <is>
          <t>P-97503F36</t>
        </is>
      </c>
      <c r="E198" s="92" t="inlineStr">
        <is>
          <t>هوشنگ گودرزی</t>
        </is>
      </c>
      <c r="F198" s="92" t="inlineStr">
        <is>
          <t>هوشنگ گودرزی</t>
        </is>
      </c>
      <c r="G198" s="92" t="inlineStr">
        <is>
          <t>نامشخص (فهرست اسمی مبنا در دسترس نیست)</t>
        </is>
      </c>
      <c r="H198" s="92" t="inlineStr">
        <is>
          <t>حاضر در مقطع 1404/06/31</t>
        </is>
      </c>
      <c r="I198" s="92" t="inlineStr">
        <is>
          <t>FISCAL_PRESENT_AT_BASE</t>
        </is>
      </c>
      <c r="J198" s="92" t="inlineStr">
        <is>
          <t>نمای مالی: حاضر در مبنا طبق پیوستگی تصدی v41</t>
        </is>
      </c>
      <c r="K198" s="92" t="inlineStr"/>
      <c r="L198" s="92" t="inlineStr">
        <is>
          <t>رئیس هیئت مدیره</t>
        </is>
      </c>
      <c r="M198" s="92" t="inlineStr"/>
      <c r="N198" s="92" t="inlineStr">
        <is>
          <t>خدمات مدیریت هامون سپاهان</t>
        </is>
      </c>
      <c r="O198" s="92" t="inlineStr"/>
      <c r="P198" s="92" t="inlineStr"/>
      <c r="Q198" s="92" t="inlineStr"/>
      <c r="R198" s="92" t="inlineStr"/>
      <c r="S198" s="92" t="inlineStr">
        <is>
          <t>SRC_SHPD_1404_001</t>
        </is>
      </c>
      <c r="T198" s="92" t="inlineStr">
        <is>
          <t>EXACT؛ شروع 1403/11/29</t>
        </is>
      </c>
      <c r="U198" s="92" t="inlineStr">
        <is>
          <t>استنباطی از تصدی</t>
        </is>
      </c>
      <c r="V198" s="92" t="inlineStr">
        <is>
          <t>حاضر در مبنا بر پایه پیوستگی (شروع دقیق تا 1403/12/29)؛ فقط تا افق FYE</t>
        </is>
      </c>
    </row>
    <row r="199">
      <c r="A199" s="93" t="inlineStr">
        <is>
          <t>PF0196</t>
        </is>
      </c>
      <c r="B199" s="93" t="inlineStr">
        <is>
          <t>شپدیس</t>
        </is>
      </c>
      <c r="C199" s="93" t="inlineStr">
        <is>
          <t>نمای مالی FYE1404</t>
        </is>
      </c>
      <c r="D199" s="93" t="inlineStr"/>
      <c r="E199" s="93" t="inlineStr">
        <is>
          <t>(نماینده نامشخص)</t>
        </is>
      </c>
      <c r="F199" s="93" t="inlineStr"/>
      <c r="G199" s="93" t="inlineStr">
        <is>
          <t>نامشخص</t>
        </is>
      </c>
      <c r="H199" s="93" t="inlineStr">
        <is>
          <t>کرسی حقوقی با نماینده نامشخص</t>
        </is>
      </c>
      <c r="I199" s="93" t="inlineStr">
        <is>
          <t>FISCAL_BASE_UNDETERMINED</t>
        </is>
      </c>
      <c r="J199" s="93" t="inlineStr">
        <is>
          <t>نمای مالی: وضعیت در مبنا نامشخص</t>
        </is>
      </c>
      <c r="K199" s="93" t="inlineStr"/>
      <c r="L199" s="93" t="inlineStr">
        <is>
          <t>عضو هیئت مدیره</t>
        </is>
      </c>
      <c r="M199" s="93" t="inlineStr"/>
      <c r="N199" s="93" t="inlineStr">
        <is>
          <t>سرمایه گذاری هامون سپاهان</t>
        </is>
      </c>
      <c r="O199" s="93" t="inlineStr"/>
      <c r="P199" s="93" t="inlineStr"/>
      <c r="Q199" s="93" t="inlineStr"/>
      <c r="R199" s="93" t="inlineStr"/>
      <c r="S199" s="93" t="inlineStr">
        <is>
          <t>SRC_SHPD_1404_001</t>
        </is>
      </c>
      <c r="T199" s="93" t="inlineStr">
        <is>
          <t>UNKNOWN</t>
        </is>
      </c>
      <c r="U199" s="93" t="inlineStr">
        <is>
          <t>ندارد</t>
        </is>
      </c>
      <c r="V199" s="93" t="inlineStr">
        <is>
          <t>نماینده معلوم نیست؛ به خروج یا صفر تبدیل نشد</t>
        </is>
      </c>
    </row>
    <row r="200" ht="34" customHeight="1" s="76">
      <c r="A200" s="92" t="inlineStr">
        <is>
          <t>PF0197</t>
        </is>
      </c>
      <c r="B200" s="92" t="inlineStr">
        <is>
          <t>شپدیس</t>
        </is>
      </c>
      <c r="C200" s="92" t="inlineStr">
        <is>
          <t>نمای مالی FYE1404</t>
        </is>
      </c>
      <c r="D200" s="92" t="inlineStr">
        <is>
          <t>P-20C8BFD0</t>
        </is>
      </c>
      <c r="E200" s="92" t="inlineStr">
        <is>
          <t>محمدعلی سلیمانی</t>
        </is>
      </c>
      <c r="F200" s="92" t="inlineStr">
        <is>
          <t>محمدعلی سلیمانی</t>
        </is>
      </c>
      <c r="G200" s="92" t="inlineStr">
        <is>
          <t>نامشخص (فهرست اسمی مبنا در دسترس نیست)</t>
        </is>
      </c>
      <c r="H200" s="92" t="inlineStr">
        <is>
          <t>حاضر در مقطع 1404/06/31</t>
        </is>
      </c>
      <c r="I200" s="92" t="inlineStr">
        <is>
          <t>FISCAL_PRESENT_AT_BASE</t>
        </is>
      </c>
      <c r="J200" s="92" t="inlineStr">
        <is>
          <t>نمای مالی: حاضر در مبنا طبق پیوستگی تصدی v41</t>
        </is>
      </c>
      <c r="K200" s="92" t="inlineStr"/>
      <c r="L200" s="92" t="inlineStr">
        <is>
          <t>عضو هیئت مدیره</t>
        </is>
      </c>
      <c r="M200" s="92" t="inlineStr"/>
      <c r="N200" s="92" t="inlineStr">
        <is>
          <t>بازرگانی و تجارت هامون سپاهان</t>
        </is>
      </c>
      <c r="O200" s="92" t="inlineStr"/>
      <c r="P200" s="92" t="inlineStr"/>
      <c r="Q200" s="92" t="inlineStr"/>
      <c r="R200" s="92" t="inlineStr"/>
      <c r="S200" s="92" t="inlineStr">
        <is>
          <t>SRC_SHPD_1404_001</t>
        </is>
      </c>
      <c r="T200" s="92" t="inlineStr">
        <is>
          <t>EXACT؛ شروع 1403/11/29</t>
        </is>
      </c>
      <c r="U200" s="92" t="inlineStr">
        <is>
          <t>استنباطی از تصدی</t>
        </is>
      </c>
      <c r="V200" s="92" t="inlineStr">
        <is>
          <t>حاضر در مبنا بر پایه پیوستگی (شروع دقیق تا 1403/12/29)؛ فقط تا افق FYE</t>
        </is>
      </c>
    </row>
  </sheetData>
  <autoFilter ref="A3:V200"/>
  <mergeCells count="2">
    <mergeCell ref="A2:V2"/>
    <mergeCell ref="A1:V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F33"/>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76" min="1" max="1"/>
    <col width="9" customWidth="1" style="76" min="2" max="2"/>
    <col width="28" customWidth="1" style="76" min="3" max="3"/>
    <col width="20" customWidth="1" style="76" min="4" max="4"/>
    <col width="14" customWidth="1" style="76" min="5" max="5"/>
    <col width="18" customWidth="1" style="76" min="6" max="6"/>
    <col width="16" customWidth="1" style="76" min="7" max="7"/>
    <col width="16" customWidth="1" style="76" min="8" max="8"/>
    <col width="16" customWidth="1" style="76" min="9" max="9"/>
    <col width="16" customWidth="1" style="76" min="10" max="10"/>
    <col width="16" customWidth="1" style="76" min="11" max="11"/>
    <col width="16" customWidth="1" style="76" min="12" max="12"/>
    <col width="16" customWidth="1" style="76" min="13" max="13"/>
    <col width="16" customWidth="1" style="76" min="14" max="14"/>
    <col width="16" customWidth="1" style="76" min="15" max="15"/>
    <col width="16" customWidth="1" style="76" min="16" max="16"/>
    <col width="16" customWidth="1" style="76" min="17" max="17"/>
    <col width="16" customWidth="1" style="76" min="18" max="18"/>
    <col width="16" customWidth="1" style="76" min="19" max="19"/>
    <col width="40" customWidth="1" style="76" min="20" max="20"/>
    <col width="16" customWidth="1" style="76" min="21" max="21"/>
    <col width="16" customWidth="1" style="76" min="22" max="22"/>
    <col width="16" customWidth="1" style="76" min="23" max="23"/>
    <col width="16" customWidth="1" style="76" min="24" max="24"/>
    <col width="16" customWidth="1" style="76" min="25" max="25"/>
    <col width="16" customWidth="1" style="76" min="26" max="26"/>
    <col width="16" customWidth="1" style="76" min="27" max="27"/>
    <col width="16" customWidth="1" style="76" min="28" max="28"/>
    <col width="16" customWidth="1" style="76" min="29" max="29"/>
    <col width="16" customWidth="1" style="76" min="30" max="30"/>
    <col width="18" customWidth="1" style="76" min="31" max="31"/>
    <col width="44" customWidth="1" style="76" min="32" max="32"/>
  </cols>
  <sheetData>
    <row r="1" ht="26" customHeight="1" s="76">
      <c r="A1" s="89" t="inlineStr">
        <is>
          <t>خلاصه ورود و خروج افراد یکتا به تفکیک شرکت</t>
        </is>
      </c>
    </row>
    <row r="2" ht="44" customHeight="1" s="76">
      <c r="A2" s="90" t="inlineStr">
        <is>
          <t>نرخ ها فقط وقتی هر دو فهرست کامل و بدون نماینده نامشخص باشند ساخته می شوند؛ در غیر این صورت سلول خالی می ماند و صفر نیست. نرخ خروج و نرخ ماندگاری با مخرج یکسان مکمل اند و دو امتیاز مستقل نیستند. جمع ورود و خروج به عنوان نرخ گردش واحد معرفی نشده است. تفاوت با REF05 از جابجایی همان افراد بین کرسی ها می آید.</t>
        </is>
      </c>
    </row>
    <row r="3" ht="42" customHeight="1" s="76">
      <c r="A3" s="91" t="inlineStr">
        <is>
          <t>شناسه</t>
        </is>
      </c>
      <c r="B3" s="91" t="inlineStr">
        <is>
          <t>نماد</t>
        </is>
      </c>
      <c r="C3" s="91" t="inlineStr">
        <is>
          <t>سطح داده</t>
        </is>
      </c>
      <c r="D3" s="91" t="inlineStr">
        <is>
          <t>مبنای زمانی نتیجه</t>
        </is>
      </c>
      <c r="E3" s="91" t="inlineStr">
        <is>
          <t>فهرست مبنا</t>
        </is>
      </c>
      <c r="F3" s="91" t="inlineStr">
        <is>
          <t>فهرست پایان</t>
        </is>
      </c>
      <c r="G3" s="91" t="inlineStr">
        <is>
          <t>اعضای مبنا (افراد یکتا)</t>
        </is>
      </c>
      <c r="H3" s="91" t="inlineStr">
        <is>
          <t>اعضای پایان (افراد یکتا)</t>
        </is>
      </c>
      <c r="I3" s="91" t="inlineStr">
        <is>
          <t>افراد مشترک</t>
        </is>
      </c>
      <c r="J3" s="91" t="inlineStr">
        <is>
          <t>افراد خارج شده</t>
        </is>
      </c>
      <c r="K3" s="91" t="inlineStr">
        <is>
          <t>افراد واردشده</t>
        </is>
      </c>
      <c r="L3" s="91" t="inlineStr">
        <is>
          <t>نرخ خروج افراد یکتا (UPX1)</t>
        </is>
      </c>
      <c r="M3" s="91" t="inlineStr">
        <is>
          <t>سهم افراد واردشده (UPN1)</t>
        </is>
      </c>
      <c r="N3" s="91" t="inlineStr">
        <is>
          <t>نرخ ماندگاری افراد یکتا (UPR1)</t>
        </is>
      </c>
      <c r="O3" s="91" t="inlineStr">
        <is>
          <t>کنترل موازنه مبنا منهای خروج به علاوه ورود برابر پایان</t>
        </is>
      </c>
      <c r="P3" s="91" t="inlineStr">
        <is>
          <t>کنترل جمع خروج و ماندگاری برابر یک</t>
        </is>
      </c>
      <c r="Q3" s="91" t="inlineStr">
        <is>
          <t>REF05 قدیمی صورت</t>
        </is>
      </c>
      <c r="R3" s="91" t="inlineStr">
        <is>
          <t>REF05 قدیمی مخرج</t>
        </is>
      </c>
      <c r="S3" s="91" t="inlineStr">
        <is>
          <t>نرخ REF05 قدیمی</t>
        </is>
      </c>
      <c r="T3" s="91" t="inlineStr">
        <is>
          <t>تفاوت با نرخ خروج افراد یکتا و دلیل</t>
        </is>
      </c>
      <c r="U3" s="91" t="inlineStr">
        <is>
          <t>کرسی های مشترک در دو مقطع</t>
        </is>
      </c>
      <c r="V3" s="91" t="inlineStr">
        <is>
          <t>کرسی حقوقی با دارنده ثابت</t>
        </is>
      </c>
      <c r="W3" s="91" t="inlineStr">
        <is>
          <t>ثابت با نماینده معلوم در هر دو مقطع</t>
        </is>
      </c>
      <c r="X3" s="91" t="inlineStr">
        <is>
          <t>ثابت با نماینده نامشخص</t>
        </is>
      </c>
      <c r="Y3" s="91" t="inlineStr">
        <is>
          <t>ثابت با خالی بودن مستند</t>
        </is>
      </c>
      <c r="Z3" s="91" t="inlineStr">
        <is>
          <t>تغییر نماینده REF08 صورت</t>
        </is>
      </c>
      <c r="AA3" s="91" t="inlineStr">
        <is>
          <t>REF08 مخرج</t>
        </is>
      </c>
      <c r="AB3" s="91" t="inlineStr">
        <is>
          <t>شاهد تصدی v41: ورود پس از مبنا</t>
        </is>
      </c>
      <c r="AC3" s="91" t="inlineStr">
        <is>
          <t>شاهد تصدی v41: نامشخص</t>
        </is>
      </c>
      <c r="AD3" s="91" t="inlineStr">
        <is>
          <t>مستر: عضو جدید P</t>
        </is>
      </c>
      <c r="AE3" s="91" t="inlineStr">
        <is>
          <t>هم راستایی تصدی با مستر</t>
        </is>
      </c>
      <c r="AF3" s="91" t="inlineStr">
        <is>
          <t>یادداشت</t>
        </is>
      </c>
    </row>
    <row r="4" ht="48" customHeight="1" s="76">
      <c r="A4" s="93" t="inlineStr">
        <is>
          <t>F01</t>
        </is>
      </c>
      <c r="B4" s="93" t="inlineStr">
        <is>
          <t>فملی</t>
        </is>
      </c>
      <c r="C4" s="93" t="inlineStr">
        <is>
          <t>عدد تجمیعی ارثی متعارض با شواهد v41</t>
        </is>
      </c>
      <c r="D4" s="93" t="inlineStr">
        <is>
          <t>پنجره مشترک</t>
        </is>
      </c>
      <c r="E4" s="93" t="inlineStr">
        <is>
          <t>منبع در دسترس نبود</t>
        </is>
      </c>
      <c r="F4" s="93" t="inlineStr">
        <is>
          <t>منبع در دسترس نبود</t>
        </is>
      </c>
      <c r="G4" s="93" t="inlineStr"/>
      <c r="H4" s="93" t="inlineStr"/>
      <c r="I4" s="93" t="inlineStr"/>
      <c r="J4" s="93" t="inlineStr"/>
      <c r="K4" s="93" t="inlineStr"/>
      <c r="L4" s="93" t="inlineStr"/>
      <c r="M4" s="93" t="inlineStr"/>
      <c r="N4" s="93" t="inlineStr"/>
      <c r="O4" s="93" t="inlineStr"/>
      <c r="P4" s="93" t="inlineStr"/>
      <c r="Q4" s="93" t="n">
        <v>0</v>
      </c>
      <c r="R4" s="93" t="n">
        <v>5</v>
      </c>
      <c r="S4" s="93">
        <f>IF(AND(ISNUMBER(Q4),ISNUMBER(R4),R4&gt;0),Q4/R4,"")</f>
        <v>0.0</v>
      </c>
      <c r="T4" s="93" t="inlineStr">
        <is>
          <t>فهرست اسمی مبنا در دسترس نیست؛ نرخ خروج یکتا ساخته نشد</t>
        </is>
      </c>
      <c r="U4" s="93" t="n">
        <v>5</v>
      </c>
      <c r="V4" s="93" t="n">
        <v>5</v>
      </c>
      <c r="W4" s="93" t="n">
        <v>5</v>
      </c>
      <c r="X4" s="93" t="n">
        <v>0</v>
      </c>
      <c r="Y4" s="93" t="inlineStr"/>
      <c r="Z4" s="93" t="n">
        <v>0</v>
      </c>
      <c r="AA4" s="93" t="n">
        <v>5</v>
      </c>
      <c r="AB4" s="93" t="n">
        <v>3</v>
      </c>
      <c r="AC4" s="93" t="n">
        <v>1</v>
      </c>
      <c r="AD4" s="93" t="n">
        <v>0</v>
      </c>
      <c r="AE4" s="93" t="inlineStr">
        <is>
          <t>متعارض</t>
        </is>
      </c>
      <c r="AF4" s="93" t="inlineStr">
        <is>
          <t>مستر 0 از 5 با سه عضو دارای شروع پس از مبنا در v41 متعارض است؛ مقدار قدیمی حفظ و مقدار قابل استفاده نیازمند بررسی</t>
        </is>
      </c>
    </row>
    <row r="5" ht="48" customHeight="1" s="76">
      <c r="A5" s="92" t="inlineStr">
        <is>
          <t>F02</t>
        </is>
      </c>
      <c r="B5" s="92" t="inlineStr">
        <is>
          <t>تاپیکو</t>
        </is>
      </c>
      <c r="C5" s="92" t="inlineStr">
        <is>
          <t>دو فهرست اسمی کامل</t>
        </is>
      </c>
      <c r="D5" s="92" t="inlineStr">
        <is>
          <t>پنجره مشترک</t>
        </is>
      </c>
      <c r="E5" s="92" t="inlineStr">
        <is>
          <t>کامل</t>
        </is>
      </c>
      <c r="F5" s="92" t="inlineStr">
        <is>
          <t>کامل</t>
        </is>
      </c>
      <c r="G5" s="92" t="n">
        <v>5</v>
      </c>
      <c r="H5" s="92" t="n">
        <v>5</v>
      </c>
      <c r="I5" s="92" t="n">
        <v>2</v>
      </c>
      <c r="J5" s="92" t="n">
        <v>3</v>
      </c>
      <c r="K5" s="92" t="n">
        <v>3</v>
      </c>
      <c r="L5" s="92">
        <f>IF(AND(ISNUMBER(J5),ISNUMBER(G5),G5&gt;0),J5/G5,"")</f>
        <v>0.6</v>
      </c>
      <c r="M5" s="92">
        <f>IF(AND(ISNUMBER(K5),ISNUMBER(H5),H5&gt;0),K5/H5,"")</f>
        <v>0.6</v>
      </c>
      <c r="N5" s="92">
        <f>IF(AND(ISNUMBER(I5),ISNUMBER(G5),G5&gt;0),I5/G5,"")</f>
        <v>0.4</v>
      </c>
      <c r="O5" s="92" t="str">
        <f>IF(AND(ISNUMBER(G5),ISNUMBER(J5),ISNUMBER(K5),ISNUMBER(H5)),IF(G5-J5+K5=H5,"OK","FAIL"),"")</f>
        <v>OK</v>
      </c>
      <c r="P5" s="92" t="str">
        <f>IF(AND(ISNUMBER(L5),ISNUMBER(N5)),IF(ABS(L5+N5-1)&lt;0.000001,"OK","FAIL"),"")</f>
        <v>OK</v>
      </c>
      <c r="Q5" s="92" t="n">
        <v>3</v>
      </c>
      <c r="R5" s="92" t="n">
        <v>5</v>
      </c>
      <c r="S5" s="92">
        <f>IF(AND(ISNUMBER(Q5),ISNUMBER(R5),R5&gt;0),Q5/R5,"")</f>
        <v>0.6</v>
      </c>
      <c r="T5" s="92" t="inlineStr">
        <is>
          <t>برابر</t>
        </is>
      </c>
      <c r="U5" s="92" t="n">
        <v>5</v>
      </c>
      <c r="V5" s="92" t="n">
        <v>5</v>
      </c>
      <c r="W5" s="92" t="n">
        <v>5</v>
      </c>
      <c r="X5" s="92" t="n">
        <v>0</v>
      </c>
      <c r="Y5" s="92" t="n">
        <v>0</v>
      </c>
      <c r="Z5" s="92" t="n">
        <v>3</v>
      </c>
      <c r="AA5" s="92" t="n">
        <v>5</v>
      </c>
      <c r="AB5" s="92" t="n">
        <v>0</v>
      </c>
      <c r="AC5" s="92" t="n">
        <v>1</v>
      </c>
      <c r="AD5" s="92" t="n">
        <v>3</v>
      </c>
      <c r="AE5" s="92" t="inlineStr">
        <is>
          <t>هم راستا (کف تا افق FYE)</t>
        </is>
      </c>
      <c r="AF5" s="92" t="inlineStr"/>
    </row>
    <row r="6" ht="48" customHeight="1" s="76">
      <c r="A6" s="92" t="inlineStr">
        <is>
          <t>F03</t>
        </is>
      </c>
      <c r="B6" s="92" t="inlineStr">
        <is>
          <t>فارس</t>
        </is>
      </c>
      <c r="C6" s="92" t="inlineStr">
        <is>
          <t>فقط اعداد تجمیعی ارثی؛ فهرست اسمی در دسترس نیست</t>
        </is>
      </c>
      <c r="D6" s="92" t="inlineStr">
        <is>
          <t>پنجره مشترک</t>
        </is>
      </c>
      <c r="E6" s="92" t="inlineStr">
        <is>
          <t>منبع در دسترس نبود</t>
        </is>
      </c>
      <c r="F6" s="92" t="inlineStr">
        <is>
          <t>منبع در دسترس نبود</t>
        </is>
      </c>
      <c r="G6" s="92" t="inlineStr"/>
      <c r="H6" s="92" t="inlineStr"/>
      <c r="I6" s="92" t="inlineStr"/>
      <c r="J6" s="92" t="inlineStr"/>
      <c r="K6" s="92" t="inlineStr"/>
      <c r="L6" s="92" t="inlineStr"/>
      <c r="M6" s="92" t="inlineStr"/>
      <c r="N6" s="92" t="inlineStr"/>
      <c r="O6" s="92" t="inlineStr"/>
      <c r="P6" s="92" t="inlineStr"/>
      <c r="Q6" s="92" t="n">
        <v>3</v>
      </c>
      <c r="R6" s="92" t="n">
        <v>5</v>
      </c>
      <c r="S6" s="92">
        <f>IF(AND(ISNUMBER(Q6),ISNUMBER(R6),R6&gt;0),Q6/R6,"")</f>
        <v>0.6</v>
      </c>
      <c r="T6" s="92" t="inlineStr">
        <is>
          <t>فهرست اسمی مبنا در دسترس نیست؛ نرخ خروج یکتا ساخته نشد</t>
        </is>
      </c>
      <c r="U6" s="92" t="n">
        <v>5</v>
      </c>
      <c r="V6" s="92" t="n">
        <v>5</v>
      </c>
      <c r="W6" s="92" t="n">
        <v>5</v>
      </c>
      <c r="X6" s="92" t="n">
        <v>0</v>
      </c>
      <c r="Y6" s="92" t="inlineStr"/>
      <c r="Z6" s="92" t="n">
        <v>3</v>
      </c>
      <c r="AA6" s="92" t="n">
        <v>5</v>
      </c>
      <c r="AB6" s="92" t="n">
        <v>1</v>
      </c>
      <c r="AC6" s="92" t="n">
        <v>0</v>
      </c>
      <c r="AD6" s="92" t="n">
        <v>3</v>
      </c>
      <c r="AE6" s="92" t="inlineStr">
        <is>
          <t>هم راستا (کف تا افق FYE)</t>
        </is>
      </c>
      <c r="AF6" s="92" t="inlineStr"/>
    </row>
    <row r="7" ht="48" customHeight="1" s="76">
      <c r="A7" s="92" t="inlineStr">
        <is>
          <t>F04</t>
        </is>
      </c>
      <c r="B7" s="92" t="inlineStr">
        <is>
          <t>خودرو</t>
        </is>
      </c>
      <c r="C7" s="92" t="inlineStr">
        <is>
          <t>دو فهرست اسمی کامل</t>
        </is>
      </c>
      <c r="D7" s="92" t="inlineStr">
        <is>
          <t>پنجره مشترک</t>
        </is>
      </c>
      <c r="E7" s="92" t="inlineStr">
        <is>
          <t>کامل</t>
        </is>
      </c>
      <c r="F7" s="92" t="inlineStr">
        <is>
          <t>کامل</t>
        </is>
      </c>
      <c r="G7" s="92" t="n">
        <v>5</v>
      </c>
      <c r="H7" s="92" t="n">
        <v>5</v>
      </c>
      <c r="I7" s="92" t="n">
        <v>4</v>
      </c>
      <c r="J7" s="92" t="n">
        <v>1</v>
      </c>
      <c r="K7" s="92" t="n">
        <v>1</v>
      </c>
      <c r="L7" s="92">
        <f>IF(AND(ISNUMBER(J7),ISNUMBER(G7),G7&gt;0),J7/G7,"")</f>
        <v>0.2</v>
      </c>
      <c r="M7" s="92">
        <f>IF(AND(ISNUMBER(K7),ISNUMBER(H7),H7&gt;0),K7/H7,"")</f>
        <v>0.2</v>
      </c>
      <c r="N7" s="92">
        <f>IF(AND(ISNUMBER(I7),ISNUMBER(G7),G7&gt;0),I7/G7,"")</f>
        <v>0.8</v>
      </c>
      <c r="O7" s="92" t="str">
        <f>IF(AND(ISNUMBER(G7),ISNUMBER(J7),ISNUMBER(K7),ISNUMBER(H7)),IF(G7-J7+K7=H7,"OK","FAIL"),"")</f>
        <v>OK</v>
      </c>
      <c r="P7" s="92" t="str">
        <f>IF(AND(ISNUMBER(L7),ISNUMBER(N7)),IF(ABS(L7+N7-1)&lt;0.000001,"OK","FAIL"),"")</f>
        <v>OK</v>
      </c>
      <c r="Q7" s="92" t="n">
        <v>1</v>
      </c>
      <c r="R7" s="92" t="n">
        <v>5</v>
      </c>
      <c r="S7" s="92">
        <f>IF(AND(ISNUMBER(Q7),ISNUMBER(R7),R7&gt;0),Q7/R7,"")</f>
        <v>0.2</v>
      </c>
      <c r="T7" s="92" t="inlineStr">
        <is>
          <t>برابر</t>
        </is>
      </c>
      <c r="U7" s="92" t="n">
        <v>5</v>
      </c>
      <c r="V7" s="92" t="n">
        <v>5</v>
      </c>
      <c r="W7" s="92" t="n">
        <v>5</v>
      </c>
      <c r="X7" s="92" t="n">
        <v>0</v>
      </c>
      <c r="Y7" s="92" t="n">
        <v>0</v>
      </c>
      <c r="Z7" s="92" t="n">
        <v>1</v>
      </c>
      <c r="AA7" s="92" t="n">
        <v>5</v>
      </c>
      <c r="AB7" s="92" t="n">
        <v>1</v>
      </c>
      <c r="AC7" s="92" t="n">
        <v>0</v>
      </c>
      <c r="AD7" s="92" t="n">
        <v>1</v>
      </c>
      <c r="AE7" s="92" t="inlineStr">
        <is>
          <t>هم راستا</t>
        </is>
      </c>
      <c r="AF7" s="92" t="inlineStr"/>
    </row>
    <row r="8" ht="48" customHeight="1" s="76">
      <c r="A8" s="92" t="inlineStr">
        <is>
          <t>F05</t>
        </is>
      </c>
      <c r="B8" s="92" t="inlineStr">
        <is>
          <t>زاگرس</t>
        </is>
      </c>
      <c r="C8" s="92" t="inlineStr">
        <is>
          <t>فقط اعداد تجمیعی ارثی؛ فهرست اسمی در دسترس نیست</t>
        </is>
      </c>
      <c r="D8" s="92" t="inlineStr">
        <is>
          <t>پنجره مشترک</t>
        </is>
      </c>
      <c r="E8" s="92" t="inlineStr">
        <is>
          <t>منبع در دسترس نبود</t>
        </is>
      </c>
      <c r="F8" s="92" t="inlineStr">
        <is>
          <t>منبع در دسترس نبود</t>
        </is>
      </c>
      <c r="G8" s="92" t="inlineStr"/>
      <c r="H8" s="92" t="inlineStr"/>
      <c r="I8" s="92" t="inlineStr"/>
      <c r="J8" s="92" t="inlineStr"/>
      <c r="K8" s="92" t="inlineStr"/>
      <c r="L8" s="92" t="inlineStr"/>
      <c r="M8" s="92" t="inlineStr"/>
      <c r="N8" s="92" t="inlineStr"/>
      <c r="O8" s="92" t="inlineStr"/>
      <c r="P8" s="92" t="inlineStr"/>
      <c r="Q8" s="92" t="n">
        <v>2</v>
      </c>
      <c r="R8" s="92" t="n">
        <v>3</v>
      </c>
      <c r="S8" s="92">
        <f>IF(AND(ISNUMBER(Q8),ISNUMBER(R8),R8&gt;0),Q8/R8,"")</f>
        <v>0.6666666666666666</v>
      </c>
      <c r="T8" s="92" t="inlineStr">
        <is>
          <t>فهرست اسمی مبنا در دسترس نیست؛ نرخ خروج یکتا ساخته نشد</t>
        </is>
      </c>
      <c r="U8" s="92" t="n">
        <v>3</v>
      </c>
      <c r="V8" s="92" t="n">
        <v>3</v>
      </c>
      <c r="W8" s="92" t="n">
        <v>3</v>
      </c>
      <c r="X8" s="92" t="n">
        <v>0</v>
      </c>
      <c r="Y8" s="92" t="inlineStr"/>
      <c r="Z8" s="92" t="n">
        <v>2</v>
      </c>
      <c r="AA8" s="92" t="n">
        <v>3</v>
      </c>
      <c r="AB8" s="92" t="n">
        <v>2</v>
      </c>
      <c r="AC8" s="92" t="n">
        <v>0</v>
      </c>
      <c r="AD8" s="92" t="n">
        <v>2</v>
      </c>
      <c r="AE8" s="92" t="inlineStr">
        <is>
          <t>هم راستا</t>
        </is>
      </c>
      <c r="AF8" s="92" t="inlineStr"/>
    </row>
    <row r="9" ht="48" customHeight="1" s="76">
      <c r="A9" s="92" t="inlineStr">
        <is>
          <t>F06</t>
        </is>
      </c>
      <c r="B9" s="92" t="inlineStr">
        <is>
          <t>شبندر</t>
        </is>
      </c>
      <c r="C9" s="92" t="inlineStr">
        <is>
          <t>فقط اعداد تجمیعی ارثی؛ فهرست اسمی در دسترس نیست</t>
        </is>
      </c>
      <c r="D9" s="92" t="inlineStr">
        <is>
          <t>پنجره مشترک</t>
        </is>
      </c>
      <c r="E9" s="92" t="inlineStr">
        <is>
          <t>منبع در دسترس نبود</t>
        </is>
      </c>
      <c r="F9" s="92" t="inlineStr">
        <is>
          <t>منبع در دسترس نبود</t>
        </is>
      </c>
      <c r="G9" s="92" t="inlineStr"/>
      <c r="H9" s="92" t="inlineStr"/>
      <c r="I9" s="92" t="inlineStr"/>
      <c r="J9" s="92" t="inlineStr"/>
      <c r="K9" s="92" t="inlineStr"/>
      <c r="L9" s="92" t="inlineStr"/>
      <c r="M9" s="92" t="inlineStr"/>
      <c r="N9" s="92" t="inlineStr"/>
      <c r="O9" s="92" t="inlineStr"/>
      <c r="P9" s="92" t="inlineStr"/>
      <c r="Q9" s="92" t="n">
        <v>2</v>
      </c>
      <c r="R9" s="92" t="n">
        <v>5</v>
      </c>
      <c r="S9" s="92">
        <f>IF(AND(ISNUMBER(Q9),ISNUMBER(R9),R9&gt;0),Q9/R9,"")</f>
        <v>0.4</v>
      </c>
      <c r="T9" s="92" t="inlineStr">
        <is>
          <t>فهرست اسمی مبنا در دسترس نیست؛ نرخ خروج یکتا ساخته نشد</t>
        </is>
      </c>
      <c r="U9" s="92" t="n">
        <v>5</v>
      </c>
      <c r="V9" s="92" t="n">
        <v>3</v>
      </c>
      <c r="W9" s="92" t="n">
        <v>3</v>
      </c>
      <c r="X9" s="92" t="n">
        <v>0</v>
      </c>
      <c r="Y9" s="92" t="inlineStr"/>
      <c r="Z9" s="92" t="n">
        <v>0</v>
      </c>
      <c r="AA9" s="92" t="n">
        <v>3</v>
      </c>
      <c r="AB9" s="92" t="n">
        <v>2</v>
      </c>
      <c r="AC9" s="92" t="n">
        <v>0</v>
      </c>
      <c r="AD9" s="92" t="n">
        <v>2</v>
      </c>
      <c r="AE9" s="92" t="inlineStr">
        <is>
          <t>هم راستا</t>
        </is>
      </c>
      <c r="AF9" s="92" t="inlineStr"/>
    </row>
    <row r="10" ht="48" customHeight="1" s="76">
      <c r="A10" s="92" t="inlineStr">
        <is>
          <t>F07</t>
        </is>
      </c>
      <c r="B10" s="92" t="inlineStr">
        <is>
          <t>پارس</t>
        </is>
      </c>
      <c r="C10" s="92" t="inlineStr">
        <is>
          <t>فقط اعداد تجمیعی ارثی؛ فهرست اسمی در دسترس نیست</t>
        </is>
      </c>
      <c r="D10" s="92" t="inlineStr">
        <is>
          <t>پنجره مشترک</t>
        </is>
      </c>
      <c r="E10" s="92" t="inlineStr">
        <is>
          <t>منبع در دسترس نبود</t>
        </is>
      </c>
      <c r="F10" s="92" t="inlineStr">
        <is>
          <t>منبع در دسترس نبود</t>
        </is>
      </c>
      <c r="G10" s="92" t="inlineStr"/>
      <c r="H10" s="92" t="inlineStr"/>
      <c r="I10" s="92" t="inlineStr"/>
      <c r="J10" s="92" t="inlineStr"/>
      <c r="K10" s="92" t="inlineStr"/>
      <c r="L10" s="92" t="inlineStr"/>
      <c r="M10" s="92" t="inlineStr"/>
      <c r="N10" s="92" t="inlineStr"/>
      <c r="O10" s="92" t="inlineStr"/>
      <c r="P10" s="92" t="inlineStr"/>
      <c r="Q10" s="92" t="n">
        <v>3</v>
      </c>
      <c r="R10" s="92" t="n">
        <v>5</v>
      </c>
      <c r="S10" s="92">
        <f>IF(AND(ISNUMBER(Q10),ISNUMBER(R10),R10&gt;0),Q10/R10,"")</f>
        <v>0.6</v>
      </c>
      <c r="T10" s="92" t="inlineStr">
        <is>
          <t>فهرست اسمی مبنا در دسترس نیست؛ نرخ خروج یکتا ساخته نشد</t>
        </is>
      </c>
      <c r="U10" s="92" t="n">
        <v>5</v>
      </c>
      <c r="V10" s="92" t="n">
        <v>5</v>
      </c>
      <c r="W10" s="92" t="n">
        <v>5</v>
      </c>
      <c r="X10" s="92" t="n">
        <v>0</v>
      </c>
      <c r="Y10" s="92" t="inlineStr"/>
      <c r="Z10" s="92" t="n">
        <v>3</v>
      </c>
      <c r="AA10" s="92" t="n">
        <v>5</v>
      </c>
      <c r="AB10" s="92" t="n">
        <v>3</v>
      </c>
      <c r="AC10" s="92" t="n">
        <v>0</v>
      </c>
      <c r="AD10" s="92" t="n">
        <v>3</v>
      </c>
      <c r="AE10" s="92" t="inlineStr">
        <is>
          <t>هم راستا</t>
        </is>
      </c>
      <c r="AF10" s="92" t="inlineStr"/>
    </row>
    <row r="11" ht="48" customHeight="1" s="76">
      <c r="A11" s="92" t="inlineStr">
        <is>
          <t>F08</t>
        </is>
      </c>
      <c r="B11" s="92" t="inlineStr">
        <is>
          <t>شتران</t>
        </is>
      </c>
      <c r="C11" s="92" t="inlineStr">
        <is>
          <t>فقط اعداد تجمیعی ارثی؛ فهرست اسمی در دسترس نیست</t>
        </is>
      </c>
      <c r="D11" s="92" t="inlineStr">
        <is>
          <t>پنجره مشترک</t>
        </is>
      </c>
      <c r="E11" s="92" t="inlineStr">
        <is>
          <t>منبع در دسترس نبود</t>
        </is>
      </c>
      <c r="F11" s="92" t="inlineStr">
        <is>
          <t>منبع در دسترس نبود</t>
        </is>
      </c>
      <c r="G11" s="92" t="inlineStr"/>
      <c r="H11" s="92" t="inlineStr"/>
      <c r="I11" s="92" t="inlineStr"/>
      <c r="J11" s="92" t="inlineStr"/>
      <c r="K11" s="92" t="inlineStr"/>
      <c r="L11" s="92" t="inlineStr"/>
      <c r="M11" s="92" t="inlineStr"/>
      <c r="N11" s="92" t="inlineStr"/>
      <c r="O11" s="92" t="inlineStr"/>
      <c r="P11" s="92" t="inlineStr"/>
      <c r="Q11" s="92" t="n">
        <v>1</v>
      </c>
      <c r="R11" s="92" t="n">
        <v>5</v>
      </c>
      <c r="S11" s="92">
        <f>IF(AND(ISNUMBER(Q11),ISNUMBER(R11),R11&gt;0),Q11/R11,"")</f>
        <v>0.2</v>
      </c>
      <c r="T11" s="92" t="inlineStr">
        <is>
          <t>فهرست اسمی مبنا در دسترس نیست؛ نرخ خروج یکتا ساخته نشد</t>
        </is>
      </c>
      <c r="U11" s="92" t="n">
        <v>5</v>
      </c>
      <c r="V11" s="92" t="n">
        <v>5</v>
      </c>
      <c r="W11" s="92" t="n">
        <v>5</v>
      </c>
      <c r="X11" s="92" t="n">
        <v>0</v>
      </c>
      <c r="Y11" s="92" t="inlineStr"/>
      <c r="Z11" s="92" t="n">
        <v>1</v>
      </c>
      <c r="AA11" s="92" t="n">
        <v>5</v>
      </c>
      <c r="AB11" s="92" t="n">
        <v>1</v>
      </c>
      <c r="AC11" s="92" t="n">
        <v>0</v>
      </c>
      <c r="AD11" s="92" t="n">
        <v>1</v>
      </c>
      <c r="AE11" s="92" t="inlineStr">
        <is>
          <t>هم راستا</t>
        </is>
      </c>
      <c r="AF11" s="92" t="inlineStr"/>
    </row>
    <row r="12" ht="48" customHeight="1" s="76">
      <c r="A12" s="93" t="inlineStr">
        <is>
          <t>F09</t>
        </is>
      </c>
      <c r="B12" s="93" t="inlineStr">
        <is>
          <t>وتجارت</t>
        </is>
      </c>
      <c r="C12" s="93" t="inlineStr">
        <is>
          <t>فهرست پایان مشروط</t>
        </is>
      </c>
      <c r="D12" s="93" t="inlineStr">
        <is>
          <t>پنجره مشترک</t>
        </is>
      </c>
      <c r="E12" s="93" t="inlineStr">
        <is>
          <t>کامل</t>
        </is>
      </c>
      <c r="F12" s="93" t="inlineStr">
        <is>
          <t>مشروط</t>
        </is>
      </c>
      <c r="G12" s="93" t="n">
        <v>5</v>
      </c>
      <c r="H12" s="93" t="n">
        <v>4</v>
      </c>
      <c r="I12" s="93" t="inlineStr"/>
      <c r="J12" s="93" t="inlineStr"/>
      <c r="K12" s="93" t="inlineStr"/>
      <c r="L12" s="93" t="str">
        <f>IF(AND(ISNUMBER(J12),ISNUMBER(G12),G12&gt;0),J12/G12,"")</f>
        <v/>
      </c>
      <c r="M12" s="93" t="str">
        <f>IF(AND(ISNUMBER(K12),ISNUMBER(H12),H12&gt;0),K12/H12,"")</f>
        <v/>
      </c>
      <c r="N12" s="93" t="str">
        <f>IF(AND(ISNUMBER(I12),ISNUMBER(G12),G12&gt;0),I12/G12,"")</f>
        <v/>
      </c>
      <c r="O12" s="93" t="str">
        <f>IF(AND(ISNUMBER(G12),ISNUMBER(J12),ISNUMBER(K12),ISNUMBER(H12)),IF(G12-J12+K12=H12,"OK","FAIL"),"")</f>
        <v/>
      </c>
      <c r="P12" s="93" t="str">
        <f>IF(AND(ISNUMBER(L12),ISNUMBER(N12)),IF(ABS(L12+N12-1)&lt;0.000001,"OK","FAIL"),"")</f>
        <v/>
      </c>
      <c r="Q12" s="93" t="n">
        <v>1</v>
      </c>
      <c r="R12" s="93" t="n">
        <v>5</v>
      </c>
      <c r="S12" s="93">
        <f>IF(AND(ISNUMBER(Q12),ISNUMBER(R12),R12&gt;0),Q12/R12,"")</f>
        <v>0.2</v>
      </c>
      <c r="T12" s="93" t="inlineStr">
        <is>
          <t>کرسی مستقیم؛ REF05 همان خروج فردی است ولی فهرست پایان مشروط است</t>
        </is>
      </c>
      <c r="U12" s="93" t="inlineStr"/>
      <c r="V12" s="93" t="inlineStr"/>
      <c r="W12" s="93" t="inlineStr"/>
      <c r="X12" s="93" t="inlineStr"/>
      <c r="Y12" s="93" t="inlineStr"/>
      <c r="Z12" s="93" t="inlineStr"/>
      <c r="AA12" s="93" t="inlineStr"/>
      <c r="AB12" s="93" t="n">
        <v>0</v>
      </c>
      <c r="AC12" s="93" t="n">
        <v>0</v>
      </c>
      <c r="AD12" s="93" t="n">
        <v>0</v>
      </c>
      <c r="AE12" s="93" t="inlineStr">
        <is>
          <t>هم راستا</t>
        </is>
      </c>
      <c r="AF12" s="93" t="inlineStr">
        <is>
          <t>فهرست پایان مشروط؛ خروج شریفیان قطعی اعلام نشد</t>
        </is>
      </c>
    </row>
    <row r="13" ht="48" customHeight="1" s="76">
      <c r="A13" s="92" t="inlineStr">
        <is>
          <t>F10</t>
        </is>
      </c>
      <c r="B13" s="92" t="inlineStr">
        <is>
          <t>رمپنا</t>
        </is>
      </c>
      <c r="C13" s="92" t="inlineStr">
        <is>
          <t>فقط اعداد تجمیعی ارثی؛ فهرست اسمی در دسترس نیست</t>
        </is>
      </c>
      <c r="D13" s="92" t="inlineStr">
        <is>
          <t>پنجره مشترک</t>
        </is>
      </c>
      <c r="E13" s="92" t="inlineStr">
        <is>
          <t>منبع در دسترس نبود</t>
        </is>
      </c>
      <c r="F13" s="92" t="inlineStr">
        <is>
          <t>منبع در دسترس نبود</t>
        </is>
      </c>
      <c r="G13" s="92" t="inlineStr"/>
      <c r="H13" s="92" t="inlineStr"/>
      <c r="I13" s="92" t="inlineStr"/>
      <c r="J13" s="92" t="inlineStr"/>
      <c r="K13" s="92" t="inlineStr"/>
      <c r="L13" s="92" t="inlineStr"/>
      <c r="M13" s="92" t="inlineStr"/>
      <c r="N13" s="92" t="inlineStr"/>
      <c r="O13" s="92" t="inlineStr"/>
      <c r="P13" s="92" t="inlineStr"/>
      <c r="Q13" s="92" t="n">
        <v>2</v>
      </c>
      <c r="R13" s="92" t="n">
        <v>5</v>
      </c>
      <c r="S13" s="92">
        <f>IF(AND(ISNUMBER(Q13),ISNUMBER(R13),R13&gt;0),Q13/R13,"")</f>
        <v>0.4</v>
      </c>
      <c r="T13" s="92" t="inlineStr">
        <is>
          <t>فهرست اسمی مبنا در دسترس نیست؛ نرخ خروج یکتا ساخته نشد</t>
        </is>
      </c>
      <c r="U13" s="92" t="n">
        <v>5</v>
      </c>
      <c r="V13" s="92" t="n">
        <v>1</v>
      </c>
      <c r="W13" s="92" t="n">
        <v>1</v>
      </c>
      <c r="X13" s="92" t="n">
        <v>0</v>
      </c>
      <c r="Y13" s="92" t="inlineStr"/>
      <c r="Z13" s="92" t="n">
        <v>1</v>
      </c>
      <c r="AA13" s="92" t="n">
        <v>1</v>
      </c>
      <c r="AB13" s="92" t="n">
        <v>2</v>
      </c>
      <c r="AC13" s="92" t="n">
        <v>0</v>
      </c>
      <c r="AD13" s="92" t="n">
        <v>2</v>
      </c>
      <c r="AE13" s="92" t="inlineStr">
        <is>
          <t>هم راستا</t>
        </is>
      </c>
      <c r="AF13" s="92" t="inlineStr"/>
    </row>
    <row r="14" ht="48" customHeight="1" s="76">
      <c r="A14" s="92" t="inlineStr">
        <is>
          <t>F11</t>
        </is>
      </c>
      <c r="B14" s="92" t="inlineStr">
        <is>
          <t>فخوز</t>
        </is>
      </c>
      <c r="C14" s="92" t="inlineStr">
        <is>
          <t>فقط اعداد تجمیعی ارثی؛ فهرست اسمی در دسترس نیست</t>
        </is>
      </c>
      <c r="D14" s="92" t="inlineStr">
        <is>
          <t>پنجره مشترک</t>
        </is>
      </c>
      <c r="E14" s="92" t="inlineStr">
        <is>
          <t>منبع در دسترس نبود</t>
        </is>
      </c>
      <c r="F14" s="92" t="inlineStr">
        <is>
          <t>منبع در دسترس نبود</t>
        </is>
      </c>
      <c r="G14" s="92" t="inlineStr"/>
      <c r="H14" s="92" t="inlineStr"/>
      <c r="I14" s="92" t="inlineStr"/>
      <c r="J14" s="92" t="inlineStr"/>
      <c r="K14" s="92" t="inlineStr"/>
      <c r="L14" s="92" t="inlineStr"/>
      <c r="M14" s="92" t="inlineStr"/>
      <c r="N14" s="92" t="inlineStr"/>
      <c r="O14" s="92" t="inlineStr"/>
      <c r="P14" s="92" t="inlineStr"/>
      <c r="Q14" s="92" t="n">
        <v>4</v>
      </c>
      <c r="R14" s="92" t="n">
        <v>5</v>
      </c>
      <c r="S14" s="92">
        <f>IF(AND(ISNUMBER(Q14),ISNUMBER(R14),R14&gt;0),Q14/R14,"")</f>
        <v>0.8</v>
      </c>
      <c r="T14" s="92" t="inlineStr">
        <is>
          <t>فهرست اسمی مبنا در دسترس نیست؛ نرخ خروج یکتا ساخته نشد</t>
        </is>
      </c>
      <c r="U14" s="92" t="n">
        <v>5</v>
      </c>
      <c r="V14" s="92" t="n">
        <v>4</v>
      </c>
      <c r="W14" s="92" t="n">
        <v>4</v>
      </c>
      <c r="X14" s="92" t="n">
        <v>0</v>
      </c>
      <c r="Y14" s="92" t="inlineStr"/>
      <c r="Z14" s="92" t="n">
        <v>3</v>
      </c>
      <c r="AA14" s="92" t="n">
        <v>4</v>
      </c>
      <c r="AB14" s="92" t="n">
        <v>4</v>
      </c>
      <c r="AC14" s="92" t="n">
        <v>0</v>
      </c>
      <c r="AD14" s="92" t="n">
        <v>4</v>
      </c>
      <c r="AE14" s="92" t="inlineStr">
        <is>
          <t>هم راستا</t>
        </is>
      </c>
      <c r="AF14" s="92" t="inlineStr"/>
    </row>
    <row r="15" ht="48" customHeight="1" s="76">
      <c r="A15" s="92" t="inlineStr">
        <is>
          <t>F12</t>
        </is>
      </c>
      <c r="B15" s="92" t="inlineStr">
        <is>
          <t>شستا</t>
        </is>
      </c>
      <c r="C15" s="92" t="inlineStr">
        <is>
          <t>فقط اعداد تجمیعی ارثی؛ فهرست اسمی در دسترس نیست</t>
        </is>
      </c>
      <c r="D15" s="92" t="inlineStr">
        <is>
          <t>پنجره مشترک</t>
        </is>
      </c>
      <c r="E15" s="92" t="inlineStr">
        <is>
          <t>منبع در دسترس نبود</t>
        </is>
      </c>
      <c r="F15" s="92" t="inlineStr">
        <is>
          <t>منبع در دسترس نبود</t>
        </is>
      </c>
      <c r="G15" s="92" t="inlineStr"/>
      <c r="H15" s="92" t="inlineStr"/>
      <c r="I15" s="92" t="inlineStr"/>
      <c r="J15" s="92" t="inlineStr"/>
      <c r="K15" s="92" t="inlineStr"/>
      <c r="L15" s="92" t="inlineStr"/>
      <c r="M15" s="92" t="inlineStr"/>
      <c r="N15" s="92" t="inlineStr"/>
      <c r="O15" s="92" t="inlineStr"/>
      <c r="P15" s="92" t="inlineStr"/>
      <c r="Q15" s="92" t="n">
        <v>3</v>
      </c>
      <c r="R15" s="92" t="n">
        <v>5</v>
      </c>
      <c r="S15" s="92">
        <f>IF(AND(ISNUMBER(Q15),ISNUMBER(R15),R15&gt;0),Q15/R15,"")</f>
        <v>0.6</v>
      </c>
      <c r="T15" s="92" t="inlineStr">
        <is>
          <t>فهرست اسمی مبنا در دسترس نیست؛ نرخ خروج یکتا ساخته نشد</t>
        </is>
      </c>
      <c r="U15" s="92" t="n">
        <v>5</v>
      </c>
      <c r="V15" s="92" t="n">
        <v>5</v>
      </c>
      <c r="W15" s="92" t="n">
        <v>5</v>
      </c>
      <c r="X15" s="92" t="n">
        <v>0</v>
      </c>
      <c r="Y15" s="92" t="inlineStr"/>
      <c r="Z15" s="92" t="n">
        <v>3</v>
      </c>
      <c r="AA15" s="92" t="n">
        <v>5</v>
      </c>
      <c r="AB15" s="92" t="n">
        <v>0</v>
      </c>
      <c r="AC15" s="92" t="n">
        <v>0</v>
      </c>
      <c r="AD15" s="92" t="n">
        <v>3</v>
      </c>
      <c r="AE15" s="92" t="inlineStr">
        <is>
          <t>هم راستا (کف تا افق FYE)</t>
        </is>
      </c>
      <c r="AF15" s="92" t="inlineStr"/>
    </row>
    <row r="16" ht="48" customHeight="1" s="76">
      <c r="A16" s="92" t="inlineStr">
        <is>
          <t>F13</t>
        </is>
      </c>
      <c r="B16" s="92" t="inlineStr">
        <is>
          <t>شپنا</t>
        </is>
      </c>
      <c r="C16" s="92" t="inlineStr">
        <is>
          <t>فقط اعداد تجمیعی ارثی؛ فهرست اسمی در دسترس نیست</t>
        </is>
      </c>
      <c r="D16" s="92" t="inlineStr">
        <is>
          <t>پنجره مشترک</t>
        </is>
      </c>
      <c r="E16" s="92" t="inlineStr">
        <is>
          <t>منبع در دسترس نبود</t>
        </is>
      </c>
      <c r="F16" s="92" t="inlineStr">
        <is>
          <t>منبع در دسترس نبود</t>
        </is>
      </c>
      <c r="G16" s="92" t="inlineStr"/>
      <c r="H16" s="92" t="inlineStr"/>
      <c r="I16" s="92" t="inlineStr"/>
      <c r="J16" s="92" t="inlineStr"/>
      <c r="K16" s="92" t="inlineStr"/>
      <c r="L16" s="92" t="inlineStr"/>
      <c r="M16" s="92" t="inlineStr"/>
      <c r="N16" s="92" t="inlineStr"/>
      <c r="O16" s="92" t="inlineStr"/>
      <c r="P16" s="92" t="inlineStr"/>
      <c r="Q16" s="92" t="n">
        <v>1</v>
      </c>
      <c r="R16" s="92" t="n">
        <v>5</v>
      </c>
      <c r="S16" s="92">
        <f>IF(AND(ISNUMBER(Q16),ISNUMBER(R16),R16&gt;0),Q16/R16,"")</f>
        <v>0.2</v>
      </c>
      <c r="T16" s="92" t="inlineStr">
        <is>
          <t>فهرست اسمی مبنا در دسترس نیست؛ نرخ خروج یکتا ساخته نشد</t>
        </is>
      </c>
      <c r="U16" s="92" t="n">
        <v>5</v>
      </c>
      <c r="V16" s="92" t="n">
        <v>5</v>
      </c>
      <c r="W16" s="92" t="n">
        <v>5</v>
      </c>
      <c r="X16" s="92" t="n">
        <v>0</v>
      </c>
      <c r="Y16" s="92" t="inlineStr"/>
      <c r="Z16" s="92" t="n">
        <v>1</v>
      </c>
      <c r="AA16" s="92" t="n">
        <v>5</v>
      </c>
      <c r="AB16" s="92" t="n">
        <v>1</v>
      </c>
      <c r="AC16" s="92" t="n">
        <v>0</v>
      </c>
      <c r="AD16" s="92" t="n">
        <v>1</v>
      </c>
      <c r="AE16" s="92" t="inlineStr">
        <is>
          <t>هم راستا</t>
        </is>
      </c>
      <c r="AF16" s="92" t="inlineStr"/>
    </row>
    <row r="17" ht="48" customHeight="1" s="76">
      <c r="A17" s="92" t="inlineStr">
        <is>
          <t>F14</t>
        </is>
      </c>
      <c r="B17" s="92" t="inlineStr">
        <is>
          <t>وغدیر</t>
        </is>
      </c>
      <c r="C17" s="92" t="inlineStr">
        <is>
          <t>فقط اعداد تجمیعی ارثی؛ فهرست اسمی در دسترس نیست</t>
        </is>
      </c>
      <c r="D17" s="92" t="inlineStr">
        <is>
          <t>پنجره مشترک</t>
        </is>
      </c>
      <c r="E17" s="92" t="inlineStr">
        <is>
          <t>منبع در دسترس نبود</t>
        </is>
      </c>
      <c r="F17" s="92" t="inlineStr">
        <is>
          <t>منبع در دسترس نبود</t>
        </is>
      </c>
      <c r="G17" s="92" t="inlineStr"/>
      <c r="H17" s="92" t="inlineStr"/>
      <c r="I17" s="92" t="inlineStr"/>
      <c r="J17" s="92" t="inlineStr"/>
      <c r="K17" s="92" t="inlineStr"/>
      <c r="L17" s="92" t="inlineStr"/>
      <c r="M17" s="92" t="inlineStr"/>
      <c r="N17" s="92" t="inlineStr"/>
      <c r="O17" s="92" t="inlineStr"/>
      <c r="P17" s="92" t="inlineStr"/>
      <c r="Q17" s="92" t="n">
        <v>2</v>
      </c>
      <c r="R17" s="92" t="n">
        <v>5</v>
      </c>
      <c r="S17" s="92">
        <f>IF(AND(ISNUMBER(Q17),ISNUMBER(R17),R17&gt;0),Q17/R17,"")</f>
        <v>0.4</v>
      </c>
      <c r="T17" s="92" t="inlineStr">
        <is>
          <t>فهرست اسمی مبنا در دسترس نیست؛ نرخ خروج یکتا ساخته نشد</t>
        </is>
      </c>
      <c r="U17" s="92" t="n">
        <v>5</v>
      </c>
      <c r="V17" s="92" t="n">
        <v>5</v>
      </c>
      <c r="W17" s="92" t="n">
        <v>5</v>
      </c>
      <c r="X17" s="92" t="n">
        <v>0</v>
      </c>
      <c r="Y17" s="92" t="inlineStr"/>
      <c r="Z17" s="92" t="n">
        <v>2</v>
      </c>
      <c r="AA17" s="92" t="n">
        <v>5</v>
      </c>
      <c r="AB17" s="92" t="n">
        <v>2</v>
      </c>
      <c r="AC17" s="92" t="n">
        <v>0</v>
      </c>
      <c r="AD17" s="92" t="n">
        <v>2</v>
      </c>
      <c r="AE17" s="92" t="inlineStr">
        <is>
          <t>هم راستا (کف تا افق FYE)</t>
        </is>
      </c>
      <c r="AF17" s="92" t="inlineStr"/>
    </row>
    <row r="18" ht="48" customHeight="1" s="76">
      <c r="A18" s="92" t="inlineStr">
        <is>
          <t>F15</t>
        </is>
      </c>
      <c r="B18" s="92" t="inlineStr">
        <is>
          <t>نوری</t>
        </is>
      </c>
      <c r="C18" s="92" t="inlineStr">
        <is>
          <t>فقط اعداد تجمیعی ارثی؛ فهرست اسمی در دسترس نیست</t>
        </is>
      </c>
      <c r="D18" s="92" t="inlineStr">
        <is>
          <t>پنجره مشترک</t>
        </is>
      </c>
      <c r="E18" s="92" t="inlineStr">
        <is>
          <t>منبع در دسترس نبود</t>
        </is>
      </c>
      <c r="F18" s="92" t="inlineStr">
        <is>
          <t>منبع در دسترس نبود</t>
        </is>
      </c>
      <c r="G18" s="92" t="inlineStr"/>
      <c r="H18" s="92" t="inlineStr"/>
      <c r="I18" s="92" t="inlineStr"/>
      <c r="J18" s="92" t="inlineStr"/>
      <c r="K18" s="92" t="inlineStr"/>
      <c r="L18" s="92" t="inlineStr"/>
      <c r="M18" s="92" t="inlineStr"/>
      <c r="N18" s="92" t="inlineStr"/>
      <c r="O18" s="92" t="inlineStr"/>
      <c r="P18" s="92" t="inlineStr"/>
      <c r="Q18" s="92" t="n">
        <v>4</v>
      </c>
      <c r="R18" s="92" t="n">
        <v>5</v>
      </c>
      <c r="S18" s="92">
        <f>IF(AND(ISNUMBER(Q18),ISNUMBER(R18),R18&gt;0),Q18/R18,"")</f>
        <v>0.8</v>
      </c>
      <c r="T18" s="92" t="inlineStr">
        <is>
          <t>فهرست اسمی مبنا در دسترس نیست؛ نرخ خروج یکتا ساخته نشد</t>
        </is>
      </c>
      <c r="U18" s="92" t="n">
        <v>5</v>
      </c>
      <c r="V18" s="92" t="n">
        <v>1</v>
      </c>
      <c r="W18" s="92" t="n">
        <v>1</v>
      </c>
      <c r="X18" s="92" t="n">
        <v>0</v>
      </c>
      <c r="Y18" s="92" t="inlineStr"/>
      <c r="Z18" s="92" t="n">
        <v>1</v>
      </c>
      <c r="AA18" s="92" t="n">
        <v>1</v>
      </c>
      <c r="AB18" s="92" t="n">
        <v>4</v>
      </c>
      <c r="AC18" s="92" t="n">
        <v>0</v>
      </c>
      <c r="AD18" s="92" t="n">
        <v>4</v>
      </c>
      <c r="AE18" s="92" t="inlineStr">
        <is>
          <t>هم راستا</t>
        </is>
      </c>
      <c r="AF18" s="92" t="inlineStr"/>
    </row>
    <row r="19" ht="48" customHeight="1" s="76">
      <c r="A19" s="92" t="inlineStr">
        <is>
          <t>F16</t>
        </is>
      </c>
      <c r="B19" s="92" t="inlineStr">
        <is>
          <t>فولاد</t>
        </is>
      </c>
      <c r="C19" s="92" t="inlineStr">
        <is>
          <t>فقط اعداد تجمیعی ارثی؛ فهرست اسمی در دسترس نیست</t>
        </is>
      </c>
      <c r="D19" s="92" t="inlineStr">
        <is>
          <t>پنجره مشترک</t>
        </is>
      </c>
      <c r="E19" s="92" t="inlineStr">
        <is>
          <t>منبع در دسترس نبود</t>
        </is>
      </c>
      <c r="F19" s="92" t="inlineStr">
        <is>
          <t>منبع در دسترس نبود</t>
        </is>
      </c>
      <c r="G19" s="92" t="inlineStr"/>
      <c r="H19" s="92" t="inlineStr"/>
      <c r="I19" s="92" t="inlineStr"/>
      <c r="J19" s="92" t="inlineStr"/>
      <c r="K19" s="92" t="inlineStr"/>
      <c r="L19" s="92" t="inlineStr"/>
      <c r="M19" s="92" t="inlineStr"/>
      <c r="N19" s="92" t="inlineStr"/>
      <c r="O19" s="92" t="inlineStr"/>
      <c r="P19" s="92" t="inlineStr"/>
      <c r="Q19" s="92" t="n">
        <v>2</v>
      </c>
      <c r="R19" s="92" t="n">
        <v>5</v>
      </c>
      <c r="S19" s="92">
        <f>IF(AND(ISNUMBER(Q19),ISNUMBER(R19),R19&gt;0),Q19/R19,"")</f>
        <v>0.4</v>
      </c>
      <c r="T19" s="92" t="inlineStr">
        <is>
          <t>فهرست اسمی مبنا در دسترس نیست؛ نرخ خروج یکتا ساخته نشد</t>
        </is>
      </c>
      <c r="U19" s="92" t="n">
        <v>5</v>
      </c>
      <c r="V19" s="92" t="n">
        <v>4</v>
      </c>
      <c r="W19" s="92" t="n">
        <v>4</v>
      </c>
      <c r="X19" s="92" t="n">
        <v>0</v>
      </c>
      <c r="Y19" s="92" t="inlineStr"/>
      <c r="Z19" s="92" t="n">
        <v>1</v>
      </c>
      <c r="AA19" s="92" t="n">
        <v>4</v>
      </c>
      <c r="AB19" s="92" t="n">
        <v>2</v>
      </c>
      <c r="AC19" s="92" t="n">
        <v>1</v>
      </c>
      <c r="AD19" s="92" t="n">
        <v>2</v>
      </c>
      <c r="AE19" s="92" t="inlineStr">
        <is>
          <t>هم راستا</t>
        </is>
      </c>
      <c r="AF19" s="92" t="inlineStr"/>
    </row>
    <row r="20" ht="48" customHeight="1" s="76">
      <c r="A20" s="92" t="inlineStr">
        <is>
          <t>F17</t>
        </is>
      </c>
      <c r="B20" s="92" t="inlineStr">
        <is>
          <t>کچاد</t>
        </is>
      </c>
      <c r="C20" s="92" t="inlineStr">
        <is>
          <t>دو فهرست اسمی کامل</t>
        </is>
      </c>
      <c r="D20" s="92" t="inlineStr">
        <is>
          <t>پنجره مشترک</t>
        </is>
      </c>
      <c r="E20" s="92" t="inlineStr">
        <is>
          <t>کامل</t>
        </is>
      </c>
      <c r="F20" s="92" t="inlineStr">
        <is>
          <t>کامل</t>
        </is>
      </c>
      <c r="G20" s="92" t="n">
        <v>4</v>
      </c>
      <c r="H20" s="92" t="n">
        <v>5</v>
      </c>
      <c r="I20" s="92" t="n">
        <v>2</v>
      </c>
      <c r="J20" s="92" t="n">
        <v>2</v>
      </c>
      <c r="K20" s="92" t="n">
        <v>3</v>
      </c>
      <c r="L20" s="92">
        <f>IF(AND(ISNUMBER(J20),ISNUMBER(G20),G20&gt;0),J20/G20,"")</f>
        <v>0.5</v>
      </c>
      <c r="M20" s="92">
        <f>IF(AND(ISNUMBER(K20),ISNUMBER(H20),H20&gt;0),K20/H20,"")</f>
        <v>0.6</v>
      </c>
      <c r="N20" s="92">
        <f>IF(AND(ISNUMBER(I20),ISNUMBER(G20),G20&gt;0),I20/G20,"")</f>
        <v>0.5</v>
      </c>
      <c r="O20" s="92" t="str">
        <f>IF(AND(ISNUMBER(G20),ISNUMBER(J20),ISNUMBER(K20),ISNUMBER(H20)),IF(G20-J20+K20=H20,"OK","FAIL"),"")</f>
        <v>OK</v>
      </c>
      <c r="P20" s="92" t="str">
        <f>IF(AND(ISNUMBER(L20),ISNUMBER(N20)),IF(ABS(L20+N20-1)&lt;0.000001,"OK","FAIL"),"")</f>
        <v>OK</v>
      </c>
      <c r="Q20" s="92" t="n">
        <v>2</v>
      </c>
      <c r="R20" s="92" t="n">
        <v>4</v>
      </c>
      <c r="S20" s="92">
        <f>IF(AND(ISNUMBER(Q20),ISNUMBER(R20),R20&gt;0),Q20/R20,"")</f>
        <v>0.5</v>
      </c>
      <c r="T20" s="92" t="inlineStr">
        <is>
          <t>برابر</t>
        </is>
      </c>
      <c r="U20" s="92" t="n">
        <v>5</v>
      </c>
      <c r="V20" s="92" t="n">
        <v>5</v>
      </c>
      <c r="W20" s="92" t="n">
        <v>4</v>
      </c>
      <c r="X20" s="92" t="n">
        <v>0</v>
      </c>
      <c r="Y20" s="92" t="n">
        <v>1</v>
      </c>
      <c r="Z20" s="92" t="n">
        <v>2</v>
      </c>
      <c r="AA20" s="92" t="n">
        <v>4</v>
      </c>
      <c r="AB20" s="92" t="n">
        <v>3</v>
      </c>
      <c r="AC20" s="92" t="n">
        <v>0</v>
      </c>
      <c r="AD20" s="92" t="n">
        <v>3</v>
      </c>
      <c r="AE20" s="92" t="inlineStr">
        <is>
          <t>هم راستا (کف تا افق FYE)</t>
        </is>
      </c>
      <c r="AF20" s="92" t="inlineStr"/>
    </row>
    <row r="21" ht="48" customHeight="1" s="76">
      <c r="A21" s="92" t="inlineStr">
        <is>
          <t>F18</t>
        </is>
      </c>
      <c r="B21" s="92" t="inlineStr">
        <is>
          <t>کگل</t>
        </is>
      </c>
      <c r="C21" s="92" t="inlineStr">
        <is>
          <t>فقط اعداد تجمیعی ارثی؛ فهرست اسمی در دسترس نیست</t>
        </is>
      </c>
      <c r="D21" s="92" t="inlineStr">
        <is>
          <t>پنجره مشترک</t>
        </is>
      </c>
      <c r="E21" s="92" t="inlineStr">
        <is>
          <t>منبع در دسترس نبود</t>
        </is>
      </c>
      <c r="F21" s="92" t="inlineStr">
        <is>
          <t>منبع در دسترس نبود</t>
        </is>
      </c>
      <c r="G21" s="92" t="inlineStr"/>
      <c r="H21" s="92" t="inlineStr"/>
      <c r="I21" s="92" t="inlineStr"/>
      <c r="J21" s="92" t="inlineStr"/>
      <c r="K21" s="92" t="inlineStr"/>
      <c r="L21" s="92" t="inlineStr"/>
      <c r="M21" s="92" t="inlineStr"/>
      <c r="N21" s="92" t="inlineStr"/>
      <c r="O21" s="92" t="inlineStr"/>
      <c r="P21" s="92" t="inlineStr"/>
      <c r="Q21" s="92" t="n">
        <v>1</v>
      </c>
      <c r="R21" s="92" t="n">
        <v>5</v>
      </c>
      <c r="S21" s="92">
        <f>IF(AND(ISNUMBER(Q21),ISNUMBER(R21),R21&gt;0),Q21/R21,"")</f>
        <v>0.2</v>
      </c>
      <c r="T21" s="92" t="inlineStr">
        <is>
          <t>فهرست اسمی مبنا در دسترس نیست؛ نرخ خروج یکتا ساخته نشد</t>
        </is>
      </c>
      <c r="U21" s="92" t="n">
        <v>5</v>
      </c>
      <c r="V21" s="92" t="n">
        <v>5</v>
      </c>
      <c r="W21" s="92" t="n">
        <v>5</v>
      </c>
      <c r="X21" s="92" t="n">
        <v>0</v>
      </c>
      <c r="Y21" s="92" t="inlineStr"/>
      <c r="Z21" s="92" t="n">
        <v>1</v>
      </c>
      <c r="AA21" s="92" t="n">
        <v>5</v>
      </c>
      <c r="AB21" s="92" t="n">
        <v>1</v>
      </c>
      <c r="AC21" s="92" t="n">
        <v>0</v>
      </c>
      <c r="AD21" s="92" t="n">
        <v>1</v>
      </c>
      <c r="AE21" s="92" t="inlineStr">
        <is>
          <t>هم راستا (کف تا افق FYE)</t>
        </is>
      </c>
      <c r="AF21" s="92" t="inlineStr"/>
    </row>
    <row r="22" ht="48" customHeight="1" s="76">
      <c r="A22" s="92" t="inlineStr">
        <is>
          <t>F19</t>
        </is>
      </c>
      <c r="B22" s="92" t="inlineStr">
        <is>
          <t>پارسان</t>
        </is>
      </c>
      <c r="C22" s="92" t="inlineStr">
        <is>
          <t>دو فهرست اسمی کامل با حساسیت ثبت شده</t>
        </is>
      </c>
      <c r="D22" s="92" t="inlineStr">
        <is>
          <t>پنجره مشترک</t>
        </is>
      </c>
      <c r="E22" s="92" t="inlineStr">
        <is>
          <t>کامل</t>
        </is>
      </c>
      <c r="F22" s="92" t="inlineStr">
        <is>
          <t>کامل با حساسیت</t>
        </is>
      </c>
      <c r="G22" s="92" t="n">
        <v>5</v>
      </c>
      <c r="H22" s="92" t="n">
        <v>5</v>
      </c>
      <c r="I22" s="92" t="n">
        <v>3</v>
      </c>
      <c r="J22" s="92" t="n">
        <v>2</v>
      </c>
      <c r="K22" s="92" t="n">
        <v>2</v>
      </c>
      <c r="L22" s="92">
        <f>IF(AND(ISNUMBER(J22),ISNUMBER(G22),G22&gt;0),J22/G22,"")</f>
        <v>0.4</v>
      </c>
      <c r="M22" s="92">
        <f>IF(AND(ISNUMBER(K22),ISNUMBER(H22),H22&gt;0),K22/H22,"")</f>
        <v>0.4</v>
      </c>
      <c r="N22" s="92">
        <f>IF(AND(ISNUMBER(I22),ISNUMBER(G22),G22&gt;0),I22/G22,"")</f>
        <v>0.6</v>
      </c>
      <c r="O22" s="92" t="str">
        <f>IF(AND(ISNUMBER(G22),ISNUMBER(J22),ISNUMBER(K22),ISNUMBER(H22)),IF(G22-J22+K22=H22,"OK","FAIL"),"")</f>
        <v>OK</v>
      </c>
      <c r="P22" s="92" t="str">
        <f>IF(AND(ISNUMBER(L22),ISNUMBER(N22)),IF(ABS(L22+N22-1)&lt;0.000001,"OK","FAIL"),"")</f>
        <v>OK</v>
      </c>
      <c r="Q22" s="92" t="n">
        <v>2</v>
      </c>
      <c r="R22" s="92" t="n">
        <v>5</v>
      </c>
      <c r="S22" s="92">
        <f>IF(AND(ISNUMBER(Q22),ISNUMBER(R22),R22&gt;0),Q22/R22,"")</f>
        <v>0.4</v>
      </c>
      <c r="T22" s="92" t="inlineStr">
        <is>
          <t>برابر</t>
        </is>
      </c>
      <c r="U22" s="92" t="n">
        <v>5</v>
      </c>
      <c r="V22" s="92" t="n">
        <v>5</v>
      </c>
      <c r="W22" s="92" t="n">
        <v>5</v>
      </c>
      <c r="X22" s="92" t="n">
        <v>0</v>
      </c>
      <c r="Y22" s="92" t="n">
        <v>0</v>
      </c>
      <c r="Z22" s="92" t="n">
        <v>2</v>
      </c>
      <c r="AA22" s="92" t="n">
        <v>5</v>
      </c>
      <c r="AB22" s="92" t="n">
        <v>2</v>
      </c>
      <c r="AC22" s="92" t="n">
        <v>0</v>
      </c>
      <c r="AD22" s="92" t="n">
        <v>2</v>
      </c>
      <c r="AE22" s="92" t="inlineStr">
        <is>
          <t>هم راستا (کف تا افق FYE)</t>
        </is>
      </c>
      <c r="AF22" s="92" t="inlineStr">
        <is>
          <t>حساسیت مجمع 1404/10/23: دو دارنده حقوقی تازه و نمایندگان بعد از پایان نامیده شدند</t>
        </is>
      </c>
    </row>
    <row r="23" ht="48" customHeight="1" s="76">
      <c r="A23" s="92" t="inlineStr">
        <is>
          <t>F20</t>
        </is>
      </c>
      <c r="B23" s="92" t="inlineStr">
        <is>
          <t>اخابر</t>
        </is>
      </c>
      <c r="C23" s="92" t="inlineStr">
        <is>
          <t>فقط اعداد تجمیعی ارثی؛ فهرست اسمی در دسترس نیست</t>
        </is>
      </c>
      <c r="D23" s="92" t="inlineStr">
        <is>
          <t>پنجره مشترک</t>
        </is>
      </c>
      <c r="E23" s="92" t="inlineStr">
        <is>
          <t>منبع در دسترس نبود</t>
        </is>
      </c>
      <c r="F23" s="92" t="inlineStr">
        <is>
          <t>منبع در دسترس نبود</t>
        </is>
      </c>
      <c r="G23" s="92" t="inlineStr"/>
      <c r="H23" s="92" t="inlineStr"/>
      <c r="I23" s="92" t="inlineStr"/>
      <c r="J23" s="92" t="inlineStr"/>
      <c r="K23" s="92" t="inlineStr"/>
      <c r="L23" s="92" t="inlineStr"/>
      <c r="M23" s="92" t="inlineStr"/>
      <c r="N23" s="92" t="inlineStr"/>
      <c r="O23" s="92" t="inlineStr"/>
      <c r="P23" s="92" t="inlineStr"/>
      <c r="Q23" s="92" t="n">
        <v>1</v>
      </c>
      <c r="R23" s="92" t="n">
        <v>5</v>
      </c>
      <c r="S23" s="92">
        <f>IF(AND(ISNUMBER(Q23),ISNUMBER(R23),R23&gt;0),Q23/R23,"")</f>
        <v>0.2</v>
      </c>
      <c r="T23" s="92" t="inlineStr">
        <is>
          <t>فهرست اسمی مبنا در دسترس نیست؛ نرخ خروج یکتا ساخته نشد</t>
        </is>
      </c>
      <c r="U23" s="92" t="n">
        <v>5</v>
      </c>
      <c r="V23" s="92" t="n">
        <v>3</v>
      </c>
      <c r="W23" s="92" t="n">
        <v>3</v>
      </c>
      <c r="X23" s="92" t="n">
        <v>0</v>
      </c>
      <c r="Y23" s="92" t="inlineStr"/>
      <c r="Z23" s="92" t="n">
        <v>1</v>
      </c>
      <c r="AA23" s="92" t="n">
        <v>3</v>
      </c>
      <c r="AB23" s="92" t="n">
        <v>1</v>
      </c>
      <c r="AC23" s="92" t="n">
        <v>0</v>
      </c>
      <c r="AD23" s="92" t="n">
        <v>1</v>
      </c>
      <c r="AE23" s="92" t="inlineStr">
        <is>
          <t>هم راستا</t>
        </is>
      </c>
      <c r="AF23" s="92" t="inlineStr"/>
    </row>
    <row r="24" ht="48" customHeight="1" s="76">
      <c r="A24" s="92" t="inlineStr">
        <is>
          <t>F21</t>
        </is>
      </c>
      <c r="B24" s="92" t="inlineStr">
        <is>
          <t>جم</t>
        </is>
      </c>
      <c r="C24" s="92" t="inlineStr">
        <is>
          <t>دو فهرست اسمی کامل با حساسیت ثبت شده</t>
        </is>
      </c>
      <c r="D24" s="92" t="inlineStr">
        <is>
          <t>پنجره مشترک</t>
        </is>
      </c>
      <c r="E24" s="92" t="inlineStr">
        <is>
          <t>کامل</t>
        </is>
      </c>
      <c r="F24" s="92" t="inlineStr">
        <is>
          <t>کامل با حساسیت</t>
        </is>
      </c>
      <c r="G24" s="92" t="n">
        <v>5</v>
      </c>
      <c r="H24" s="92" t="n">
        <v>5</v>
      </c>
      <c r="I24" s="92" t="n">
        <v>4</v>
      </c>
      <c r="J24" s="92" t="n">
        <v>1</v>
      </c>
      <c r="K24" s="92" t="n">
        <v>1</v>
      </c>
      <c r="L24" s="92">
        <f>IF(AND(ISNUMBER(J24),ISNUMBER(G24),G24&gt;0),J24/G24,"")</f>
        <v>0.2</v>
      </c>
      <c r="M24" s="92">
        <f>IF(AND(ISNUMBER(K24),ISNUMBER(H24),H24&gt;0),K24/H24,"")</f>
        <v>0.2</v>
      </c>
      <c r="N24" s="92">
        <f>IF(AND(ISNUMBER(I24),ISNUMBER(G24),G24&gt;0),I24/G24,"")</f>
        <v>0.8</v>
      </c>
      <c r="O24" s="92" t="str">
        <f>IF(AND(ISNUMBER(G24),ISNUMBER(J24),ISNUMBER(K24),ISNUMBER(H24)),IF(G24-J24+K24=H24,"OK","FAIL"),"")</f>
        <v>OK</v>
      </c>
      <c r="P24" s="92" t="str">
        <f>IF(AND(ISNUMBER(L24),ISNUMBER(N24)),IF(ABS(L24+N24-1)&lt;0.000001,"OK","FAIL"),"")</f>
        <v>OK</v>
      </c>
      <c r="Q24" s="92" t="n">
        <v>2</v>
      </c>
      <c r="R24" s="92" t="n">
        <v>5</v>
      </c>
      <c r="S24" s="92">
        <f>IF(AND(ISNUMBER(Q24),ISNUMBER(R24),R24&gt;0),Q24/R24,"")</f>
        <v>0.4</v>
      </c>
      <c r="T24" s="92" t="inlineStr">
        <is>
          <t>REF05 2 از 5 تغییر شخص در کرسی را می شمارد و خروج یکتا 1 است؛ فرق از جابجایی همان افراد بین کرسی ها می آید</t>
        </is>
      </c>
      <c r="U24" s="92" t="n">
        <v>5</v>
      </c>
      <c r="V24" s="92" t="n">
        <v>4</v>
      </c>
      <c r="W24" s="92" t="n">
        <v>4</v>
      </c>
      <c r="X24" s="92" t="n">
        <v>0</v>
      </c>
      <c r="Y24" s="92" t="n">
        <v>0</v>
      </c>
      <c r="Z24" s="92" t="n">
        <v>2</v>
      </c>
      <c r="AA24" s="92" t="n">
        <v>4</v>
      </c>
      <c r="AB24" s="92" t="n">
        <v>1</v>
      </c>
      <c r="AC24" s="92" t="n">
        <v>0</v>
      </c>
      <c r="AD24" s="92" t="n">
        <v>1</v>
      </c>
      <c r="AE24" s="92" t="inlineStr">
        <is>
          <t>هم راستا</t>
        </is>
      </c>
      <c r="AF24" s="92" t="inlineStr">
        <is>
          <t>حساسیت انتشار: با فهرست منتشرشده تا پایان، ورود 0 و رئیس بدون تغییر می شد</t>
        </is>
      </c>
    </row>
    <row r="25" ht="48" customHeight="1" s="76">
      <c r="A25" s="92" t="inlineStr">
        <is>
          <t>F22</t>
        </is>
      </c>
      <c r="B25" s="92" t="inlineStr">
        <is>
          <t>ومعادن</t>
        </is>
      </c>
      <c r="C25" s="92" t="inlineStr">
        <is>
          <t>فقط اعداد تجمیعی ارثی؛ فهرست اسمی در دسترس نیست</t>
        </is>
      </c>
      <c r="D25" s="92" t="inlineStr">
        <is>
          <t>پنجره مشترک</t>
        </is>
      </c>
      <c r="E25" s="92" t="inlineStr">
        <is>
          <t>منبع در دسترس نبود</t>
        </is>
      </c>
      <c r="F25" s="92" t="inlineStr">
        <is>
          <t>منبع در دسترس نبود</t>
        </is>
      </c>
      <c r="G25" s="92" t="inlineStr"/>
      <c r="H25" s="92" t="inlineStr"/>
      <c r="I25" s="92" t="inlineStr"/>
      <c r="J25" s="92" t="inlineStr"/>
      <c r="K25" s="92" t="inlineStr"/>
      <c r="L25" s="92" t="inlineStr"/>
      <c r="M25" s="92" t="inlineStr"/>
      <c r="N25" s="92" t="inlineStr"/>
      <c r="O25" s="92" t="inlineStr"/>
      <c r="P25" s="92" t="inlineStr"/>
      <c r="Q25" s="92" t="n">
        <v>2</v>
      </c>
      <c r="R25" s="92" t="n">
        <v>5</v>
      </c>
      <c r="S25" s="92">
        <f>IF(AND(ISNUMBER(Q25),ISNUMBER(R25),R25&gt;0),Q25/R25,"")</f>
        <v>0.4</v>
      </c>
      <c r="T25" s="92" t="inlineStr">
        <is>
          <t>فهرست اسمی مبنا در دسترس نیست؛ نرخ خروج یکتا ساخته نشد</t>
        </is>
      </c>
      <c r="U25" s="92" t="n">
        <v>5</v>
      </c>
      <c r="V25" s="92" t="n">
        <v>4</v>
      </c>
      <c r="W25" s="92" t="n">
        <v>4</v>
      </c>
      <c r="X25" s="92" t="n">
        <v>0</v>
      </c>
      <c r="Y25" s="92" t="inlineStr"/>
      <c r="Z25" s="92" t="n">
        <v>2</v>
      </c>
      <c r="AA25" s="92" t="n">
        <v>4</v>
      </c>
      <c r="AB25" s="92" t="n">
        <v>2</v>
      </c>
      <c r="AC25" s="92" t="n">
        <v>0</v>
      </c>
      <c r="AD25" s="92" t="n">
        <v>2</v>
      </c>
      <c r="AE25" s="92" t="inlineStr">
        <is>
          <t>هم راستا</t>
        </is>
      </c>
      <c r="AF25" s="92" t="inlineStr"/>
    </row>
    <row r="26" ht="48" customHeight="1" s="76">
      <c r="A26" s="92" t="inlineStr">
        <is>
          <t>F23</t>
        </is>
      </c>
      <c r="B26" s="92" t="inlineStr">
        <is>
          <t>وامید</t>
        </is>
      </c>
      <c r="C26" s="92" t="inlineStr">
        <is>
          <t>فقط اعداد تجمیعی ارثی؛ فهرست اسمی در دسترس نیست</t>
        </is>
      </c>
      <c r="D26" s="92" t="inlineStr">
        <is>
          <t>پنجره مشترک</t>
        </is>
      </c>
      <c r="E26" s="92" t="inlineStr">
        <is>
          <t>منبع در دسترس نبود</t>
        </is>
      </c>
      <c r="F26" s="92" t="inlineStr">
        <is>
          <t>منبع در دسترس نبود</t>
        </is>
      </c>
      <c r="G26" s="92" t="inlineStr"/>
      <c r="H26" s="92" t="inlineStr"/>
      <c r="I26" s="92" t="inlineStr"/>
      <c r="J26" s="92" t="inlineStr"/>
      <c r="K26" s="92" t="inlineStr"/>
      <c r="L26" s="92" t="inlineStr"/>
      <c r="M26" s="92" t="inlineStr"/>
      <c r="N26" s="92" t="inlineStr"/>
      <c r="O26" s="92" t="inlineStr"/>
      <c r="P26" s="92" t="inlineStr"/>
      <c r="Q26" s="92" t="n">
        <v>0</v>
      </c>
      <c r="R26" s="92" t="n">
        <v>5</v>
      </c>
      <c r="S26" s="92">
        <f>IF(AND(ISNUMBER(Q26),ISNUMBER(R26),R26&gt;0),Q26/R26,"")</f>
        <v>0.0</v>
      </c>
      <c r="T26" s="92" t="inlineStr">
        <is>
          <t>فهرست اسمی مبنا در دسترس نیست؛ نرخ خروج یکتا ساخته نشد</t>
        </is>
      </c>
      <c r="U26" s="92" t="n">
        <v>5</v>
      </c>
      <c r="V26" s="92" t="n">
        <v>3</v>
      </c>
      <c r="W26" s="92" t="n">
        <v>3</v>
      </c>
      <c r="X26" s="92" t="n">
        <v>0</v>
      </c>
      <c r="Y26" s="92" t="inlineStr"/>
      <c r="Z26" s="92" t="n">
        <v>0</v>
      </c>
      <c r="AA26" s="92" t="n">
        <v>3</v>
      </c>
      <c r="AB26" s="92" t="n">
        <v>0</v>
      </c>
      <c r="AC26" s="92" t="n">
        <v>0</v>
      </c>
      <c r="AD26" s="92" t="n">
        <v>0</v>
      </c>
      <c r="AE26" s="92" t="inlineStr">
        <is>
          <t>هم راستا (کف تا افق FYE)</t>
        </is>
      </c>
      <c r="AF26" s="92" t="inlineStr"/>
    </row>
    <row r="27" ht="48" customHeight="1" s="76">
      <c r="A27" s="92" t="inlineStr">
        <is>
          <t>F24</t>
        </is>
      </c>
      <c r="B27" s="92" t="inlineStr">
        <is>
          <t>خساپا</t>
        </is>
      </c>
      <c r="C27" s="92" t="inlineStr">
        <is>
          <t>دو فهرست اسمی کامل</t>
        </is>
      </c>
      <c r="D27" s="92" t="inlineStr">
        <is>
          <t>پنجره مشترک</t>
        </is>
      </c>
      <c r="E27" s="92" t="inlineStr">
        <is>
          <t>کامل</t>
        </is>
      </c>
      <c r="F27" s="92" t="inlineStr">
        <is>
          <t>کامل</t>
        </is>
      </c>
      <c r="G27" s="92" t="n">
        <v>5</v>
      </c>
      <c r="H27" s="92" t="n">
        <v>5</v>
      </c>
      <c r="I27" s="92" t="n">
        <v>3</v>
      </c>
      <c r="J27" s="92" t="n">
        <v>2</v>
      </c>
      <c r="K27" s="92" t="n">
        <v>2</v>
      </c>
      <c r="L27" s="92">
        <f>IF(AND(ISNUMBER(J27),ISNUMBER(G27),G27&gt;0),J27/G27,"")</f>
        <v>0.4</v>
      </c>
      <c r="M27" s="92">
        <f>IF(AND(ISNUMBER(K27),ISNUMBER(H27),H27&gt;0),K27/H27,"")</f>
        <v>0.4</v>
      </c>
      <c r="N27" s="92">
        <f>IF(AND(ISNUMBER(I27),ISNUMBER(G27),G27&gt;0),I27/G27,"")</f>
        <v>0.6</v>
      </c>
      <c r="O27" s="92" t="str">
        <f>IF(AND(ISNUMBER(G27),ISNUMBER(J27),ISNUMBER(K27),ISNUMBER(H27)),IF(G27-J27+K27=H27,"OK","FAIL"),"")</f>
        <v>OK</v>
      </c>
      <c r="P27" s="92" t="str">
        <f>IF(AND(ISNUMBER(L27),ISNUMBER(N27)),IF(ABS(L27+N27-1)&lt;0.000001,"OK","FAIL"),"")</f>
        <v>OK</v>
      </c>
      <c r="Q27" s="92" t="n">
        <v>3</v>
      </c>
      <c r="R27" s="92" t="n">
        <v>5</v>
      </c>
      <c r="S27" s="92">
        <f>IF(AND(ISNUMBER(Q27),ISNUMBER(R27),R27&gt;0),Q27/R27,"")</f>
        <v>0.6</v>
      </c>
      <c r="T27" s="92" t="inlineStr">
        <is>
          <t>REF05 3 از 5 تغییر شخص در کرسی را می شمارد و خروج یکتا 2 است؛ فرق از جابجایی همان افراد بین کرسی ها می آید</t>
        </is>
      </c>
      <c r="U27" s="92" t="n">
        <v>5</v>
      </c>
      <c r="V27" s="92" t="n">
        <v>5</v>
      </c>
      <c r="W27" s="92" t="n">
        <v>5</v>
      </c>
      <c r="X27" s="92" t="n">
        <v>0</v>
      </c>
      <c r="Y27" s="92" t="n">
        <v>0</v>
      </c>
      <c r="Z27" s="92" t="n">
        <v>3</v>
      </c>
      <c r="AA27" s="92" t="n">
        <v>5</v>
      </c>
      <c r="AB27" s="92" t="n">
        <v>2</v>
      </c>
      <c r="AC27" s="92" t="n">
        <v>0</v>
      </c>
      <c r="AD27" s="92" t="n">
        <v>2</v>
      </c>
      <c r="AE27" s="92" t="inlineStr">
        <is>
          <t>هم راستا</t>
        </is>
      </c>
      <c r="AF27" s="92" t="inlineStr"/>
    </row>
    <row r="28" ht="48" customHeight="1" s="76">
      <c r="A28" s="92" t="inlineStr">
        <is>
          <t>F25</t>
        </is>
      </c>
      <c r="B28" s="92" t="inlineStr">
        <is>
          <t>همراه</t>
        </is>
      </c>
      <c r="C28" s="92" t="inlineStr">
        <is>
          <t>فقط اعداد تجمیعی ارثی؛ فهرست اسمی در دسترس نیست</t>
        </is>
      </c>
      <c r="D28" s="92" t="inlineStr">
        <is>
          <t>پنجره مشترک</t>
        </is>
      </c>
      <c r="E28" s="92" t="inlineStr">
        <is>
          <t>منبع در دسترس نبود</t>
        </is>
      </c>
      <c r="F28" s="92" t="inlineStr">
        <is>
          <t>منبع در دسترس نبود</t>
        </is>
      </c>
      <c r="G28" s="92" t="inlineStr"/>
      <c r="H28" s="92" t="inlineStr"/>
      <c r="I28" s="92" t="inlineStr"/>
      <c r="J28" s="92" t="inlineStr"/>
      <c r="K28" s="92" t="inlineStr"/>
      <c r="L28" s="92" t="inlineStr"/>
      <c r="M28" s="92" t="inlineStr"/>
      <c r="N28" s="92" t="inlineStr"/>
      <c r="O28" s="92" t="inlineStr"/>
      <c r="P28" s="92" t="inlineStr"/>
      <c r="Q28" s="92" t="n">
        <v>0</v>
      </c>
      <c r="R28" s="92" t="n">
        <v>5</v>
      </c>
      <c r="S28" s="92">
        <f>IF(AND(ISNUMBER(Q28),ISNUMBER(R28),R28&gt;0),Q28/R28,"")</f>
        <v>0.0</v>
      </c>
      <c r="T28" s="92" t="inlineStr">
        <is>
          <t>فهرست اسمی مبنا در دسترس نیست؛ نرخ خروج یکتا ساخته نشد</t>
        </is>
      </c>
      <c r="U28" s="92" t="n">
        <v>5</v>
      </c>
      <c r="V28" s="92" t="n">
        <v>5</v>
      </c>
      <c r="W28" s="92" t="n">
        <v>5</v>
      </c>
      <c r="X28" s="92" t="n">
        <v>0</v>
      </c>
      <c r="Y28" s="92" t="inlineStr"/>
      <c r="Z28" s="92" t="n">
        <v>0</v>
      </c>
      <c r="AA28" s="92" t="n">
        <v>5</v>
      </c>
      <c r="AB28" s="92" t="n">
        <v>0</v>
      </c>
      <c r="AC28" s="92" t="n">
        <v>0</v>
      </c>
      <c r="AD28" s="92" t="n">
        <v>0</v>
      </c>
      <c r="AE28" s="92" t="inlineStr">
        <is>
          <t>هم راستا</t>
        </is>
      </c>
      <c r="AF28" s="92" t="inlineStr"/>
    </row>
    <row r="29" ht="48" customHeight="1" s="76">
      <c r="A29" s="92" t="inlineStr">
        <is>
          <t>F26</t>
        </is>
      </c>
      <c r="B29" s="92" t="inlineStr">
        <is>
          <t>وبملت</t>
        </is>
      </c>
      <c r="C29" s="92" t="inlineStr">
        <is>
          <t>فقط اعداد تجمیعی ارثی؛ فهرست اسمی در دسترس نیست</t>
        </is>
      </c>
      <c r="D29" s="92" t="inlineStr">
        <is>
          <t>پنجره مشترک</t>
        </is>
      </c>
      <c r="E29" s="92" t="inlineStr">
        <is>
          <t>منبع در دسترس نبود</t>
        </is>
      </c>
      <c r="F29" s="92" t="inlineStr">
        <is>
          <t>منبع در دسترس نبود</t>
        </is>
      </c>
      <c r="G29" s="92" t="inlineStr"/>
      <c r="H29" s="92" t="inlineStr"/>
      <c r="I29" s="92" t="inlineStr"/>
      <c r="J29" s="92" t="inlineStr"/>
      <c r="K29" s="92" t="inlineStr"/>
      <c r="L29" s="92" t="inlineStr"/>
      <c r="M29" s="92" t="inlineStr"/>
      <c r="N29" s="92" t="inlineStr"/>
      <c r="O29" s="92" t="inlineStr"/>
      <c r="P29" s="92" t="inlineStr"/>
      <c r="Q29" s="92" t="n">
        <v>0</v>
      </c>
      <c r="R29" s="92" t="n">
        <v>5</v>
      </c>
      <c r="S29" s="92">
        <f>IF(AND(ISNUMBER(Q29),ISNUMBER(R29),R29&gt;0),Q29/R29,"")</f>
        <v>0.0</v>
      </c>
      <c r="T29" s="92" t="inlineStr">
        <is>
          <t>فهرست اسمی مبنا در دسترس نیست؛ نرخ خروج یکتا ساخته نشد</t>
        </is>
      </c>
      <c r="U29" s="92" t="inlineStr"/>
      <c r="V29" s="92" t="inlineStr"/>
      <c r="W29" s="92" t="inlineStr"/>
      <c r="X29" s="92" t="inlineStr"/>
      <c r="Y29" s="92" t="inlineStr"/>
      <c r="Z29" s="92" t="inlineStr"/>
      <c r="AA29" s="92" t="inlineStr"/>
      <c r="AB29" s="92" t="n">
        <v>0</v>
      </c>
      <c r="AC29" s="92" t="n">
        <v>0</v>
      </c>
      <c r="AD29" s="92" t="n">
        <v>0</v>
      </c>
      <c r="AE29" s="92" t="inlineStr">
        <is>
          <t>هم راستا</t>
        </is>
      </c>
      <c r="AF29" s="92" t="inlineStr"/>
    </row>
    <row r="30" ht="48" customHeight="1" s="76">
      <c r="A30" s="92" t="inlineStr">
        <is>
          <t>F27</t>
        </is>
      </c>
      <c r="B30" s="92" t="inlineStr">
        <is>
          <t>وبصادر</t>
        </is>
      </c>
      <c r="C30" s="92" t="inlineStr">
        <is>
          <t>فقط اعداد تجمیعی ارثی؛ فهرست اسمی در دسترس نیست</t>
        </is>
      </c>
      <c r="D30" s="92" t="inlineStr">
        <is>
          <t>پنجره مشترک</t>
        </is>
      </c>
      <c r="E30" s="92" t="inlineStr">
        <is>
          <t>منبع در دسترس نبود</t>
        </is>
      </c>
      <c r="F30" s="92" t="inlineStr">
        <is>
          <t>منبع در دسترس نبود</t>
        </is>
      </c>
      <c r="G30" s="92" t="inlineStr"/>
      <c r="H30" s="92" t="inlineStr"/>
      <c r="I30" s="92" t="inlineStr"/>
      <c r="J30" s="92" t="inlineStr"/>
      <c r="K30" s="92" t="inlineStr"/>
      <c r="L30" s="92" t="inlineStr"/>
      <c r="M30" s="92" t="inlineStr"/>
      <c r="N30" s="92" t="inlineStr"/>
      <c r="O30" s="92" t="inlineStr"/>
      <c r="P30" s="92" t="inlineStr"/>
      <c r="Q30" s="92" t="n">
        <v>0</v>
      </c>
      <c r="R30" s="92" t="n">
        <v>5</v>
      </c>
      <c r="S30" s="92">
        <f>IF(AND(ISNUMBER(Q30),ISNUMBER(R30),R30&gt;0),Q30/R30,"")</f>
        <v>0.0</v>
      </c>
      <c r="T30" s="92" t="inlineStr">
        <is>
          <t>فهرست اسمی مبنا در دسترس نیست؛ نرخ خروج یکتا ساخته نشد</t>
        </is>
      </c>
      <c r="U30" s="92" t="inlineStr"/>
      <c r="V30" s="92" t="inlineStr"/>
      <c r="W30" s="92" t="inlineStr"/>
      <c r="X30" s="92" t="inlineStr"/>
      <c r="Y30" s="92" t="inlineStr"/>
      <c r="Z30" s="92" t="inlineStr"/>
      <c r="AA30" s="92" t="inlineStr"/>
      <c r="AB30" s="92" t="n">
        <v>0</v>
      </c>
      <c r="AC30" s="92" t="n">
        <v>0</v>
      </c>
      <c r="AD30" s="92" t="n">
        <v>0</v>
      </c>
      <c r="AE30" s="92" t="inlineStr">
        <is>
          <t>هم راستا</t>
        </is>
      </c>
      <c r="AF30" s="92" t="inlineStr"/>
    </row>
    <row r="31" ht="48" customHeight="1" s="76">
      <c r="A31" s="94" t="inlineStr">
        <is>
          <t>F28</t>
        </is>
      </c>
      <c r="B31" s="94" t="inlineStr">
        <is>
          <t>وپاسار</t>
        </is>
      </c>
      <c r="C31" s="94" t="inlineStr">
        <is>
          <t>بدون داده کافی</t>
        </is>
      </c>
      <c r="D31" s="94" t="inlineStr">
        <is>
          <t>پنجره مشترک</t>
        </is>
      </c>
      <c r="E31" s="94" t="inlineStr">
        <is>
          <t>منبع در دسترس نبود</t>
        </is>
      </c>
      <c r="F31" s="94" t="inlineStr">
        <is>
          <t>منبع در دسترس نبود</t>
        </is>
      </c>
      <c r="G31" s="94" t="inlineStr"/>
      <c r="H31" s="94" t="inlineStr"/>
      <c r="I31" s="94" t="inlineStr"/>
      <c r="J31" s="94" t="inlineStr"/>
      <c r="K31" s="94" t="inlineStr"/>
      <c r="L31" s="94" t="inlineStr"/>
      <c r="M31" s="94" t="inlineStr"/>
      <c r="N31" s="94" t="inlineStr"/>
      <c r="O31" s="94" t="inlineStr"/>
      <c r="P31" s="94" t="inlineStr"/>
      <c r="Q31" s="94" t="inlineStr"/>
      <c r="R31" s="94" t="inlineStr"/>
      <c r="S31" s="94" t="str">
        <f>IF(AND(ISNUMBER(Q31),ISNUMBER(R31),R31&gt;0),Q31/R31,"")</f>
        <v/>
      </c>
      <c r="T31" s="94" t="inlineStr">
        <is>
          <t>داده کافی پیدا نشد</t>
        </is>
      </c>
      <c r="U31" s="94" t="inlineStr"/>
      <c r="V31" s="94" t="inlineStr"/>
      <c r="W31" s="94" t="inlineStr"/>
      <c r="X31" s="94" t="inlineStr"/>
      <c r="Y31" s="94" t="inlineStr"/>
      <c r="Z31" s="94" t="inlineStr"/>
      <c r="AA31" s="94" t="inlineStr"/>
      <c r="AB31" s="94" t="n">
        <v>0</v>
      </c>
      <c r="AC31" s="94" t="n">
        <v>1</v>
      </c>
      <c r="AD31" s="94" t="inlineStr"/>
      <c r="AE31" s="94" t="inlineStr">
        <is>
          <t>مقدار مستر ندارد</t>
        </is>
      </c>
      <c r="AF31" s="94" t="inlineStr"/>
    </row>
    <row r="32" ht="48" customHeight="1" s="76">
      <c r="A32" s="93" t="inlineStr">
        <is>
          <t>F29</t>
        </is>
      </c>
      <c r="B32" s="93" t="inlineStr">
        <is>
          <t>حکشتی</t>
        </is>
      </c>
      <c r="C32" s="93" t="inlineStr">
        <is>
          <t>فقط سطح شخص حقوقی؛ نماینده ها نامشخص</t>
        </is>
      </c>
      <c r="D32" s="93" t="inlineStr">
        <is>
          <t>پنجره مشترک</t>
        </is>
      </c>
      <c r="E32" s="93" t="inlineStr">
        <is>
          <t>کامل برای دارنده ها؛ نماینده ها نامشخص</t>
        </is>
      </c>
      <c r="F32" s="93" t="inlineStr">
        <is>
          <t>کامل برای دارنده ها؛ نماینده ها نامشخص</t>
        </is>
      </c>
      <c r="G32" s="93" t="inlineStr"/>
      <c r="H32" s="93" t="inlineStr"/>
      <c r="I32" s="93" t="inlineStr"/>
      <c r="J32" s="93" t="inlineStr"/>
      <c r="K32" s="93" t="inlineStr"/>
      <c r="L32" s="93" t="inlineStr"/>
      <c r="M32" s="93" t="inlineStr"/>
      <c r="N32" s="93" t="inlineStr"/>
      <c r="O32" s="93" t="inlineStr"/>
      <c r="P32" s="93" t="inlineStr"/>
      <c r="Q32" s="93" t="inlineStr"/>
      <c r="R32" s="93" t="inlineStr"/>
      <c r="S32" s="93" t="inlineStr"/>
      <c r="T32" s="93" t="inlineStr">
        <is>
          <t>داده کافی پیدا نشد</t>
        </is>
      </c>
      <c r="U32" s="93" t="n">
        <v>5</v>
      </c>
      <c r="V32" s="93" t="n">
        <v>2</v>
      </c>
      <c r="W32" s="93" t="n">
        <v>0</v>
      </c>
      <c r="X32" s="93" t="n">
        <v>2</v>
      </c>
      <c r="Y32" s="93" t="n">
        <v>0</v>
      </c>
      <c r="Z32" s="93" t="inlineStr"/>
      <c r="AA32" s="93" t="n">
        <v>0</v>
      </c>
      <c r="AB32" s="93" t="n">
        <v>0</v>
      </c>
      <c r="AC32" s="93" t="n">
        <v>5</v>
      </c>
      <c r="AD32" s="93" t="inlineStr"/>
      <c r="AE32" s="93" t="inlineStr">
        <is>
          <t>مقدار مستر ندارد</t>
        </is>
      </c>
      <c r="AF32" s="93" t="inlineStr"/>
    </row>
    <row r="33" ht="48" customHeight="1" s="76">
      <c r="A33" s="92" t="inlineStr">
        <is>
          <t>F30</t>
        </is>
      </c>
      <c r="B33" s="92" t="inlineStr">
        <is>
          <t>شپدیس</t>
        </is>
      </c>
      <c r="C33" s="92" t="inlineStr">
        <is>
          <t>دو فهرست اسمی کامل</t>
        </is>
      </c>
      <c r="D33" s="92" t="inlineStr">
        <is>
          <t>پنجره مشترک</t>
        </is>
      </c>
      <c r="E33" s="92" t="inlineStr">
        <is>
          <t>کامل</t>
        </is>
      </c>
      <c r="F33" s="92" t="inlineStr">
        <is>
          <t>کامل</t>
        </is>
      </c>
      <c r="G33" s="92" t="n">
        <v>4</v>
      </c>
      <c r="H33" s="92" t="n">
        <v>5</v>
      </c>
      <c r="I33" s="92" t="n">
        <v>3</v>
      </c>
      <c r="J33" s="92" t="n">
        <v>1</v>
      </c>
      <c r="K33" s="92" t="n">
        <v>2</v>
      </c>
      <c r="L33" s="92">
        <f>IF(AND(ISNUMBER(J33),ISNUMBER(G33),G33&gt;0),J33/G33,"")</f>
        <v>0.25</v>
      </c>
      <c r="M33" s="92">
        <f>IF(AND(ISNUMBER(K33),ISNUMBER(H33),H33&gt;0),K33/H33,"")</f>
        <v>0.4</v>
      </c>
      <c r="N33" s="92">
        <f>IF(AND(ISNUMBER(I33),ISNUMBER(G33),G33&gt;0),I33/G33,"")</f>
        <v>0.75</v>
      </c>
      <c r="O33" s="92" t="str">
        <f>IF(AND(ISNUMBER(G33),ISNUMBER(J33),ISNUMBER(K33),ISNUMBER(H33)),IF(G33-J33+K33=H33,"OK","FAIL"),"")</f>
        <v>OK</v>
      </c>
      <c r="P33" s="92" t="str">
        <f>IF(AND(ISNUMBER(L33),ISNUMBER(N33)),IF(ABS(L33+N33-1)&lt;0.000001,"OK","FAIL"),"")</f>
        <v>OK</v>
      </c>
      <c r="Q33" s="92" t="n">
        <v>1</v>
      </c>
      <c r="R33" s="92" t="n">
        <v>4</v>
      </c>
      <c r="S33" s="92">
        <f>IF(AND(ISNUMBER(Q33),ISNUMBER(R33),R33&gt;0),Q33/R33,"")</f>
        <v>0.25</v>
      </c>
      <c r="T33" s="92" t="inlineStr">
        <is>
          <t>برابر</t>
        </is>
      </c>
      <c r="U33" s="92" t="n">
        <v>5</v>
      </c>
      <c r="V33" s="92" t="n">
        <v>5</v>
      </c>
      <c r="W33" s="92" t="n">
        <v>4</v>
      </c>
      <c r="X33" s="92" t="n">
        <v>0</v>
      </c>
      <c r="Y33" s="92" t="n">
        <v>1</v>
      </c>
      <c r="Z33" s="92" t="n">
        <v>1</v>
      </c>
      <c r="AA33" s="92" t="n">
        <v>4</v>
      </c>
      <c r="AB33" s="92" t="n">
        <v>1</v>
      </c>
      <c r="AC33" s="92" t="n">
        <v>1</v>
      </c>
      <c r="AD33" s="92" t="n">
        <v>2</v>
      </c>
      <c r="AE33" s="92" t="inlineStr">
        <is>
          <t>هم راستا (کف تا افق FYE)</t>
        </is>
      </c>
      <c r="AF33" s="92" t="inlineStr"/>
    </row>
  </sheetData>
  <autoFilter ref="A3:AF33"/>
  <mergeCells count="2">
    <mergeCell ref="A1:AF1"/>
    <mergeCell ref="A2:AF2"/>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S44"/>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9" customWidth="1" style="76" min="1" max="1"/>
    <col width="9" customWidth="1" style="76" min="2" max="2"/>
    <col width="16" customWidth="1" style="76" min="3" max="3"/>
    <col width="26" customWidth="1" style="76" min="4" max="4"/>
    <col width="24" customWidth="1" style="76" min="5" max="5"/>
    <col width="26" customWidth="1" style="76" min="6" max="6"/>
    <col width="26" customWidth="1" style="76" min="7" max="7"/>
    <col width="18" customWidth="1" style="76" min="8" max="8"/>
    <col width="18" customWidth="1" style="76" min="9" max="9"/>
    <col width="22" customWidth="1" style="76" min="10" max="10"/>
    <col width="22" customWidth="1" style="76" min="11" max="11"/>
    <col width="20" customWidth="1" style="76" min="12" max="12"/>
    <col width="28" customWidth="1" style="76" min="13" max="13"/>
    <col width="14" customWidth="1" style="76" min="14" max="14"/>
    <col width="16" customWidth="1" style="76" min="15" max="15"/>
    <col width="10" customWidth="1" style="76" min="16" max="16"/>
    <col width="10" customWidth="1" style="76" min="17" max="17"/>
    <col width="20" customWidth="1" style="76" min="18" max="18"/>
    <col width="44" customWidth="1" style="76" min="19" max="19"/>
  </cols>
  <sheetData>
    <row r="1" ht="26" customHeight="1" s="76">
      <c r="A1" s="89" t="inlineStr">
        <is>
          <t>تغییرات کرسی، شخص حقوقی و نماینده</t>
        </is>
      </c>
    </row>
    <row r="2" ht="44" customHeight="1" s="76">
      <c r="A2" s="90" t="inlineStr">
        <is>
          <t>کرسی فقط با نام دارنده حقوقی یا جایگزینی مستند دارنده جفت شده است؛ شماره ردیف جدول یا ترتیب نام ها مبنا نیست. کرسی حقیقی مستقیم هرگز جفت نشد. تغییر نام دارنده با شناسه ثابت تغییر دارنده نیست؛ شناسه ملی اشخاص حقوقی در فایل نیست و مبنای تطبیق فقط نام است. عبارت فاقد نماینده به خالی بودن، خروج یا صفر تغییر تبدیل نشد.</t>
        </is>
      </c>
    </row>
    <row r="3" ht="42" customHeight="1" s="76">
      <c r="A3" s="91" t="inlineStr">
        <is>
          <t>شناسه ردیف</t>
        </is>
      </c>
      <c r="B3" s="91" t="inlineStr">
        <is>
          <t>نماد</t>
        </is>
      </c>
      <c r="C3" s="91" t="inlineStr">
        <is>
          <t>پنجره زمانی</t>
        </is>
      </c>
      <c r="D3" s="91" t="inlineStr">
        <is>
          <t>کلید کرسی</t>
        </is>
      </c>
      <c r="E3" s="91" t="inlineStr">
        <is>
          <t>مبنای تطبیق کرسی</t>
        </is>
      </c>
      <c r="F3" s="91" t="inlineStr">
        <is>
          <t>دارنده حقوقی در مبنا</t>
        </is>
      </c>
      <c r="G3" s="91" t="inlineStr">
        <is>
          <t>دارنده حقوقی در پایان</t>
        </is>
      </c>
      <c r="H3" s="91" t="inlineStr">
        <is>
          <t>نماینده در مبنا</t>
        </is>
      </c>
      <c r="I3" s="91" t="inlineStr">
        <is>
          <t>نماینده در پایان</t>
        </is>
      </c>
      <c r="J3" s="91" t="inlineStr">
        <is>
          <t>سمت در مبنا</t>
        </is>
      </c>
      <c r="K3" s="91" t="inlineStr">
        <is>
          <t>سمت در پایان</t>
        </is>
      </c>
      <c r="L3" s="91" t="inlineStr">
        <is>
          <t>کد نوع تغییر</t>
        </is>
      </c>
      <c r="M3" s="91" t="inlineStr">
        <is>
          <t>نوع تغییر</t>
        </is>
      </c>
      <c r="N3" s="91" t="inlineStr">
        <is>
          <t>جابجایی فرد از یا به کرسی دیگر</t>
        </is>
      </c>
      <c r="O3" s="91" t="inlineStr">
        <is>
          <t>تاریخ موثر یا بازه تغییر</t>
        </is>
      </c>
      <c r="P3" s="91" t="inlineStr">
        <is>
          <t>منبع مبنا</t>
        </is>
      </c>
      <c r="Q3" s="91" t="inlineStr">
        <is>
          <t>منبع پایان</t>
        </is>
      </c>
      <c r="R3" s="91" t="inlineStr">
        <is>
          <t>وضعیت کفایت تطبیق</t>
        </is>
      </c>
      <c r="S3" s="91" t="inlineStr">
        <is>
          <t>یادداشت</t>
        </is>
      </c>
    </row>
    <row r="4" ht="40" customHeight="1" s="76">
      <c r="A4" s="92" t="inlineStr">
        <is>
          <t>SC0001</t>
        </is>
      </c>
      <c r="B4" s="92" t="inlineStr">
        <is>
          <t>تاپیکو</t>
        </is>
      </c>
      <c r="C4" s="92" t="inlineStr">
        <is>
          <t>پنجره مشترک</t>
        </is>
      </c>
      <c r="D4" s="92" t="inlineStr">
        <is>
          <t>سرمایه گذاری تامین اجتماعی (شستا)</t>
        </is>
      </c>
      <c r="E4" s="92" t="inlineStr">
        <is>
          <t>نام دارنده حقوقی</t>
        </is>
      </c>
      <c r="F4" s="92" t="inlineStr">
        <is>
          <t>سرمایه‌گذاری تأمین اجتماعی (شستا)</t>
        </is>
      </c>
      <c r="G4" s="92" t="inlineStr">
        <is>
          <t>سرمایه‌گذاری تأمین اجتماعی (شستا)</t>
        </is>
      </c>
      <c r="H4" s="92" t="inlineStr">
        <is>
          <t>عبدالکریم پهلوانی</t>
        </is>
      </c>
      <c r="I4" s="92" t="inlineStr">
        <is>
          <t>روح‌اله شهیدی‌پور</t>
        </is>
      </c>
      <c r="J4" s="92" t="inlineStr">
        <is>
          <t>نایب رئیس (موظف)</t>
        </is>
      </c>
      <c r="K4" s="92" t="inlineStr">
        <is>
          <t>نایب رئیس و مدیرعامل (موظف)</t>
        </is>
      </c>
      <c r="L4" s="92" t="inlineStr">
        <is>
          <t>REP_CHANGE</t>
        </is>
      </c>
      <c r="M4" s="92" t="inlineStr">
        <is>
          <t>تغییر نماینده با ثبات شخص حقوقی</t>
        </is>
      </c>
      <c r="N4" s="92" t="inlineStr"/>
      <c r="O4" s="92" t="inlineStr">
        <is>
          <t>1404/06/26</t>
        </is>
      </c>
      <c r="P4" s="92" t="inlineStr">
        <is>
          <t>1311653</t>
        </is>
      </c>
      <c r="Q4" s="92" t="inlineStr">
        <is>
          <t>1477918</t>
        </is>
      </c>
      <c r="R4" s="92" t="inlineStr">
        <is>
          <t>کافی</t>
        </is>
      </c>
      <c r="S4" s="92" t="inlineStr"/>
    </row>
    <row r="5" ht="40" customHeight="1" s="76">
      <c r="A5" s="92" t="inlineStr">
        <is>
          <t>SC0002</t>
        </is>
      </c>
      <c r="B5" s="92" t="inlineStr">
        <is>
          <t>تاپیکو</t>
        </is>
      </c>
      <c r="C5" s="92" t="inlineStr">
        <is>
          <t>پنجره مشترک</t>
        </is>
      </c>
      <c r="D5" s="92" t="inlineStr">
        <is>
          <t>سرمایه گذاری صبا تامین</t>
        </is>
      </c>
      <c r="E5" s="92" t="inlineStr">
        <is>
          <t>نام دارنده حقوقی</t>
        </is>
      </c>
      <c r="F5" s="92" t="inlineStr">
        <is>
          <t>سرمایه‌گذاری صبا تأمین</t>
        </is>
      </c>
      <c r="G5" s="92" t="inlineStr">
        <is>
          <t>سرمایه‌گذاری صبا تأمین</t>
        </is>
      </c>
      <c r="H5" s="92" t="inlineStr">
        <is>
          <t>اکبر محققی</t>
        </is>
      </c>
      <c r="I5" s="92" t="inlineStr">
        <is>
          <t>کمیل پورضیائی</t>
        </is>
      </c>
      <c r="J5" s="92" t="inlineStr">
        <is>
          <t>عضو (غیرموظف)</t>
        </is>
      </c>
      <c r="K5" s="92" t="inlineStr">
        <is>
          <t>عضو (غیرموظف)</t>
        </is>
      </c>
      <c r="L5" s="92" t="inlineStr">
        <is>
          <t>REP_CHANGE</t>
        </is>
      </c>
      <c r="M5" s="92" t="inlineStr">
        <is>
          <t>تغییر نماینده با ثبات شخص حقوقی</t>
        </is>
      </c>
      <c r="N5" s="92" t="inlineStr"/>
      <c r="O5" s="92" t="inlineStr">
        <is>
          <t>1404/05/01</t>
        </is>
      </c>
      <c r="P5" s="92" t="inlineStr">
        <is>
          <t>1311653</t>
        </is>
      </c>
      <c r="Q5" s="92" t="inlineStr">
        <is>
          <t>1477918</t>
        </is>
      </c>
      <c r="R5" s="92" t="inlineStr">
        <is>
          <t>کافی</t>
        </is>
      </c>
      <c r="S5" s="92" t="inlineStr"/>
    </row>
    <row r="6" ht="40" customHeight="1" s="76">
      <c r="A6" s="92" t="inlineStr">
        <is>
          <t>SC0003</t>
        </is>
      </c>
      <c r="B6" s="92" t="inlineStr">
        <is>
          <t>تاپیکو</t>
        </is>
      </c>
      <c r="C6" s="92" t="inlineStr">
        <is>
          <t>پنجره مشترک</t>
        </is>
      </c>
      <c r="D6" s="92" t="inlineStr">
        <is>
          <t>سرمایه گذاری صدر تامین</t>
        </is>
      </c>
      <c r="E6" s="92" t="inlineStr">
        <is>
          <t>نام دارنده حقوقی</t>
        </is>
      </c>
      <c r="F6" s="92" t="inlineStr">
        <is>
          <t>سرمایه‌گذاری صدر تأمین</t>
        </is>
      </c>
      <c r="G6" s="92" t="inlineStr">
        <is>
          <t>سرمایه‌گذاری صدر تأمین</t>
        </is>
      </c>
      <c r="H6" s="92" t="inlineStr">
        <is>
          <t>محمدمهدی رحمتی</t>
        </is>
      </c>
      <c r="I6" s="92" t="inlineStr">
        <is>
          <t>محمدمهدی رحمتی</t>
        </is>
      </c>
      <c r="J6" s="92" t="inlineStr">
        <is>
          <t>عضو (غیرموظف)</t>
        </is>
      </c>
      <c r="K6" s="92" t="inlineStr">
        <is>
          <t>رئیس هیئت مدیره (غیرموظف)</t>
        </is>
      </c>
      <c r="L6" s="92" t="inlineStr">
        <is>
          <t>ROLE_ONLY</t>
        </is>
      </c>
      <c r="M6" s="92" t="inlineStr">
        <is>
          <t>تغییر سمت بدون تغییر عضویت</t>
        </is>
      </c>
      <c r="N6" s="92" t="inlineStr"/>
      <c r="O6" s="92" t="inlineStr">
        <is>
          <t>1404/06/26</t>
        </is>
      </c>
      <c r="P6" s="92" t="inlineStr">
        <is>
          <t>1311653</t>
        </is>
      </c>
      <c r="Q6" s="92" t="inlineStr">
        <is>
          <t>1477918</t>
        </is>
      </c>
      <c r="R6" s="92" t="inlineStr">
        <is>
          <t>کافی</t>
        </is>
      </c>
      <c r="S6" s="92" t="inlineStr"/>
    </row>
    <row r="7" ht="40" customHeight="1" s="76">
      <c r="A7" s="92" t="inlineStr">
        <is>
          <t>SC0004</t>
        </is>
      </c>
      <c r="B7" s="92" t="inlineStr">
        <is>
          <t>تاپیکو</t>
        </is>
      </c>
      <c r="C7" s="92" t="inlineStr">
        <is>
          <t>پنجره مشترک</t>
        </is>
      </c>
      <c r="D7" s="92" t="inlineStr">
        <is>
          <t>سرمایه گذاری سیمان تامین</t>
        </is>
      </c>
      <c r="E7" s="92" t="inlineStr">
        <is>
          <t>نام دارنده حقوقی</t>
        </is>
      </c>
      <c r="F7" s="92" t="inlineStr">
        <is>
          <t>سرمایه‌گذاری سیمان تأمین</t>
        </is>
      </c>
      <c r="G7" s="92" t="inlineStr">
        <is>
          <t>سرمایه‌گذاری سیمان تأمین</t>
        </is>
      </c>
      <c r="H7" s="92" t="inlineStr">
        <is>
          <t>هوشنگ ایزدی</t>
        </is>
      </c>
      <c r="I7" s="92" t="inlineStr">
        <is>
          <t>هوشنگ ایزدی</t>
        </is>
      </c>
      <c r="J7" s="92" t="inlineStr">
        <is>
          <t>عضو (غیرموظف)</t>
        </is>
      </c>
      <c r="K7" s="92" t="inlineStr">
        <is>
          <t>عضو (غیرموظف)</t>
        </is>
      </c>
      <c r="L7" s="92" t="inlineStr">
        <is>
          <t>STABLE</t>
        </is>
      </c>
      <c r="M7" s="92" t="inlineStr">
        <is>
          <t>ثبات شخص حقوقی و نماینده</t>
        </is>
      </c>
      <c r="N7" s="92" t="inlineStr"/>
      <c r="O7" s="92" t="inlineStr"/>
      <c r="P7" s="92" t="inlineStr">
        <is>
          <t>1311653</t>
        </is>
      </c>
      <c r="Q7" s="92" t="inlineStr">
        <is>
          <t>1477918</t>
        </is>
      </c>
      <c r="R7" s="92" t="inlineStr">
        <is>
          <t>کافی</t>
        </is>
      </c>
      <c r="S7" s="92" t="inlineStr"/>
    </row>
    <row r="8" ht="40" customHeight="1" s="76">
      <c r="A8" s="92" t="inlineStr">
        <is>
          <t>SC0005</t>
        </is>
      </c>
      <c r="B8" s="92" t="inlineStr">
        <is>
          <t>تاپیکو</t>
        </is>
      </c>
      <c r="C8" s="92" t="inlineStr">
        <is>
          <t>پنجره مشترک</t>
        </is>
      </c>
      <c r="D8" s="92" t="inlineStr">
        <is>
          <t>سرمایه گذاری داروئی تامین</t>
        </is>
      </c>
      <c r="E8" s="92" t="inlineStr">
        <is>
          <t>نام دارنده حقوقی</t>
        </is>
      </c>
      <c r="F8" s="92" t="inlineStr">
        <is>
          <t>سرمایه‌گذاری داروئی تأمین</t>
        </is>
      </c>
      <c r="G8" s="92" t="inlineStr">
        <is>
          <t>سرمایه‌گذاری داروئی تأمین</t>
        </is>
      </c>
      <c r="H8" s="92" t="inlineStr">
        <is>
          <t>جعفر ربیعی</t>
        </is>
      </c>
      <c r="I8" s="92" t="inlineStr">
        <is>
          <t>محمدحسین صابر</t>
        </is>
      </c>
      <c r="J8" s="92" t="inlineStr">
        <is>
          <t>رئیس هیئت مدیره (غیرموظف)</t>
        </is>
      </c>
      <c r="K8" s="92" t="inlineStr">
        <is>
          <t>عضو (غیرموظف)</t>
        </is>
      </c>
      <c r="L8" s="92" t="inlineStr">
        <is>
          <t>REP_CHANGE</t>
        </is>
      </c>
      <c r="M8" s="92" t="inlineStr">
        <is>
          <t>تغییر نماینده با ثبات شخص حقوقی</t>
        </is>
      </c>
      <c r="N8" s="92" t="inlineStr"/>
      <c r="O8" s="92" t="inlineStr">
        <is>
          <t>1404/06/26</t>
        </is>
      </c>
      <c r="P8" s="92" t="inlineStr">
        <is>
          <t>1311653</t>
        </is>
      </c>
      <c r="Q8" s="92" t="inlineStr">
        <is>
          <t>1477918</t>
        </is>
      </c>
      <c r="R8" s="92" t="inlineStr">
        <is>
          <t>کافی</t>
        </is>
      </c>
      <c r="S8" s="92" t="inlineStr"/>
    </row>
    <row r="9" ht="40" customHeight="1" s="76">
      <c r="A9" s="92" t="inlineStr">
        <is>
          <t>SC0006</t>
        </is>
      </c>
      <c r="B9" s="92" t="inlineStr">
        <is>
          <t>کچاد</t>
        </is>
      </c>
      <c r="C9" s="92" t="inlineStr">
        <is>
          <t>پنجره مشترک</t>
        </is>
      </c>
      <c r="D9" s="92" t="inlineStr">
        <is>
          <t>گروه مدیریت سرمایه گذاری امید</t>
        </is>
      </c>
      <c r="E9" s="92" t="inlineStr">
        <is>
          <t>نام دارنده حقوقی</t>
        </is>
      </c>
      <c r="F9" s="92" t="inlineStr">
        <is>
          <t>گروه مدیریت سرمایه‌گذاری امید</t>
        </is>
      </c>
      <c r="G9" s="92" t="inlineStr">
        <is>
          <t>گروه مدیریت سرمایه‌گذاری امید</t>
        </is>
      </c>
      <c r="H9" s="92" t="inlineStr">
        <is>
          <t>محمود صلاحی</t>
        </is>
      </c>
      <c r="I9" s="92" t="inlineStr">
        <is>
          <t>محمدرضا تابش</t>
        </is>
      </c>
      <c r="J9" s="92" t="inlineStr">
        <is>
          <t>رئیس هیئت مدیره (غیرموظف)</t>
        </is>
      </c>
      <c r="K9" s="92" t="inlineStr">
        <is>
          <t>رئیس هیئت مدیره (غیرموظف)</t>
        </is>
      </c>
      <c r="L9" s="92" t="inlineStr">
        <is>
          <t>REP_CHANGE</t>
        </is>
      </c>
      <c r="M9" s="92" t="inlineStr">
        <is>
          <t>تغییر نماینده با ثبات شخص حقوقی</t>
        </is>
      </c>
      <c r="N9" s="92" t="inlineStr"/>
      <c r="O9" s="92" t="inlineStr">
        <is>
          <t>1404/02/24</t>
        </is>
      </c>
      <c r="P9" s="92" t="inlineStr">
        <is>
          <t>1287746</t>
        </is>
      </c>
      <c r="Q9" s="92" t="inlineStr">
        <is>
          <t>1473973</t>
        </is>
      </c>
      <c r="R9" s="92" t="inlineStr">
        <is>
          <t>کافی</t>
        </is>
      </c>
      <c r="S9" s="92" t="inlineStr"/>
    </row>
    <row r="10" ht="40" customHeight="1" s="76">
      <c r="A10" s="92" t="inlineStr">
        <is>
          <t>SC0007</t>
        </is>
      </c>
      <c r="B10" s="92" t="inlineStr">
        <is>
          <t>کچاد</t>
        </is>
      </c>
      <c r="C10" s="92" t="inlineStr">
        <is>
          <t>پنجره مشترک</t>
        </is>
      </c>
      <c r="D10" s="92" t="inlineStr">
        <is>
          <t>سرمایه گذاری توسعه معادن و فلزات</t>
        </is>
      </c>
      <c r="E10" s="92" t="inlineStr">
        <is>
          <t>نام دارنده حقوقی</t>
        </is>
      </c>
      <c r="F10" s="92" t="inlineStr">
        <is>
          <t>سرمایه‌گذاری توسعه معادن و فلزات</t>
        </is>
      </c>
      <c r="G10" s="92" t="inlineStr">
        <is>
          <t>سرمایه‌گذاری توسعه معادن و فلزات</t>
        </is>
      </c>
      <c r="H10" s="92" t="inlineStr">
        <is>
          <t>فرید دهقانی</t>
        </is>
      </c>
      <c r="I10" s="92" t="inlineStr">
        <is>
          <t>فرید دهقانی</t>
        </is>
      </c>
      <c r="J10" s="92" t="inlineStr">
        <is>
          <t>عضو و مدیرعامل (موظف)</t>
        </is>
      </c>
      <c r="K10" s="92" t="inlineStr">
        <is>
          <t>عضو و مدیرعامل (موظف)</t>
        </is>
      </c>
      <c r="L10" s="92" t="inlineStr">
        <is>
          <t>STABLE</t>
        </is>
      </c>
      <c r="M10" s="92" t="inlineStr">
        <is>
          <t>ثبات شخص حقوقی و نماینده</t>
        </is>
      </c>
      <c r="N10" s="92" t="inlineStr"/>
      <c r="O10" s="92" t="inlineStr"/>
      <c r="P10" s="92" t="inlineStr">
        <is>
          <t>1287746</t>
        </is>
      </c>
      <c r="Q10" s="92" t="inlineStr">
        <is>
          <t>1473973</t>
        </is>
      </c>
      <c r="R10" s="92" t="inlineStr">
        <is>
          <t>کافی</t>
        </is>
      </c>
      <c r="S10" s="92" t="inlineStr"/>
    </row>
    <row r="11" ht="40" customHeight="1" s="76">
      <c r="A11" s="92" t="inlineStr">
        <is>
          <t>SC0008</t>
        </is>
      </c>
      <c r="B11" s="92" t="inlineStr">
        <is>
          <t>کچاد</t>
        </is>
      </c>
      <c r="C11" s="92" t="inlineStr">
        <is>
          <t>پنجره مشترک</t>
        </is>
      </c>
      <c r="D11" s="92" t="inlineStr">
        <is>
          <t>سرمایه گذاری سپه</t>
        </is>
      </c>
      <c r="E11" s="92" t="inlineStr">
        <is>
          <t>نام دارنده حقوقی</t>
        </is>
      </c>
      <c r="F11" s="92" t="inlineStr">
        <is>
          <t>سرمایه‌گذاری سپه</t>
        </is>
      </c>
      <c r="G11" s="92" t="inlineStr">
        <is>
          <t>سرمایه‌گذاری سپه</t>
        </is>
      </c>
      <c r="H11" s="92" t="inlineStr">
        <is>
          <t>سعید مستشار</t>
        </is>
      </c>
      <c r="I11" s="92" t="inlineStr">
        <is>
          <t>حامد دهقانان</t>
        </is>
      </c>
      <c r="J11" s="92" t="inlineStr">
        <is>
          <t>نایب رئیس (موظف)</t>
        </is>
      </c>
      <c r="K11" s="92" t="inlineStr">
        <is>
          <t>عضو (موظف)</t>
        </is>
      </c>
      <c r="L11" s="92" t="inlineStr">
        <is>
          <t>REP_CHANGE</t>
        </is>
      </c>
      <c r="M11" s="92" t="inlineStr">
        <is>
          <t>تغییر نماینده با ثبات شخص حقوقی</t>
        </is>
      </c>
      <c r="N11" s="92" t="inlineStr"/>
      <c r="O11" s="92" t="inlineStr">
        <is>
          <t>1404/02/24</t>
        </is>
      </c>
      <c r="P11" s="92" t="inlineStr">
        <is>
          <t>1287746</t>
        </is>
      </c>
      <c r="Q11" s="92" t="inlineStr">
        <is>
          <t>1473973</t>
        </is>
      </c>
      <c r="R11" s="92" t="inlineStr">
        <is>
          <t>کافی</t>
        </is>
      </c>
      <c r="S11" s="92" t="inlineStr"/>
    </row>
    <row r="12" ht="40" customHeight="1" s="76">
      <c r="A12" s="92" t="inlineStr">
        <is>
          <t>SC0009</t>
        </is>
      </c>
      <c r="B12" s="92" t="inlineStr">
        <is>
          <t>کچاد</t>
        </is>
      </c>
      <c r="C12" s="92" t="inlineStr">
        <is>
          <t>پنجره مشترک</t>
        </is>
      </c>
      <c r="D12" s="92" t="inlineStr">
        <is>
          <t>فولاد مبارکه اصفهان</t>
        </is>
      </c>
      <c r="E12" s="92" t="inlineStr">
        <is>
          <t>نام دارنده حقوقی</t>
        </is>
      </c>
      <c r="F12" s="92" t="inlineStr">
        <is>
          <t>فولاد مبارکه اصفهان</t>
        </is>
      </c>
      <c r="G12" s="92" t="inlineStr">
        <is>
          <t>فولاد مبارکه اصفهان</t>
        </is>
      </c>
      <c r="H12" s="92" t="inlineStr">
        <is>
          <t>مهدی آقاپوربی‌شک</t>
        </is>
      </c>
      <c r="I12" s="92" t="inlineStr">
        <is>
          <t>مهدی آقاپوربی‌شک</t>
        </is>
      </c>
      <c r="J12" s="92" t="inlineStr">
        <is>
          <t>عضو (غیرموظف)</t>
        </is>
      </c>
      <c r="K12" s="92" t="inlineStr">
        <is>
          <t>عضو (غیرموظف)</t>
        </is>
      </c>
      <c r="L12" s="92" t="inlineStr">
        <is>
          <t>STABLE</t>
        </is>
      </c>
      <c r="M12" s="92" t="inlineStr">
        <is>
          <t>ثبات شخص حقوقی و نماینده</t>
        </is>
      </c>
      <c r="N12" s="92" t="inlineStr"/>
      <c r="O12" s="92" t="inlineStr"/>
      <c r="P12" s="92" t="inlineStr">
        <is>
          <t>1287746</t>
        </is>
      </c>
      <c r="Q12" s="92" t="inlineStr">
        <is>
          <t>1473973</t>
        </is>
      </c>
      <c r="R12" s="92" t="inlineStr">
        <is>
          <t>کافی</t>
        </is>
      </c>
      <c r="S12" s="92" t="inlineStr"/>
    </row>
    <row r="13" ht="40" customHeight="1" s="76">
      <c r="A13" s="92" t="inlineStr">
        <is>
          <t>SC0010</t>
        </is>
      </c>
      <c r="B13" s="92" t="inlineStr">
        <is>
          <t>کچاد</t>
        </is>
      </c>
      <c r="C13" s="92" t="inlineStr">
        <is>
          <t>پنجره مشترک</t>
        </is>
      </c>
      <c r="D13" s="92" t="inlineStr">
        <is>
          <t>سرمایه گذاری استان خوزستان</t>
        </is>
      </c>
      <c r="E13" s="92" t="inlineStr">
        <is>
          <t>نام دارنده حقوقی</t>
        </is>
      </c>
      <c r="F13" s="92" t="inlineStr">
        <is>
          <t>سرمایه‌گذاری استان خوزستان</t>
        </is>
      </c>
      <c r="G13" s="92" t="inlineStr">
        <is>
          <t>سرمایه‌گذاری استان خوزستان</t>
        </is>
      </c>
      <c r="H13" s="92" t="inlineStr">
        <is>
          <t>— (کرسی بدون نماینده)</t>
        </is>
      </c>
      <c r="I13" s="92" t="inlineStr">
        <is>
          <t>مجتبی شعبانی</t>
        </is>
      </c>
      <c r="J13" s="92" t="inlineStr">
        <is>
          <t>عضو</t>
        </is>
      </c>
      <c r="K13" s="92" t="inlineStr">
        <is>
          <t>نایب رئیس (غیرموظف)</t>
        </is>
      </c>
      <c r="L13" s="92" t="inlineStr">
        <is>
          <t>FILLED_VACANT</t>
        </is>
      </c>
      <c r="M13" s="92" t="inlineStr">
        <is>
          <t>پر شدن کرسی خالی مستند</t>
        </is>
      </c>
      <c r="N13" s="92" t="inlineStr"/>
      <c r="O13" s="92" t="inlineStr">
        <is>
          <t>جانشین موقت 1404/05/06؛ شعبانی 1404/10/29</t>
        </is>
      </c>
      <c r="P13" s="92" t="inlineStr">
        <is>
          <t>1287746</t>
        </is>
      </c>
      <c r="Q13" s="92" t="inlineStr">
        <is>
          <t>1473973</t>
        </is>
      </c>
      <c r="R13" s="92" t="inlineStr">
        <is>
          <t>کافی</t>
        </is>
      </c>
      <c r="S13" s="92" t="inlineStr">
        <is>
          <t>کرسی در مبنا خالی مستند بود؛ ورود جدید نسبت به مبنا</t>
        </is>
      </c>
    </row>
    <row r="14" ht="40" customHeight="1" s="76">
      <c r="A14" s="92" t="inlineStr">
        <is>
          <t>SC0011</t>
        </is>
      </c>
      <c r="B14" s="92" t="inlineStr">
        <is>
          <t>پارسان</t>
        </is>
      </c>
      <c r="C14" s="92" t="inlineStr">
        <is>
          <t>پنجره مشترک</t>
        </is>
      </c>
      <c r="D14" s="92" t="inlineStr">
        <is>
          <t>سرمایه گذاری غدیر</t>
        </is>
      </c>
      <c r="E14" s="92" t="inlineStr">
        <is>
          <t>نام دارنده حقوقی</t>
        </is>
      </c>
      <c r="F14" s="92" t="inlineStr">
        <is>
          <t>سرمایه‌گذاری غدیر</t>
        </is>
      </c>
      <c r="G14" s="92" t="inlineStr">
        <is>
          <t>سرمایه‌گذاری غدیر</t>
        </is>
      </c>
      <c r="H14" s="92" t="inlineStr">
        <is>
          <t>سیدجعفر هاشمی</t>
        </is>
      </c>
      <c r="I14" s="92" t="inlineStr">
        <is>
          <t>سیدجعفر هاشمی</t>
        </is>
      </c>
      <c r="J14" s="92" t="inlineStr">
        <is>
          <t>عضو و مدیرعامل (موظف)</t>
        </is>
      </c>
      <c r="K14" s="92" t="inlineStr">
        <is>
          <t>عضو و مدیرعامل (موظف)</t>
        </is>
      </c>
      <c r="L14" s="92" t="inlineStr">
        <is>
          <t>STABLE</t>
        </is>
      </c>
      <c r="M14" s="92" t="inlineStr">
        <is>
          <t>ثبات شخص حقوقی و نماینده</t>
        </is>
      </c>
      <c r="N14" s="92" t="inlineStr"/>
      <c r="O14" s="92" t="inlineStr"/>
      <c r="P14" s="92" t="inlineStr">
        <is>
          <t>1288275</t>
        </is>
      </c>
      <c r="Q14" s="92" t="inlineStr">
        <is>
          <t>1443940</t>
        </is>
      </c>
      <c r="R14" s="92" t="inlineStr">
        <is>
          <t>کافی با حساسیت مجمع 1404/10/23</t>
        </is>
      </c>
      <c r="S14" s="92" t="inlineStr"/>
    </row>
    <row r="15" ht="40" customHeight="1" s="76">
      <c r="A15" s="92" t="inlineStr">
        <is>
          <t>SC0012</t>
        </is>
      </c>
      <c r="B15" s="92" t="inlineStr">
        <is>
          <t>پارسان</t>
        </is>
      </c>
      <c r="C15" s="92" t="inlineStr">
        <is>
          <t>پنجره مشترک</t>
        </is>
      </c>
      <c r="D15" s="92" t="inlineStr">
        <is>
          <t>سرمایه گذاری اعتضاد غدیر</t>
        </is>
      </c>
      <c r="E15" s="92" t="inlineStr">
        <is>
          <t>نام دارنده حقوقی</t>
        </is>
      </c>
      <c r="F15" s="92" t="inlineStr">
        <is>
          <t>سرمایه‌گذاری اعتضاد غدیر</t>
        </is>
      </c>
      <c r="G15" s="92" t="inlineStr">
        <is>
          <t>سرمایه‌گذاری اعتضاد غدیر</t>
        </is>
      </c>
      <c r="H15" s="92" t="inlineStr">
        <is>
          <t>رحیم اسماعیلی دانا</t>
        </is>
      </c>
      <c r="I15" s="92" t="inlineStr">
        <is>
          <t>رحیم اسماعیلی دانا</t>
        </is>
      </c>
      <c r="J15" s="92" t="inlineStr">
        <is>
          <t>نایب رئیس (غیرموظف)</t>
        </is>
      </c>
      <c r="K15" s="92" t="inlineStr">
        <is>
          <t>نایب رئیس (غیرموظف)</t>
        </is>
      </c>
      <c r="L15" s="92" t="inlineStr">
        <is>
          <t>STABLE</t>
        </is>
      </c>
      <c r="M15" s="92" t="inlineStr">
        <is>
          <t>ثبات شخص حقوقی و نماینده</t>
        </is>
      </c>
      <c r="N15" s="92" t="inlineStr"/>
      <c r="O15" s="92" t="inlineStr"/>
      <c r="P15" s="92" t="inlineStr">
        <is>
          <t>1288275</t>
        </is>
      </c>
      <c r="Q15" s="92" t="inlineStr">
        <is>
          <t>1443940</t>
        </is>
      </c>
      <c r="R15" s="92" t="inlineStr">
        <is>
          <t>کافی با حساسیت مجمع 1404/10/23</t>
        </is>
      </c>
      <c r="S15" s="92" t="inlineStr"/>
    </row>
    <row r="16" ht="40" customHeight="1" s="76">
      <c r="A16" s="92" t="inlineStr">
        <is>
          <t>SC0013</t>
        </is>
      </c>
      <c r="B16" s="92" t="inlineStr">
        <is>
          <t>پارسان</t>
        </is>
      </c>
      <c r="C16" s="92" t="inlineStr">
        <is>
          <t>پنجره مشترک</t>
        </is>
      </c>
      <c r="D16" s="92" t="inlineStr">
        <is>
          <t>دریابان جنوب ایران کیش</t>
        </is>
      </c>
      <c r="E16" s="92" t="inlineStr">
        <is>
          <t>نام دارنده حقوقی</t>
        </is>
      </c>
      <c r="F16" s="92" t="inlineStr">
        <is>
          <t>دریابان جنوب ایران کیش</t>
        </is>
      </c>
      <c r="G16" s="92" t="inlineStr">
        <is>
          <t>دریابان جنوب ایران کیش</t>
        </is>
      </c>
      <c r="H16" s="92" t="inlineStr">
        <is>
          <t>محمدرضا حیدرزاده</t>
        </is>
      </c>
      <c r="I16" s="92" t="inlineStr">
        <is>
          <t>علی مهری‌پرگو</t>
        </is>
      </c>
      <c r="J16" s="92" t="inlineStr">
        <is>
          <t>عضو (غیرموظف)</t>
        </is>
      </c>
      <c r="K16" s="92" t="inlineStr">
        <is>
          <t>عضو (غیرموظف)</t>
        </is>
      </c>
      <c r="L16" s="92" t="inlineStr">
        <is>
          <t>REP_CHANGE</t>
        </is>
      </c>
      <c r="M16" s="92" t="inlineStr">
        <is>
          <t>تغییر نماینده با ثبات شخص حقوقی</t>
        </is>
      </c>
      <c r="N16" s="92" t="inlineStr"/>
      <c r="O16" s="92" t="inlineStr">
        <is>
          <t>1404/02/24</t>
        </is>
      </c>
      <c r="P16" s="92" t="inlineStr">
        <is>
          <t>1288275</t>
        </is>
      </c>
      <c r="Q16" s="92" t="inlineStr">
        <is>
          <t>1443940</t>
        </is>
      </c>
      <c r="R16" s="92" t="inlineStr">
        <is>
          <t>کافی با حساسیت مجمع 1404/10/23</t>
        </is>
      </c>
      <c r="S16" s="92" t="inlineStr"/>
    </row>
    <row r="17" ht="40" customHeight="1" s="76">
      <c r="A17" s="92" t="inlineStr">
        <is>
          <t>SC0014</t>
        </is>
      </c>
      <c r="B17" s="92" t="inlineStr">
        <is>
          <t>پارسان</t>
        </is>
      </c>
      <c r="C17" s="92" t="inlineStr">
        <is>
          <t>پنجره مشترک</t>
        </is>
      </c>
      <c r="D17" s="92" t="inlineStr">
        <is>
          <t>صنعتی و بازرگانی غدیر</t>
        </is>
      </c>
      <c r="E17" s="92" t="inlineStr">
        <is>
          <t>نام دارنده حقوقی</t>
        </is>
      </c>
      <c r="F17" s="92" t="inlineStr">
        <is>
          <t>صنعتی و بازرگانی غدیر</t>
        </is>
      </c>
      <c r="G17" s="92" t="inlineStr">
        <is>
          <t>صنعتی و بازرگانی غدیر</t>
        </is>
      </c>
      <c r="H17" s="92" t="inlineStr">
        <is>
          <t>متین دیداری</t>
        </is>
      </c>
      <c r="I17" s="92" t="inlineStr">
        <is>
          <t>علیرضا غلامی</t>
        </is>
      </c>
      <c r="J17" s="92" t="inlineStr">
        <is>
          <t>عضو (غیرموظف)</t>
        </is>
      </c>
      <c r="K17" s="92" t="inlineStr">
        <is>
          <t>عضو (غیرموظف)</t>
        </is>
      </c>
      <c r="L17" s="92" t="inlineStr">
        <is>
          <t>REP_CHANGE</t>
        </is>
      </c>
      <c r="M17" s="92" t="inlineStr">
        <is>
          <t>تغییر نماینده با ثبات شخص حقوقی</t>
        </is>
      </c>
      <c r="N17" s="92" t="inlineStr"/>
      <c r="O17" s="92" t="inlineStr">
        <is>
          <t>1404/02/24</t>
        </is>
      </c>
      <c r="P17" s="92" t="inlineStr">
        <is>
          <t>1288275</t>
        </is>
      </c>
      <c r="Q17" s="92" t="inlineStr">
        <is>
          <t>1443940</t>
        </is>
      </c>
      <c r="R17" s="92" t="inlineStr">
        <is>
          <t>کافی با حساسیت مجمع 1404/10/23</t>
        </is>
      </c>
      <c r="S17" s="92" t="inlineStr"/>
    </row>
    <row r="18" ht="40" customHeight="1" s="76">
      <c r="A18" s="92" t="inlineStr">
        <is>
          <t>SC0015</t>
        </is>
      </c>
      <c r="B18" s="92" t="inlineStr">
        <is>
          <t>پارسان</t>
        </is>
      </c>
      <c r="C18" s="92" t="inlineStr">
        <is>
          <t>پنجره مشترک</t>
        </is>
      </c>
      <c r="D18" s="92" t="inlineStr">
        <is>
          <t>سرمایه گذاری مهرگان تامین پارس</t>
        </is>
      </c>
      <c r="E18" s="92" t="inlineStr">
        <is>
          <t>نام دارنده حقوقی</t>
        </is>
      </c>
      <c r="F18" s="92" t="inlineStr">
        <is>
          <t>سرمایه‌گذاری مهرگان تأمین پارس</t>
        </is>
      </c>
      <c r="G18" s="92" t="inlineStr">
        <is>
          <t>سرمایه‌گذاری مهرگان تأمین پارس</t>
        </is>
      </c>
      <c r="H18" s="92" t="inlineStr">
        <is>
          <t>احد امیری</t>
        </is>
      </c>
      <c r="I18" s="92" t="inlineStr">
        <is>
          <t>احد امیری</t>
        </is>
      </c>
      <c r="J18" s="92" t="inlineStr">
        <is>
          <t>رئیس هیئت مدیره (غیرموظف)</t>
        </is>
      </c>
      <c r="K18" s="92" t="inlineStr">
        <is>
          <t>رئیس هیئت مدیره (غیرموظف)</t>
        </is>
      </c>
      <c r="L18" s="92" t="inlineStr">
        <is>
          <t>STABLE</t>
        </is>
      </c>
      <c r="M18" s="92" t="inlineStr">
        <is>
          <t>ثبات شخص حقوقی و نماینده</t>
        </is>
      </c>
      <c r="N18" s="92" t="inlineStr"/>
      <c r="O18" s="92" t="inlineStr"/>
      <c r="P18" s="92" t="inlineStr">
        <is>
          <t>1288275</t>
        </is>
      </c>
      <c r="Q18" s="92" t="inlineStr">
        <is>
          <t>1443940</t>
        </is>
      </c>
      <c r="R18" s="92" t="inlineStr">
        <is>
          <t>کافی با حساسیت مجمع 1404/10/23</t>
        </is>
      </c>
      <c r="S18" s="92" t="inlineStr"/>
    </row>
    <row r="19" ht="40" customHeight="1" s="76">
      <c r="A19" s="92" t="inlineStr">
        <is>
          <t>SC0016</t>
        </is>
      </c>
      <c r="B19" s="92" t="inlineStr">
        <is>
          <t>جم</t>
        </is>
      </c>
      <c r="C19" s="92" t="inlineStr">
        <is>
          <t>پنجره مشترک</t>
        </is>
      </c>
      <c r="D19" s="92" t="inlineStr">
        <is>
          <t>سرمایه گذاری نفت و گاز و پتروشیمی تامین → گسترش تجارت هامون</t>
        </is>
      </c>
      <c r="E19" s="92" t="inlineStr">
        <is>
          <t>جایگزینی دارنده طبق ستون قبلی و جدید اطلاعیه (v38)؛ بازبینی نشد</t>
        </is>
      </c>
      <c r="F19" s="92" t="inlineStr">
        <is>
          <t>سرمایه‌گذاری نفت و گاز و پتروشیمی تأمین → گسترش تجارت هامون</t>
        </is>
      </c>
      <c r="G19" s="92" t="inlineStr">
        <is>
          <t>سرمایه‌گذاری نفت و گاز و پتروشیمی تأمین → گسترش تجارت هامون</t>
        </is>
      </c>
      <c r="H19" s="92" t="inlineStr">
        <is>
          <t>متین دیداری</t>
        </is>
      </c>
      <c r="I19" s="92" t="inlineStr">
        <is>
          <t>متین دیداری</t>
        </is>
      </c>
      <c r="J19" s="92" t="inlineStr">
        <is>
          <t>رئیس هیئت مدیره (غیرموظف)</t>
        </is>
      </c>
      <c r="K19" s="92" t="inlineStr">
        <is>
          <t>عضو (غیرموظف)</t>
        </is>
      </c>
      <c r="L19" s="92" t="inlineStr">
        <is>
          <t>HOLDER_CHANGE_SAME_PERSON</t>
        </is>
      </c>
      <c r="M19" s="92" t="inlineStr">
        <is>
          <t>تغییر شخص حقوقی با ثبات فرد</t>
        </is>
      </c>
      <c r="N19" s="92" t="inlineStr"/>
      <c r="O19" s="92" t="inlineStr">
        <is>
          <t>1404/06/04</t>
        </is>
      </c>
      <c r="P19" s="92" t="inlineStr">
        <is>
          <t>1171265</t>
        </is>
      </c>
      <c r="Q19" s="92" t="inlineStr">
        <is>
          <t>1527389</t>
        </is>
      </c>
      <c r="R19" s="92" t="inlineStr">
        <is>
          <t>کافی با حساسیت انتشار پس از پایان</t>
        </is>
      </c>
      <c r="S19" s="92" t="inlineStr"/>
    </row>
    <row r="20" ht="40" customHeight="1" s="76">
      <c r="A20" s="92" t="inlineStr">
        <is>
          <t>SC0017</t>
        </is>
      </c>
      <c r="B20" s="92" t="inlineStr">
        <is>
          <t>جم</t>
        </is>
      </c>
      <c r="C20" s="92" t="inlineStr">
        <is>
          <t>پنجره مشترک</t>
        </is>
      </c>
      <c r="D20" s="92" t="inlineStr">
        <is>
          <t>صبا انرژی جهان گستر</t>
        </is>
      </c>
      <c r="E20" s="92" t="inlineStr">
        <is>
          <t>نام دارنده حقوقی</t>
        </is>
      </c>
      <c r="F20" s="92" t="inlineStr">
        <is>
          <t>صبا انرژی جهان‌گستر</t>
        </is>
      </c>
      <c r="G20" s="92" t="inlineStr">
        <is>
          <t>صبا انرژی جهان‌گستر</t>
        </is>
      </c>
      <c r="H20" s="92" t="inlineStr">
        <is>
          <t>محمدهاشم نجفی اردکانی</t>
        </is>
      </c>
      <c r="I20" s="92" t="inlineStr">
        <is>
          <t>امیر اکبری</t>
        </is>
      </c>
      <c r="J20" s="92" t="inlineStr">
        <is>
          <t>نایب رئیس و مدیرعامل (موظف)</t>
        </is>
      </c>
      <c r="K20" s="92" t="inlineStr">
        <is>
          <t>نایب رئیس (موظف)</t>
        </is>
      </c>
      <c r="L20" s="92" t="inlineStr">
        <is>
          <t>REP_CHANGE</t>
        </is>
      </c>
      <c r="M20" s="92" t="inlineStr">
        <is>
          <t>تغییر نماینده با ثبات شخص حقوقی</t>
        </is>
      </c>
      <c r="N20" s="92" t="inlineStr">
        <is>
          <t>ورودی از کرسی دیگر</t>
        </is>
      </c>
      <c r="O20" s="92" t="inlineStr">
        <is>
          <t>1404/06/04</t>
        </is>
      </c>
      <c r="P20" s="92" t="inlineStr">
        <is>
          <t>1171265</t>
        </is>
      </c>
      <c r="Q20" s="92" t="inlineStr">
        <is>
          <t>1527389</t>
        </is>
      </c>
      <c r="R20" s="92" t="inlineStr">
        <is>
          <t>کافی با حساسیت انتشار پس از پایان</t>
        </is>
      </c>
      <c r="S20" s="92" t="inlineStr"/>
    </row>
    <row r="21" ht="40" customHeight="1" s="76">
      <c r="A21" s="92" t="inlineStr">
        <is>
          <t>SC0018</t>
        </is>
      </c>
      <c r="B21" s="92" t="inlineStr">
        <is>
          <t>جم</t>
        </is>
      </c>
      <c r="C21" s="92" t="inlineStr">
        <is>
          <t>پنجره مشترک</t>
        </is>
      </c>
      <c r="D21" s="92" t="inlineStr">
        <is>
          <t>کاوشگران بازار سرمایه</t>
        </is>
      </c>
      <c r="E21" s="92" t="inlineStr">
        <is>
          <t>نام دارنده حقوقی</t>
        </is>
      </c>
      <c r="F21" s="92" t="inlineStr">
        <is>
          <t>کاوشگران بازار سرمایه</t>
        </is>
      </c>
      <c r="G21" s="92" t="inlineStr">
        <is>
          <t>کاوشگران بازار سرمایه</t>
        </is>
      </c>
      <c r="H21" s="92" t="inlineStr">
        <is>
          <t>محمدسجاد سیاهکارزاده</t>
        </is>
      </c>
      <c r="I21" s="92" t="inlineStr">
        <is>
          <t>محمدسجاد سیاهکارزاده</t>
        </is>
      </c>
      <c r="J21" s="92" t="inlineStr">
        <is>
          <t>عضو (غیرموظف)</t>
        </is>
      </c>
      <c r="K21" s="92" t="inlineStr">
        <is>
          <t>رئیس هیئت مدیره (غیرموظف)</t>
        </is>
      </c>
      <c r="L21" s="92" t="inlineStr">
        <is>
          <t>ROLE_ONLY</t>
        </is>
      </c>
      <c r="M21" s="92" t="inlineStr">
        <is>
          <t>تغییر سمت بدون تغییر عضویت</t>
        </is>
      </c>
      <c r="N21" s="92" t="inlineStr"/>
      <c r="O21" s="92" t="inlineStr">
        <is>
          <t>1404/12/25</t>
        </is>
      </c>
      <c r="P21" s="92" t="inlineStr">
        <is>
          <t>1171265</t>
        </is>
      </c>
      <c r="Q21" s="92" t="inlineStr">
        <is>
          <t>1527389</t>
        </is>
      </c>
      <c r="R21" s="92" t="inlineStr">
        <is>
          <t>کافی با حساسیت انتشار پس از پایان</t>
        </is>
      </c>
      <c r="S21" s="92" t="inlineStr"/>
    </row>
    <row r="22" ht="40" customHeight="1" s="76">
      <c r="A22" s="92" t="inlineStr">
        <is>
          <t>SC0019</t>
        </is>
      </c>
      <c r="B22" s="92" t="inlineStr">
        <is>
          <t>جم</t>
        </is>
      </c>
      <c r="C22" s="92" t="inlineStr">
        <is>
          <t>پنجره مشترک</t>
        </is>
      </c>
      <c r="D22" s="92" t="inlineStr">
        <is>
          <t>سرمایه گذاری استان اردبیل</t>
        </is>
      </c>
      <c r="E22" s="92" t="inlineStr">
        <is>
          <t>نام دارنده حقوقی</t>
        </is>
      </c>
      <c r="F22" s="92" t="inlineStr">
        <is>
          <t>سرمایه‌گذاری استان اردبیل</t>
        </is>
      </c>
      <c r="G22" s="92" t="inlineStr">
        <is>
          <t>سرمایه‌گذاری استان اردبیل</t>
        </is>
      </c>
      <c r="H22" s="92" t="inlineStr">
        <is>
          <t>مهدی قربانی</t>
        </is>
      </c>
      <c r="I22" s="92" t="inlineStr">
        <is>
          <t>مهدی قربانی</t>
        </is>
      </c>
      <c r="J22" s="92" t="inlineStr">
        <is>
          <t>عضو (غیرموظف)</t>
        </is>
      </c>
      <c r="K22" s="92" t="inlineStr">
        <is>
          <t>عضو (غیرموظف)</t>
        </is>
      </c>
      <c r="L22" s="92" t="inlineStr">
        <is>
          <t>STABLE</t>
        </is>
      </c>
      <c r="M22" s="92" t="inlineStr">
        <is>
          <t>ثبات شخص حقوقی و نماینده</t>
        </is>
      </c>
      <c r="N22" s="92" t="inlineStr"/>
      <c r="O22" s="92" t="inlineStr"/>
      <c r="P22" s="92" t="inlineStr">
        <is>
          <t>1171265</t>
        </is>
      </c>
      <c r="Q22" s="92" t="inlineStr">
        <is>
          <t>1527389</t>
        </is>
      </c>
      <c r="R22" s="92" t="inlineStr">
        <is>
          <t>کافی با حساسیت انتشار پس از پایان</t>
        </is>
      </c>
      <c r="S22" s="92" t="inlineStr"/>
    </row>
    <row r="23" ht="40" customHeight="1" s="76">
      <c r="A23" s="92" t="inlineStr">
        <is>
          <t>SC0020</t>
        </is>
      </c>
      <c r="B23" s="92" t="inlineStr">
        <is>
          <t>جم</t>
        </is>
      </c>
      <c r="C23" s="92" t="inlineStr">
        <is>
          <t>پنجره مشترک</t>
        </is>
      </c>
      <c r="D23" s="92" t="inlineStr">
        <is>
          <t>خدمات گستر صبا انرژی</t>
        </is>
      </c>
      <c r="E23" s="92" t="inlineStr">
        <is>
          <t>نام دارنده حقوقی</t>
        </is>
      </c>
      <c r="F23" s="92" t="inlineStr">
        <is>
          <t>خدمات گستر صبا انرژی</t>
        </is>
      </c>
      <c r="G23" s="92" t="inlineStr">
        <is>
          <t>خدمات گستر صبا انرژی</t>
        </is>
      </c>
      <c r="H23" s="92" t="inlineStr">
        <is>
          <t>امیر اکبری</t>
        </is>
      </c>
      <c r="I23" s="92" t="inlineStr">
        <is>
          <t>حسن معینی</t>
        </is>
      </c>
      <c r="J23" s="92" t="inlineStr">
        <is>
          <t>عضو (موظف)</t>
        </is>
      </c>
      <c r="K23" s="92" t="inlineStr">
        <is>
          <t>عضو (موظف)</t>
        </is>
      </c>
      <c r="L23" s="92" t="inlineStr">
        <is>
          <t>REP_CHANGE</t>
        </is>
      </c>
      <c r="M23" s="92" t="inlineStr">
        <is>
          <t>تغییر نماینده با ثبات شخص حقوقی</t>
        </is>
      </c>
      <c r="N23" s="92" t="inlineStr">
        <is>
          <t>خروجی به کرسی دیگر</t>
        </is>
      </c>
      <c r="O23" s="92" t="inlineStr">
        <is>
          <t>1404/12/25</t>
        </is>
      </c>
      <c r="P23" s="92" t="inlineStr">
        <is>
          <t>1171265</t>
        </is>
      </c>
      <c r="Q23" s="92" t="inlineStr">
        <is>
          <t>1527389</t>
        </is>
      </c>
      <c r="R23" s="92" t="inlineStr">
        <is>
          <t>کافی با حساسیت انتشار پس از پایان</t>
        </is>
      </c>
      <c r="S23" s="92" t="inlineStr"/>
    </row>
    <row r="24" ht="40" customHeight="1" s="76">
      <c r="A24" s="92" t="inlineStr">
        <is>
          <t>SC0021</t>
        </is>
      </c>
      <c r="B24" s="92" t="inlineStr">
        <is>
          <t>خساپا</t>
        </is>
      </c>
      <c r="C24" s="92" t="inlineStr">
        <is>
          <t>پنجره مشترک</t>
        </is>
      </c>
      <c r="D24" s="92" t="inlineStr">
        <is>
          <t>سرمایه گذاری گروه صنعتی رنا</t>
        </is>
      </c>
      <c r="E24" s="92" t="inlineStr">
        <is>
          <t>نام دارنده حقوقی</t>
        </is>
      </c>
      <c r="F24" s="92" t="inlineStr">
        <is>
          <t>سرمایه‌گذاری گروه صنعتی رنا</t>
        </is>
      </c>
      <c r="G24" s="92" t="inlineStr">
        <is>
          <t>سرمایه‌گذاری گروه صنعتی رنا</t>
        </is>
      </c>
      <c r="H24" s="92" t="inlineStr">
        <is>
          <t>کورش پرویزیان</t>
        </is>
      </c>
      <c r="I24" s="92" t="inlineStr">
        <is>
          <t>رحیم علیشاهی</t>
        </is>
      </c>
      <c r="J24" s="92" t="inlineStr">
        <is>
          <t>رئیس (غیرموظف)</t>
        </is>
      </c>
      <c r="K24" s="92" t="inlineStr">
        <is>
          <t>عضو (غیرموظف)</t>
        </is>
      </c>
      <c r="L24" s="92" t="inlineStr">
        <is>
          <t>REP_CHANGE</t>
        </is>
      </c>
      <c r="M24" s="92" t="inlineStr">
        <is>
          <t>تغییر نماینده با ثبات شخص حقوقی</t>
        </is>
      </c>
      <c r="N24" s="92" t="inlineStr">
        <is>
          <t>خروجی به کرسی دیگر</t>
        </is>
      </c>
      <c r="O24" s="92" t="inlineStr">
        <is>
          <t>1404/02/08</t>
        </is>
      </c>
      <c r="P24" s="92" t="inlineStr">
        <is>
          <t>1295938</t>
        </is>
      </c>
      <c r="Q24" s="92" t="inlineStr">
        <is>
          <t>1386511</t>
        </is>
      </c>
      <c r="R24" s="92" t="inlineStr">
        <is>
          <t>کافی</t>
        </is>
      </c>
      <c r="S24" s="92" t="inlineStr"/>
    </row>
    <row r="25" ht="40" customHeight="1" s="76">
      <c r="A25" s="92" t="inlineStr">
        <is>
          <t>SC0022</t>
        </is>
      </c>
      <c r="B25" s="92" t="inlineStr">
        <is>
          <t>خساپا</t>
        </is>
      </c>
      <c r="C25" s="92" t="inlineStr">
        <is>
          <t>پنجره مشترک</t>
        </is>
      </c>
      <c r="D25" s="92" t="inlineStr">
        <is>
          <t>گروه سرمایه گذاری کارکنان سایپا</t>
        </is>
      </c>
      <c r="E25" s="92" t="inlineStr">
        <is>
          <t>نام دارنده حقوقی</t>
        </is>
      </c>
      <c r="F25" s="92" t="inlineStr">
        <is>
          <t>گروه سرمایه‌گذاری کارکنان سایپا</t>
        </is>
      </c>
      <c r="G25" s="92" t="inlineStr">
        <is>
          <t>گروه سرمایه‌گذاری کارکنان سایپا</t>
        </is>
      </c>
      <c r="H25" s="92" t="inlineStr">
        <is>
          <t>علی شیخ‌زاده</t>
        </is>
      </c>
      <c r="I25" s="92" t="inlineStr">
        <is>
          <t>علی شیخ‌زاده</t>
        </is>
      </c>
      <c r="J25" s="92" t="inlineStr">
        <is>
          <t>عضو و مدیرعامل (موظف)</t>
        </is>
      </c>
      <c r="K25" s="92" t="inlineStr">
        <is>
          <t>نایب رئیس (موظف)</t>
        </is>
      </c>
      <c r="L25" s="92" t="inlineStr">
        <is>
          <t>ROLE_ONLY</t>
        </is>
      </c>
      <c r="M25" s="92" t="inlineStr">
        <is>
          <t>تغییر سمت بدون تغییر عضویت</t>
        </is>
      </c>
      <c r="N25" s="92" t="inlineStr"/>
      <c r="O25" s="92" t="inlineStr">
        <is>
          <t>1404/02/08</t>
        </is>
      </c>
      <c r="P25" s="92" t="inlineStr">
        <is>
          <t>1295938</t>
        </is>
      </c>
      <c r="Q25" s="92" t="inlineStr">
        <is>
          <t>1386511</t>
        </is>
      </c>
      <c r="R25" s="92" t="inlineStr">
        <is>
          <t>کافی</t>
        </is>
      </c>
      <c r="S25" s="92" t="inlineStr"/>
    </row>
    <row r="26" ht="40" customHeight="1" s="76">
      <c r="A26" s="92" t="inlineStr">
        <is>
          <t>SC0023</t>
        </is>
      </c>
      <c r="B26" s="92" t="inlineStr">
        <is>
          <t>خساپا</t>
        </is>
      </c>
      <c r="C26" s="92" t="inlineStr">
        <is>
          <t>پنجره مشترک</t>
        </is>
      </c>
      <c r="D26" s="92" t="inlineStr">
        <is>
          <t>صندوق حمایت و بازنشستگی کارکنان فولاد</t>
        </is>
      </c>
      <c r="E26" s="92" t="inlineStr">
        <is>
          <t>نام دارنده حقوقی</t>
        </is>
      </c>
      <c r="F26" s="92" t="inlineStr">
        <is>
          <t>صندوق حمایت و بازنشستگی کارکنان فولاد</t>
        </is>
      </c>
      <c r="G26" s="92" t="inlineStr">
        <is>
          <t>صندوق حمایت و بازنشستگی کارکنان فولاد</t>
        </is>
      </c>
      <c r="H26" s="92" t="inlineStr">
        <is>
          <t>مجید بهرامی</t>
        </is>
      </c>
      <c r="I26" s="92" t="inlineStr">
        <is>
          <t>مجید بهرامی</t>
        </is>
      </c>
      <c r="J26" s="92" t="inlineStr">
        <is>
          <t>عضو (غیرموظف)</t>
        </is>
      </c>
      <c r="K26" s="92" t="inlineStr">
        <is>
          <t>عضو (غیرموظف)</t>
        </is>
      </c>
      <c r="L26" s="92" t="inlineStr">
        <is>
          <t>STABLE</t>
        </is>
      </c>
      <c r="M26" s="92" t="inlineStr">
        <is>
          <t>ثبات شخص حقوقی و نماینده</t>
        </is>
      </c>
      <c r="N26" s="92" t="inlineStr"/>
      <c r="O26" s="92" t="inlineStr"/>
      <c r="P26" s="92" t="inlineStr">
        <is>
          <t>1295938</t>
        </is>
      </c>
      <c r="Q26" s="92" t="inlineStr">
        <is>
          <t>1386511</t>
        </is>
      </c>
      <c r="R26" s="92" t="inlineStr">
        <is>
          <t>کافی</t>
        </is>
      </c>
      <c r="S26" s="92" t="inlineStr"/>
    </row>
    <row r="27" ht="40" customHeight="1" s="76">
      <c r="A27" s="92" t="inlineStr">
        <is>
          <t>SC0024</t>
        </is>
      </c>
      <c r="B27" s="92" t="inlineStr">
        <is>
          <t>خساپا</t>
        </is>
      </c>
      <c r="C27" s="92" t="inlineStr">
        <is>
          <t>پنجره مشترک</t>
        </is>
      </c>
      <c r="D27" s="92" t="inlineStr">
        <is>
          <t>توسعه سرمایه رادین</t>
        </is>
      </c>
      <c r="E27" s="92" t="inlineStr">
        <is>
          <t>نام دارنده حقوقی</t>
        </is>
      </c>
      <c r="F27" s="92" t="inlineStr">
        <is>
          <t>توسعه سرمایه رادین</t>
        </is>
      </c>
      <c r="G27" s="92" t="inlineStr">
        <is>
          <t>توسعه سرمایه رادین</t>
        </is>
      </c>
      <c r="H27" s="92" t="inlineStr">
        <is>
          <t>علی شیدائی نرمیقی</t>
        </is>
      </c>
      <c r="I27" s="92" t="inlineStr">
        <is>
          <t>مهدی رادمنش</t>
        </is>
      </c>
      <c r="J27" s="92" t="inlineStr">
        <is>
          <t>نایب رئیس (غیرموظف)</t>
        </is>
      </c>
      <c r="K27" s="92" t="inlineStr">
        <is>
          <t>عضو (موظف)</t>
        </is>
      </c>
      <c r="L27" s="92" t="inlineStr">
        <is>
          <t>REP_CHANGE</t>
        </is>
      </c>
      <c r="M27" s="92" t="inlineStr">
        <is>
          <t>تغییر نماینده با ثبات شخص حقوقی</t>
        </is>
      </c>
      <c r="N27" s="92" t="inlineStr"/>
      <c r="O27" s="92" t="inlineStr">
        <is>
          <t>1404/02/08</t>
        </is>
      </c>
      <c r="P27" s="92" t="inlineStr">
        <is>
          <t>1295938</t>
        </is>
      </c>
      <c r="Q27" s="92" t="inlineStr">
        <is>
          <t>1386511</t>
        </is>
      </c>
      <c r="R27" s="92" t="inlineStr">
        <is>
          <t>کافی</t>
        </is>
      </c>
      <c r="S27" s="92" t="inlineStr"/>
    </row>
    <row r="28" ht="40" customHeight="1" s="76">
      <c r="A28" s="92" t="inlineStr">
        <is>
          <t>SC0025</t>
        </is>
      </c>
      <c r="B28" s="92" t="inlineStr">
        <is>
          <t>خساپا</t>
        </is>
      </c>
      <c r="C28" s="92" t="inlineStr">
        <is>
          <t>پنجره مشترک</t>
        </is>
      </c>
      <c r="D28" s="92" t="inlineStr">
        <is>
          <t>سازمان مدیریت صنعتی</t>
        </is>
      </c>
      <c r="E28" s="92" t="inlineStr">
        <is>
          <t>نام دارنده حقوقی</t>
        </is>
      </c>
      <c r="F28" s="92" t="inlineStr">
        <is>
          <t>سازمان مدیریت صنعتی</t>
        </is>
      </c>
      <c r="G28" s="92" t="inlineStr">
        <is>
          <t>سازمان مدیریت صنعتی</t>
        </is>
      </c>
      <c r="H28" s="92" t="inlineStr">
        <is>
          <t>محمدرضا شیخ‌عطار</t>
        </is>
      </c>
      <c r="I28" s="92" t="inlineStr">
        <is>
          <t>کورش پرویزیان</t>
        </is>
      </c>
      <c r="J28" s="92" t="inlineStr">
        <is>
          <t>عضو (موظف)</t>
        </is>
      </c>
      <c r="K28" s="92" t="inlineStr">
        <is>
          <t>رئیس (غیرموظف)</t>
        </is>
      </c>
      <c r="L28" s="92" t="inlineStr">
        <is>
          <t>REP_CHANGE</t>
        </is>
      </c>
      <c r="M28" s="92" t="inlineStr">
        <is>
          <t>تغییر نماینده با ثبات شخص حقوقی</t>
        </is>
      </c>
      <c r="N28" s="92" t="inlineStr">
        <is>
          <t>ورودی از کرسی دیگر</t>
        </is>
      </c>
      <c r="O28" s="92" t="inlineStr">
        <is>
          <t>1404/02/08</t>
        </is>
      </c>
      <c r="P28" s="92" t="inlineStr">
        <is>
          <t>1295938</t>
        </is>
      </c>
      <c r="Q28" s="92" t="inlineStr">
        <is>
          <t>1386511</t>
        </is>
      </c>
      <c r="R28" s="92" t="inlineStr">
        <is>
          <t>کافی</t>
        </is>
      </c>
      <c r="S28" s="92" t="inlineStr"/>
    </row>
    <row r="29" ht="40" customHeight="1" s="76">
      <c r="A29" s="92" t="inlineStr">
        <is>
          <t>SC0026</t>
        </is>
      </c>
      <c r="B29" s="92" t="inlineStr">
        <is>
          <t>خودرو</t>
        </is>
      </c>
      <c r="C29" s="92" t="inlineStr">
        <is>
          <t>پنجره مشترک</t>
        </is>
      </c>
      <c r="D29" s="92" t="inlineStr">
        <is>
          <t>خدمات گستر صبا انرژی</t>
        </is>
      </c>
      <c r="E29" s="92" t="inlineStr">
        <is>
          <t>نام دارنده حقوقی</t>
        </is>
      </c>
      <c r="F29" s="92" t="inlineStr">
        <is>
          <t>خدمات گستر صبا انرژی</t>
        </is>
      </c>
      <c r="G29" s="92" t="inlineStr">
        <is>
          <t>خدمات گستر صبا انرژی</t>
        </is>
      </c>
      <c r="H29" s="92" t="inlineStr">
        <is>
          <t>عبدالله سلطانی ثانی</t>
        </is>
      </c>
      <c r="I29" s="92" t="inlineStr">
        <is>
          <t>عبدالله سلطانی ثانی</t>
        </is>
      </c>
      <c r="J29" s="92" t="inlineStr">
        <is>
          <t>عضو (غیرموظف)</t>
        </is>
      </c>
      <c r="K29" s="92" t="inlineStr">
        <is>
          <t>عضو (غیرموظف)</t>
        </is>
      </c>
      <c r="L29" s="92" t="inlineStr">
        <is>
          <t>STABLE</t>
        </is>
      </c>
      <c r="M29" s="92" t="inlineStr">
        <is>
          <t>ثبات شخص حقوقی و نماینده</t>
        </is>
      </c>
      <c r="N29" s="92" t="inlineStr"/>
      <c r="O29" s="92" t="inlineStr"/>
      <c r="P29" s="92" t="inlineStr">
        <is>
          <t>1306740</t>
        </is>
      </c>
      <c r="Q29" s="92" t="inlineStr">
        <is>
          <t>1417850</t>
        </is>
      </c>
      <c r="R29" s="92" t="inlineStr">
        <is>
          <t>کافی</t>
        </is>
      </c>
      <c r="S29" s="92" t="inlineStr"/>
    </row>
    <row r="30" ht="40" customHeight="1" s="76">
      <c r="A30" s="92" t="inlineStr">
        <is>
          <t>SC0027</t>
        </is>
      </c>
      <c r="B30" s="92" t="inlineStr">
        <is>
          <t>خودرو</t>
        </is>
      </c>
      <c r="C30" s="92" t="inlineStr">
        <is>
          <t>پنجره مشترک</t>
        </is>
      </c>
      <c r="D30" s="92" t="inlineStr">
        <is>
          <t>مدیریت سرمایه گذاری ملی ایران</t>
        </is>
      </c>
      <c r="E30" s="92" t="inlineStr">
        <is>
          <t>نام دارنده حقوقی</t>
        </is>
      </c>
      <c r="F30" s="92" t="inlineStr">
        <is>
          <t>مدیریت سرمایه‌گذاری ملی ایران</t>
        </is>
      </c>
      <c r="G30" s="92" t="inlineStr">
        <is>
          <t>مدیریت سرمایه‌گذاری ملی ایران</t>
        </is>
      </c>
      <c r="H30" s="92" t="inlineStr">
        <is>
          <t>عادل پیرمحمدی</t>
        </is>
      </c>
      <c r="I30" s="92" t="inlineStr">
        <is>
          <t>عادل پیرمحمدی</t>
        </is>
      </c>
      <c r="J30" s="92" t="inlineStr">
        <is>
          <t>عضو (موظف)</t>
        </is>
      </c>
      <c r="K30" s="92" t="inlineStr">
        <is>
          <t>عضو (موظف/غیرموظف)</t>
        </is>
      </c>
      <c r="L30" s="92" t="inlineStr">
        <is>
          <t>STABLE</t>
        </is>
      </c>
      <c r="M30" s="92" t="inlineStr">
        <is>
          <t>ثبات شخص حقوقی و نماینده</t>
        </is>
      </c>
      <c r="N30" s="92" t="inlineStr"/>
      <c r="O30" s="92" t="inlineStr"/>
      <c r="P30" s="92" t="inlineStr">
        <is>
          <t>1306740</t>
        </is>
      </c>
      <c r="Q30" s="92" t="inlineStr">
        <is>
          <t>1417850</t>
        </is>
      </c>
      <c r="R30" s="92" t="inlineStr">
        <is>
          <t>کافی</t>
        </is>
      </c>
      <c r="S30" s="92" t="inlineStr"/>
    </row>
    <row r="31" ht="40" customHeight="1" s="76">
      <c r="A31" s="92" t="inlineStr">
        <is>
          <t>SC0028</t>
        </is>
      </c>
      <c r="B31" s="92" t="inlineStr">
        <is>
          <t>خودرو</t>
        </is>
      </c>
      <c r="C31" s="92" t="inlineStr">
        <is>
          <t>پنجره مشترک</t>
        </is>
      </c>
      <c r="D31" s="92" t="inlineStr">
        <is>
          <t>سرمایه گذاری گنجینه ایرانیان</t>
        </is>
      </c>
      <c r="E31" s="92" t="inlineStr">
        <is>
          <t>نام دارنده حقوقی</t>
        </is>
      </c>
      <c r="F31" s="92" t="inlineStr">
        <is>
          <t>سرمایه‌گذاری گنجینه ایرانیان</t>
        </is>
      </c>
      <c r="G31" s="92" t="inlineStr">
        <is>
          <t>سرمایه‌گذاری گنجینه ایرانیان</t>
        </is>
      </c>
      <c r="H31" s="92" t="inlineStr">
        <is>
          <t>مرتضی شفیعی</t>
        </is>
      </c>
      <c r="I31" s="92" t="inlineStr">
        <is>
          <t>حامد نائیجی</t>
        </is>
      </c>
      <c r="J31" s="92" t="inlineStr">
        <is>
          <t>عضو (غیرموظف)</t>
        </is>
      </c>
      <c r="K31" s="92" t="inlineStr">
        <is>
          <t>عضو (غیرموظف)</t>
        </is>
      </c>
      <c r="L31" s="92" t="inlineStr">
        <is>
          <t>REP_CHANGE</t>
        </is>
      </c>
      <c r="M31" s="92" t="inlineStr">
        <is>
          <t>تغییر نماینده با ثبات شخص حقوقی</t>
        </is>
      </c>
      <c r="N31" s="92" t="inlineStr"/>
      <c r="O31" s="92" t="inlineStr">
        <is>
          <t>1404/07/19</t>
        </is>
      </c>
      <c r="P31" s="92" t="inlineStr">
        <is>
          <t>1306740</t>
        </is>
      </c>
      <c r="Q31" s="92" t="inlineStr">
        <is>
          <t>1417850</t>
        </is>
      </c>
      <c r="R31" s="92" t="inlineStr">
        <is>
          <t>کافی</t>
        </is>
      </c>
      <c r="S31" s="92" t="inlineStr"/>
    </row>
    <row r="32" ht="40" customHeight="1" s="76">
      <c r="A32" s="92" t="inlineStr">
        <is>
          <t>SC0029</t>
        </is>
      </c>
      <c r="B32" s="92" t="inlineStr">
        <is>
          <t>خودرو</t>
        </is>
      </c>
      <c r="C32" s="92" t="inlineStr">
        <is>
          <t>پنجره مشترک</t>
        </is>
      </c>
      <c r="D32" s="92" t="inlineStr">
        <is>
          <t>بهینه سازان بهمن</t>
        </is>
      </c>
      <c r="E32" s="92" t="inlineStr">
        <is>
          <t>نام دارنده حقوقی</t>
        </is>
      </c>
      <c r="F32" s="92" t="inlineStr">
        <is>
          <t>بهینه‌سازان بهمن</t>
        </is>
      </c>
      <c r="G32" s="92" t="inlineStr">
        <is>
          <t>بهینه‌سازان بهمن</t>
        </is>
      </c>
      <c r="H32" s="92" t="inlineStr">
        <is>
          <t>یوسف الهی شکیب</t>
        </is>
      </c>
      <c r="I32" s="92" t="inlineStr">
        <is>
          <t>یوسف الهی شکیب</t>
        </is>
      </c>
      <c r="J32" s="92" t="inlineStr">
        <is>
          <t>رئیس (غیرموظف)</t>
        </is>
      </c>
      <c r="K32" s="92" t="inlineStr">
        <is>
          <t>رئیس (غیرموظف)</t>
        </is>
      </c>
      <c r="L32" s="92" t="inlineStr">
        <is>
          <t>STABLE</t>
        </is>
      </c>
      <c r="M32" s="92" t="inlineStr">
        <is>
          <t>ثبات شخص حقوقی و نماینده</t>
        </is>
      </c>
      <c r="N32" s="92" t="inlineStr"/>
      <c r="O32" s="92" t="inlineStr"/>
      <c r="P32" s="92" t="inlineStr">
        <is>
          <t>1306740</t>
        </is>
      </c>
      <c r="Q32" s="92" t="inlineStr">
        <is>
          <t>1417850</t>
        </is>
      </c>
      <c r="R32" s="92" t="inlineStr">
        <is>
          <t>کافی</t>
        </is>
      </c>
      <c r="S32" s="92" t="inlineStr"/>
    </row>
    <row r="33" ht="40" customHeight="1" s="76">
      <c r="A33" s="92" t="inlineStr">
        <is>
          <t>SC0030</t>
        </is>
      </c>
      <c r="B33" s="92" t="inlineStr">
        <is>
          <t>خودرو</t>
        </is>
      </c>
      <c r="C33" s="92" t="inlineStr">
        <is>
          <t>پنجره مشترک</t>
        </is>
      </c>
      <c r="D33" s="92" t="inlineStr">
        <is>
          <t>اعتبار آفرین</t>
        </is>
      </c>
      <c r="E33" s="92" t="inlineStr">
        <is>
          <t>نام دارنده حقوقی</t>
        </is>
      </c>
      <c r="F33" s="92" t="inlineStr">
        <is>
          <t>اعتبار آفرین</t>
        </is>
      </c>
      <c r="G33" s="92" t="inlineStr">
        <is>
          <t>اعتبار آفرین</t>
        </is>
      </c>
      <c r="H33" s="92" t="inlineStr">
        <is>
          <t>جمشید ایمانی کتک‌لاهیجانی</t>
        </is>
      </c>
      <c r="I33" s="92" t="inlineStr">
        <is>
          <t>جمشید ایمانی کتک‌لاهیجانی</t>
        </is>
      </c>
      <c r="J33" s="92" t="inlineStr">
        <is>
          <t>نایب رئیس (موظف)</t>
        </is>
      </c>
      <c r="K33" s="92" t="inlineStr">
        <is>
          <t>نایب رئیس (موظف)</t>
        </is>
      </c>
      <c r="L33" s="92" t="inlineStr">
        <is>
          <t>STABLE</t>
        </is>
      </c>
      <c r="M33" s="92" t="inlineStr">
        <is>
          <t>ثبات شخص حقوقی و نماینده</t>
        </is>
      </c>
      <c r="N33" s="92" t="inlineStr"/>
      <c r="O33" s="92" t="inlineStr"/>
      <c r="P33" s="92" t="inlineStr">
        <is>
          <t>1306740</t>
        </is>
      </c>
      <c r="Q33" s="92" t="inlineStr">
        <is>
          <t>1417850</t>
        </is>
      </c>
      <c r="R33" s="92" t="inlineStr">
        <is>
          <t>کافی</t>
        </is>
      </c>
      <c r="S33" s="92" t="inlineStr"/>
    </row>
    <row r="34" ht="40" customHeight="1" s="76">
      <c r="A34" s="92" t="inlineStr">
        <is>
          <t>SC0031</t>
        </is>
      </c>
      <c r="B34" s="92" t="inlineStr">
        <is>
          <t>شپدیس</t>
        </is>
      </c>
      <c r="C34" s="92" t="inlineStr">
        <is>
          <t>پنجره مشترک</t>
        </is>
      </c>
      <c r="D34" s="92" t="inlineStr">
        <is>
          <t>گروه گسترش نفت و گاز پارسیان</t>
        </is>
      </c>
      <c r="E34" s="92" t="inlineStr">
        <is>
          <t>نام دارنده حقوقی</t>
        </is>
      </c>
      <c r="F34" s="92" t="inlineStr">
        <is>
          <t>گروه گسترش نفت و گاز پارسیان</t>
        </is>
      </c>
      <c r="G34" s="92" t="inlineStr">
        <is>
          <t>گروه گسترش نفت و گاز پارسیان</t>
        </is>
      </c>
      <c r="H34" s="92" t="inlineStr">
        <is>
          <t>عبدالرحیم قنبریان</t>
        </is>
      </c>
      <c r="I34" s="92" t="inlineStr">
        <is>
          <t>عبدالرحیم قنبریان</t>
        </is>
      </c>
      <c r="J34" s="92" t="inlineStr">
        <is>
          <t>نایب رئیس (موظف)</t>
        </is>
      </c>
      <c r="K34" s="92" t="inlineStr">
        <is>
          <t>نایب رئیس (موظف)</t>
        </is>
      </c>
      <c r="L34" s="92" t="inlineStr">
        <is>
          <t>STABLE</t>
        </is>
      </c>
      <c r="M34" s="92" t="inlineStr">
        <is>
          <t>ثبات شخص حقوقی و نماینده</t>
        </is>
      </c>
      <c r="N34" s="92" t="inlineStr"/>
      <c r="O34" s="92" t="inlineStr"/>
      <c r="P34" s="92" t="inlineStr">
        <is>
          <t>1309386</t>
        </is>
      </c>
      <c r="Q34" s="92" t="inlineStr">
        <is>
          <t>1443721</t>
        </is>
      </c>
      <c r="R34" s="92" t="inlineStr">
        <is>
          <t>کافی</t>
        </is>
      </c>
      <c r="S34" s="92" t="inlineStr"/>
    </row>
    <row r="35" ht="40" customHeight="1" s="76">
      <c r="A35" s="92" t="inlineStr">
        <is>
          <t>SC0032</t>
        </is>
      </c>
      <c r="B35" s="92" t="inlineStr">
        <is>
          <t>شپدیس</t>
        </is>
      </c>
      <c r="C35" s="92" t="inlineStr">
        <is>
          <t>پنجره مشترک</t>
        </is>
      </c>
      <c r="D35" s="92" t="inlineStr">
        <is>
          <t>بازرگانی پتروشیمی</t>
        </is>
      </c>
      <c r="E35" s="92" t="inlineStr">
        <is>
          <t>نام دارنده حقوقی</t>
        </is>
      </c>
      <c r="F35" s="92" t="inlineStr">
        <is>
          <t>بازرگانی پتروشیمی</t>
        </is>
      </c>
      <c r="G35" s="92" t="inlineStr">
        <is>
          <t>بازرگانی پتروشیمی</t>
        </is>
      </c>
      <c r="H35" s="92" t="inlineStr">
        <is>
          <t>سیدعلی نواب‌فر</t>
        </is>
      </c>
      <c r="I35" s="92" t="inlineStr">
        <is>
          <t>حسین سلاح‌ورزی</t>
        </is>
      </c>
      <c r="J35" s="92" t="inlineStr">
        <is>
          <t>نایب رئیس (غیرموظف)</t>
        </is>
      </c>
      <c r="K35" s="92" t="inlineStr">
        <is>
          <t>عضو (غیرموظف)</t>
        </is>
      </c>
      <c r="L35" s="92" t="inlineStr">
        <is>
          <t>REP_CHANGE</t>
        </is>
      </c>
      <c r="M35" s="92" t="inlineStr">
        <is>
          <t>تغییر نماینده با ثبات شخص حقوقی</t>
        </is>
      </c>
      <c r="N35" s="92" t="inlineStr"/>
      <c r="O35" s="92" t="inlineStr">
        <is>
          <t>1404/09/05</t>
        </is>
      </c>
      <c r="P35" s="92" t="inlineStr">
        <is>
          <t>1309386</t>
        </is>
      </c>
      <c r="Q35" s="92" t="inlineStr">
        <is>
          <t>1443721</t>
        </is>
      </c>
      <c r="R35" s="92" t="inlineStr">
        <is>
          <t>کافی</t>
        </is>
      </c>
      <c r="S35" s="92" t="inlineStr"/>
    </row>
    <row r="36" ht="40" customHeight="1" s="76">
      <c r="A36" s="92" t="inlineStr">
        <is>
          <t>SC0033</t>
        </is>
      </c>
      <c r="B36" s="92" t="inlineStr">
        <is>
          <t>شپدیس</t>
        </is>
      </c>
      <c r="C36" s="92" t="inlineStr">
        <is>
          <t>پنجره مشترک</t>
        </is>
      </c>
      <c r="D36" s="92" t="inlineStr">
        <is>
          <t>خدمات مدیریت هامون سپاهان</t>
        </is>
      </c>
      <c r="E36" s="92" t="inlineStr">
        <is>
          <t>نام دارنده حقوقی</t>
        </is>
      </c>
      <c r="F36" s="92" t="inlineStr">
        <is>
          <t>خدمات مدیریت هامون سپاهان</t>
        </is>
      </c>
      <c r="G36" s="92" t="inlineStr">
        <is>
          <t>خدمات مدیریت هامون سپاهان</t>
        </is>
      </c>
      <c r="H36" s="92" t="inlineStr">
        <is>
          <t>هوشنگ گودرزی</t>
        </is>
      </c>
      <c r="I36" s="92" t="inlineStr">
        <is>
          <t>هوشنگ گودرزی</t>
        </is>
      </c>
      <c r="J36" s="92" t="inlineStr">
        <is>
          <t>رئیس (غیرموظف)</t>
        </is>
      </c>
      <c r="K36" s="92" t="inlineStr">
        <is>
          <t>عضو (غیرموظف)</t>
        </is>
      </c>
      <c r="L36" s="92" t="inlineStr">
        <is>
          <t>ROLE_ONLY</t>
        </is>
      </c>
      <c r="M36" s="92" t="inlineStr">
        <is>
          <t>تغییر سمت بدون تغییر عضویت</t>
        </is>
      </c>
      <c r="N36" s="92" t="inlineStr"/>
      <c r="O36" s="92" t="inlineStr">
        <is>
          <t>1404/08/17</t>
        </is>
      </c>
      <c r="P36" s="92" t="inlineStr">
        <is>
          <t>1309386</t>
        </is>
      </c>
      <c r="Q36" s="92" t="inlineStr">
        <is>
          <t>1443721</t>
        </is>
      </c>
      <c r="R36" s="92" t="inlineStr">
        <is>
          <t>کافی</t>
        </is>
      </c>
      <c r="S36" s="92" t="inlineStr"/>
    </row>
    <row r="37" ht="40" customHeight="1" s="76">
      <c r="A37" s="92" t="inlineStr">
        <is>
          <t>SC0034</t>
        </is>
      </c>
      <c r="B37" s="92" t="inlineStr">
        <is>
          <t>شپدیس</t>
        </is>
      </c>
      <c r="C37" s="92" t="inlineStr">
        <is>
          <t>پنجره مشترک</t>
        </is>
      </c>
      <c r="D37" s="92" t="inlineStr">
        <is>
          <t>سرمایه گذاری هامون سپاهان</t>
        </is>
      </c>
      <c r="E37" s="92" t="inlineStr">
        <is>
          <t>نام دارنده حقوقی</t>
        </is>
      </c>
      <c r="F37" s="92" t="inlineStr">
        <is>
          <t>سرمایه‌گذاری هامون سپاهان</t>
        </is>
      </c>
      <c r="G37" s="92" t="inlineStr">
        <is>
          <t>سرمایه‌گذاری هامون سپاهان</t>
        </is>
      </c>
      <c r="H37" s="92" t="inlineStr">
        <is>
          <t>— (کرسی بدون نماینده)</t>
        </is>
      </c>
      <c r="I37" s="92" t="inlineStr">
        <is>
          <t>حسن شاه‌ولدی</t>
        </is>
      </c>
      <c r="J37" s="92" t="inlineStr">
        <is>
          <t>عضو</t>
        </is>
      </c>
      <c r="K37" s="92" t="inlineStr">
        <is>
          <t>رئیس (غیرموظف)</t>
        </is>
      </c>
      <c r="L37" s="92" t="inlineStr">
        <is>
          <t>FILLED_VACANT</t>
        </is>
      </c>
      <c r="M37" s="92" t="inlineStr">
        <is>
          <t>پر شدن کرسی خالی مستند</t>
        </is>
      </c>
      <c r="N37" s="92" t="inlineStr"/>
      <c r="O37" s="92" t="inlineStr">
        <is>
          <t>1404/08/17</t>
        </is>
      </c>
      <c r="P37" s="92" t="inlineStr">
        <is>
          <t>1309386</t>
        </is>
      </c>
      <c r="Q37" s="92" t="inlineStr">
        <is>
          <t>1443721</t>
        </is>
      </c>
      <c r="R37" s="92" t="inlineStr">
        <is>
          <t>کافی</t>
        </is>
      </c>
      <c r="S37" s="92" t="inlineStr">
        <is>
          <t>کرسی در مبنا خالی مستند بود؛ ورود جدید نسبت به مبنا</t>
        </is>
      </c>
    </row>
    <row r="38" ht="40" customHeight="1" s="76">
      <c r="A38" s="92" t="inlineStr">
        <is>
          <t>SC0035</t>
        </is>
      </c>
      <c r="B38" s="92" t="inlineStr">
        <is>
          <t>شپدیس</t>
        </is>
      </c>
      <c r="C38" s="92" t="inlineStr">
        <is>
          <t>پنجره مشترک</t>
        </is>
      </c>
      <c r="D38" s="92" t="inlineStr">
        <is>
          <t>بازرگانی و تجارت هامون سپاهان</t>
        </is>
      </c>
      <c r="E38" s="92" t="inlineStr">
        <is>
          <t>نام دارنده حقوقی</t>
        </is>
      </c>
      <c r="F38" s="92" t="inlineStr">
        <is>
          <t>بازرگانی و تجارت هامون سپاهان</t>
        </is>
      </c>
      <c r="G38" s="92" t="inlineStr">
        <is>
          <t>بازرگانی و تجارت هامون سپاهان</t>
        </is>
      </c>
      <c r="H38" s="92" t="inlineStr">
        <is>
          <t>محمدعلی سلیمانی</t>
        </is>
      </c>
      <c r="I38" s="92" t="inlineStr">
        <is>
          <t>محمدعلی سلیمانی</t>
        </is>
      </c>
      <c r="J38" s="92" t="inlineStr">
        <is>
          <t>عضو (غیرموظف)</t>
        </is>
      </c>
      <c r="K38" s="92" t="inlineStr">
        <is>
          <t>عضو (غیرموظف)</t>
        </is>
      </c>
      <c r="L38" s="92" t="inlineStr">
        <is>
          <t>STABLE</t>
        </is>
      </c>
      <c r="M38" s="92" t="inlineStr">
        <is>
          <t>ثبات شخص حقوقی و نماینده</t>
        </is>
      </c>
      <c r="N38" s="92" t="inlineStr"/>
      <c r="O38" s="92" t="inlineStr"/>
      <c r="P38" s="92" t="inlineStr">
        <is>
          <t>1309386</t>
        </is>
      </c>
      <c r="Q38" s="92" t="inlineStr">
        <is>
          <t>1443721</t>
        </is>
      </c>
      <c r="R38" s="92" t="inlineStr">
        <is>
          <t>کافی</t>
        </is>
      </c>
      <c r="S38" s="92" t="inlineStr"/>
    </row>
    <row r="39" ht="40" customHeight="1" s="76">
      <c r="A39" s="93" t="inlineStr">
        <is>
          <t>SC0036</t>
        </is>
      </c>
      <c r="B39" s="93" t="inlineStr">
        <is>
          <t>وتجارت</t>
        </is>
      </c>
      <c r="C39" s="93" t="inlineStr">
        <is>
          <t>پنجره مشترک</t>
        </is>
      </c>
      <c r="D39" s="93" t="inlineStr">
        <is>
          <t>عضو حقیقی مستقیم</t>
        </is>
      </c>
      <c r="E39" s="93" t="inlineStr">
        <is>
          <t>ممنوع: بدون شناسه پایدار کرسی</t>
        </is>
      </c>
      <c r="F39" s="93" t="inlineStr"/>
      <c r="G39" s="93" t="inlineStr"/>
      <c r="H39" s="93" t="inlineStr">
        <is>
          <t>حمیدرضا شریفیان</t>
        </is>
      </c>
      <c r="I39" s="93" t="inlineStr">
        <is>
          <t>خارج شده؛ کرسی بدون جایگزین</t>
        </is>
      </c>
      <c r="J39" s="93" t="inlineStr">
        <is>
          <t>نایب رئیس (موظف)</t>
        </is>
      </c>
      <c r="K39" s="93" t="inlineStr"/>
      <c r="L39" s="93" t="inlineStr">
        <is>
          <t>UNMATCHED</t>
        </is>
      </c>
      <c r="M39" s="93" t="inlineStr">
        <is>
          <t>تطبیق نامشخص</t>
        </is>
      </c>
      <c r="N39" s="93" t="inlineStr"/>
      <c r="O39" s="93" t="inlineStr">
        <is>
          <t>نامشخص</t>
        </is>
      </c>
      <c r="P39" s="93" t="inlineStr">
        <is>
          <t>1159936</t>
        </is>
      </c>
      <c r="Q39" s="93" t="inlineStr">
        <is>
          <t>1444154</t>
        </is>
      </c>
      <c r="R39" s="93" t="inlineStr">
        <is>
          <t>ناکافی</t>
        </is>
      </c>
      <c r="S39" s="93" t="inlineStr">
        <is>
          <t>کرسی مستقیم؛ خالی شدن مستند کرسی یا حذف کرسی ثابت نشد؛ فقط رویداد فردی در Person Flows v42 ثبت شد</t>
        </is>
      </c>
    </row>
    <row r="40" ht="40" customHeight="1" s="76">
      <c r="A40" s="93" t="inlineStr">
        <is>
          <t>SC0037</t>
        </is>
      </c>
      <c r="B40" s="93" t="inlineStr">
        <is>
          <t>حکشتی</t>
        </is>
      </c>
      <c r="C40" s="93" t="inlineStr">
        <is>
          <t>پنجره مشترک</t>
        </is>
      </c>
      <c r="D40" s="93" t="inlineStr">
        <is>
          <t>مادر تخصصی بازرگانی دولتی ایران → تامین اندیش رفاه پردیس</t>
        </is>
      </c>
      <c r="E40" s="93" t="inlineStr">
        <is>
          <t>جایگزینی دارنده طبق خوانش v38</t>
        </is>
      </c>
      <c r="F40" s="93" t="inlineStr">
        <is>
          <t>مادر تخصصی بازرگانی دولتی ایران</t>
        </is>
      </c>
      <c r="G40" s="93" t="inlineStr">
        <is>
          <t>تأمین اندیش رفاه پردیس</t>
        </is>
      </c>
      <c r="H40" s="93" t="inlineStr">
        <is>
          <t>فاقد نماینده</t>
        </is>
      </c>
      <c r="I40" s="93" t="inlineStr">
        <is>
          <t>فاقد نماینده</t>
        </is>
      </c>
      <c r="J40" s="93" t="inlineStr"/>
      <c r="K40" s="93" t="inlineStr"/>
      <c r="L40" s="93" t="inlineStr">
        <is>
          <t>UNMATCHED</t>
        </is>
      </c>
      <c r="M40" s="93" t="inlineStr">
        <is>
          <t>تطبیق نامشخص برای نماینده؛ تغییر شخص حقوقی دارنده</t>
        </is>
      </c>
      <c r="N40" s="93" t="inlineStr"/>
      <c r="O40" s="93" t="inlineStr">
        <is>
          <t>1404/08/12</t>
        </is>
      </c>
      <c r="P40" s="93" t="inlineStr">
        <is>
          <t>1310210</t>
        </is>
      </c>
      <c r="Q40" s="93" t="inlineStr">
        <is>
          <t>1433770</t>
        </is>
      </c>
      <c r="R40" s="93" t="inlineStr">
        <is>
          <t>ناکافی برای نماینده؛ کافی با محدودیت برای دارنده</t>
        </is>
      </c>
      <c r="S40" s="93" t="inlineStr">
        <is>
          <t>نماینده نامشخص؛ به صفر تغییر یا خروج تبدیل نشد</t>
        </is>
      </c>
    </row>
    <row r="41" ht="40" customHeight="1" s="76">
      <c r="A41" s="93" t="inlineStr">
        <is>
          <t>SC0038</t>
        </is>
      </c>
      <c r="B41" s="93" t="inlineStr">
        <is>
          <t>حکشتی</t>
        </is>
      </c>
      <c r="C41" s="93" t="inlineStr">
        <is>
          <t>پنجره مشترک</t>
        </is>
      </c>
      <c r="D41" s="93" t="inlineStr">
        <is>
          <t>صندوق بازنشستگی کشوری → آتیه صبا</t>
        </is>
      </c>
      <c r="E41" s="93" t="inlineStr">
        <is>
          <t>جایگزینی دارنده طبق خوانش v38</t>
        </is>
      </c>
      <c r="F41" s="93" t="inlineStr">
        <is>
          <t>صندوق بازنشستگی کشوری</t>
        </is>
      </c>
      <c r="G41" s="93" t="inlineStr">
        <is>
          <t>آتیه صبا</t>
        </is>
      </c>
      <c r="H41" s="93" t="inlineStr">
        <is>
          <t>فاقد نماینده</t>
        </is>
      </c>
      <c r="I41" s="93" t="inlineStr">
        <is>
          <t>فاقد نماینده</t>
        </is>
      </c>
      <c r="J41" s="93" t="inlineStr"/>
      <c r="K41" s="93" t="inlineStr"/>
      <c r="L41" s="93" t="inlineStr">
        <is>
          <t>UNMATCHED</t>
        </is>
      </c>
      <c r="M41" s="93" t="inlineStr">
        <is>
          <t>تطبیق نامشخص برای نماینده؛ تغییر شخص حقوقی دارنده</t>
        </is>
      </c>
      <c r="N41" s="93" t="inlineStr"/>
      <c r="O41" s="93" t="inlineStr">
        <is>
          <t>1404/08/12</t>
        </is>
      </c>
      <c r="P41" s="93" t="inlineStr">
        <is>
          <t>1310210</t>
        </is>
      </c>
      <c r="Q41" s="93" t="inlineStr">
        <is>
          <t>1433770</t>
        </is>
      </c>
      <c r="R41" s="93" t="inlineStr">
        <is>
          <t>ناکافی برای نماینده؛ کافی با محدودیت برای دارنده</t>
        </is>
      </c>
      <c r="S41" s="93" t="inlineStr">
        <is>
          <t>نماینده نامشخص؛ به صفر تغییر یا خروج تبدیل نشد</t>
        </is>
      </c>
    </row>
    <row r="42" ht="40" customHeight="1" s="76">
      <c r="A42" s="93" t="inlineStr">
        <is>
          <t>SC0039</t>
        </is>
      </c>
      <c r="B42" s="93" t="inlineStr">
        <is>
          <t>حکشتی</t>
        </is>
      </c>
      <c r="C42" s="93" t="inlineStr">
        <is>
          <t>پنجره مشترک</t>
        </is>
      </c>
      <c r="D42" s="93" t="inlineStr">
        <is>
          <t>سرمایه گذاری استان گیلان → سیستان و بلوچستان</t>
        </is>
      </c>
      <c r="E42" s="93" t="inlineStr">
        <is>
          <t>جایگزینی دارنده طبق خوانش v38</t>
        </is>
      </c>
      <c r="F42" s="93" t="inlineStr">
        <is>
          <t>سرمایه گذاری استان گیلان</t>
        </is>
      </c>
      <c r="G42" s="93" t="inlineStr">
        <is>
          <t>سیستان و بلوچستان</t>
        </is>
      </c>
      <c r="H42" s="93" t="inlineStr">
        <is>
          <t>فاقد نماینده</t>
        </is>
      </c>
      <c r="I42" s="93" t="inlineStr">
        <is>
          <t>فاقد نماینده</t>
        </is>
      </c>
      <c r="J42" s="93" t="inlineStr"/>
      <c r="K42" s="93" t="inlineStr"/>
      <c r="L42" s="93" t="inlineStr">
        <is>
          <t>UNMATCHED</t>
        </is>
      </c>
      <c r="M42" s="93" t="inlineStr">
        <is>
          <t>تطبیق نامشخص برای نماینده؛ تغییر شخص حقوقی دارنده</t>
        </is>
      </c>
      <c r="N42" s="93" t="inlineStr"/>
      <c r="O42" s="93" t="inlineStr">
        <is>
          <t>1404/08/12</t>
        </is>
      </c>
      <c r="P42" s="93" t="inlineStr">
        <is>
          <t>1310210</t>
        </is>
      </c>
      <c r="Q42" s="93" t="inlineStr">
        <is>
          <t>1433770</t>
        </is>
      </c>
      <c r="R42" s="93" t="inlineStr">
        <is>
          <t>ناکافی برای نماینده؛ کافی با محدودیت برای دارنده</t>
        </is>
      </c>
      <c r="S42" s="93" t="inlineStr">
        <is>
          <t>نماینده نامشخص؛ به صفر تغییر یا خروج تبدیل نشد</t>
        </is>
      </c>
    </row>
    <row r="43" ht="40" customHeight="1" s="76">
      <c r="A43" s="93" t="inlineStr">
        <is>
          <t>SC0040</t>
        </is>
      </c>
      <c r="B43" s="93" t="inlineStr">
        <is>
          <t>حکشتی</t>
        </is>
      </c>
      <c r="C43" s="93" t="inlineStr">
        <is>
          <t>پنجره مشترک</t>
        </is>
      </c>
      <c r="D43" s="93" t="inlineStr">
        <is>
          <t>سرمایه گذاری تامین اجتماعی</t>
        </is>
      </c>
      <c r="E43" s="93" t="inlineStr">
        <is>
          <t>نام دارنده حقوقی</t>
        </is>
      </c>
      <c r="F43" s="93" t="inlineStr">
        <is>
          <t>سرمایه گذاری تأمین اجتماعی</t>
        </is>
      </c>
      <c r="G43" s="93" t="inlineStr">
        <is>
          <t>سرمایه گذاری تأمین اجتماعی</t>
        </is>
      </c>
      <c r="H43" s="93" t="inlineStr">
        <is>
          <t>فاقد نماینده</t>
        </is>
      </c>
      <c r="I43" s="93" t="inlineStr">
        <is>
          <t>فاقد نماینده</t>
        </is>
      </c>
      <c r="J43" s="93" t="inlineStr"/>
      <c r="K43" s="93" t="inlineStr"/>
      <c r="L43" s="93" t="inlineStr">
        <is>
          <t>UNMATCHED</t>
        </is>
      </c>
      <c r="M43" s="93" t="inlineStr">
        <is>
          <t>تطبیق نامشخص برای نماینده؛ دارنده حقوقی ثابت</t>
        </is>
      </c>
      <c r="N43" s="93" t="inlineStr"/>
      <c r="O43" s="93" t="inlineStr"/>
      <c r="P43" s="93" t="inlineStr">
        <is>
          <t>1310210</t>
        </is>
      </c>
      <c r="Q43" s="93" t="inlineStr">
        <is>
          <t>1433770</t>
        </is>
      </c>
      <c r="R43" s="93" t="inlineStr">
        <is>
          <t>ناکافی برای نماینده؛ کافی با محدودیت برای دارنده</t>
        </is>
      </c>
      <c r="S43" s="93" t="inlineStr">
        <is>
          <t>نماینده نامشخص؛ به صفر تغییر یا خروج تبدیل نشد</t>
        </is>
      </c>
    </row>
    <row r="44" ht="40" customHeight="1" s="76">
      <c r="A44" s="93" t="inlineStr">
        <is>
          <t>SC0041</t>
        </is>
      </c>
      <c r="B44" s="93" t="inlineStr">
        <is>
          <t>حکشتی</t>
        </is>
      </c>
      <c r="C44" s="93" t="inlineStr">
        <is>
          <t>پنجره مشترک</t>
        </is>
      </c>
      <c r="D44" s="93" t="inlineStr">
        <is>
          <t>سرمایه گذاری صبا تامین</t>
        </is>
      </c>
      <c r="E44" s="93" t="inlineStr">
        <is>
          <t>نام دارنده حقوقی</t>
        </is>
      </c>
      <c r="F44" s="93" t="inlineStr">
        <is>
          <t>سرمایه گذاری صبا تأمین</t>
        </is>
      </c>
      <c r="G44" s="93" t="inlineStr">
        <is>
          <t>سرمایه گذاری صبا تأمین</t>
        </is>
      </c>
      <c r="H44" s="93" t="inlineStr">
        <is>
          <t>فاقد نماینده</t>
        </is>
      </c>
      <c r="I44" s="93" t="inlineStr">
        <is>
          <t>فاقد نماینده</t>
        </is>
      </c>
      <c r="J44" s="93" t="inlineStr"/>
      <c r="K44" s="93" t="inlineStr"/>
      <c r="L44" s="93" t="inlineStr">
        <is>
          <t>UNMATCHED</t>
        </is>
      </c>
      <c r="M44" s="93" t="inlineStr">
        <is>
          <t>تطبیق نامشخص برای نماینده؛ دارنده حقوقی ثابت</t>
        </is>
      </c>
      <c r="N44" s="93" t="inlineStr"/>
      <c r="O44" s="93" t="inlineStr"/>
      <c r="P44" s="93" t="inlineStr">
        <is>
          <t>1310210</t>
        </is>
      </c>
      <c r="Q44" s="93" t="inlineStr">
        <is>
          <t>1433770</t>
        </is>
      </c>
      <c r="R44" s="93" t="inlineStr">
        <is>
          <t>ناکافی برای نماینده؛ کافی با محدودیت برای دارنده</t>
        </is>
      </c>
      <c r="S44" s="93" t="inlineStr">
        <is>
          <t>نماینده نامشخص؛ به صفر تغییر یا خروج تبدیل نشد</t>
        </is>
      </c>
    </row>
  </sheetData>
  <autoFilter ref="A3:S44"/>
  <mergeCells count="2">
    <mergeCell ref="A2:S2"/>
    <mergeCell ref="A1:S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Q77"/>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9" customWidth="1" style="76" min="1" max="1"/>
    <col width="9" customWidth="1" style="76" min="2" max="2"/>
    <col width="22" customWidth="1" style="76" min="3" max="3"/>
    <col width="24" customWidth="1" style="76" min="4" max="4"/>
    <col width="28" customWidth="1" style="76" min="5" max="5"/>
    <col width="18" customWidth="1" style="76" min="6" max="6"/>
    <col width="18" customWidth="1" style="76" min="7" max="7"/>
    <col width="13" customWidth="1" style="76" min="8" max="8"/>
    <col width="22" customWidth="1" style="76" min="9" max="9"/>
    <col width="13" customWidth="1" style="76" min="10" max="10"/>
    <col width="12" customWidth="1" style="76" min="11" max="11"/>
    <col width="14" customWidth="1" style="76" min="12" max="12"/>
    <col width="20" customWidth="1" style="76" min="13" max="13"/>
    <col width="16" customWidth="1" style="76" min="14" max="14"/>
    <col width="18" customWidth="1" style="76" min="15" max="15"/>
    <col width="12" customWidth="1" style="76" min="16" max="16"/>
    <col width="50" customWidth="1" style="76" min="17" max="17"/>
  </cols>
  <sheetData>
    <row r="1" ht="26" customHeight="1" s="76">
      <c r="A1" s="89" t="inlineStr">
        <is>
          <t>رویدادهای مستند داخل دوره</t>
        </is>
      </c>
    </row>
    <row r="2" ht="44" customHeight="1" s="76">
      <c r="A2" s="90" t="inlineStr">
        <is>
          <t>مقایسه دو فهرست ابتدا و انتها همه رویدادهای میانی را نشان نمی دهد؛ فردی که خارج و دوباره وارد شده در هر دو مقطع حاضر است ولی دو رویداد دارد. تاریخ موثر، تاریخ جلسه و تاریخ انتشار جدا ثبت شده اند و تاریخ نامشخص با روز ساختگی پر نشده است. تا کامل شدن زنجیره، تعداد رویدادهای شناسایی شده تعداد قطعی همه رویدادها نیست. CR1A بر پایه تفاوت هویت رئیس در دو مقطع است و تعداد رویدادهای تغییر رئیس جداست.</t>
        </is>
      </c>
    </row>
    <row r="3" ht="42" customHeight="1" s="76">
      <c r="A3" s="91" t="inlineStr">
        <is>
          <t>شناسه رویداد</t>
        </is>
      </c>
      <c r="B3" s="91" t="inlineStr">
        <is>
          <t>نماد</t>
        </is>
      </c>
      <c r="C3" s="91" t="inlineStr">
        <is>
          <t>نوع رویداد</t>
        </is>
      </c>
      <c r="D3" s="91" t="inlineStr">
        <is>
          <t>شخص</t>
        </is>
      </c>
      <c r="E3" s="91" t="inlineStr">
        <is>
          <t>شخص حقوقی یا کرسی</t>
        </is>
      </c>
      <c r="F3" s="91" t="inlineStr">
        <is>
          <t>از</t>
        </is>
      </c>
      <c r="G3" s="91" t="inlineStr">
        <is>
          <t>به</t>
        </is>
      </c>
      <c r="H3" s="91" t="inlineStr">
        <is>
          <t>تاریخ موثر</t>
        </is>
      </c>
      <c r="I3" s="91" t="inlineStr">
        <is>
          <t>نوع تاریخ</t>
        </is>
      </c>
      <c r="J3" s="91" t="inlineStr">
        <is>
          <t>تاریخ انتشار</t>
        </is>
      </c>
      <c r="K3" s="91" t="inlineStr">
        <is>
          <t>داخل پنجره مشترک</t>
        </is>
      </c>
      <c r="L3" s="91" t="inlineStr">
        <is>
          <t>در مقایسه دو مقطع دیده می شود</t>
        </is>
      </c>
      <c r="M3" s="91" t="inlineStr">
        <is>
          <t>افق مشاهده</t>
        </is>
      </c>
      <c r="N3" s="91" t="inlineStr">
        <is>
          <t>زنجیره رویدادها کامل</t>
        </is>
      </c>
      <c r="O3" s="91" t="inlineStr">
        <is>
          <t>منبع</t>
        </is>
      </c>
      <c r="P3" s="91" t="inlineStr">
        <is>
          <t>اطمینان</t>
        </is>
      </c>
      <c r="Q3" s="91" t="inlineStr">
        <is>
          <t>یادداشت</t>
        </is>
      </c>
    </row>
    <row r="4" ht="45" customHeight="1" s="76">
      <c r="A4" s="92" t="inlineStr">
        <is>
          <t>EV0001</t>
        </is>
      </c>
      <c r="B4" s="92" t="inlineStr">
        <is>
          <t>تاپیکو</t>
        </is>
      </c>
      <c r="C4" s="92" t="inlineStr">
        <is>
          <t>خروج نماینده</t>
        </is>
      </c>
      <c r="D4" s="92" t="inlineStr">
        <is>
          <t>عبدالکریم پهلوانی</t>
        </is>
      </c>
      <c r="E4" s="92" t="inlineStr">
        <is>
          <t>سرمایه گذاری تأمین اجتماعی (شستا)</t>
        </is>
      </c>
      <c r="F4" s="92" t="inlineStr">
        <is>
          <t>پهلوانی</t>
        </is>
      </c>
      <c r="G4" s="92" t="inlineStr"/>
      <c r="H4" s="92" t="inlineStr">
        <is>
          <t>1404/01/23</t>
        </is>
      </c>
      <c r="I4" s="92" t="inlineStr">
        <is>
          <t>تاریخ حذف در اطلاعیه</t>
        </is>
      </c>
      <c r="J4" s="92" t="inlineStr"/>
      <c r="K4" s="92" t="inlineStr">
        <is>
          <t>بله</t>
        </is>
      </c>
      <c r="L4" s="92" t="inlineStr">
        <is>
          <t>بله</t>
        </is>
      </c>
      <c r="M4" s="92" t="inlineStr">
        <is>
          <t>تا 1404/12/29</t>
        </is>
      </c>
      <c r="N4" s="92" t="inlineStr">
        <is>
          <t>تحلیل v38؛ بازبینی سند در این جلسه ممکن نشد</t>
        </is>
      </c>
      <c r="O4" s="92" t="inlineStr">
        <is>
          <t>1333972</t>
        </is>
      </c>
      <c r="P4" s="92" t="inlineStr">
        <is>
          <t>Confirmed</t>
        </is>
      </c>
      <c r="Q4" s="92" t="inlineStr">
        <is>
          <t>نماینده قبلی حذف شد و کرسی تا 1404/06/26 بدون نماینده بود</t>
        </is>
      </c>
    </row>
    <row r="5" ht="45" customHeight="1" s="76">
      <c r="A5" s="92" t="inlineStr">
        <is>
          <t>EV0002</t>
        </is>
      </c>
      <c r="B5" s="92" t="inlineStr">
        <is>
          <t>تاپیکو</t>
        </is>
      </c>
      <c r="C5" s="92" t="inlineStr">
        <is>
          <t>ورود نماینده</t>
        </is>
      </c>
      <c r="D5" s="92" t="inlineStr">
        <is>
          <t>روح اله شهیدی پور</t>
        </is>
      </c>
      <c r="E5" s="92" t="inlineStr">
        <is>
          <t>سرمایه گذاری تأمین اجتماعی (شستا)</t>
        </is>
      </c>
      <c r="F5" s="92" t="inlineStr"/>
      <c r="G5" s="92" t="inlineStr">
        <is>
          <t>شهیدی پور</t>
        </is>
      </c>
      <c r="H5" s="92" t="inlineStr">
        <is>
          <t>1404/06/26</t>
        </is>
      </c>
      <c r="I5" s="92" t="inlineStr">
        <is>
          <t>جلسه هیئت مدیره</t>
        </is>
      </c>
      <c r="J5" s="92" t="inlineStr">
        <is>
          <t>1404/07/01</t>
        </is>
      </c>
      <c r="K5" s="92" t="inlineStr">
        <is>
          <t>بله</t>
        </is>
      </c>
      <c r="L5" s="92" t="inlineStr">
        <is>
          <t>بله</t>
        </is>
      </c>
      <c r="M5" s="92" t="inlineStr">
        <is>
          <t>تا 1404/12/29</t>
        </is>
      </c>
      <c r="N5" s="92" t="inlineStr">
        <is>
          <t>تحلیل v38؛ بازبینی سند در این جلسه ممکن نشد</t>
        </is>
      </c>
      <c r="O5" s="92" t="inlineStr">
        <is>
          <t>1408462</t>
        </is>
      </c>
      <c r="P5" s="92" t="inlineStr">
        <is>
          <t>Confirmed</t>
        </is>
      </c>
      <c r="Q5" s="92" t="inlineStr"/>
    </row>
    <row r="6" ht="45" customHeight="1" s="76">
      <c r="A6" s="92" t="inlineStr">
        <is>
          <t>EV0003</t>
        </is>
      </c>
      <c r="B6" s="92" t="inlineStr">
        <is>
          <t>تاپیکو</t>
        </is>
      </c>
      <c r="C6" s="92" t="inlineStr">
        <is>
          <t>تغییر نماینده</t>
        </is>
      </c>
      <c r="D6" s="92" t="inlineStr">
        <is>
          <t>اکبر محققی تا کمیل پورضیائی</t>
        </is>
      </c>
      <c r="E6" s="92" t="inlineStr">
        <is>
          <t>سرمایه گذاری صبا تأمین</t>
        </is>
      </c>
      <c r="F6" s="92" t="inlineStr">
        <is>
          <t>محققی</t>
        </is>
      </c>
      <c r="G6" s="92" t="inlineStr">
        <is>
          <t>پورضیائی</t>
        </is>
      </c>
      <c r="H6" s="92" t="inlineStr">
        <is>
          <t>1404/05/01</t>
        </is>
      </c>
      <c r="I6" s="92" t="inlineStr">
        <is>
          <t>جلسه هیئت مدیره</t>
        </is>
      </c>
      <c r="J6" s="92" t="inlineStr">
        <is>
          <t>1404/05/04</t>
        </is>
      </c>
      <c r="K6" s="92" t="inlineStr">
        <is>
          <t>بله</t>
        </is>
      </c>
      <c r="L6" s="92" t="inlineStr">
        <is>
          <t>بله</t>
        </is>
      </c>
      <c r="M6" s="92" t="inlineStr">
        <is>
          <t>تا 1404/12/29</t>
        </is>
      </c>
      <c r="N6" s="92" t="inlineStr">
        <is>
          <t>تحلیل v38؛ بازبینی سند در این جلسه ممکن نشد</t>
        </is>
      </c>
      <c r="O6" s="92" t="inlineStr">
        <is>
          <t>1379918</t>
        </is>
      </c>
      <c r="P6" s="92" t="inlineStr">
        <is>
          <t>Confirmed</t>
        </is>
      </c>
      <c r="Q6" s="92" t="inlineStr"/>
    </row>
    <row r="7" ht="45" customHeight="1" s="76">
      <c r="A7" s="92" t="inlineStr">
        <is>
          <t>EV0004</t>
        </is>
      </c>
      <c r="B7" s="92" t="inlineStr">
        <is>
          <t>تاپیکو</t>
        </is>
      </c>
      <c r="C7" s="92" t="inlineStr">
        <is>
          <t>تغییر نماینده</t>
        </is>
      </c>
      <c r="D7" s="92" t="inlineStr">
        <is>
          <t>جعفر ربیعی تا محمدحسین صابر</t>
        </is>
      </c>
      <c r="E7" s="92" t="inlineStr">
        <is>
          <t>سرمایه گذاری داروئی تأمین</t>
        </is>
      </c>
      <c r="F7" s="92" t="inlineStr">
        <is>
          <t>ربیعی</t>
        </is>
      </c>
      <c r="G7" s="92" t="inlineStr">
        <is>
          <t>صابر</t>
        </is>
      </c>
      <c r="H7" s="92" t="inlineStr">
        <is>
          <t>1404/06/26</t>
        </is>
      </c>
      <c r="I7" s="92" t="inlineStr">
        <is>
          <t>جلسه هیئت مدیره</t>
        </is>
      </c>
      <c r="J7" s="92" t="inlineStr">
        <is>
          <t>1404/07/01</t>
        </is>
      </c>
      <c r="K7" s="92" t="inlineStr">
        <is>
          <t>بله</t>
        </is>
      </c>
      <c r="L7" s="92" t="inlineStr">
        <is>
          <t>بله</t>
        </is>
      </c>
      <c r="M7" s="92" t="inlineStr">
        <is>
          <t>تا 1404/12/29</t>
        </is>
      </c>
      <c r="N7" s="92" t="inlineStr">
        <is>
          <t>تحلیل v38؛ بازبینی سند در این جلسه ممکن نشد</t>
        </is>
      </c>
      <c r="O7" s="92" t="inlineStr">
        <is>
          <t>1408462</t>
        </is>
      </c>
      <c r="P7" s="92" t="inlineStr">
        <is>
          <t>Confirmed</t>
        </is>
      </c>
      <c r="Q7" s="92" t="inlineStr"/>
    </row>
    <row r="8" ht="45" customHeight="1" s="76">
      <c r="A8" s="92" t="inlineStr">
        <is>
          <t>EV0005</t>
        </is>
      </c>
      <c r="B8" s="92" t="inlineStr">
        <is>
          <t>تاپیکو</t>
        </is>
      </c>
      <c r="C8" s="92" t="inlineStr">
        <is>
          <t>تغییر رئیس</t>
        </is>
      </c>
      <c r="D8" s="92" t="inlineStr">
        <is>
          <t>جعفر ربیعی تا محمدمهدی رحمتی</t>
        </is>
      </c>
      <c r="E8" s="92" t="inlineStr">
        <is>
          <t>رئیس هیئت مدیره</t>
        </is>
      </c>
      <c r="F8" s="92" t="inlineStr">
        <is>
          <t>ربیعی</t>
        </is>
      </c>
      <c r="G8" s="92" t="inlineStr">
        <is>
          <t>رحمتی</t>
        </is>
      </c>
      <c r="H8" s="92" t="inlineStr">
        <is>
          <t>1404/06/26</t>
        </is>
      </c>
      <c r="I8" s="92" t="inlineStr">
        <is>
          <t>جلسه هیئت مدیره</t>
        </is>
      </c>
      <c r="J8" s="92" t="inlineStr">
        <is>
          <t>1404/07/01</t>
        </is>
      </c>
      <c r="K8" s="92" t="inlineStr">
        <is>
          <t>بله</t>
        </is>
      </c>
      <c r="L8" s="92" t="inlineStr">
        <is>
          <t>بله</t>
        </is>
      </c>
      <c r="M8" s="92" t="inlineStr">
        <is>
          <t>تا 1404/12/29</t>
        </is>
      </c>
      <c r="N8" s="92" t="inlineStr">
        <is>
          <t>تحلیل v38؛ بازبینی سند در این جلسه ممکن نشد</t>
        </is>
      </c>
      <c r="O8" s="92" t="inlineStr">
        <is>
          <t>1408462</t>
        </is>
      </c>
      <c r="P8" s="92" t="inlineStr">
        <is>
          <t>Confirmed</t>
        </is>
      </c>
      <c r="Q8" s="92" t="inlineStr"/>
    </row>
    <row r="9" ht="45" customHeight="1" s="76">
      <c r="A9" s="92" t="inlineStr">
        <is>
          <t>EV0006</t>
        </is>
      </c>
      <c r="B9" s="92" t="inlineStr">
        <is>
          <t>تاپیکو</t>
        </is>
      </c>
      <c r="C9" s="92" t="inlineStr">
        <is>
          <t>تغییر سمت میانی</t>
        </is>
      </c>
      <c r="D9" s="92" t="inlineStr">
        <is>
          <t>هوشنگ ایزدی</t>
        </is>
      </c>
      <c r="E9" s="92" t="inlineStr">
        <is>
          <t>سرمایه گذاری سیمان تأمین</t>
        </is>
      </c>
      <c r="F9" s="92" t="inlineStr">
        <is>
          <t>عضو</t>
        </is>
      </c>
      <c r="G9" s="92" t="inlineStr">
        <is>
          <t>نایب رئیس</t>
        </is>
      </c>
      <c r="H9" s="92" t="inlineStr">
        <is>
          <t>1404/05/01</t>
        </is>
      </c>
      <c r="I9" s="92" t="inlineStr">
        <is>
          <t>جلسه هیئت مدیره</t>
        </is>
      </c>
      <c r="J9" s="92" t="inlineStr"/>
      <c r="K9" s="92" t="inlineStr">
        <is>
          <t>بله</t>
        </is>
      </c>
      <c r="L9" s="92" t="inlineStr">
        <is>
          <t>خیر</t>
        </is>
      </c>
      <c r="M9" s="92" t="inlineStr">
        <is>
          <t>تا 1404/12/29</t>
        </is>
      </c>
      <c r="N9" s="92" t="inlineStr">
        <is>
          <t>تحلیل v38؛ بازبینی سند در این جلسه ممکن نشد</t>
        </is>
      </c>
      <c r="O9" s="92" t="inlineStr">
        <is>
          <t>Turnover Resolution Audit ردیف سیمان تأمین</t>
        </is>
      </c>
      <c r="P9" s="92" t="inlineStr">
        <is>
          <t>Confirmed</t>
        </is>
      </c>
      <c r="Q9" s="92" t="inlineStr">
        <is>
          <t>سمت میانی نایب رئیس تا 1404/06/26 و برگشت به عضو؛ دو نقطه انتهایی آن را نشان نمی دهند</t>
        </is>
      </c>
    </row>
    <row r="10" ht="45" customHeight="1" s="76">
      <c r="A10" s="92" t="inlineStr">
        <is>
          <t>EV0007</t>
        </is>
      </c>
      <c r="B10" s="92" t="inlineStr">
        <is>
          <t>کچاد</t>
        </is>
      </c>
      <c r="C10" s="92" t="inlineStr">
        <is>
          <t>تغییر نماینده</t>
        </is>
      </c>
      <c r="D10" s="92" t="inlineStr">
        <is>
          <t>محمود صلاحی تا محمدرضا تابش</t>
        </is>
      </c>
      <c r="E10" s="92" t="inlineStr">
        <is>
          <t>گروه مدیریت سرمایه گذاری امید</t>
        </is>
      </c>
      <c r="F10" s="92" t="inlineStr">
        <is>
          <t>صلاحی</t>
        </is>
      </c>
      <c r="G10" s="92" t="inlineStr">
        <is>
          <t>تابش</t>
        </is>
      </c>
      <c r="H10" s="92" t="inlineStr">
        <is>
          <t>1404/02/24</t>
        </is>
      </c>
      <c r="I10" s="92" t="inlineStr">
        <is>
          <t>جلسه هیئت مدیره</t>
        </is>
      </c>
      <c r="J10" s="92" t="inlineStr">
        <is>
          <t>1404/02/24</t>
        </is>
      </c>
      <c r="K10" s="92" t="inlineStr">
        <is>
          <t>بله</t>
        </is>
      </c>
      <c r="L10" s="92" t="inlineStr">
        <is>
          <t>بله</t>
        </is>
      </c>
      <c r="M10" s="92" t="inlineStr">
        <is>
          <t>تا 1404/12/29</t>
        </is>
      </c>
      <c r="N10" s="92" t="inlineStr">
        <is>
          <t>تحلیل v38؛ بازبینی سند در این جلسه ممکن نشد</t>
        </is>
      </c>
      <c r="O10" s="92" t="inlineStr">
        <is>
          <t>1343237</t>
        </is>
      </c>
      <c r="P10" s="92" t="inlineStr">
        <is>
          <t>Confirmed</t>
        </is>
      </c>
      <c r="Q10" s="92" t="inlineStr"/>
    </row>
    <row r="11" ht="45" customHeight="1" s="76">
      <c r="A11" s="92" t="inlineStr">
        <is>
          <t>EV0008</t>
        </is>
      </c>
      <c r="B11" s="92" t="inlineStr">
        <is>
          <t>کچاد</t>
        </is>
      </c>
      <c r="C11" s="92" t="inlineStr">
        <is>
          <t>تغییر رئیس</t>
        </is>
      </c>
      <c r="D11" s="92" t="inlineStr">
        <is>
          <t>محمود صلاحی تا محمدرضا تابش</t>
        </is>
      </c>
      <c r="E11" s="92" t="inlineStr">
        <is>
          <t>رئیس هیئت مدیره</t>
        </is>
      </c>
      <c r="F11" s="92" t="inlineStr">
        <is>
          <t>صلاحی</t>
        </is>
      </c>
      <c r="G11" s="92" t="inlineStr">
        <is>
          <t>تابش</t>
        </is>
      </c>
      <c r="H11" s="92" t="inlineStr">
        <is>
          <t>1404/02/24</t>
        </is>
      </c>
      <c r="I11" s="92" t="inlineStr">
        <is>
          <t>جلسه هیئت مدیره</t>
        </is>
      </c>
      <c r="J11" s="92" t="inlineStr">
        <is>
          <t>1404/02/24</t>
        </is>
      </c>
      <c r="K11" s="92" t="inlineStr">
        <is>
          <t>بله</t>
        </is>
      </c>
      <c r="L11" s="92" t="inlineStr">
        <is>
          <t>بله</t>
        </is>
      </c>
      <c r="M11" s="92" t="inlineStr">
        <is>
          <t>تا 1404/12/29</t>
        </is>
      </c>
      <c r="N11" s="92" t="inlineStr">
        <is>
          <t>تحلیل v38؛ بازبینی سند در این جلسه ممکن نشد</t>
        </is>
      </c>
      <c r="O11" s="92" t="inlineStr">
        <is>
          <t>1343237</t>
        </is>
      </c>
      <c r="P11" s="92" t="inlineStr">
        <is>
          <t>Confirmed</t>
        </is>
      </c>
      <c r="Q11" s="92" t="inlineStr"/>
    </row>
    <row r="12" ht="45" customHeight="1" s="76">
      <c r="A12" s="92" t="inlineStr">
        <is>
          <t>EV0009</t>
        </is>
      </c>
      <c r="B12" s="92" t="inlineStr">
        <is>
          <t>کچاد</t>
        </is>
      </c>
      <c r="C12" s="92" t="inlineStr">
        <is>
          <t>تغییر نماینده</t>
        </is>
      </c>
      <c r="D12" s="92" t="inlineStr">
        <is>
          <t>سعید مستشار تا حامد دهقانان</t>
        </is>
      </c>
      <c r="E12" s="92" t="inlineStr">
        <is>
          <t>سرمایه گذاری سپه</t>
        </is>
      </c>
      <c r="F12" s="92" t="inlineStr">
        <is>
          <t>مستشار</t>
        </is>
      </c>
      <c r="G12" s="92" t="inlineStr">
        <is>
          <t>دهقانان</t>
        </is>
      </c>
      <c r="H12" s="92" t="inlineStr">
        <is>
          <t>1404/02/24</t>
        </is>
      </c>
      <c r="I12" s="92" t="inlineStr">
        <is>
          <t>جلسه هیئت مدیره</t>
        </is>
      </c>
      <c r="J12" s="92" t="inlineStr">
        <is>
          <t>1404/02/24</t>
        </is>
      </c>
      <c r="K12" s="92" t="inlineStr">
        <is>
          <t>بله</t>
        </is>
      </c>
      <c r="L12" s="92" t="inlineStr">
        <is>
          <t>بله</t>
        </is>
      </c>
      <c r="M12" s="92" t="inlineStr">
        <is>
          <t>تا 1404/12/29</t>
        </is>
      </c>
      <c r="N12" s="92" t="inlineStr">
        <is>
          <t>تحلیل v38؛ بازبینی سند در این جلسه ممکن نشد</t>
        </is>
      </c>
      <c r="O12" s="92" t="inlineStr">
        <is>
          <t>1343237</t>
        </is>
      </c>
      <c r="P12" s="92" t="inlineStr">
        <is>
          <t>Confirmed</t>
        </is>
      </c>
      <c r="Q12" s="92" t="inlineStr"/>
    </row>
    <row r="13" ht="45" customHeight="1" s="76">
      <c r="A13" s="92" t="inlineStr">
        <is>
          <t>EV0010</t>
        </is>
      </c>
      <c r="B13" s="92" t="inlineStr">
        <is>
          <t>کچاد</t>
        </is>
      </c>
      <c r="C13" s="92" t="inlineStr">
        <is>
          <t>تغییر سمت میانی</t>
        </is>
      </c>
      <c r="D13" s="92" t="inlineStr">
        <is>
          <t>حامد دهقانان</t>
        </is>
      </c>
      <c r="E13" s="92" t="inlineStr">
        <is>
          <t>سرمایه گذاری سپه</t>
        </is>
      </c>
      <c r="F13" s="92" t="inlineStr">
        <is>
          <t>نایب رئیس</t>
        </is>
      </c>
      <c r="G13" s="92" t="inlineStr">
        <is>
          <t>عضو</t>
        </is>
      </c>
      <c r="H13" s="92" t="inlineStr">
        <is>
          <t>1404/10/29</t>
        </is>
      </c>
      <c r="I13" s="92" t="inlineStr">
        <is>
          <t>جلسه هیئت مدیره</t>
        </is>
      </c>
      <c r="J13" s="92" t="inlineStr">
        <is>
          <t>1404/10/29</t>
        </is>
      </c>
      <c r="K13" s="92" t="inlineStr">
        <is>
          <t>بله</t>
        </is>
      </c>
      <c r="L13" s="92" t="inlineStr">
        <is>
          <t>خیر</t>
        </is>
      </c>
      <c r="M13" s="92" t="inlineStr">
        <is>
          <t>تا 1404/12/29</t>
        </is>
      </c>
      <c r="N13" s="92" t="inlineStr">
        <is>
          <t>تحلیل v38؛ بازبینی سند در این جلسه ممکن نشد</t>
        </is>
      </c>
      <c r="O13" s="92" t="inlineStr">
        <is>
          <t>1473973</t>
        </is>
      </c>
      <c r="P13" s="92" t="inlineStr">
        <is>
          <t>Confirmed</t>
        </is>
      </c>
      <c r="Q13" s="92" t="inlineStr">
        <is>
          <t>نایب رئیس از 1404/02/24 تا 1404/10/29 و سپس بازگشت به عضو؛ فقط سمت</t>
        </is>
      </c>
    </row>
    <row r="14" ht="45" customHeight="1" s="76">
      <c r="A14" s="92" t="inlineStr">
        <is>
          <t>EV0011</t>
        </is>
      </c>
      <c r="B14" s="92" t="inlineStr">
        <is>
          <t>کچاد</t>
        </is>
      </c>
      <c r="C14" s="92" t="inlineStr">
        <is>
          <t>انتخاب مجدد با تداوم</t>
        </is>
      </c>
      <c r="D14" s="92" t="inlineStr">
        <is>
          <t>اشخاص حقوقی هیئت</t>
        </is>
      </c>
      <c r="E14" s="92" t="inlineStr">
        <is>
          <t>مجمع 1404/05/06</t>
        </is>
      </c>
      <c r="F14" s="92" t="inlineStr"/>
      <c r="G14" s="92" t="inlineStr"/>
      <c r="H14" s="92" t="inlineStr">
        <is>
          <t>1404/05/06</t>
        </is>
      </c>
      <c r="I14" s="92" t="inlineStr">
        <is>
          <t>مجمع</t>
        </is>
      </c>
      <c r="J14" s="92" t="inlineStr"/>
      <c r="K14" s="92" t="inlineStr">
        <is>
          <t>بله</t>
        </is>
      </c>
      <c r="L14" s="92" t="inlineStr">
        <is>
          <t>خیر</t>
        </is>
      </c>
      <c r="M14" s="92" t="inlineStr">
        <is>
          <t>تا 1404/12/29</t>
        </is>
      </c>
      <c r="N14" s="92" t="inlineStr">
        <is>
          <t>تحلیل v38؛ بازبینی سند در این جلسه ممکن نشد</t>
        </is>
      </c>
      <c r="O14" s="92" t="inlineStr">
        <is>
          <t>Turnover Resolution Audit ردیف سپه</t>
        </is>
      </c>
      <c r="P14" s="92" t="inlineStr">
        <is>
          <t>Confirmed</t>
        </is>
      </c>
      <c r="Q14" s="92" t="inlineStr">
        <is>
          <t>انتخاب مجدد اشخاص حقوقی عضو جدید نیست</t>
        </is>
      </c>
    </row>
    <row r="15" ht="45" customHeight="1" s="76">
      <c r="A15" s="92" t="inlineStr">
        <is>
          <t>EV0012</t>
        </is>
      </c>
      <c r="B15" s="92" t="inlineStr">
        <is>
          <t>کچاد</t>
        </is>
      </c>
      <c r="C15" s="92" t="inlineStr">
        <is>
          <t>ورود نماینده موقت</t>
        </is>
      </c>
      <c r="D15" s="92" t="inlineStr">
        <is>
          <t>خدایار کریم نژاد</t>
        </is>
      </c>
      <c r="E15" s="92" t="inlineStr">
        <is>
          <t>سرمایه گذاری استان خوزستان</t>
        </is>
      </c>
      <c r="F15" s="92" t="inlineStr"/>
      <c r="G15" s="92" t="inlineStr">
        <is>
          <t>کریم نژاد</t>
        </is>
      </c>
      <c r="H15" s="92" t="inlineStr">
        <is>
          <t>1404/05/06</t>
        </is>
      </c>
      <c r="I15" s="92" t="inlineStr">
        <is>
          <t>مجمع؛ جلسه 1404/05/20</t>
        </is>
      </c>
      <c r="J15" s="92" t="inlineStr">
        <is>
          <t>1404/05/20</t>
        </is>
      </c>
      <c r="K15" s="92" t="inlineStr">
        <is>
          <t>بله</t>
        </is>
      </c>
      <c r="L15" s="92" t="inlineStr">
        <is>
          <t>خیر</t>
        </is>
      </c>
      <c r="M15" s="92" t="inlineStr">
        <is>
          <t>تا 1404/12/29</t>
        </is>
      </c>
      <c r="N15" s="92" t="inlineStr">
        <is>
          <t>تحلیل v38؛ بازبینی سند در این جلسه ممکن نشد</t>
        </is>
      </c>
      <c r="O15" s="92" t="inlineStr">
        <is>
          <t>1391765</t>
        </is>
      </c>
      <c r="P15" s="92" t="inlineStr">
        <is>
          <t>Confirmed</t>
        </is>
      </c>
      <c r="Q15" s="92" t="inlineStr">
        <is>
          <t>عضو میانی که در هیچ یک از دو مقطع حضور ندارد؛ تاریخ موثر بین مجمع و جلسه ثبت شد</t>
        </is>
      </c>
    </row>
    <row r="16" ht="45" customHeight="1" s="76">
      <c r="A16" s="92" t="inlineStr">
        <is>
          <t>EV0013</t>
        </is>
      </c>
      <c r="B16" s="92" t="inlineStr">
        <is>
          <t>کچاد</t>
        </is>
      </c>
      <c r="C16" s="92" t="inlineStr">
        <is>
          <t>خروج نماینده موقت</t>
        </is>
      </c>
      <c r="D16" s="92" t="inlineStr">
        <is>
          <t>خدایار کریم نژاد</t>
        </is>
      </c>
      <c r="E16" s="92" t="inlineStr">
        <is>
          <t>سرمایه گذاری استان خوزستان</t>
        </is>
      </c>
      <c r="F16" s="92" t="inlineStr">
        <is>
          <t>کریم نژاد</t>
        </is>
      </c>
      <c r="G16" s="92" t="inlineStr"/>
      <c r="H16" s="92" t="inlineStr">
        <is>
          <t>1404/10/29</t>
        </is>
      </c>
      <c r="I16" s="92" t="inlineStr">
        <is>
          <t>جلسه هیئت مدیره</t>
        </is>
      </c>
      <c r="J16" s="92" t="inlineStr">
        <is>
          <t>1404/10/29</t>
        </is>
      </c>
      <c r="K16" s="92" t="inlineStr">
        <is>
          <t>بله</t>
        </is>
      </c>
      <c r="L16" s="92" t="inlineStr">
        <is>
          <t>خیر</t>
        </is>
      </c>
      <c r="M16" s="92" t="inlineStr">
        <is>
          <t>تا 1404/12/29</t>
        </is>
      </c>
      <c r="N16" s="92" t="inlineStr">
        <is>
          <t>تحلیل v38؛ بازبینی سند در این جلسه ممکن نشد</t>
        </is>
      </c>
      <c r="O16" s="92" t="inlineStr">
        <is>
          <t>1473973</t>
        </is>
      </c>
      <c r="P16" s="92" t="inlineStr">
        <is>
          <t>Confirmed</t>
        </is>
      </c>
      <c r="Q16" s="92" t="inlineStr">
        <is>
          <t>جایگزین با مجتبی شعبانی</t>
        </is>
      </c>
    </row>
    <row r="17" ht="45" customHeight="1" s="76">
      <c r="A17" s="92" t="inlineStr">
        <is>
          <t>EV0014</t>
        </is>
      </c>
      <c r="B17" s="92" t="inlineStr">
        <is>
          <t>کچاد</t>
        </is>
      </c>
      <c r="C17" s="92" t="inlineStr">
        <is>
          <t>ورود نماینده</t>
        </is>
      </c>
      <c r="D17" s="92" t="inlineStr">
        <is>
          <t>مجتبی شعبانی</t>
        </is>
      </c>
      <c r="E17" s="92" t="inlineStr">
        <is>
          <t>سرمایه گذاری استان خوزستان</t>
        </is>
      </c>
      <c r="F17" s="92" t="inlineStr"/>
      <c r="G17" s="92" t="inlineStr">
        <is>
          <t>شعبانی</t>
        </is>
      </c>
      <c r="H17" s="92" t="inlineStr">
        <is>
          <t>1404/10/29</t>
        </is>
      </c>
      <c r="I17" s="92" t="inlineStr">
        <is>
          <t>جلسه هیئت مدیره</t>
        </is>
      </c>
      <c r="J17" s="92" t="inlineStr">
        <is>
          <t>1404/10/29</t>
        </is>
      </c>
      <c r="K17" s="92" t="inlineStr">
        <is>
          <t>بله</t>
        </is>
      </c>
      <c r="L17" s="92" t="inlineStr">
        <is>
          <t>بله</t>
        </is>
      </c>
      <c r="M17" s="92" t="inlineStr">
        <is>
          <t>تا 1404/12/29</t>
        </is>
      </c>
      <c r="N17" s="92" t="inlineStr">
        <is>
          <t>تحلیل v38؛ بازبینی سند در این جلسه ممکن نشد</t>
        </is>
      </c>
      <c r="O17" s="92" t="inlineStr">
        <is>
          <t>1473973</t>
        </is>
      </c>
      <c r="P17" s="92" t="inlineStr">
        <is>
          <t>Confirmed</t>
        </is>
      </c>
      <c r="Q17" s="92" t="inlineStr"/>
    </row>
    <row r="18" ht="45" customHeight="1" s="76">
      <c r="A18" s="92" t="inlineStr">
        <is>
          <t>EV0015</t>
        </is>
      </c>
      <c r="B18" s="92" t="inlineStr">
        <is>
          <t>پارسان</t>
        </is>
      </c>
      <c r="C18" s="92" t="inlineStr">
        <is>
          <t>تغییر نماینده</t>
        </is>
      </c>
      <c r="D18" s="92" t="inlineStr">
        <is>
          <t>محمدرضا حیدرزاده تا علی مهری پرگو</t>
        </is>
      </c>
      <c r="E18" s="92" t="inlineStr">
        <is>
          <t>دریابان جنوب ایران کیش</t>
        </is>
      </c>
      <c r="F18" s="92" t="inlineStr">
        <is>
          <t>حیدرزاده</t>
        </is>
      </c>
      <c r="G18" s="92" t="inlineStr">
        <is>
          <t>مهری پرگو</t>
        </is>
      </c>
      <c r="H18" s="92" t="inlineStr">
        <is>
          <t>1404/02/24</t>
        </is>
      </c>
      <c r="I18" s="92" t="inlineStr">
        <is>
          <t>جلسه هیئت مدیره</t>
        </is>
      </c>
      <c r="J18" s="92" t="inlineStr">
        <is>
          <t>1404/02/30</t>
        </is>
      </c>
      <c r="K18" s="92" t="inlineStr">
        <is>
          <t>بله</t>
        </is>
      </c>
      <c r="L18" s="92" t="inlineStr">
        <is>
          <t>بله</t>
        </is>
      </c>
      <c r="M18" s="92" t="inlineStr">
        <is>
          <t>تا 1404/12/29</t>
        </is>
      </c>
      <c r="N18" s="92" t="inlineStr">
        <is>
          <t>تحلیل v38؛ بازبینی سند در این جلسه ممکن نشد</t>
        </is>
      </c>
      <c r="O18" s="92" t="inlineStr">
        <is>
          <t>1345985</t>
        </is>
      </c>
      <c r="P18" s="92" t="inlineStr">
        <is>
          <t>High</t>
        </is>
      </c>
      <c r="Q18" s="92" t="inlineStr"/>
    </row>
    <row r="19" ht="45" customHeight="1" s="76">
      <c r="A19" s="92" t="inlineStr">
        <is>
          <t>EV0016</t>
        </is>
      </c>
      <c r="B19" s="92" t="inlineStr">
        <is>
          <t>پارسان</t>
        </is>
      </c>
      <c r="C19" s="92" t="inlineStr">
        <is>
          <t>تغییر نماینده</t>
        </is>
      </c>
      <c r="D19" s="92" t="inlineStr">
        <is>
          <t>متین دیداری تا علیرضا غلامی</t>
        </is>
      </c>
      <c r="E19" s="92" t="inlineStr">
        <is>
          <t>صنعتی و بازرگانی غدیر</t>
        </is>
      </c>
      <c r="F19" s="92" t="inlineStr">
        <is>
          <t>دیداری</t>
        </is>
      </c>
      <c r="G19" s="92" t="inlineStr">
        <is>
          <t>غلامی</t>
        </is>
      </c>
      <c r="H19" s="92" t="inlineStr">
        <is>
          <t>1404/02/24</t>
        </is>
      </c>
      <c r="I19" s="92" t="inlineStr">
        <is>
          <t>جلسه هیئت مدیره</t>
        </is>
      </c>
      <c r="J19" s="92" t="inlineStr">
        <is>
          <t>1404/02/30</t>
        </is>
      </c>
      <c r="K19" s="92" t="inlineStr">
        <is>
          <t>بله</t>
        </is>
      </c>
      <c r="L19" s="92" t="inlineStr">
        <is>
          <t>بله</t>
        </is>
      </c>
      <c r="M19" s="92" t="inlineStr">
        <is>
          <t>تا 1404/12/29</t>
        </is>
      </c>
      <c r="N19" s="92" t="inlineStr">
        <is>
          <t>تحلیل v38؛ بازبینی سند در این جلسه ممکن نشد</t>
        </is>
      </c>
      <c r="O19" s="92" t="inlineStr">
        <is>
          <t>1345985</t>
        </is>
      </c>
      <c r="P19" s="92" t="inlineStr">
        <is>
          <t>High</t>
        </is>
      </c>
      <c r="Q19" s="92" t="inlineStr"/>
    </row>
    <row r="20" ht="45" customHeight="1" s="76">
      <c r="A20" s="92" t="inlineStr">
        <is>
          <t>EV0017</t>
        </is>
      </c>
      <c r="B20" s="92" t="inlineStr">
        <is>
          <t>پارسان</t>
        </is>
      </c>
      <c r="C20" s="92" t="inlineStr">
        <is>
          <t>تغییر دارنده در مجمع</t>
        </is>
      </c>
      <c r="D20" s="92" t="inlineStr">
        <is>
          <t>سرمایه گذاری مهرگان تأمین پارس و دریابان</t>
        </is>
      </c>
      <c r="E20" s="92" t="inlineStr">
        <is>
          <t>دو کرسی</t>
        </is>
      </c>
      <c r="F20" s="92" t="inlineStr">
        <is>
          <t>مهرگان تأمین پارس و دریابان</t>
        </is>
      </c>
      <c r="G20" s="92" t="inlineStr">
        <is>
          <t>زرین پرشیا و نماد غدیر</t>
        </is>
      </c>
      <c r="H20" s="92" t="inlineStr">
        <is>
          <t>1404/10/23</t>
        </is>
      </c>
      <c r="I20" s="92" t="inlineStr">
        <is>
          <t>مجمع</t>
        </is>
      </c>
      <c r="J20" s="92" t="inlineStr"/>
      <c r="K20" s="92" t="inlineStr">
        <is>
          <t>بله</t>
        </is>
      </c>
      <c r="L20" s="92" t="inlineStr">
        <is>
          <t>خیر</t>
        </is>
      </c>
      <c r="M20" s="92" t="inlineStr">
        <is>
          <t>تا 1404/12/29</t>
        </is>
      </c>
      <c r="N20" s="92" t="inlineStr">
        <is>
          <t>تحلیل v38؛ بازبینی سند در این جلسه ممکن نشد</t>
        </is>
      </c>
      <c r="O20" s="92" t="inlineStr">
        <is>
          <t>1515744 و 1515813 و 1551463</t>
        </is>
      </c>
      <c r="P20" s="92" t="inlineStr">
        <is>
          <t>High</t>
        </is>
      </c>
      <c r="Q20" s="92" t="inlineStr">
        <is>
          <t>v38 آن را تا Cutoff عملیاتی ندانست؛ نمایندگان تازه در جلسه 1405/02/08 پس از Cutoff ثبت شدند؛ اثر بر فهرست پایان حساسیت است</t>
        </is>
      </c>
    </row>
    <row r="21" ht="45" customHeight="1" s="76">
      <c r="A21" s="92" t="inlineStr">
        <is>
          <t>EV0018</t>
        </is>
      </c>
      <c r="B21" s="92" t="inlineStr">
        <is>
          <t>جم</t>
        </is>
      </c>
      <c r="C21" s="92" t="inlineStr">
        <is>
          <t>تغییر شخص حقوقی</t>
        </is>
      </c>
      <c r="D21" s="92" t="inlineStr">
        <is>
          <t>متین دیداری</t>
        </is>
      </c>
      <c r="E21" s="92" t="inlineStr">
        <is>
          <t>کرسی دیداری (تأمین تا هامون)</t>
        </is>
      </c>
      <c r="F21" s="92" t="inlineStr">
        <is>
          <t>سرمایه گذاری نفت و گاز و پتروشیمی تأمین</t>
        </is>
      </c>
      <c r="G21" s="92" t="inlineStr">
        <is>
          <t>گسترش تجارت هامون</t>
        </is>
      </c>
      <c r="H21" s="92" t="inlineStr">
        <is>
          <t>1404/06/04</t>
        </is>
      </c>
      <c r="I21" s="92" t="inlineStr">
        <is>
          <t>جلسه هیئت مدیره</t>
        </is>
      </c>
      <c r="J21" s="92" t="inlineStr">
        <is>
          <t>1404/06/05</t>
        </is>
      </c>
      <c r="K21" s="92" t="inlineStr">
        <is>
          <t>بله</t>
        </is>
      </c>
      <c r="L21" s="92" t="inlineStr">
        <is>
          <t>بله</t>
        </is>
      </c>
      <c r="M21" s="92" t="inlineStr">
        <is>
          <t>تا 1404/12/29</t>
        </is>
      </c>
      <c r="N21" s="92" t="inlineStr">
        <is>
          <t>تحلیل v38؛ بازبینی سند در این جلسه ممکن نشد</t>
        </is>
      </c>
      <c r="O21" s="92" t="inlineStr">
        <is>
          <t>1398534</t>
        </is>
      </c>
      <c r="P21" s="92" t="inlineStr">
        <is>
          <t>High</t>
        </is>
      </c>
      <c r="Q21" s="92" t="inlineStr">
        <is>
          <t>نماینده ثابت ماند</t>
        </is>
      </c>
    </row>
    <row r="22" ht="45" customHeight="1" s="76">
      <c r="A22" s="92" t="inlineStr">
        <is>
          <t>EV0019</t>
        </is>
      </c>
      <c r="B22" s="92" t="inlineStr">
        <is>
          <t>جم</t>
        </is>
      </c>
      <c r="C22" s="92" t="inlineStr">
        <is>
          <t>جابجایی بین کرسی ها</t>
        </is>
      </c>
      <c r="D22" s="92" t="inlineStr">
        <is>
          <t>محمدهاشم نجفی اردکانی و امیر اکبری</t>
        </is>
      </c>
      <c r="E22" s="92" t="inlineStr">
        <is>
          <t>صبا انرژی جهان گستر و خدمات گستر صبا انرژی</t>
        </is>
      </c>
      <c r="F22" s="92" t="inlineStr">
        <is>
          <t>نجفی در صبا انرژی و اکبری در خدمات گستر</t>
        </is>
      </c>
      <c r="G22" s="92" t="inlineStr">
        <is>
          <t>اکبری در صبا انرژی و نجفی در خدمات گستر</t>
        </is>
      </c>
      <c r="H22" s="92" t="inlineStr">
        <is>
          <t>1404/06/04</t>
        </is>
      </c>
      <c r="I22" s="92" t="inlineStr">
        <is>
          <t>جلسه هیئت مدیره</t>
        </is>
      </c>
      <c r="J22" s="92" t="inlineStr">
        <is>
          <t>1404/06/05</t>
        </is>
      </c>
      <c r="K22" s="92" t="inlineStr">
        <is>
          <t>بله</t>
        </is>
      </c>
      <c r="L22" s="92" t="inlineStr">
        <is>
          <t>خیر</t>
        </is>
      </c>
      <c r="M22" s="92" t="inlineStr">
        <is>
          <t>تا 1404/12/29</t>
        </is>
      </c>
      <c r="N22" s="92" t="inlineStr">
        <is>
          <t>تحلیل v38؛ بازبینی سند در این جلسه ممکن نشد</t>
        </is>
      </c>
      <c r="O22" s="92" t="inlineStr">
        <is>
          <t>1398534</t>
        </is>
      </c>
      <c r="P22" s="92" t="inlineStr">
        <is>
          <t>High</t>
        </is>
      </c>
      <c r="Q22" s="92" t="inlineStr">
        <is>
          <t>زنجیره کرسی خدمات گستر: اکبری تا نجفی (1404/06/04) تا معینی (1404/12/25)</t>
        </is>
      </c>
    </row>
    <row r="23" ht="45" customHeight="1" s="76">
      <c r="A23" s="92" t="inlineStr">
        <is>
          <t>EV0020</t>
        </is>
      </c>
      <c r="B23" s="92" t="inlineStr">
        <is>
          <t>جم</t>
        </is>
      </c>
      <c r="C23" s="92" t="inlineStr">
        <is>
          <t>خروج نماینده</t>
        </is>
      </c>
      <c r="D23" s="92" t="inlineStr">
        <is>
          <t>محمدهاشم نجفی اردکانی</t>
        </is>
      </c>
      <c r="E23" s="92" t="inlineStr">
        <is>
          <t>خدمات گستر صبا انرژی</t>
        </is>
      </c>
      <c r="F23" s="92" t="inlineStr">
        <is>
          <t>نجفی</t>
        </is>
      </c>
      <c r="G23" s="92" t="inlineStr"/>
      <c r="H23" s="92" t="inlineStr">
        <is>
          <t>1404/12/25</t>
        </is>
      </c>
      <c r="I23" s="92" t="inlineStr">
        <is>
          <t>جلسه هیئت مدیره</t>
        </is>
      </c>
      <c r="J23" s="92" t="inlineStr">
        <is>
          <t>1405/02/29</t>
        </is>
      </c>
      <c r="K23" s="92" t="inlineStr">
        <is>
          <t>بله</t>
        </is>
      </c>
      <c r="L23" s="92" t="inlineStr">
        <is>
          <t>بله</t>
        </is>
      </c>
      <c r="M23" s="92" t="inlineStr">
        <is>
          <t>تا 1404/12/29</t>
        </is>
      </c>
      <c r="N23" s="92" t="inlineStr">
        <is>
          <t>تحلیل v38؛ بازبینی سند در این جلسه ممکن نشد</t>
        </is>
      </c>
      <c r="O23" s="92" t="inlineStr">
        <is>
          <t>1527389</t>
        </is>
      </c>
      <c r="P23" s="92" t="inlineStr">
        <is>
          <t>High</t>
        </is>
      </c>
      <c r="Q23" s="92" t="inlineStr">
        <is>
          <t>تاریخ موثر صریح ولی انتشار پس از Cutoff؛ با مبنای انتشار این رویداد دیده نمی شود</t>
        </is>
      </c>
    </row>
    <row r="24" ht="45" customHeight="1" s="76">
      <c r="A24" s="92" t="inlineStr">
        <is>
          <t>EV0021</t>
        </is>
      </c>
      <c r="B24" s="92" t="inlineStr">
        <is>
          <t>جم</t>
        </is>
      </c>
      <c r="C24" s="92" t="inlineStr">
        <is>
          <t>ورود نماینده</t>
        </is>
      </c>
      <c r="D24" s="92" t="inlineStr">
        <is>
          <t>حسن معینی</t>
        </is>
      </c>
      <c r="E24" s="92" t="inlineStr">
        <is>
          <t>خدمات گستر صبا انرژی</t>
        </is>
      </c>
      <c r="F24" s="92" t="inlineStr"/>
      <c r="G24" s="92" t="inlineStr">
        <is>
          <t>معینی</t>
        </is>
      </c>
      <c r="H24" s="92" t="inlineStr">
        <is>
          <t>1404/12/25</t>
        </is>
      </c>
      <c r="I24" s="92" t="inlineStr">
        <is>
          <t>جلسه هیئت مدیره</t>
        </is>
      </c>
      <c r="J24" s="92" t="inlineStr">
        <is>
          <t>1405/02/29</t>
        </is>
      </c>
      <c r="K24" s="92" t="inlineStr">
        <is>
          <t>بله</t>
        </is>
      </c>
      <c r="L24" s="92" t="inlineStr">
        <is>
          <t>بله</t>
        </is>
      </c>
      <c r="M24" s="92" t="inlineStr">
        <is>
          <t>تا 1404/12/29</t>
        </is>
      </c>
      <c r="N24" s="92" t="inlineStr">
        <is>
          <t>تحلیل v38؛ بازبینی سند در این جلسه ممکن نشد</t>
        </is>
      </c>
      <c r="O24" s="92" t="inlineStr">
        <is>
          <t>1527389</t>
        </is>
      </c>
      <c r="P24" s="92" t="inlineStr">
        <is>
          <t>High</t>
        </is>
      </c>
      <c r="Q24" s="92" t="inlineStr">
        <is>
          <t>تنها عضو جدید؛ حساسیت انتشار</t>
        </is>
      </c>
    </row>
    <row r="25" ht="45" customHeight="1" s="76">
      <c r="A25" s="92" t="inlineStr">
        <is>
          <t>EV0022</t>
        </is>
      </c>
      <c r="B25" s="92" t="inlineStr">
        <is>
          <t>جم</t>
        </is>
      </c>
      <c r="C25" s="92" t="inlineStr">
        <is>
          <t>تغییر رئیس</t>
        </is>
      </c>
      <c r="D25" s="92" t="inlineStr">
        <is>
          <t>متین دیداری تا محمدسجاد سیاهکارزاده</t>
        </is>
      </c>
      <c r="E25" s="92" t="inlineStr">
        <is>
          <t>رئیس هیئت مدیره</t>
        </is>
      </c>
      <c r="F25" s="92" t="inlineStr">
        <is>
          <t>دیداری</t>
        </is>
      </c>
      <c r="G25" s="92" t="inlineStr">
        <is>
          <t>سیاهکارزاده</t>
        </is>
      </c>
      <c r="H25" s="92" t="inlineStr">
        <is>
          <t>1404/12/25</t>
        </is>
      </c>
      <c r="I25" s="92" t="inlineStr">
        <is>
          <t>جلسه هیئت مدیره</t>
        </is>
      </c>
      <c r="J25" s="92" t="inlineStr">
        <is>
          <t>1405/02/29</t>
        </is>
      </c>
      <c r="K25" s="92" t="inlineStr">
        <is>
          <t>بله</t>
        </is>
      </c>
      <c r="L25" s="92" t="inlineStr">
        <is>
          <t>بله</t>
        </is>
      </c>
      <c r="M25" s="92" t="inlineStr">
        <is>
          <t>تا 1404/12/29</t>
        </is>
      </c>
      <c r="N25" s="92" t="inlineStr">
        <is>
          <t>تحلیل v38؛ بازبینی سند در این جلسه ممکن نشد</t>
        </is>
      </c>
      <c r="O25" s="92" t="inlineStr">
        <is>
          <t>1527389</t>
        </is>
      </c>
      <c r="P25" s="92" t="inlineStr">
        <is>
          <t>High</t>
        </is>
      </c>
      <c r="Q25" s="92" t="inlineStr">
        <is>
          <t>حساسیت انتشار: با مبنای انتشار رئیس بدون تغییر می شود</t>
        </is>
      </c>
    </row>
    <row r="26" ht="45" customHeight="1" s="76">
      <c r="A26" s="92" t="inlineStr">
        <is>
          <t>EV0023</t>
        </is>
      </c>
      <c r="B26" s="92" t="inlineStr">
        <is>
          <t>خساپا</t>
        </is>
      </c>
      <c r="C26" s="92" t="inlineStr">
        <is>
          <t>تغییر نماینده</t>
        </is>
      </c>
      <c r="D26" s="92" t="inlineStr">
        <is>
          <t>کورش پرویزیان تا رحیم علیشاهی</t>
        </is>
      </c>
      <c r="E26" s="92" t="inlineStr">
        <is>
          <t>سرمایه گذاری گروه صنعتی رنا</t>
        </is>
      </c>
      <c r="F26" s="92" t="inlineStr">
        <is>
          <t>پرویزیان</t>
        </is>
      </c>
      <c r="G26" s="92" t="inlineStr">
        <is>
          <t>علیشاهی</t>
        </is>
      </c>
      <c r="H26" s="92" t="inlineStr">
        <is>
          <t>1404/02/08</t>
        </is>
      </c>
      <c r="I26" s="92" t="inlineStr">
        <is>
          <t>جلسه هیئت مدیره</t>
        </is>
      </c>
      <c r="J26" s="92" t="inlineStr">
        <is>
          <t>1404/02/09</t>
        </is>
      </c>
      <c r="K26" s="92" t="inlineStr">
        <is>
          <t>بله</t>
        </is>
      </c>
      <c r="L26" s="92" t="inlineStr">
        <is>
          <t>بله</t>
        </is>
      </c>
      <c r="M26" s="92" t="inlineStr">
        <is>
          <t>تا 1404/12/29</t>
        </is>
      </c>
      <c r="N26" s="92" t="inlineStr">
        <is>
          <t>تحلیل v38؛ بازبینی سند در این جلسه ممکن نشد</t>
        </is>
      </c>
      <c r="O26" s="92" t="inlineStr">
        <is>
          <t>1336974</t>
        </is>
      </c>
      <c r="P26" s="92" t="inlineStr">
        <is>
          <t>Confirmed</t>
        </is>
      </c>
      <c r="Q26" s="92" t="inlineStr">
        <is>
          <t>پرویزیان به کرسی دیگر رفت</t>
        </is>
      </c>
    </row>
    <row r="27" ht="45" customHeight="1" s="76">
      <c r="A27" s="92" t="inlineStr">
        <is>
          <t>EV0024</t>
        </is>
      </c>
      <c r="B27" s="92" t="inlineStr">
        <is>
          <t>خساپا</t>
        </is>
      </c>
      <c r="C27" s="92" t="inlineStr">
        <is>
          <t>تغییر نماینده</t>
        </is>
      </c>
      <c r="D27" s="92" t="inlineStr">
        <is>
          <t>محمدرضا شیخ عطار تا کورش پرویزیان</t>
        </is>
      </c>
      <c r="E27" s="92" t="inlineStr">
        <is>
          <t>سازمان مدیریت صنعتی</t>
        </is>
      </c>
      <c r="F27" s="92" t="inlineStr">
        <is>
          <t>شیخ عطار</t>
        </is>
      </c>
      <c r="G27" s="92" t="inlineStr">
        <is>
          <t>پرویزیان</t>
        </is>
      </c>
      <c r="H27" s="92" t="inlineStr">
        <is>
          <t>1404/02/08</t>
        </is>
      </c>
      <c r="I27" s="92" t="inlineStr">
        <is>
          <t>جلسه هیئت مدیره</t>
        </is>
      </c>
      <c r="J27" s="92" t="inlineStr">
        <is>
          <t>1404/02/09</t>
        </is>
      </c>
      <c r="K27" s="92" t="inlineStr">
        <is>
          <t>بله</t>
        </is>
      </c>
      <c r="L27" s="92" t="inlineStr">
        <is>
          <t>بله</t>
        </is>
      </c>
      <c r="M27" s="92" t="inlineStr">
        <is>
          <t>تا 1404/12/29</t>
        </is>
      </c>
      <c r="N27" s="92" t="inlineStr">
        <is>
          <t>تحلیل v38؛ بازبینی سند در این جلسه ممکن نشد</t>
        </is>
      </c>
      <c r="O27" s="92" t="inlineStr">
        <is>
          <t>1336974</t>
        </is>
      </c>
      <c r="P27" s="92" t="inlineStr">
        <is>
          <t>Confirmed</t>
        </is>
      </c>
      <c r="Q27" s="92" t="inlineStr">
        <is>
          <t>جابجایی فرد بین کرسی ها؛ پرویزیان عضو جدید نیست</t>
        </is>
      </c>
    </row>
    <row r="28" ht="45" customHeight="1" s="76">
      <c r="A28" s="92" t="inlineStr">
        <is>
          <t>EV0025</t>
        </is>
      </c>
      <c r="B28" s="92" t="inlineStr">
        <is>
          <t>خساپا</t>
        </is>
      </c>
      <c r="C28" s="92" t="inlineStr">
        <is>
          <t>تغییر نماینده</t>
        </is>
      </c>
      <c r="D28" s="92" t="inlineStr">
        <is>
          <t>علی شیدائی نرمیقی تا مهدی رادمنش</t>
        </is>
      </c>
      <c r="E28" s="92" t="inlineStr">
        <is>
          <t>توسعه سرمایه رادین</t>
        </is>
      </c>
      <c r="F28" s="92" t="inlineStr">
        <is>
          <t>شیدائی نرمیقی</t>
        </is>
      </c>
      <c r="G28" s="92" t="inlineStr">
        <is>
          <t>رادمنش</t>
        </is>
      </c>
      <c r="H28" s="92" t="inlineStr">
        <is>
          <t>1404/02/08</t>
        </is>
      </c>
      <c r="I28" s="92" t="inlineStr">
        <is>
          <t>جلسه هیئت مدیره</t>
        </is>
      </c>
      <c r="J28" s="92" t="inlineStr">
        <is>
          <t>1404/02/09</t>
        </is>
      </c>
      <c r="K28" s="92" t="inlineStr">
        <is>
          <t>بله</t>
        </is>
      </c>
      <c r="L28" s="92" t="inlineStr">
        <is>
          <t>بله</t>
        </is>
      </c>
      <c r="M28" s="92" t="inlineStr">
        <is>
          <t>تا 1404/12/29</t>
        </is>
      </c>
      <c r="N28" s="92" t="inlineStr">
        <is>
          <t>تحلیل v38؛ بازبینی سند در این جلسه ممکن نشد</t>
        </is>
      </c>
      <c r="O28" s="92" t="inlineStr">
        <is>
          <t>1336974</t>
        </is>
      </c>
      <c r="P28" s="92" t="inlineStr">
        <is>
          <t>Confirmed</t>
        </is>
      </c>
      <c r="Q28" s="92" t="inlineStr"/>
    </row>
    <row r="29" ht="45" customHeight="1" s="76">
      <c r="A29" s="92" t="inlineStr">
        <is>
          <t>EV0026</t>
        </is>
      </c>
      <c r="B29" s="92" t="inlineStr">
        <is>
          <t>خساپا</t>
        </is>
      </c>
      <c r="C29" s="92" t="inlineStr">
        <is>
          <t>تغییر سمت</t>
        </is>
      </c>
      <c r="D29" s="92" t="inlineStr">
        <is>
          <t>علی شیخ زاده</t>
        </is>
      </c>
      <c r="E29" s="92" t="inlineStr">
        <is>
          <t>گروه سرمایه گذاری کارکنان سایپا</t>
        </is>
      </c>
      <c r="F29" s="92" t="inlineStr">
        <is>
          <t>عضو و مدیرعامل</t>
        </is>
      </c>
      <c r="G29" s="92" t="inlineStr">
        <is>
          <t>نایب رئیس</t>
        </is>
      </c>
      <c r="H29" s="92" t="inlineStr">
        <is>
          <t>1404/02/08</t>
        </is>
      </c>
      <c r="I29" s="92" t="inlineStr">
        <is>
          <t>جلسه هیئت مدیره</t>
        </is>
      </c>
      <c r="J29" s="92" t="inlineStr">
        <is>
          <t>1404/02/09</t>
        </is>
      </c>
      <c r="K29" s="92" t="inlineStr">
        <is>
          <t>بله</t>
        </is>
      </c>
      <c r="L29" s="92" t="inlineStr">
        <is>
          <t>بله</t>
        </is>
      </c>
      <c r="M29" s="92" t="inlineStr">
        <is>
          <t>تا 1404/12/29</t>
        </is>
      </c>
      <c r="N29" s="92" t="inlineStr">
        <is>
          <t>تحلیل v38؛ بازبینی سند در این جلسه ممکن نشد</t>
        </is>
      </c>
      <c r="O29" s="92" t="inlineStr">
        <is>
          <t>1336974</t>
        </is>
      </c>
      <c r="P29" s="92" t="inlineStr">
        <is>
          <t>Confirmed</t>
        </is>
      </c>
      <c r="Q29" s="92" t="inlineStr">
        <is>
          <t>فقط سمت؛ ورود یا خروج نیست</t>
        </is>
      </c>
    </row>
    <row r="30" ht="45" customHeight="1" s="76">
      <c r="A30" s="92" t="inlineStr">
        <is>
          <t>EV0027</t>
        </is>
      </c>
      <c r="B30" s="92" t="inlineStr">
        <is>
          <t>خودرو</t>
        </is>
      </c>
      <c r="C30" s="92" t="inlineStr">
        <is>
          <t>تغییر نماینده</t>
        </is>
      </c>
      <c r="D30" s="92" t="inlineStr">
        <is>
          <t>مرتضی شفیعی تا حامد نائیجی</t>
        </is>
      </c>
      <c r="E30" s="92" t="inlineStr">
        <is>
          <t>سرمایه گذاری گنجینه ایرانیان</t>
        </is>
      </c>
      <c r="F30" s="92" t="inlineStr">
        <is>
          <t>شفیعی</t>
        </is>
      </c>
      <c r="G30" s="92" t="inlineStr">
        <is>
          <t>نائیجی</t>
        </is>
      </c>
      <c r="H30" s="92" t="inlineStr">
        <is>
          <t>1404/07/19</t>
        </is>
      </c>
      <c r="I30" s="92" t="inlineStr">
        <is>
          <t>جلسه هیئت مدیره</t>
        </is>
      </c>
      <c r="J30" s="92" t="inlineStr">
        <is>
          <t>1404/07/21</t>
        </is>
      </c>
      <c r="K30" s="92" t="inlineStr">
        <is>
          <t>بله</t>
        </is>
      </c>
      <c r="L30" s="92" t="inlineStr">
        <is>
          <t>بله</t>
        </is>
      </c>
      <c r="M30" s="92" t="inlineStr">
        <is>
          <t>تا 1404/12/29</t>
        </is>
      </c>
      <c r="N30" s="92" t="inlineStr">
        <is>
          <t>تحلیل v38؛ بازبینی سند در این جلسه ممکن نشد</t>
        </is>
      </c>
      <c r="O30" s="92" t="inlineStr">
        <is>
          <t>1417850</t>
        </is>
      </c>
      <c r="P30" s="92" t="inlineStr">
        <is>
          <t>Confirmed</t>
        </is>
      </c>
      <c r="Q30" s="92" t="inlineStr"/>
    </row>
    <row r="31" ht="45" customHeight="1" s="76">
      <c r="A31" s="92" t="inlineStr">
        <is>
          <t>EV0028</t>
        </is>
      </c>
      <c r="B31" s="92" t="inlineStr">
        <is>
          <t>شپدیس</t>
        </is>
      </c>
      <c r="C31" s="92" t="inlineStr">
        <is>
          <t>ورود نماینده در کرسی خالی</t>
        </is>
      </c>
      <c r="D31" s="92" t="inlineStr">
        <is>
          <t>حسن شاه ولدی</t>
        </is>
      </c>
      <c r="E31" s="92" t="inlineStr">
        <is>
          <t>سرمایه گذاری هامون سپاهان</t>
        </is>
      </c>
      <c r="F31" s="92" t="inlineStr"/>
      <c r="G31" s="92" t="inlineStr">
        <is>
          <t>شاه ولدی</t>
        </is>
      </c>
      <c r="H31" s="92" t="inlineStr">
        <is>
          <t>1404/08/17</t>
        </is>
      </c>
      <c r="I31" s="92" t="inlineStr">
        <is>
          <t>جلسه هیئت مدیره</t>
        </is>
      </c>
      <c r="J31" s="92" t="inlineStr">
        <is>
          <t>1404/08/17</t>
        </is>
      </c>
      <c r="K31" s="92" t="inlineStr">
        <is>
          <t>بله</t>
        </is>
      </c>
      <c r="L31" s="92" t="inlineStr">
        <is>
          <t>بله</t>
        </is>
      </c>
      <c r="M31" s="92" t="inlineStr">
        <is>
          <t>تا 1404/12/29</t>
        </is>
      </c>
      <c r="N31" s="92" t="inlineStr">
        <is>
          <t>تحلیل v38؛ بازبینی سند در این جلسه ممکن نشد</t>
        </is>
      </c>
      <c r="O31" s="92" t="inlineStr">
        <is>
          <t>1433411</t>
        </is>
      </c>
      <c r="P31" s="92" t="inlineStr">
        <is>
          <t>Confirmed</t>
        </is>
      </c>
      <c r="Q31" s="92" t="inlineStr">
        <is>
          <t>کرسی از 1403/11/29 تا 1404/08/17 بدون نماینده</t>
        </is>
      </c>
    </row>
    <row r="32" ht="45" customHeight="1" s="76">
      <c r="A32" s="92" t="inlineStr">
        <is>
          <t>EV0029</t>
        </is>
      </c>
      <c r="B32" s="92" t="inlineStr">
        <is>
          <t>شپدیس</t>
        </is>
      </c>
      <c r="C32" s="92" t="inlineStr">
        <is>
          <t>تغییر رئیس</t>
        </is>
      </c>
      <c r="D32" s="92" t="inlineStr">
        <is>
          <t>هوشنگ گودرزی تا حسن شاه ولدی</t>
        </is>
      </c>
      <c r="E32" s="92" t="inlineStr">
        <is>
          <t>رئیس هیئت مدیره</t>
        </is>
      </c>
      <c r="F32" s="92" t="inlineStr">
        <is>
          <t>گودرزی</t>
        </is>
      </c>
      <c r="G32" s="92" t="inlineStr">
        <is>
          <t>شاه ولدی</t>
        </is>
      </c>
      <c r="H32" s="92" t="inlineStr">
        <is>
          <t>1404/08/17</t>
        </is>
      </c>
      <c r="I32" s="92" t="inlineStr">
        <is>
          <t>جلسه هیئت مدیره</t>
        </is>
      </c>
      <c r="J32" s="92" t="inlineStr">
        <is>
          <t>1404/08/17</t>
        </is>
      </c>
      <c r="K32" s="92" t="inlineStr">
        <is>
          <t>بله</t>
        </is>
      </c>
      <c r="L32" s="92" t="inlineStr">
        <is>
          <t>بله</t>
        </is>
      </c>
      <c r="M32" s="92" t="inlineStr">
        <is>
          <t>تا 1404/12/29</t>
        </is>
      </c>
      <c r="N32" s="92" t="inlineStr">
        <is>
          <t>تحلیل v38؛ بازبینی سند در این جلسه ممکن نشد</t>
        </is>
      </c>
      <c r="O32" s="92" t="inlineStr">
        <is>
          <t>1433411</t>
        </is>
      </c>
      <c r="P32" s="92" t="inlineStr">
        <is>
          <t>Confirmed</t>
        </is>
      </c>
      <c r="Q32" s="92" t="inlineStr">
        <is>
          <t>گودرزی از رئیس به عضو؛ فقط سمت برای او</t>
        </is>
      </c>
    </row>
    <row r="33" ht="45" customHeight="1" s="76">
      <c r="A33" s="92" t="inlineStr">
        <is>
          <t>EV0030</t>
        </is>
      </c>
      <c r="B33" s="92" t="inlineStr">
        <is>
          <t>شپدیس</t>
        </is>
      </c>
      <c r="C33" s="92" t="inlineStr">
        <is>
          <t>ورود و خروج میانی</t>
        </is>
      </c>
      <c r="D33" s="92" t="inlineStr">
        <is>
          <t>کاردار</t>
        </is>
      </c>
      <c r="E33" s="92" t="inlineStr">
        <is>
          <t>بازرگانی پتروشیمی</t>
        </is>
      </c>
      <c r="F33" s="92" t="inlineStr">
        <is>
          <t>نواب فر</t>
        </is>
      </c>
      <c r="G33" s="92" t="inlineStr">
        <is>
          <t>سلاح ورزی</t>
        </is>
      </c>
      <c r="H33" s="92" t="inlineStr"/>
      <c r="I33" s="92" t="inlineStr">
        <is>
          <t>تاریخ در فایل ثبت نشده</t>
        </is>
      </c>
      <c r="J33" s="92" t="inlineStr"/>
      <c r="K33" s="92" t="inlineStr">
        <is>
          <t>نامشخص</t>
        </is>
      </c>
      <c r="L33" s="92" t="inlineStr">
        <is>
          <t>خیر</t>
        </is>
      </c>
      <c r="M33" s="92" t="inlineStr">
        <is>
          <t>تا 1404/12/29</t>
        </is>
      </c>
      <c r="N33" s="92" t="inlineStr">
        <is>
          <t>تحلیل v38؛ بازبینی سند در این جلسه ممکن نشد</t>
        </is>
      </c>
      <c r="O33" s="92" t="inlineStr">
        <is>
          <t>1443721</t>
        </is>
      </c>
      <c r="P33" s="92" t="inlineStr">
        <is>
          <t>Confirmed</t>
        </is>
      </c>
      <c r="Q33" s="92" t="inlineStr">
        <is>
          <t>عضو میانی که در هیچ یک از دو مقطع نیست؛ تاریخ ورود و خروج او از فایل قابل استخراج نیست و پر نشد</t>
        </is>
      </c>
    </row>
    <row r="34" ht="45" customHeight="1" s="76">
      <c r="A34" s="92" t="inlineStr">
        <is>
          <t>EV0031</t>
        </is>
      </c>
      <c r="B34" s="92" t="inlineStr">
        <is>
          <t>شپدیس</t>
        </is>
      </c>
      <c r="C34" s="92" t="inlineStr">
        <is>
          <t>تغییر نماینده</t>
        </is>
      </c>
      <c r="D34" s="92" t="inlineStr">
        <is>
          <t>سیدعلی نواب فر تا حسین سلاح ورزی</t>
        </is>
      </c>
      <c r="E34" s="92" t="inlineStr">
        <is>
          <t>بازرگانی پتروشیمی</t>
        </is>
      </c>
      <c r="F34" s="92" t="inlineStr">
        <is>
          <t>نواب فر</t>
        </is>
      </c>
      <c r="G34" s="92" t="inlineStr">
        <is>
          <t>سلاح ورزی</t>
        </is>
      </c>
      <c r="H34" s="92" t="inlineStr">
        <is>
          <t>1404/09/05</t>
        </is>
      </c>
      <c r="I34" s="92" t="inlineStr">
        <is>
          <t>جلسه هیئت مدیره</t>
        </is>
      </c>
      <c r="J34" s="92" t="inlineStr">
        <is>
          <t>1404/09/05</t>
        </is>
      </c>
      <c r="K34" s="92" t="inlineStr">
        <is>
          <t>بله</t>
        </is>
      </c>
      <c r="L34" s="92" t="inlineStr">
        <is>
          <t>بله</t>
        </is>
      </c>
      <c r="M34" s="92" t="inlineStr">
        <is>
          <t>تا 1404/12/29</t>
        </is>
      </c>
      <c r="N34" s="92" t="inlineStr">
        <is>
          <t>تحلیل v38؛ بازبینی سند در این جلسه ممکن نشد</t>
        </is>
      </c>
      <c r="O34" s="92" t="inlineStr">
        <is>
          <t>1443721</t>
        </is>
      </c>
      <c r="P34" s="92" t="inlineStr">
        <is>
          <t>Confirmed</t>
        </is>
      </c>
      <c r="Q34" s="92" t="inlineStr"/>
    </row>
    <row r="35" ht="45" customHeight="1" s="76">
      <c r="A35" s="92" t="inlineStr">
        <is>
          <t>EV0032</t>
        </is>
      </c>
      <c r="B35" s="92" t="inlineStr">
        <is>
          <t>وتجارت</t>
        </is>
      </c>
      <c r="C35" s="92" t="inlineStr">
        <is>
          <t>خروج عضو حقیقی</t>
        </is>
      </c>
      <c r="D35" s="92" t="inlineStr">
        <is>
          <t>حمیدرضا شریفیان</t>
        </is>
      </c>
      <c r="E35" s="92" t="inlineStr">
        <is>
          <t>عضو حقیقی مستقیم</t>
        </is>
      </c>
      <c r="F35" s="92" t="inlineStr">
        <is>
          <t>شریفیان</t>
        </is>
      </c>
      <c r="G35" s="92" t="inlineStr"/>
      <c r="H35" s="92" t="inlineStr"/>
      <c r="I35" s="92" t="inlineStr">
        <is>
          <t>تاریخ نامشخص</t>
        </is>
      </c>
      <c r="J35" s="92" t="inlineStr"/>
      <c r="K35" s="92" t="inlineStr">
        <is>
          <t>نامشخص</t>
        </is>
      </c>
      <c r="L35" s="92" t="inlineStr">
        <is>
          <t>بله</t>
        </is>
      </c>
      <c r="M35" s="92" t="inlineStr">
        <is>
          <t>تا 1404/12/29</t>
        </is>
      </c>
      <c r="N35" s="92" t="inlineStr">
        <is>
          <t>تحلیل v38؛ بازبینی سند در این جلسه ممکن نشد</t>
        </is>
      </c>
      <c r="O35" s="92" t="inlineStr">
        <is>
          <t>1444154</t>
        </is>
      </c>
      <c r="P35" s="92" t="inlineStr">
        <is>
          <t>Needs Review</t>
        </is>
      </c>
      <c r="Q35" s="92" t="inlineStr">
        <is>
          <t>بازه v38 پس از 1403/12/29 تا پیش از 1404/08/28؛ با اطلاعیه اولیه 1443078 متعارض؛ تاریخ ساختگی وارد نشد</t>
        </is>
      </c>
    </row>
    <row r="36" ht="40" customHeight="1" s="76">
      <c r="A36" s="92" t="inlineStr">
        <is>
          <t>EV0033</t>
        </is>
      </c>
      <c r="B36" s="92" t="inlineStr">
        <is>
          <t>فملی</t>
        </is>
      </c>
      <c r="C36" s="92" t="inlineStr">
        <is>
          <t>شروع عضویت (ورود نسبت به مبنا)</t>
        </is>
      </c>
      <c r="D36" s="92" t="inlineStr">
        <is>
          <t>غلامرضا شافعی</t>
        </is>
      </c>
      <c r="E36" s="92" t="inlineStr">
        <is>
          <t>سازمان توسعه و نوسازی معادن و صنایع معدنی ایران</t>
        </is>
      </c>
      <c r="F36" s="92" t="inlineStr"/>
      <c r="G36" s="92" t="inlineStr">
        <is>
          <t>غلامرضا شافعی</t>
        </is>
      </c>
      <c r="H36" s="92" t="inlineStr">
        <is>
          <t>1404/02/02</t>
        </is>
      </c>
      <c r="I36" s="92" t="inlineStr">
        <is>
          <t>تاریخ جلسه در اطلاعیه</t>
        </is>
      </c>
      <c r="J36" s="92" t="inlineStr"/>
      <c r="K36" s="92" t="inlineStr">
        <is>
          <t>بله</t>
        </is>
      </c>
      <c r="L36" s="92" t="inlineStr">
        <is>
          <t>خیر یا نامشخص (فهرست مبنا نیست)</t>
        </is>
      </c>
      <c r="M36" s="92" t="inlineStr">
        <is>
          <t>تا 1404/12/29</t>
        </is>
      </c>
      <c r="N36" s="92" t="inlineStr">
        <is>
          <t>ناقص: فقط تصدی اعضای حاضر در پایان دوره</t>
        </is>
      </c>
      <c r="O36" s="92" t="inlineStr">
        <is>
          <t>BR Tenure v41 T001</t>
        </is>
      </c>
      <c r="P36" s="92" t="inlineStr">
        <is>
          <t>متوسط</t>
        </is>
      </c>
      <c r="Q36" s="92" t="inlineStr">
        <is>
          <t>TYPE19+REPORT_CORROBORATED؛ خروج های متناظر در این جدول نیست</t>
        </is>
      </c>
    </row>
    <row r="37" ht="40" customHeight="1" s="76">
      <c r="A37" s="92" t="inlineStr">
        <is>
          <t>EV0034</t>
        </is>
      </c>
      <c r="B37" s="92" t="inlineStr">
        <is>
          <t>فملی</t>
        </is>
      </c>
      <c r="C37" s="92" t="inlineStr">
        <is>
          <t>شروع عضویت (ورود نسبت به مبنا)</t>
        </is>
      </c>
      <c r="D37" s="92" t="inlineStr">
        <is>
          <t>سیدمصطفی فیض اردکانی</t>
        </is>
      </c>
      <c r="E37" s="92" t="inlineStr">
        <is>
          <t>صندوق بازنشستگی شرکت ملی صنایع مس ایران</t>
        </is>
      </c>
      <c r="F37" s="92" t="inlineStr"/>
      <c r="G37" s="92" t="inlineStr">
        <is>
          <t>سیدمصطفی فیض اردکانی</t>
        </is>
      </c>
      <c r="H37" s="92" t="inlineStr">
        <is>
          <t>1404/01/24</t>
        </is>
      </c>
      <c r="I37" s="92" t="inlineStr">
        <is>
          <t>تاریخ جلسه در اطلاعیه</t>
        </is>
      </c>
      <c r="J37" s="92" t="inlineStr"/>
      <c r="K37" s="92" t="inlineStr">
        <is>
          <t>بله</t>
        </is>
      </c>
      <c r="L37" s="92" t="inlineStr">
        <is>
          <t>خیر یا نامشخص (فهرست مبنا نیست)</t>
        </is>
      </c>
      <c r="M37" s="92" t="inlineStr">
        <is>
          <t>تا 1404/12/29</t>
        </is>
      </c>
      <c r="N37" s="92" t="inlineStr">
        <is>
          <t>ناقص: فقط تصدی اعضای حاضر در پایان دوره</t>
        </is>
      </c>
      <c r="O37" s="92" t="inlineStr">
        <is>
          <t>BR Tenure v41 T003</t>
        </is>
      </c>
      <c r="P37" s="92" t="inlineStr">
        <is>
          <t>متوسط</t>
        </is>
      </c>
      <c r="Q37" s="92" t="inlineStr">
        <is>
          <t>TYPE19+REPORT_CORROBORATED؛ خروج های متناظر در این جدول نیست</t>
        </is>
      </c>
    </row>
    <row r="38" ht="40" customHeight="1" s="76">
      <c r="A38" s="92" t="inlineStr">
        <is>
          <t>EV0035</t>
        </is>
      </c>
      <c r="B38" s="92" t="inlineStr">
        <is>
          <t>فملی</t>
        </is>
      </c>
      <c r="C38" s="92" t="inlineStr">
        <is>
          <t>شروع عضویت (ورود نسبت به مبنا)</t>
        </is>
      </c>
      <c r="D38" s="92" t="inlineStr">
        <is>
          <t>مهرداد محقق زاده</t>
        </is>
      </c>
      <c r="E38" s="92" t="inlineStr">
        <is>
          <t>صندوق بازنشستگی وظیفه از کار افتادگی و پس انداز کارکنان بانکهای ملی و ادغام شده</t>
        </is>
      </c>
      <c r="F38" s="92" t="inlineStr"/>
      <c r="G38" s="92" t="inlineStr">
        <is>
          <t>مهرداد محقق زاده</t>
        </is>
      </c>
      <c r="H38" s="92" t="inlineStr">
        <is>
          <t>1404/05/12</t>
        </is>
      </c>
      <c r="I38" s="92" t="inlineStr">
        <is>
          <t>تاریخ جلسه در اطلاعیه</t>
        </is>
      </c>
      <c r="J38" s="92" t="inlineStr"/>
      <c r="K38" s="92" t="inlineStr">
        <is>
          <t>بله</t>
        </is>
      </c>
      <c r="L38" s="92" t="inlineStr">
        <is>
          <t>خیر یا نامشخص (فهرست مبنا نیست)</t>
        </is>
      </c>
      <c r="M38" s="92" t="inlineStr">
        <is>
          <t>تا 1404/12/29</t>
        </is>
      </c>
      <c r="N38" s="92" t="inlineStr">
        <is>
          <t>ناقص: فقط تصدی اعضای حاضر در پایان دوره</t>
        </is>
      </c>
      <c r="O38" s="92" t="inlineStr">
        <is>
          <t>BR Tenure v41 T006</t>
        </is>
      </c>
      <c r="P38" s="92" t="inlineStr">
        <is>
          <t>متوسط</t>
        </is>
      </c>
      <c r="Q38" s="92" t="inlineStr">
        <is>
          <t>TYPE19+REPORT_CORROBORATED؛ خروج های متناظر در این جدول نیست</t>
        </is>
      </c>
    </row>
    <row r="39" ht="40" customHeight="1" s="76">
      <c r="A39" s="92" t="inlineStr">
        <is>
          <t>EV0036</t>
        </is>
      </c>
      <c r="B39" s="92" t="inlineStr">
        <is>
          <t>فارس</t>
        </is>
      </c>
      <c r="C39" s="92" t="inlineStr">
        <is>
          <t>شروع عضویت (ورود نسبت به مبنا)</t>
        </is>
      </c>
      <c r="D39" s="92" t="inlineStr">
        <is>
          <t>حسین حسین زاده</t>
        </is>
      </c>
      <c r="E39" s="92" t="inlineStr">
        <is>
          <t>توسعه نفت و گاز صبا کارون</t>
        </is>
      </c>
      <c r="F39" s="92" t="inlineStr"/>
      <c r="G39" s="92" t="inlineStr">
        <is>
          <t>حسین حسین زاده</t>
        </is>
      </c>
      <c r="H39" s="92" t="inlineStr">
        <is>
          <t>1404/02/29</t>
        </is>
      </c>
      <c r="I39" s="92" t="inlineStr">
        <is>
          <t>تاریخ جلسه در اطلاعیه</t>
        </is>
      </c>
      <c r="J39" s="92" t="inlineStr"/>
      <c r="K39" s="92" t="inlineStr">
        <is>
          <t>بله</t>
        </is>
      </c>
      <c r="L39" s="92" t="inlineStr">
        <is>
          <t>خیر یا نامشخص (فهرست مبنا نیست)</t>
        </is>
      </c>
      <c r="M39" s="92" t="inlineStr">
        <is>
          <t>تا 1404/03/31</t>
        </is>
      </c>
      <c r="N39" s="92" t="inlineStr">
        <is>
          <t>ناقص: فقط تصدی اعضای حاضر در پایان دوره</t>
        </is>
      </c>
      <c r="O39" s="92" t="inlineStr">
        <is>
          <t>BR Tenure v41 T018</t>
        </is>
      </c>
      <c r="P39" s="92" t="inlineStr">
        <is>
          <t>متوسط</t>
        </is>
      </c>
      <c r="Q39" s="92" t="inlineStr">
        <is>
          <t>TYPE19+REPORT_CORROBORATED؛ خروج های متناظر در این جدول نیست</t>
        </is>
      </c>
    </row>
    <row r="40" ht="40" customHeight="1" s="76">
      <c r="A40" s="92" t="inlineStr">
        <is>
          <t>EV0037</t>
        </is>
      </c>
      <c r="B40" s="92" t="inlineStr">
        <is>
          <t>زاگرس</t>
        </is>
      </c>
      <c r="C40" s="92" t="inlineStr">
        <is>
          <t>شروع عضویت (ورود نسبت به مبنا)</t>
        </is>
      </c>
      <c r="D40" s="92" t="inlineStr">
        <is>
          <t>محمدحسین مغازه ای</t>
        </is>
      </c>
      <c r="E40" s="92" t="inlineStr">
        <is>
          <t>صادرفر</t>
        </is>
      </c>
      <c r="F40" s="92" t="inlineStr"/>
      <c r="G40" s="92" t="inlineStr">
        <is>
          <t>محمدحسین مغازه ای</t>
        </is>
      </c>
      <c r="H40" s="92" t="inlineStr">
        <is>
          <t>1404/08/28</t>
        </is>
      </c>
      <c r="I40" s="92" t="inlineStr">
        <is>
          <t>تاریخ جلسه در اطلاعیه</t>
        </is>
      </c>
      <c r="J40" s="92" t="inlineStr"/>
      <c r="K40" s="92" t="inlineStr">
        <is>
          <t>بله</t>
        </is>
      </c>
      <c r="L40" s="92" t="inlineStr">
        <is>
          <t>خیر یا نامشخص (فهرست مبنا نیست)</t>
        </is>
      </c>
      <c r="M40" s="92" t="inlineStr">
        <is>
          <t>تا 1404/12/29</t>
        </is>
      </c>
      <c r="N40" s="92" t="inlineStr">
        <is>
          <t>ناقص: فقط تصدی اعضای حاضر در پایان دوره</t>
        </is>
      </c>
      <c r="O40" s="92" t="inlineStr">
        <is>
          <t>BR Tenure v41 T032</t>
        </is>
      </c>
      <c r="P40" s="92" t="inlineStr">
        <is>
          <t>متوسط</t>
        </is>
      </c>
      <c r="Q40" s="92" t="inlineStr">
        <is>
          <t>TYPE19_ONLY؛ خروج های متناظر در این جدول نیست</t>
        </is>
      </c>
    </row>
    <row r="41" ht="40" customHeight="1" s="76">
      <c r="A41" s="92" t="inlineStr">
        <is>
          <t>EV0038</t>
        </is>
      </c>
      <c r="B41" s="92" t="inlineStr">
        <is>
          <t>زاگرس</t>
        </is>
      </c>
      <c r="C41" s="92" t="inlineStr">
        <is>
          <t>شروع عضویت (ورود نسبت به مبنا)</t>
        </is>
      </c>
      <c r="D41" s="92" t="inlineStr">
        <is>
          <t>عماد صدیقی</t>
        </is>
      </c>
      <c r="E41" s="92" t="inlineStr">
        <is>
          <t>مجتمع صنعتی نفت و گاز صبا جم کنگان</t>
        </is>
      </c>
      <c r="F41" s="92" t="inlineStr"/>
      <c r="G41" s="92" t="inlineStr">
        <is>
          <t>عماد صدیقی</t>
        </is>
      </c>
      <c r="H41" s="92" t="inlineStr">
        <is>
          <t>1404/07/30</t>
        </is>
      </c>
      <c r="I41" s="92" t="inlineStr">
        <is>
          <t>تاریخ جلسه در اطلاعیه</t>
        </is>
      </c>
      <c r="J41" s="92" t="inlineStr"/>
      <c r="K41" s="92" t="inlineStr">
        <is>
          <t>بله</t>
        </is>
      </c>
      <c r="L41" s="92" t="inlineStr">
        <is>
          <t>خیر یا نامشخص (فهرست مبنا نیست)</t>
        </is>
      </c>
      <c r="M41" s="92" t="inlineStr">
        <is>
          <t>تا 1404/12/29</t>
        </is>
      </c>
      <c r="N41" s="92" t="inlineStr">
        <is>
          <t>ناقص: فقط تصدی اعضای حاضر در پایان دوره</t>
        </is>
      </c>
      <c r="O41" s="92" t="inlineStr">
        <is>
          <t>BR Tenure v41 T033</t>
        </is>
      </c>
      <c r="P41" s="92" t="inlineStr">
        <is>
          <t>متوسط</t>
        </is>
      </c>
      <c r="Q41" s="92" t="inlineStr">
        <is>
          <t>TYPE19_ONLY؛ خروج های متناظر در این جدول نیست</t>
        </is>
      </c>
    </row>
    <row r="42" ht="40" customHeight="1" s="76">
      <c r="A42" s="92" t="inlineStr">
        <is>
          <t>EV0039</t>
        </is>
      </c>
      <c r="B42" s="92" t="inlineStr">
        <is>
          <t>شبندر</t>
        </is>
      </c>
      <c r="C42" s="92" t="inlineStr">
        <is>
          <t>شروع عضویت (ورود نسبت به مبنا)</t>
        </is>
      </c>
      <c r="D42" s="92" t="inlineStr">
        <is>
          <t>محمد صادقی</t>
        </is>
      </c>
      <c r="E42" s="92" t="inlineStr">
        <is>
          <t>سرمایه گذاری استان بوشهر</t>
        </is>
      </c>
      <c r="F42" s="92" t="inlineStr"/>
      <c r="G42" s="92" t="inlineStr">
        <is>
          <t>محمد صادقی</t>
        </is>
      </c>
      <c r="H42" s="92" t="inlineStr">
        <is>
          <t>1404/05/27</t>
        </is>
      </c>
      <c r="I42" s="92" t="inlineStr">
        <is>
          <t>تاریخ جلسه در اطلاعیه</t>
        </is>
      </c>
      <c r="J42" s="92" t="inlineStr"/>
      <c r="K42" s="92" t="inlineStr">
        <is>
          <t>بله</t>
        </is>
      </c>
      <c r="L42" s="92" t="inlineStr">
        <is>
          <t>خیر یا نامشخص (فهرست مبنا نیست)</t>
        </is>
      </c>
      <c r="M42" s="92" t="inlineStr">
        <is>
          <t>تا 1404/12/29</t>
        </is>
      </c>
      <c r="N42" s="92" t="inlineStr">
        <is>
          <t>ناقص: فقط تصدی اعضای حاضر در پایان دوره</t>
        </is>
      </c>
      <c r="O42" s="92" t="inlineStr">
        <is>
          <t>BR Tenure v41 T039</t>
        </is>
      </c>
      <c r="P42" s="92" t="inlineStr">
        <is>
          <t>متوسط</t>
        </is>
      </c>
      <c r="Q42" s="92" t="inlineStr">
        <is>
          <t>TYPE19_ONLY؛ خروج های متناظر در این جدول نیست</t>
        </is>
      </c>
    </row>
    <row r="43" ht="40" customHeight="1" s="76">
      <c r="A43" s="92" t="inlineStr">
        <is>
          <t>EV0040</t>
        </is>
      </c>
      <c r="B43" s="92" t="inlineStr">
        <is>
          <t>شبندر</t>
        </is>
      </c>
      <c r="C43" s="92" t="inlineStr">
        <is>
          <t>شروع عضویت (ورود نسبت به مبنا)</t>
        </is>
      </c>
      <c r="D43" s="92" t="inlineStr">
        <is>
          <t>عبدالوهاب ارامش</t>
        </is>
      </c>
      <c r="E43" s="92" t="inlineStr">
        <is>
          <t>سرمایه گذاری هامون سپاهان</t>
        </is>
      </c>
      <c r="F43" s="92" t="inlineStr"/>
      <c r="G43" s="92" t="inlineStr">
        <is>
          <t>عبدالوهاب ارامش</t>
        </is>
      </c>
      <c r="H43" s="92" t="inlineStr">
        <is>
          <t>1404/10/18</t>
        </is>
      </c>
      <c r="I43" s="92" t="inlineStr">
        <is>
          <t>تاریخ جلسه در اطلاعیه</t>
        </is>
      </c>
      <c r="J43" s="92" t="inlineStr"/>
      <c r="K43" s="92" t="inlineStr">
        <is>
          <t>بله</t>
        </is>
      </c>
      <c r="L43" s="92" t="inlineStr">
        <is>
          <t>خیر یا نامشخص (فهرست مبنا نیست)</t>
        </is>
      </c>
      <c r="M43" s="92" t="inlineStr">
        <is>
          <t>تا 1404/12/29</t>
        </is>
      </c>
      <c r="N43" s="92" t="inlineStr">
        <is>
          <t>ناقص: فقط تصدی اعضای حاضر در پایان دوره</t>
        </is>
      </c>
      <c r="O43" s="92" t="inlineStr">
        <is>
          <t>BR Tenure v41 T041</t>
        </is>
      </c>
      <c r="P43" s="92" t="inlineStr">
        <is>
          <t>متوسط</t>
        </is>
      </c>
      <c r="Q43" s="92" t="inlineStr">
        <is>
          <t>TYPE19_ONLY؛ خروج های متناظر در این جدول نیست</t>
        </is>
      </c>
    </row>
    <row r="44" ht="40" customHeight="1" s="76">
      <c r="A44" s="92" t="inlineStr">
        <is>
          <t>EV0041</t>
        </is>
      </c>
      <c r="B44" s="92" t="inlineStr">
        <is>
          <t>پارس</t>
        </is>
      </c>
      <c r="C44" s="92" t="inlineStr">
        <is>
          <t>شروع عضویت (ورود نسبت به مبنا)</t>
        </is>
      </c>
      <c r="D44" s="92" t="inlineStr">
        <is>
          <t>ابراهیم صادقی</t>
        </is>
      </c>
      <c r="E44" s="92" t="inlineStr">
        <is>
          <t>گروه گسترش نفت و گاز پارسیان</t>
        </is>
      </c>
      <c r="F44" s="92" t="inlineStr"/>
      <c r="G44" s="92" t="inlineStr">
        <is>
          <t>ابراهیم صادقی</t>
        </is>
      </c>
      <c r="H44" s="92" t="inlineStr">
        <is>
          <t>1404/01/30</t>
        </is>
      </c>
      <c r="I44" s="92" t="inlineStr">
        <is>
          <t>تاریخ جلسه در اطلاعیه</t>
        </is>
      </c>
      <c r="J44" s="92" t="inlineStr"/>
      <c r="K44" s="92" t="inlineStr">
        <is>
          <t>بله</t>
        </is>
      </c>
      <c r="L44" s="92" t="inlineStr">
        <is>
          <t>خیر یا نامشخص (فهرست مبنا نیست)</t>
        </is>
      </c>
      <c r="M44" s="92" t="inlineStr">
        <is>
          <t>تا 1404/12/29</t>
        </is>
      </c>
      <c r="N44" s="92" t="inlineStr">
        <is>
          <t>ناقص: فقط تصدی اعضای حاضر در پایان دوره</t>
        </is>
      </c>
      <c r="O44" s="92" t="inlineStr">
        <is>
          <t>BR Tenure v41 T043</t>
        </is>
      </c>
      <c r="P44" s="92" t="inlineStr">
        <is>
          <t>متوسط</t>
        </is>
      </c>
      <c r="Q44" s="92" t="inlineStr">
        <is>
          <t>TYPE19_ONLY؛ خروج های متناظر در این جدول نیست</t>
        </is>
      </c>
    </row>
    <row r="45" ht="40" customHeight="1" s="76">
      <c r="A45" s="92" t="inlineStr">
        <is>
          <t>EV0042</t>
        </is>
      </c>
      <c r="B45" s="92" t="inlineStr">
        <is>
          <t>پارس</t>
        </is>
      </c>
      <c r="C45" s="92" t="inlineStr">
        <is>
          <t>شروع عضویت (ورود نسبت به مبنا)</t>
        </is>
      </c>
      <c r="D45" s="92" t="inlineStr">
        <is>
          <t>یداله مصدقی فرد</t>
        </is>
      </c>
      <c r="E45" s="92" t="inlineStr">
        <is>
          <t>پتروشیمی کارون</t>
        </is>
      </c>
      <c r="F45" s="92" t="inlineStr"/>
      <c r="G45" s="92" t="inlineStr">
        <is>
          <t>یداله مصدقی فرد</t>
        </is>
      </c>
      <c r="H45" s="92" t="inlineStr">
        <is>
          <t>1404/07/26</t>
        </is>
      </c>
      <c r="I45" s="92" t="inlineStr">
        <is>
          <t>تاریخ جلسه در اطلاعیه</t>
        </is>
      </c>
      <c r="J45" s="92" t="inlineStr"/>
      <c r="K45" s="92" t="inlineStr">
        <is>
          <t>بله</t>
        </is>
      </c>
      <c r="L45" s="92" t="inlineStr">
        <is>
          <t>خیر یا نامشخص (فهرست مبنا نیست)</t>
        </is>
      </c>
      <c r="M45" s="92" t="inlineStr">
        <is>
          <t>تا 1404/12/29</t>
        </is>
      </c>
      <c r="N45" s="92" t="inlineStr">
        <is>
          <t>ناقص: فقط تصدی اعضای حاضر در پایان دوره</t>
        </is>
      </c>
      <c r="O45" s="92" t="inlineStr">
        <is>
          <t>BR Tenure v41 T045</t>
        </is>
      </c>
      <c r="P45" s="92" t="inlineStr">
        <is>
          <t>متوسط</t>
        </is>
      </c>
      <c r="Q45" s="92" t="inlineStr">
        <is>
          <t>TYPE19_ONLY؛ خروج های متناظر در این جدول نیست</t>
        </is>
      </c>
    </row>
    <row r="46" ht="40" customHeight="1" s="76">
      <c r="A46" s="92" t="inlineStr">
        <is>
          <t>EV0043</t>
        </is>
      </c>
      <c r="B46" s="92" t="inlineStr">
        <is>
          <t>پارس</t>
        </is>
      </c>
      <c r="C46" s="92" t="inlineStr">
        <is>
          <t>شروع عضویت (ورود نسبت به مبنا)</t>
        </is>
      </c>
      <c r="D46" s="92" t="inlineStr">
        <is>
          <t>عبدالکریم پهلوانی</t>
        </is>
      </c>
      <c r="E46" s="92" t="inlineStr">
        <is>
          <t>پتروشیمی هرمز خلیج فارس</t>
        </is>
      </c>
      <c r="F46" s="92" t="inlineStr"/>
      <c r="G46" s="92" t="inlineStr">
        <is>
          <t>عبدالکریم پهلوانی</t>
        </is>
      </c>
      <c r="H46" s="92" t="inlineStr">
        <is>
          <t>1404/06/04</t>
        </is>
      </c>
      <c r="I46" s="92" t="inlineStr">
        <is>
          <t>تاریخ جلسه در اطلاعیه</t>
        </is>
      </c>
      <c r="J46" s="92" t="inlineStr"/>
      <c r="K46" s="92" t="inlineStr">
        <is>
          <t>بله</t>
        </is>
      </c>
      <c r="L46" s="92" t="inlineStr">
        <is>
          <t>خیر یا نامشخص (فهرست مبنا نیست)</t>
        </is>
      </c>
      <c r="M46" s="92" t="inlineStr">
        <is>
          <t>تا 1404/12/29</t>
        </is>
      </c>
      <c r="N46" s="92" t="inlineStr">
        <is>
          <t>ناقص: فقط تصدی اعضای حاضر در پایان دوره</t>
        </is>
      </c>
      <c r="O46" s="92" t="inlineStr">
        <is>
          <t>BR Tenure v41 T048</t>
        </is>
      </c>
      <c r="P46" s="92" t="inlineStr">
        <is>
          <t>متوسط</t>
        </is>
      </c>
      <c r="Q46" s="92" t="inlineStr">
        <is>
          <t>TYPE19_ONLY؛ خروج های متناظر در این جدول نیست</t>
        </is>
      </c>
    </row>
    <row r="47" ht="40" customHeight="1" s="76">
      <c r="A47" s="92" t="inlineStr">
        <is>
          <t>EV0044</t>
        </is>
      </c>
      <c r="B47" s="92" t="inlineStr">
        <is>
          <t>شتران</t>
        </is>
      </c>
      <c r="C47" s="92" t="inlineStr">
        <is>
          <t>شروع عضویت (ورود نسبت به مبنا)</t>
        </is>
      </c>
      <c r="D47" s="92" t="inlineStr">
        <is>
          <t>عباس محسنی نیکوگفتار</t>
        </is>
      </c>
      <c r="E47" s="92" t="inlineStr">
        <is>
          <t>سرمایه گذاری عدالت استان مازندران</t>
        </is>
      </c>
      <c r="F47" s="92" t="inlineStr"/>
      <c r="G47" s="92" t="inlineStr">
        <is>
          <t>عباس محسنی نیکوگفتار</t>
        </is>
      </c>
      <c r="H47" s="92" t="inlineStr">
        <is>
          <t>1404/05/13</t>
        </is>
      </c>
      <c r="I47" s="92" t="inlineStr">
        <is>
          <t>تاریخ جلسه در اطلاعیه</t>
        </is>
      </c>
      <c r="J47" s="92" t="inlineStr"/>
      <c r="K47" s="92" t="inlineStr">
        <is>
          <t>بله</t>
        </is>
      </c>
      <c r="L47" s="92" t="inlineStr">
        <is>
          <t>خیر یا نامشخص (فهرست مبنا نیست)</t>
        </is>
      </c>
      <c r="M47" s="92" t="inlineStr">
        <is>
          <t>تا 1404/12/29</t>
        </is>
      </c>
      <c r="N47" s="92" t="inlineStr">
        <is>
          <t>ناقص: فقط تصدی اعضای حاضر در پایان دوره</t>
        </is>
      </c>
      <c r="O47" s="92" t="inlineStr">
        <is>
          <t>BR Tenure v41 T053</t>
        </is>
      </c>
      <c r="P47" s="92" t="inlineStr">
        <is>
          <t>متوسط</t>
        </is>
      </c>
      <c r="Q47" s="92" t="inlineStr">
        <is>
          <t>TYPE19_ONLY؛ خروج های متناظر در این جدول نیست</t>
        </is>
      </c>
    </row>
    <row r="48" ht="40" customHeight="1" s="76">
      <c r="A48" s="92" t="inlineStr">
        <is>
          <t>EV0045</t>
        </is>
      </c>
      <c r="B48" s="92" t="inlineStr">
        <is>
          <t>رمپنا</t>
        </is>
      </c>
      <c r="C48" s="92" t="inlineStr">
        <is>
          <t>شروع عضویت (ورود نسبت به مبنا)</t>
        </is>
      </c>
      <c r="D48" s="92" t="inlineStr">
        <is>
          <t>محمدرضا اولی</t>
        </is>
      </c>
      <c r="E48" s="92" t="inlineStr">
        <is>
          <t>سرمایه گذاری ثروت آفرین صبا</t>
        </is>
      </c>
      <c r="F48" s="92" t="inlineStr"/>
      <c r="G48" s="92" t="inlineStr">
        <is>
          <t>محمدرضا اولی</t>
        </is>
      </c>
      <c r="H48" s="92" t="inlineStr">
        <is>
          <t>1404/02/21</t>
        </is>
      </c>
      <c r="I48" s="92" t="inlineStr">
        <is>
          <t>تاریخ جلسه در اطلاعیه</t>
        </is>
      </c>
      <c r="J48" s="92" t="inlineStr"/>
      <c r="K48" s="92" t="inlineStr">
        <is>
          <t>بله</t>
        </is>
      </c>
      <c r="L48" s="92" t="inlineStr">
        <is>
          <t>خیر یا نامشخص (فهرست مبنا نیست)</t>
        </is>
      </c>
      <c r="M48" s="92" t="inlineStr">
        <is>
          <t>تا 1404/12/29</t>
        </is>
      </c>
      <c r="N48" s="92" t="inlineStr">
        <is>
          <t>ناقص: فقط تصدی اعضای حاضر در پایان دوره</t>
        </is>
      </c>
      <c r="O48" s="92" t="inlineStr">
        <is>
          <t>BR Tenure v41 T063</t>
        </is>
      </c>
      <c r="P48" s="92" t="inlineStr">
        <is>
          <t>متوسط</t>
        </is>
      </c>
      <c r="Q48" s="92" t="inlineStr">
        <is>
          <t>TYPE19_ONLY؛ خروج های متناظر در این جدول نیست</t>
        </is>
      </c>
    </row>
    <row r="49" ht="40" customHeight="1" s="76">
      <c r="A49" s="92" t="inlineStr">
        <is>
          <t>EV0046</t>
        </is>
      </c>
      <c r="B49" s="92" t="inlineStr">
        <is>
          <t>رمپنا</t>
        </is>
      </c>
      <c r="C49" s="92" t="inlineStr">
        <is>
          <t>شروع عضویت (ورود نسبت به مبنا)</t>
        </is>
      </c>
      <c r="D49" s="92" t="inlineStr">
        <is>
          <t>ابوالفضل عسگری</t>
        </is>
      </c>
      <c r="E49" s="92" t="inlineStr">
        <is>
          <t>سرمایه گذاری استان گلستان</t>
        </is>
      </c>
      <c r="F49" s="92" t="inlineStr"/>
      <c r="G49" s="92" t="inlineStr">
        <is>
          <t>ابوالفضل عسگری</t>
        </is>
      </c>
      <c r="H49" s="92" t="inlineStr">
        <is>
          <t>1404/10/28</t>
        </is>
      </c>
      <c r="I49" s="92" t="inlineStr">
        <is>
          <t>تاریخ جلسه در اطلاعیه</t>
        </is>
      </c>
      <c r="J49" s="92" t="inlineStr"/>
      <c r="K49" s="92" t="inlineStr">
        <is>
          <t>بله</t>
        </is>
      </c>
      <c r="L49" s="92" t="inlineStr">
        <is>
          <t>خیر یا نامشخص (فهرست مبنا نیست)</t>
        </is>
      </c>
      <c r="M49" s="92" t="inlineStr">
        <is>
          <t>تا 1404/12/29</t>
        </is>
      </c>
      <c r="N49" s="92" t="inlineStr">
        <is>
          <t>ناقص: فقط تصدی اعضای حاضر در پایان دوره</t>
        </is>
      </c>
      <c r="O49" s="92" t="inlineStr">
        <is>
          <t>BR Tenure v41 T065</t>
        </is>
      </c>
      <c r="P49" s="92" t="inlineStr">
        <is>
          <t>متوسط</t>
        </is>
      </c>
      <c r="Q49" s="92" t="inlineStr">
        <is>
          <t>TYPE19_ONLY؛ خروج های متناظر در این جدول نیست</t>
        </is>
      </c>
    </row>
    <row r="50" ht="40" customHeight="1" s="76">
      <c r="A50" s="92" t="inlineStr">
        <is>
          <t>EV0047</t>
        </is>
      </c>
      <c r="B50" s="92" t="inlineStr">
        <is>
          <t>فخوز</t>
        </is>
      </c>
      <c r="C50" s="92" t="inlineStr">
        <is>
          <t>شروع عضویت (ورود نسبت به مبنا)</t>
        </is>
      </c>
      <c r="D50" s="92" t="inlineStr">
        <is>
          <t>عبدالمجید شریفی</t>
        </is>
      </c>
      <c r="E50" s="92" t="inlineStr">
        <is>
          <t>سرمایه گذاری استان خوزستان</t>
        </is>
      </c>
      <c r="F50" s="92" t="inlineStr"/>
      <c r="G50" s="92" t="inlineStr">
        <is>
          <t>عبدالمجید شریفی</t>
        </is>
      </c>
      <c r="H50" s="92" t="inlineStr"/>
      <c r="I50" s="92" t="inlineStr">
        <is>
          <t>بازه؛ تاریخ دقیق نامشخص</t>
        </is>
      </c>
      <c r="J50" s="92" t="inlineStr"/>
      <c r="K50" s="92" t="inlineStr">
        <is>
          <t>بله</t>
        </is>
      </c>
      <c r="L50" s="92" t="inlineStr">
        <is>
          <t>نامشخص</t>
        </is>
      </c>
      <c r="M50" s="92" t="inlineStr">
        <is>
          <t>تا 1404/12/29</t>
        </is>
      </c>
      <c r="N50" s="92" t="inlineStr">
        <is>
          <t>ناقص</t>
        </is>
      </c>
      <c r="O50" s="92" t="inlineStr">
        <is>
          <t>BR Tenure v41 T071</t>
        </is>
      </c>
      <c r="P50" s="92" t="inlineStr">
        <is>
          <t>پایین</t>
        </is>
      </c>
      <c r="Q50" s="92" t="inlineStr">
        <is>
          <t>بازه 1404/05/22 تا 1404/05/27؛ تاریخ ساختگی وارد نشد</t>
        </is>
      </c>
    </row>
    <row r="51" ht="40" customHeight="1" s="76">
      <c r="A51" s="92" t="inlineStr">
        <is>
          <t>EV0048</t>
        </is>
      </c>
      <c r="B51" s="92" t="inlineStr">
        <is>
          <t>فخوز</t>
        </is>
      </c>
      <c r="C51" s="92" t="inlineStr">
        <is>
          <t>شروع عضویت (ورود نسبت به مبنا)</t>
        </is>
      </c>
      <c r="D51" s="92" t="inlineStr">
        <is>
          <t>محمد شهسواری</t>
        </is>
      </c>
      <c r="E51" s="92" t="inlineStr">
        <is>
          <t>سرمایه گذاری سامان مجد</t>
        </is>
      </c>
      <c r="F51" s="92" t="inlineStr"/>
      <c r="G51" s="92" t="inlineStr">
        <is>
          <t>محمد شهسواری</t>
        </is>
      </c>
      <c r="H51" s="92" t="inlineStr">
        <is>
          <t>1404/05/15</t>
        </is>
      </c>
      <c r="I51" s="92" t="inlineStr">
        <is>
          <t>تاریخ جلسه در اطلاعیه</t>
        </is>
      </c>
      <c r="J51" s="92" t="inlineStr"/>
      <c r="K51" s="92" t="inlineStr">
        <is>
          <t>بله</t>
        </is>
      </c>
      <c r="L51" s="92" t="inlineStr">
        <is>
          <t>خیر یا نامشخص (فهرست مبنا نیست)</t>
        </is>
      </c>
      <c r="M51" s="92" t="inlineStr">
        <is>
          <t>تا 1404/12/29</t>
        </is>
      </c>
      <c r="N51" s="92" t="inlineStr">
        <is>
          <t>ناقص: فقط تصدی اعضای حاضر در پایان دوره</t>
        </is>
      </c>
      <c r="O51" s="92" t="inlineStr">
        <is>
          <t>BR Tenure v41 T072</t>
        </is>
      </c>
      <c r="P51" s="92" t="inlineStr">
        <is>
          <t>متوسط</t>
        </is>
      </c>
      <c r="Q51" s="92" t="inlineStr">
        <is>
          <t>TYPE19_ONLY؛ خروج های متناظر در این جدول نیست</t>
        </is>
      </c>
    </row>
    <row r="52" ht="40" customHeight="1" s="76">
      <c r="A52" s="92" t="inlineStr">
        <is>
          <t>EV0049</t>
        </is>
      </c>
      <c r="B52" s="92" t="inlineStr">
        <is>
          <t>فخوز</t>
        </is>
      </c>
      <c r="C52" s="92" t="inlineStr">
        <is>
          <t>شروع عضویت (ورود نسبت به مبنا)</t>
        </is>
      </c>
      <c r="D52" s="92" t="inlineStr">
        <is>
          <t>سیدمحسن هاطلی اصفهانی</t>
        </is>
      </c>
      <c r="E52" s="92" t="inlineStr">
        <is>
          <t>پیشران کسب و کار شریف</t>
        </is>
      </c>
      <c r="F52" s="92" t="inlineStr"/>
      <c r="G52" s="92" t="inlineStr">
        <is>
          <t>سیدمحسن هاطلی اصفهانی</t>
        </is>
      </c>
      <c r="H52" s="92" t="inlineStr">
        <is>
          <t>1404/05/15</t>
        </is>
      </c>
      <c r="I52" s="92" t="inlineStr">
        <is>
          <t>تاریخ جلسه در اطلاعیه</t>
        </is>
      </c>
      <c r="J52" s="92" t="inlineStr"/>
      <c r="K52" s="92" t="inlineStr">
        <is>
          <t>بله</t>
        </is>
      </c>
      <c r="L52" s="92" t="inlineStr">
        <is>
          <t>خیر یا نامشخص (فهرست مبنا نیست)</t>
        </is>
      </c>
      <c r="M52" s="92" t="inlineStr">
        <is>
          <t>تا 1404/12/29</t>
        </is>
      </c>
      <c r="N52" s="92" t="inlineStr">
        <is>
          <t>ناقص: فقط تصدی اعضای حاضر در پایان دوره</t>
        </is>
      </c>
      <c r="O52" s="92" t="inlineStr">
        <is>
          <t>BR Tenure v41 T074</t>
        </is>
      </c>
      <c r="P52" s="92" t="inlineStr">
        <is>
          <t>متوسط</t>
        </is>
      </c>
      <c r="Q52" s="92" t="inlineStr">
        <is>
          <t>TYPE19_ONLY؛ خروج های متناظر در این جدول نیست</t>
        </is>
      </c>
    </row>
    <row r="53" ht="40" customHeight="1" s="76">
      <c r="A53" s="92" t="inlineStr">
        <is>
          <t>EV0050</t>
        </is>
      </c>
      <c r="B53" s="92" t="inlineStr">
        <is>
          <t>فخوز</t>
        </is>
      </c>
      <c r="C53" s="92" t="inlineStr">
        <is>
          <t>شروع عضویت (ورود نسبت به مبنا)</t>
        </is>
      </c>
      <c r="D53" s="92" t="inlineStr">
        <is>
          <t>ابوذر شکری</t>
        </is>
      </c>
      <c r="E53" s="92" t="inlineStr">
        <is>
          <t>همراه سیر فردیس</t>
        </is>
      </c>
      <c r="F53" s="92" t="inlineStr"/>
      <c r="G53" s="92" t="inlineStr">
        <is>
          <t>ابوذر شکری</t>
        </is>
      </c>
      <c r="H53" s="92" t="inlineStr">
        <is>
          <t>1404/05/15</t>
        </is>
      </c>
      <c r="I53" s="92" t="inlineStr">
        <is>
          <t>تاریخ جلسه در اطلاعیه</t>
        </is>
      </c>
      <c r="J53" s="92" t="inlineStr"/>
      <c r="K53" s="92" t="inlineStr">
        <is>
          <t>بله</t>
        </is>
      </c>
      <c r="L53" s="92" t="inlineStr">
        <is>
          <t>خیر یا نامشخص (فهرست مبنا نیست)</t>
        </is>
      </c>
      <c r="M53" s="92" t="inlineStr">
        <is>
          <t>تا 1404/12/29</t>
        </is>
      </c>
      <c r="N53" s="92" t="inlineStr">
        <is>
          <t>ناقص: فقط تصدی اعضای حاضر در پایان دوره</t>
        </is>
      </c>
      <c r="O53" s="92" t="inlineStr">
        <is>
          <t>BR Tenure v41 T075</t>
        </is>
      </c>
      <c r="P53" s="92" t="inlineStr">
        <is>
          <t>متوسط</t>
        </is>
      </c>
      <c r="Q53" s="92" t="inlineStr">
        <is>
          <t>TYPE19_ONLY؛ خروج های متناظر در این جدول نیست</t>
        </is>
      </c>
    </row>
    <row r="54" ht="40" customHeight="1" s="76">
      <c r="A54" s="92" t="inlineStr">
        <is>
          <t>EV0051</t>
        </is>
      </c>
      <c r="B54" s="92" t="inlineStr">
        <is>
          <t>شپنا</t>
        </is>
      </c>
      <c r="C54" s="92" t="inlineStr">
        <is>
          <t>شروع عضویت (ورود نسبت به مبنا)</t>
        </is>
      </c>
      <c r="D54" s="92" t="inlineStr">
        <is>
          <t>عنایت اله نصیری جهان آباد</t>
        </is>
      </c>
      <c r="E54" s="92" t="inlineStr">
        <is>
          <t>سرمایه گذاری استان چهارمحال و بختیاری</t>
        </is>
      </c>
      <c r="F54" s="92" t="inlineStr"/>
      <c r="G54" s="92" t="inlineStr">
        <is>
          <t>عنایت اله نصیری جهان آباد</t>
        </is>
      </c>
      <c r="H54" s="92" t="inlineStr">
        <is>
          <t>1404/02/03</t>
        </is>
      </c>
      <c r="I54" s="92" t="inlineStr">
        <is>
          <t>تاریخ جلسه در اطلاعیه</t>
        </is>
      </c>
      <c r="J54" s="92" t="inlineStr"/>
      <c r="K54" s="92" t="inlineStr">
        <is>
          <t>بله</t>
        </is>
      </c>
      <c r="L54" s="92" t="inlineStr">
        <is>
          <t>خیر یا نامشخص (فهرست مبنا نیست)</t>
        </is>
      </c>
      <c r="M54" s="92" t="inlineStr">
        <is>
          <t>تا 1404/12/29</t>
        </is>
      </c>
      <c r="N54" s="92" t="inlineStr">
        <is>
          <t>ناقص: فقط تصدی اعضای حاضر در پایان دوره</t>
        </is>
      </c>
      <c r="O54" s="92" t="inlineStr">
        <is>
          <t>BR Tenure v41 T084</t>
        </is>
      </c>
      <c r="P54" s="92" t="inlineStr">
        <is>
          <t>متوسط</t>
        </is>
      </c>
      <c r="Q54" s="92" t="inlineStr">
        <is>
          <t>TYPE19_ONLY؛ خروج های متناظر در این جدول نیست</t>
        </is>
      </c>
    </row>
    <row r="55" ht="40" customHeight="1" s="76">
      <c r="A55" s="92" t="inlineStr">
        <is>
          <t>EV0052</t>
        </is>
      </c>
      <c r="B55" s="92" t="inlineStr">
        <is>
          <t>وغدیر</t>
        </is>
      </c>
      <c r="C55" s="92" t="inlineStr">
        <is>
          <t>شروع عضویت (ورود نسبت به مبنا)</t>
        </is>
      </c>
      <c r="D55" s="92" t="inlineStr">
        <is>
          <t>متین دیداری</t>
        </is>
      </c>
      <c r="E55" s="92" t="inlineStr">
        <is>
          <t>توسعه و مدیریت سرمایه صبا</t>
        </is>
      </c>
      <c r="F55" s="92" t="inlineStr"/>
      <c r="G55" s="92" t="inlineStr">
        <is>
          <t>متین دیداری</t>
        </is>
      </c>
      <c r="H55" s="92" t="inlineStr">
        <is>
          <t>1404/06/23</t>
        </is>
      </c>
      <c r="I55" s="92" t="inlineStr">
        <is>
          <t>تاریخ جلسه در اطلاعیه</t>
        </is>
      </c>
      <c r="J55" s="92" t="inlineStr"/>
      <c r="K55" s="92" t="inlineStr">
        <is>
          <t>بله</t>
        </is>
      </c>
      <c r="L55" s="92" t="inlineStr">
        <is>
          <t>خیر یا نامشخص (فهرست مبنا نیست)</t>
        </is>
      </c>
      <c r="M55" s="92" t="inlineStr">
        <is>
          <t>تا 1404/09/30</t>
        </is>
      </c>
      <c r="N55" s="92" t="inlineStr">
        <is>
          <t>ناقص: فقط تصدی اعضای حاضر در پایان دوره</t>
        </is>
      </c>
      <c r="O55" s="92" t="inlineStr">
        <is>
          <t>BR Tenure v41 T091</t>
        </is>
      </c>
      <c r="P55" s="92" t="inlineStr">
        <is>
          <t>متوسط</t>
        </is>
      </c>
      <c r="Q55" s="92" t="inlineStr">
        <is>
          <t>TYPE19+REPORT_CORROBORATED؛ خروج های متناظر در این جدول نیست</t>
        </is>
      </c>
    </row>
    <row r="56" ht="40" customHeight="1" s="76">
      <c r="A56" s="92" t="inlineStr">
        <is>
          <t>EV0053</t>
        </is>
      </c>
      <c r="B56" s="92" t="inlineStr">
        <is>
          <t>وغدیر</t>
        </is>
      </c>
      <c r="C56" s="92" t="inlineStr">
        <is>
          <t>شروع عضویت (ورود نسبت به مبنا)</t>
        </is>
      </c>
      <c r="D56" s="92" t="inlineStr">
        <is>
          <t>علی اکبر مصطفی پور</t>
        </is>
      </c>
      <c r="E56" s="92" t="inlineStr">
        <is>
          <t>صندوق بازنشستگی وظیفه از کار افتادگی و پس انداز کارکنان بانکهای ملی و ادغام شده</t>
        </is>
      </c>
      <c r="F56" s="92" t="inlineStr"/>
      <c r="G56" s="92" t="inlineStr">
        <is>
          <t>علی اکبر مصطفی پور</t>
        </is>
      </c>
      <c r="H56" s="92" t="inlineStr">
        <is>
          <t>1404/01/25</t>
        </is>
      </c>
      <c r="I56" s="92" t="inlineStr">
        <is>
          <t>تاریخ جلسه در اطلاعیه</t>
        </is>
      </c>
      <c r="J56" s="92" t="inlineStr"/>
      <c r="K56" s="92" t="inlineStr">
        <is>
          <t>بله</t>
        </is>
      </c>
      <c r="L56" s="92" t="inlineStr">
        <is>
          <t>خیر یا نامشخص (فهرست مبنا نیست)</t>
        </is>
      </c>
      <c r="M56" s="92" t="inlineStr">
        <is>
          <t>تا 1404/09/30</t>
        </is>
      </c>
      <c r="N56" s="92" t="inlineStr">
        <is>
          <t>ناقص: فقط تصدی اعضای حاضر در پایان دوره</t>
        </is>
      </c>
      <c r="O56" s="92" t="inlineStr">
        <is>
          <t>BR Tenure v41 T093</t>
        </is>
      </c>
      <c r="P56" s="92" t="inlineStr">
        <is>
          <t>متوسط</t>
        </is>
      </c>
      <c r="Q56" s="92" t="inlineStr">
        <is>
          <t>TYPE19+REPORT_CORROBORATED؛ خروج های متناظر در این جدول نیست</t>
        </is>
      </c>
    </row>
    <row r="57" ht="40" customHeight="1" s="76">
      <c r="A57" s="92" t="inlineStr">
        <is>
          <t>EV0054</t>
        </is>
      </c>
      <c r="B57" s="92" t="inlineStr">
        <is>
          <t>نوری</t>
        </is>
      </c>
      <c r="C57" s="92" t="inlineStr">
        <is>
          <t>شروع عضویت (ورود نسبت به مبنا)</t>
        </is>
      </c>
      <c r="D57" s="92" t="inlineStr">
        <is>
          <t>صالح رحیمی</t>
        </is>
      </c>
      <c r="E57" s="92" t="inlineStr">
        <is>
          <t>سرمایه گذاری نفت و گاز و پتروشیمی تامین</t>
        </is>
      </c>
      <c r="F57" s="92" t="inlineStr"/>
      <c r="G57" s="92" t="inlineStr">
        <is>
          <t>صالح رحیمی</t>
        </is>
      </c>
      <c r="H57" s="92" t="inlineStr"/>
      <c r="I57" s="92" t="inlineStr">
        <is>
          <t>بازه؛ تاریخ دقیق نامشخص</t>
        </is>
      </c>
      <c r="J57" s="92" t="inlineStr"/>
      <c r="K57" s="92" t="inlineStr">
        <is>
          <t>بله</t>
        </is>
      </c>
      <c r="L57" s="92" t="inlineStr">
        <is>
          <t>نامشخص</t>
        </is>
      </c>
      <c r="M57" s="92" t="inlineStr">
        <is>
          <t>تا 1404/12/29</t>
        </is>
      </c>
      <c r="N57" s="92" t="inlineStr">
        <is>
          <t>ناقص</t>
        </is>
      </c>
      <c r="O57" s="92" t="inlineStr">
        <is>
          <t>BR Tenure v41 T098</t>
        </is>
      </c>
      <c r="P57" s="92" t="inlineStr">
        <is>
          <t>پایین</t>
        </is>
      </c>
      <c r="Q57" s="92" t="inlineStr">
        <is>
          <t>بازه 1404/11/18 تا 1404/12/03؛ تاریخ ساختگی وارد نشد</t>
        </is>
      </c>
    </row>
    <row r="58" ht="40" customHeight="1" s="76">
      <c r="A58" s="92" t="inlineStr">
        <is>
          <t>EV0055</t>
        </is>
      </c>
      <c r="B58" s="92" t="inlineStr">
        <is>
          <t>نوری</t>
        </is>
      </c>
      <c r="C58" s="92" t="inlineStr">
        <is>
          <t>شروع عضویت (ورود نسبت به مبنا)</t>
        </is>
      </c>
      <c r="D58" s="92" t="inlineStr">
        <is>
          <t>حسام خوشبین فر</t>
        </is>
      </c>
      <c r="E58" s="92" t="inlineStr">
        <is>
          <t>صنایع پتروشیمی دهدشت</t>
        </is>
      </c>
      <c r="F58" s="92" t="inlineStr"/>
      <c r="G58" s="92" t="inlineStr">
        <is>
          <t>حسام خوشبین فر</t>
        </is>
      </c>
      <c r="H58" s="92" t="inlineStr">
        <is>
          <t>1404/05/27</t>
        </is>
      </c>
      <c r="I58" s="92" t="inlineStr">
        <is>
          <t>تاریخ جلسه در اطلاعیه</t>
        </is>
      </c>
      <c r="J58" s="92" t="inlineStr"/>
      <c r="K58" s="92" t="inlineStr">
        <is>
          <t>بله</t>
        </is>
      </c>
      <c r="L58" s="92" t="inlineStr">
        <is>
          <t>خیر یا نامشخص (فهرست مبنا نیست)</t>
        </is>
      </c>
      <c r="M58" s="92" t="inlineStr">
        <is>
          <t>تا 1404/12/29</t>
        </is>
      </c>
      <c r="N58" s="92" t="inlineStr">
        <is>
          <t>ناقص: فقط تصدی اعضای حاضر در پایان دوره</t>
        </is>
      </c>
      <c r="O58" s="92" t="inlineStr">
        <is>
          <t>BR Tenure v41 T099</t>
        </is>
      </c>
      <c r="P58" s="92" t="inlineStr">
        <is>
          <t>متوسط</t>
        </is>
      </c>
      <c r="Q58" s="92" t="inlineStr">
        <is>
          <t>TYPE19_ONLY؛ خروج های متناظر در این جدول نیست</t>
        </is>
      </c>
    </row>
    <row r="59" ht="40" customHeight="1" s="76">
      <c r="A59" s="92" t="inlineStr">
        <is>
          <t>EV0056</t>
        </is>
      </c>
      <c r="B59" s="92" t="inlineStr">
        <is>
          <t>نوری</t>
        </is>
      </c>
      <c r="C59" s="92" t="inlineStr">
        <is>
          <t>شروع عضویت (ورود نسبت به مبنا)</t>
        </is>
      </c>
      <c r="D59" s="92" t="inlineStr">
        <is>
          <t>تقی صانعی</t>
        </is>
      </c>
      <c r="E59" s="92" t="inlineStr">
        <is>
          <t>پالایش گاز هویزه خلیج فارس</t>
        </is>
      </c>
      <c r="F59" s="92" t="inlineStr"/>
      <c r="G59" s="92" t="inlineStr">
        <is>
          <t>تقی صانعی</t>
        </is>
      </c>
      <c r="H59" s="92" t="inlineStr">
        <is>
          <t>1404/04/03</t>
        </is>
      </c>
      <c r="I59" s="92" t="inlineStr">
        <is>
          <t>تاریخ جلسه در اطلاعیه</t>
        </is>
      </c>
      <c r="J59" s="92" t="inlineStr"/>
      <c r="K59" s="92" t="inlineStr">
        <is>
          <t>بله</t>
        </is>
      </c>
      <c r="L59" s="92" t="inlineStr">
        <is>
          <t>خیر یا نامشخص (فهرست مبنا نیست)</t>
        </is>
      </c>
      <c r="M59" s="92" t="inlineStr">
        <is>
          <t>تا 1404/12/29</t>
        </is>
      </c>
      <c r="N59" s="92" t="inlineStr">
        <is>
          <t>ناقص: فقط تصدی اعضای حاضر در پایان دوره</t>
        </is>
      </c>
      <c r="O59" s="92" t="inlineStr">
        <is>
          <t>BR Tenure v41 T100</t>
        </is>
      </c>
      <c r="P59" s="92" t="inlineStr">
        <is>
          <t>متوسط</t>
        </is>
      </c>
      <c r="Q59" s="92" t="inlineStr">
        <is>
          <t>TYPE19_ONLY؛ خروج های متناظر در این جدول نیست</t>
        </is>
      </c>
    </row>
    <row r="60" ht="40" customHeight="1" s="76">
      <c r="A60" s="92" t="inlineStr">
        <is>
          <t>EV0057</t>
        </is>
      </c>
      <c r="B60" s="92" t="inlineStr">
        <is>
          <t>نوری</t>
        </is>
      </c>
      <c r="C60" s="92" t="inlineStr">
        <is>
          <t>شروع عضویت (ورود نسبت به مبنا)</t>
        </is>
      </c>
      <c r="D60" s="92" t="inlineStr">
        <is>
          <t>فریدون امیری</t>
        </is>
      </c>
      <c r="E60" s="92" t="inlineStr">
        <is>
          <t>پتروشیمی الماس ماهشهر</t>
        </is>
      </c>
      <c r="F60" s="92" t="inlineStr"/>
      <c r="G60" s="92" t="inlineStr">
        <is>
          <t>فریدون امیری</t>
        </is>
      </c>
      <c r="H60" s="92" t="inlineStr">
        <is>
          <t>1404/08/25</t>
        </is>
      </c>
      <c r="I60" s="92" t="inlineStr">
        <is>
          <t>تاریخ جلسه در اطلاعیه</t>
        </is>
      </c>
      <c r="J60" s="92" t="inlineStr"/>
      <c r="K60" s="92" t="inlineStr">
        <is>
          <t>بله</t>
        </is>
      </c>
      <c r="L60" s="92" t="inlineStr">
        <is>
          <t>خیر یا نامشخص (فهرست مبنا نیست)</t>
        </is>
      </c>
      <c r="M60" s="92" t="inlineStr">
        <is>
          <t>تا 1404/12/29</t>
        </is>
      </c>
      <c r="N60" s="92" t="inlineStr">
        <is>
          <t>ناقص: فقط تصدی اعضای حاضر در پایان دوره</t>
        </is>
      </c>
      <c r="O60" s="92" t="inlineStr">
        <is>
          <t>BR Tenure v41 T102</t>
        </is>
      </c>
      <c r="P60" s="92" t="inlineStr">
        <is>
          <t>متوسط</t>
        </is>
      </c>
      <c r="Q60" s="92" t="inlineStr">
        <is>
          <t>TYPE19_ONLY؛ خروج های متناظر در این جدول نیست</t>
        </is>
      </c>
    </row>
    <row r="61" ht="40" customHeight="1" s="76">
      <c r="A61" s="92" t="inlineStr">
        <is>
          <t>EV0058</t>
        </is>
      </c>
      <c r="B61" s="92" t="inlineStr">
        <is>
          <t>فولاد</t>
        </is>
      </c>
      <c r="C61" s="92" t="inlineStr">
        <is>
          <t>شروع عضویت (ورود نسبت به مبنا)</t>
        </is>
      </c>
      <c r="D61" s="92" t="inlineStr">
        <is>
          <t>محمدحسین مقیمی</t>
        </is>
      </c>
      <c r="E61" s="92" t="inlineStr">
        <is>
          <t>سرمایه گذاری استان اصفهان</t>
        </is>
      </c>
      <c r="F61" s="92" t="inlineStr"/>
      <c r="G61" s="92" t="inlineStr">
        <is>
          <t>محمدحسین مقیمی</t>
        </is>
      </c>
      <c r="H61" s="92" t="inlineStr"/>
      <c r="I61" s="92" t="inlineStr">
        <is>
          <t>بازه؛ تاریخ دقیق نامشخص</t>
        </is>
      </c>
      <c r="J61" s="92" t="inlineStr"/>
      <c r="K61" s="92" t="inlineStr">
        <is>
          <t>بله</t>
        </is>
      </c>
      <c r="L61" s="92" t="inlineStr">
        <is>
          <t>نامشخص</t>
        </is>
      </c>
      <c r="M61" s="92" t="inlineStr">
        <is>
          <t>تا 1404/12/29</t>
        </is>
      </c>
      <c r="N61" s="92" t="inlineStr">
        <is>
          <t>ناقص</t>
        </is>
      </c>
      <c r="O61" s="92" t="inlineStr">
        <is>
          <t>BR Tenure v41 T106</t>
        </is>
      </c>
      <c r="P61" s="92" t="inlineStr">
        <is>
          <t>پایین</t>
        </is>
      </c>
      <c r="Q61" s="92" t="inlineStr">
        <is>
          <t>بازه 1404/10/03 تا 1404/10/08؛ تاریخ ساختگی وارد نشد</t>
        </is>
      </c>
    </row>
    <row r="62" ht="40" customHeight="1" s="76">
      <c r="A62" s="92" t="inlineStr">
        <is>
          <t>EV0059</t>
        </is>
      </c>
      <c r="B62" s="92" t="inlineStr">
        <is>
          <t>فولاد</t>
        </is>
      </c>
      <c r="C62" s="92" t="inlineStr">
        <is>
          <t>شروع عضویت (ورود نسبت به مبنا)</t>
        </is>
      </c>
      <c r="D62" s="92" t="inlineStr">
        <is>
          <t>مهدی زحمت کش</t>
        </is>
      </c>
      <c r="E62" s="92" t="inlineStr">
        <is>
          <t>سرمایه گذاری توسعه سرمایه رفاه</t>
        </is>
      </c>
      <c r="F62" s="92" t="inlineStr"/>
      <c r="G62" s="92" t="inlineStr">
        <is>
          <t>مهدی زحمت کش</t>
        </is>
      </c>
      <c r="H62" s="92" t="inlineStr"/>
      <c r="I62" s="92" t="inlineStr">
        <is>
          <t>بازه؛ تاریخ دقیق نامشخص</t>
        </is>
      </c>
      <c r="J62" s="92" t="inlineStr"/>
      <c r="K62" s="92" t="inlineStr">
        <is>
          <t>بله</t>
        </is>
      </c>
      <c r="L62" s="92" t="inlineStr">
        <is>
          <t>نامشخص</t>
        </is>
      </c>
      <c r="M62" s="92" t="inlineStr">
        <is>
          <t>تا 1404/12/29</t>
        </is>
      </c>
      <c r="N62" s="92" t="inlineStr">
        <is>
          <t>ناقص</t>
        </is>
      </c>
      <c r="O62" s="92" t="inlineStr">
        <is>
          <t>BR Tenure v41 T110</t>
        </is>
      </c>
      <c r="P62" s="92" t="inlineStr">
        <is>
          <t>پایین</t>
        </is>
      </c>
      <c r="Q62" s="92" t="inlineStr">
        <is>
          <t>بازه 1404/06/29 تا 1404/08/07؛ تاریخ ساختگی وارد نشد</t>
        </is>
      </c>
    </row>
    <row r="63" ht="40" customHeight="1" s="76">
      <c r="A63" s="92" t="inlineStr">
        <is>
          <t>EV0060</t>
        </is>
      </c>
      <c r="B63" s="92" t="inlineStr">
        <is>
          <t>کگل</t>
        </is>
      </c>
      <c r="C63" s="92" t="inlineStr">
        <is>
          <t>شروع عضویت (ورود نسبت به مبنا)</t>
        </is>
      </c>
      <c r="D63" s="92" t="inlineStr">
        <is>
          <t>مجتبی رضاخواه</t>
        </is>
      </c>
      <c r="E63" s="92" t="inlineStr">
        <is>
          <t>گروه مدیریت سرمایه گذاری امید</t>
        </is>
      </c>
      <c r="F63" s="92" t="inlineStr"/>
      <c r="G63" s="92" t="inlineStr">
        <is>
          <t>مجتبی رضاخواه</t>
        </is>
      </c>
      <c r="H63" s="92" t="inlineStr">
        <is>
          <t>1404/01/25</t>
        </is>
      </c>
      <c r="I63" s="92" t="inlineStr">
        <is>
          <t>تاریخ جلسه در اطلاعیه</t>
        </is>
      </c>
      <c r="J63" s="92" t="inlineStr"/>
      <c r="K63" s="92" t="inlineStr">
        <is>
          <t>بله</t>
        </is>
      </c>
      <c r="L63" s="92" t="inlineStr">
        <is>
          <t>خیر یا نامشخص (فهرست مبنا نیست)</t>
        </is>
      </c>
      <c r="M63" s="92" t="inlineStr">
        <is>
          <t>تا 1404/09/30</t>
        </is>
      </c>
      <c r="N63" s="92" t="inlineStr">
        <is>
          <t>ناقص: فقط تصدی اعضای حاضر در پایان دوره</t>
        </is>
      </c>
      <c r="O63" s="92" t="inlineStr">
        <is>
          <t>BR Tenure v41 T120</t>
        </is>
      </c>
      <c r="P63" s="92" t="inlineStr">
        <is>
          <t>متوسط</t>
        </is>
      </c>
      <c r="Q63" s="92" t="inlineStr">
        <is>
          <t>TYPE19_ONLY؛ خروج های متناظر در این جدول نیست</t>
        </is>
      </c>
    </row>
    <row r="64" ht="40" customHeight="1" s="76">
      <c r="A64" s="92" t="inlineStr">
        <is>
          <t>EV0061</t>
        </is>
      </c>
      <c r="B64" s="92" t="inlineStr">
        <is>
          <t>اخابر</t>
        </is>
      </c>
      <c r="C64" s="92" t="inlineStr">
        <is>
          <t>شروع عضویت (ورود نسبت به مبنا)</t>
        </is>
      </c>
      <c r="D64" s="92" t="inlineStr">
        <is>
          <t>رضا خضردوست</t>
        </is>
      </c>
      <c r="E64" s="92" t="inlineStr">
        <is>
          <t>سرمایه گذاری استان تهران</t>
        </is>
      </c>
      <c r="F64" s="92" t="inlineStr"/>
      <c r="G64" s="92" t="inlineStr">
        <is>
          <t>رضا خضردوست</t>
        </is>
      </c>
      <c r="H64" s="92" t="inlineStr">
        <is>
          <t>1404/08/13</t>
        </is>
      </c>
      <c r="I64" s="92" t="inlineStr">
        <is>
          <t>تاریخ جلسه در اطلاعیه</t>
        </is>
      </c>
      <c r="J64" s="92" t="inlineStr"/>
      <c r="K64" s="92" t="inlineStr">
        <is>
          <t>بله</t>
        </is>
      </c>
      <c r="L64" s="92" t="inlineStr">
        <is>
          <t>خیر یا نامشخص (فهرست مبنا نیست)</t>
        </is>
      </c>
      <c r="M64" s="92" t="inlineStr">
        <is>
          <t>تا 1404/12/29</t>
        </is>
      </c>
      <c r="N64" s="92" t="inlineStr">
        <is>
          <t>ناقص: فقط تصدی اعضای حاضر در پایان دوره</t>
        </is>
      </c>
      <c r="O64" s="92" t="inlineStr">
        <is>
          <t>BR Tenure v41 T135</t>
        </is>
      </c>
      <c r="P64" s="92" t="inlineStr">
        <is>
          <t>متوسط</t>
        </is>
      </c>
      <c r="Q64" s="92" t="inlineStr">
        <is>
          <t>TYPE19_ONLY؛ خروج های متناظر در این جدول نیست</t>
        </is>
      </c>
    </row>
    <row r="65" ht="40" customHeight="1" s="76">
      <c r="A65" s="92" t="inlineStr">
        <is>
          <t>EV0062</t>
        </is>
      </c>
      <c r="B65" s="92" t="inlineStr">
        <is>
          <t>ومعادن</t>
        </is>
      </c>
      <c r="C65" s="92" t="inlineStr">
        <is>
          <t>شروع عضویت (ورود نسبت به مبنا)</t>
        </is>
      </c>
      <c r="D65" s="92" t="inlineStr">
        <is>
          <t>محمد آقاجانلو</t>
        </is>
      </c>
      <c r="E65" s="92" t="inlineStr">
        <is>
          <t>فولاد مبارکه اصفهان</t>
        </is>
      </c>
      <c r="F65" s="92" t="inlineStr"/>
      <c r="G65" s="92" t="inlineStr">
        <is>
          <t>محمد آقاجانلو</t>
        </is>
      </c>
      <c r="H65" s="92" t="inlineStr">
        <is>
          <t>1404/07/30</t>
        </is>
      </c>
      <c r="I65" s="92" t="inlineStr">
        <is>
          <t>تاریخ جلسه در اطلاعیه</t>
        </is>
      </c>
      <c r="J65" s="92" t="inlineStr"/>
      <c r="K65" s="92" t="inlineStr">
        <is>
          <t>بله</t>
        </is>
      </c>
      <c r="L65" s="92" t="inlineStr">
        <is>
          <t>خیر یا نامشخص (فهرست مبنا نیست)</t>
        </is>
      </c>
      <c r="M65" s="92" t="inlineStr">
        <is>
          <t>تا 1404/12/29</t>
        </is>
      </c>
      <c r="N65" s="92" t="inlineStr">
        <is>
          <t>ناقص: فقط تصدی اعضای حاضر در پایان دوره</t>
        </is>
      </c>
      <c r="O65" s="92" t="inlineStr">
        <is>
          <t>BR Tenure v41 T147</t>
        </is>
      </c>
      <c r="P65" s="92" t="inlineStr">
        <is>
          <t>متوسط</t>
        </is>
      </c>
      <c r="Q65" s="92" t="inlineStr">
        <is>
          <t>TYPE19+REPORT_CORROBORATED؛ خروج های متناظر در این جدول نیست</t>
        </is>
      </c>
    </row>
    <row r="66" ht="40" customHeight="1" s="76">
      <c r="A66" s="92" t="inlineStr">
        <is>
          <t>EV0063</t>
        </is>
      </c>
      <c r="B66" s="92" t="inlineStr">
        <is>
          <t>ومعادن</t>
        </is>
      </c>
      <c r="C66" s="92" t="inlineStr">
        <is>
          <t>شروع عضویت (ورود نسبت به مبنا)</t>
        </is>
      </c>
      <c r="D66" s="92" t="inlineStr">
        <is>
          <t>سجاد طهماسبی</t>
        </is>
      </c>
      <c r="E66" s="92" t="inlineStr">
        <is>
          <t>معدنی و صنعتی فولاد سنگ مبارکه اصفهان</t>
        </is>
      </c>
      <c r="F66" s="92" t="inlineStr"/>
      <c r="G66" s="92" t="inlineStr">
        <is>
          <t>سجاد طهماسبی</t>
        </is>
      </c>
      <c r="H66" s="92" t="inlineStr">
        <is>
          <t>1404/05/08</t>
        </is>
      </c>
      <c r="I66" s="92" t="inlineStr">
        <is>
          <t>تاریخ جلسه در اطلاعیه</t>
        </is>
      </c>
      <c r="J66" s="92" t="inlineStr"/>
      <c r="K66" s="92" t="inlineStr">
        <is>
          <t>بله</t>
        </is>
      </c>
      <c r="L66" s="92" t="inlineStr">
        <is>
          <t>خیر یا نامشخص (فهرست مبنا نیست)</t>
        </is>
      </c>
      <c r="M66" s="92" t="inlineStr">
        <is>
          <t>تا 1404/12/29</t>
        </is>
      </c>
      <c r="N66" s="92" t="inlineStr">
        <is>
          <t>ناقص: فقط تصدی اعضای حاضر در پایان دوره</t>
        </is>
      </c>
      <c r="O66" s="92" t="inlineStr">
        <is>
          <t>BR Tenure v41 T149</t>
        </is>
      </c>
      <c r="P66" s="92" t="inlineStr">
        <is>
          <t>متوسط</t>
        </is>
      </c>
      <c r="Q66" s="92" t="inlineStr">
        <is>
          <t>TYPE19+REPORT_CORROBORATED؛ خروج های متناظر در این جدول نیست</t>
        </is>
      </c>
    </row>
    <row r="67" ht="40" customHeight="1" s="76">
      <c r="A67" s="92" t="inlineStr">
        <is>
          <t>EV0064</t>
        </is>
      </c>
      <c r="B67" s="92" t="inlineStr">
        <is>
          <t>فملی</t>
        </is>
      </c>
      <c r="C67" s="92" t="inlineStr">
        <is>
          <t>شروع ریاست (رئیس جدید نسبت به مبنا)</t>
        </is>
      </c>
      <c r="D67" s="92" t="inlineStr">
        <is>
          <t>غلامرضا شافعی</t>
        </is>
      </c>
      <c r="E67" s="92" t="inlineStr">
        <is>
          <t>سازمان توسعه و نوسازی معادن و صنایع معدنی ایران</t>
        </is>
      </c>
      <c r="F67" s="92" t="inlineStr"/>
      <c r="G67" s="92" t="inlineStr">
        <is>
          <t>غلامرضا شافعی</t>
        </is>
      </c>
      <c r="H67" s="92" t="inlineStr">
        <is>
          <t>1404/02/02</t>
        </is>
      </c>
      <c r="I67" s="92" t="inlineStr">
        <is>
          <t>تاریخ جلسه در اطلاعیه</t>
        </is>
      </c>
      <c r="J67" s="92" t="inlineStr"/>
      <c r="K67" s="92" t="inlineStr">
        <is>
          <t>بله</t>
        </is>
      </c>
      <c r="L67" s="92" t="inlineStr">
        <is>
          <t>بله</t>
        </is>
      </c>
      <c r="M67" s="92" t="inlineStr">
        <is>
          <t>تا 1404/12/29</t>
        </is>
      </c>
      <c r="N67" s="92" t="inlineStr">
        <is>
          <t>ناقص</t>
        </is>
      </c>
      <c r="O67" s="92" t="inlineStr">
        <is>
          <t>BR Tenure v41 T002</t>
        </is>
      </c>
      <c r="P67" s="92" t="inlineStr">
        <is>
          <t>متوسط</t>
        </is>
      </c>
      <c r="Q67" s="92" t="inlineStr">
        <is>
          <t>نام رئیس مبنا در فایل نیست؛ فقط شروع ریاست فعلی پس از مبنا ثبت شد</t>
        </is>
      </c>
    </row>
    <row r="68" ht="40" customHeight="1" s="76">
      <c r="A68" s="92" t="inlineStr">
        <is>
          <t>EV0065</t>
        </is>
      </c>
      <c r="B68" s="92" t="inlineStr">
        <is>
          <t>فارس</t>
        </is>
      </c>
      <c r="C68" s="92" t="inlineStr">
        <is>
          <t>شروع ریاست (رئیس جدید نسبت به مبنا)</t>
        </is>
      </c>
      <c r="D68" s="92" t="inlineStr">
        <is>
          <t>حسین حسین زاده</t>
        </is>
      </c>
      <c r="E68" s="92" t="inlineStr">
        <is>
          <t>توسعه نفت و گاز صبا کارون</t>
        </is>
      </c>
      <c r="F68" s="92" t="inlineStr"/>
      <c r="G68" s="92" t="inlineStr">
        <is>
          <t>حسین حسین زاده</t>
        </is>
      </c>
      <c r="H68" s="92" t="inlineStr">
        <is>
          <t>1404/02/29</t>
        </is>
      </c>
      <c r="I68" s="92" t="inlineStr">
        <is>
          <t>تاریخ جلسه در اطلاعیه</t>
        </is>
      </c>
      <c r="J68" s="92" t="inlineStr"/>
      <c r="K68" s="92" t="inlineStr">
        <is>
          <t>بله</t>
        </is>
      </c>
      <c r="L68" s="92" t="inlineStr">
        <is>
          <t>نامشخص</t>
        </is>
      </c>
      <c r="M68" s="92" t="inlineStr">
        <is>
          <t>تا 1404/03/31</t>
        </is>
      </c>
      <c r="N68" s="92" t="inlineStr">
        <is>
          <t>ناقص</t>
        </is>
      </c>
      <c r="O68" s="92" t="inlineStr">
        <is>
          <t>BR Tenure v41 T019</t>
        </is>
      </c>
      <c r="P68" s="92" t="inlineStr">
        <is>
          <t>متوسط</t>
        </is>
      </c>
      <c r="Q68" s="92" t="inlineStr">
        <is>
          <t>نام رئیس مبنا در فایل نیست؛ فقط شروع ریاست فعلی پس از مبنا ثبت شد</t>
        </is>
      </c>
    </row>
    <row r="69" ht="40" customHeight="1" s="76">
      <c r="A69" s="92" t="inlineStr">
        <is>
          <t>EV0066</t>
        </is>
      </c>
      <c r="B69" s="92" t="inlineStr">
        <is>
          <t>زاگرس</t>
        </is>
      </c>
      <c r="C69" s="92" t="inlineStr">
        <is>
          <t>شروع ریاست (رئیس جدید نسبت به مبنا)</t>
        </is>
      </c>
      <c r="D69" s="92" t="inlineStr">
        <is>
          <t>عماد صدیقی</t>
        </is>
      </c>
      <c r="E69" s="92" t="inlineStr">
        <is>
          <t>مجتمع صنعتی نفت و گاز صبا جم کنگان</t>
        </is>
      </c>
      <c r="F69" s="92" t="inlineStr"/>
      <c r="G69" s="92" t="inlineStr">
        <is>
          <t>عماد صدیقی</t>
        </is>
      </c>
      <c r="H69" s="92" t="inlineStr">
        <is>
          <t>1404/07/30</t>
        </is>
      </c>
      <c r="I69" s="92" t="inlineStr">
        <is>
          <t>تاریخ جلسه در اطلاعیه</t>
        </is>
      </c>
      <c r="J69" s="92" t="inlineStr"/>
      <c r="K69" s="92" t="inlineStr">
        <is>
          <t>بله</t>
        </is>
      </c>
      <c r="L69" s="92" t="inlineStr">
        <is>
          <t>بله</t>
        </is>
      </c>
      <c r="M69" s="92" t="inlineStr">
        <is>
          <t>تا 1404/12/29</t>
        </is>
      </c>
      <c r="N69" s="92" t="inlineStr">
        <is>
          <t>ناقص</t>
        </is>
      </c>
      <c r="O69" s="92" t="inlineStr">
        <is>
          <t>BR Tenure v41 T034</t>
        </is>
      </c>
      <c r="P69" s="92" t="inlineStr">
        <is>
          <t>متوسط</t>
        </is>
      </c>
      <c r="Q69" s="92" t="inlineStr">
        <is>
          <t>نام رئیس مبنا در فایل نیست؛ فقط شروع ریاست فعلی پس از مبنا ثبت شد</t>
        </is>
      </c>
    </row>
    <row r="70" ht="40" customHeight="1" s="76">
      <c r="A70" s="92" t="inlineStr">
        <is>
          <t>EV0067</t>
        </is>
      </c>
      <c r="B70" s="92" t="inlineStr">
        <is>
          <t>شبندر</t>
        </is>
      </c>
      <c r="C70" s="92" t="inlineStr">
        <is>
          <t>شروع ریاست (رئیس جدید نسبت به مبنا)</t>
        </is>
      </c>
      <c r="D70" s="92" t="inlineStr">
        <is>
          <t>محمد صادقی</t>
        </is>
      </c>
      <c r="E70" s="92" t="inlineStr">
        <is>
          <t>سرمایه گذاری استان بوشهر</t>
        </is>
      </c>
      <c r="F70" s="92" t="inlineStr"/>
      <c r="G70" s="92" t="inlineStr">
        <is>
          <t>محمد صادقی</t>
        </is>
      </c>
      <c r="H70" s="92" t="inlineStr">
        <is>
          <t>1404/05/27</t>
        </is>
      </c>
      <c r="I70" s="92" t="inlineStr">
        <is>
          <t>تاریخ جلسه در اطلاعیه</t>
        </is>
      </c>
      <c r="J70" s="92" t="inlineStr"/>
      <c r="K70" s="92" t="inlineStr">
        <is>
          <t>بله</t>
        </is>
      </c>
      <c r="L70" s="92" t="inlineStr">
        <is>
          <t>بله</t>
        </is>
      </c>
      <c r="M70" s="92" t="inlineStr">
        <is>
          <t>تا 1404/12/29</t>
        </is>
      </c>
      <c r="N70" s="92" t="inlineStr">
        <is>
          <t>ناقص</t>
        </is>
      </c>
      <c r="O70" s="92" t="inlineStr">
        <is>
          <t>BR Tenure v41 T040</t>
        </is>
      </c>
      <c r="P70" s="92" t="inlineStr">
        <is>
          <t>متوسط</t>
        </is>
      </c>
      <c r="Q70" s="92" t="inlineStr">
        <is>
          <t>نام رئیس مبنا در فایل نیست؛ فقط شروع ریاست فعلی پس از مبنا ثبت شد</t>
        </is>
      </c>
    </row>
    <row r="71" ht="40" customHeight="1" s="76">
      <c r="A71" s="92" t="inlineStr">
        <is>
          <t>EV0068</t>
        </is>
      </c>
      <c r="B71" s="92" t="inlineStr">
        <is>
          <t>پارس</t>
        </is>
      </c>
      <c r="C71" s="92" t="inlineStr">
        <is>
          <t>شروع ریاست (رئیس جدید نسبت به مبنا)</t>
        </is>
      </c>
      <c r="D71" s="92" t="inlineStr">
        <is>
          <t>یداله مصدقی فرد</t>
        </is>
      </c>
      <c r="E71" s="92" t="inlineStr">
        <is>
          <t>پتروشیمی کارون</t>
        </is>
      </c>
      <c r="F71" s="92" t="inlineStr"/>
      <c r="G71" s="92" t="inlineStr">
        <is>
          <t>یداله مصدقی فرد</t>
        </is>
      </c>
      <c r="H71" s="92" t="inlineStr">
        <is>
          <t>1404/07/26</t>
        </is>
      </c>
      <c r="I71" s="92" t="inlineStr">
        <is>
          <t>تاریخ جلسه در اطلاعیه</t>
        </is>
      </c>
      <c r="J71" s="92" t="inlineStr"/>
      <c r="K71" s="92" t="inlineStr">
        <is>
          <t>بله</t>
        </is>
      </c>
      <c r="L71" s="92" t="inlineStr">
        <is>
          <t>بله</t>
        </is>
      </c>
      <c r="M71" s="92" t="inlineStr">
        <is>
          <t>تا 1404/12/29</t>
        </is>
      </c>
      <c r="N71" s="92" t="inlineStr">
        <is>
          <t>ناقص</t>
        </is>
      </c>
      <c r="O71" s="92" t="inlineStr">
        <is>
          <t>BR Tenure v41 T046</t>
        </is>
      </c>
      <c r="P71" s="92" t="inlineStr">
        <is>
          <t>متوسط</t>
        </is>
      </c>
      <c r="Q71" s="92" t="inlineStr">
        <is>
          <t>نام رئیس مبنا در فایل نیست؛ فقط شروع ریاست فعلی پس از مبنا ثبت شد</t>
        </is>
      </c>
    </row>
    <row r="72" ht="40" customHeight="1" s="76">
      <c r="A72" s="92" t="inlineStr">
        <is>
          <t>EV0069</t>
        </is>
      </c>
      <c r="B72" s="92" t="inlineStr">
        <is>
          <t>رمپنا</t>
        </is>
      </c>
      <c r="C72" s="92" t="inlineStr">
        <is>
          <t>شروع ریاست (رئیس جدید نسبت به مبنا)</t>
        </is>
      </c>
      <c r="D72" s="92" t="inlineStr">
        <is>
          <t>محمدرضا اولی</t>
        </is>
      </c>
      <c r="E72" s="92" t="inlineStr">
        <is>
          <t>سرمایه گذاری ثروت آفرین صبا</t>
        </is>
      </c>
      <c r="F72" s="92" t="inlineStr"/>
      <c r="G72" s="92" t="inlineStr">
        <is>
          <t>محمدرضا اولی</t>
        </is>
      </c>
      <c r="H72" s="92" t="inlineStr">
        <is>
          <t>1404/02/21</t>
        </is>
      </c>
      <c r="I72" s="92" t="inlineStr">
        <is>
          <t>تاریخ جلسه در اطلاعیه</t>
        </is>
      </c>
      <c r="J72" s="92" t="inlineStr"/>
      <c r="K72" s="92" t="inlineStr">
        <is>
          <t>بله</t>
        </is>
      </c>
      <c r="L72" s="92" t="inlineStr">
        <is>
          <t>بله</t>
        </is>
      </c>
      <c r="M72" s="92" t="inlineStr">
        <is>
          <t>تا 1404/12/29</t>
        </is>
      </c>
      <c r="N72" s="92" t="inlineStr">
        <is>
          <t>ناقص</t>
        </is>
      </c>
      <c r="O72" s="92" t="inlineStr">
        <is>
          <t>BR Tenure v41 T064</t>
        </is>
      </c>
      <c r="P72" s="92" t="inlineStr">
        <is>
          <t>متوسط</t>
        </is>
      </c>
      <c r="Q72" s="92" t="inlineStr">
        <is>
          <t>نام رئیس مبنا در فایل نیست؛ فقط شروع ریاست فعلی پس از مبنا ثبت شد</t>
        </is>
      </c>
    </row>
    <row r="73" ht="40" customHeight="1" s="76">
      <c r="A73" s="92" t="inlineStr">
        <is>
          <t>EV0070</t>
        </is>
      </c>
      <c r="B73" s="92" t="inlineStr">
        <is>
          <t>فخوز</t>
        </is>
      </c>
      <c r="C73" s="92" t="inlineStr">
        <is>
          <t>شروع ریاست (رئیس جدید نسبت به مبنا)</t>
        </is>
      </c>
      <c r="D73" s="92" t="inlineStr">
        <is>
          <t>محمد شهسواری</t>
        </is>
      </c>
      <c r="E73" s="92" t="inlineStr">
        <is>
          <t>سرمایه گذاری سامان مجد</t>
        </is>
      </c>
      <c r="F73" s="92" t="inlineStr"/>
      <c r="G73" s="92" t="inlineStr">
        <is>
          <t>محمد شهسواری</t>
        </is>
      </c>
      <c r="H73" s="92" t="inlineStr">
        <is>
          <t>1404/05/15</t>
        </is>
      </c>
      <c r="I73" s="92" t="inlineStr">
        <is>
          <t>تاریخ جلسه در اطلاعیه</t>
        </is>
      </c>
      <c r="J73" s="92" t="inlineStr"/>
      <c r="K73" s="92" t="inlineStr">
        <is>
          <t>بله</t>
        </is>
      </c>
      <c r="L73" s="92" t="inlineStr">
        <is>
          <t>بله</t>
        </is>
      </c>
      <c r="M73" s="92" t="inlineStr">
        <is>
          <t>تا 1404/12/29</t>
        </is>
      </c>
      <c r="N73" s="92" t="inlineStr">
        <is>
          <t>ناقص</t>
        </is>
      </c>
      <c r="O73" s="92" t="inlineStr">
        <is>
          <t>BR Tenure v41 T073</t>
        </is>
      </c>
      <c r="P73" s="92" t="inlineStr">
        <is>
          <t>متوسط</t>
        </is>
      </c>
      <c r="Q73" s="92" t="inlineStr">
        <is>
          <t>نام رئیس مبنا در فایل نیست؛ فقط شروع ریاست فعلی پس از مبنا ثبت شد</t>
        </is>
      </c>
    </row>
    <row r="74" ht="40" customHeight="1" s="76">
      <c r="A74" s="92" t="inlineStr">
        <is>
          <t>EV0071</t>
        </is>
      </c>
      <c r="B74" s="92" t="inlineStr">
        <is>
          <t>نوری</t>
        </is>
      </c>
      <c r="C74" s="92" t="inlineStr">
        <is>
          <t>شروع ریاست (رئیس جدید نسبت به مبنا)</t>
        </is>
      </c>
      <c r="D74" s="92" t="inlineStr">
        <is>
          <t>تقی صانعی</t>
        </is>
      </c>
      <c r="E74" s="92" t="inlineStr">
        <is>
          <t>پالایش گاز هویزه خلیج فارس</t>
        </is>
      </c>
      <c r="F74" s="92" t="inlineStr"/>
      <c r="G74" s="92" t="inlineStr">
        <is>
          <t>تقی صانعی</t>
        </is>
      </c>
      <c r="H74" s="92" t="inlineStr">
        <is>
          <t>1404/06/30</t>
        </is>
      </c>
      <c r="I74" s="92" t="inlineStr">
        <is>
          <t>تاریخ جلسه در اطلاعیه</t>
        </is>
      </c>
      <c r="J74" s="92" t="inlineStr"/>
      <c r="K74" s="92" t="inlineStr">
        <is>
          <t>بله</t>
        </is>
      </c>
      <c r="L74" s="92" t="inlineStr">
        <is>
          <t>بله</t>
        </is>
      </c>
      <c r="M74" s="92" t="inlineStr">
        <is>
          <t>تا 1404/12/29</t>
        </is>
      </c>
      <c r="N74" s="92" t="inlineStr">
        <is>
          <t>ناقص</t>
        </is>
      </c>
      <c r="O74" s="92" t="inlineStr">
        <is>
          <t>BR Tenure v41 T101</t>
        </is>
      </c>
      <c r="P74" s="92" t="inlineStr">
        <is>
          <t>متوسط</t>
        </is>
      </c>
      <c r="Q74" s="92" t="inlineStr">
        <is>
          <t>نام رئیس مبنا در فایل نیست؛ فقط شروع ریاست فعلی پس از مبنا ثبت شد</t>
        </is>
      </c>
    </row>
    <row r="75" ht="40" customHeight="1" s="76">
      <c r="A75" s="92" t="inlineStr">
        <is>
          <t>EV0072</t>
        </is>
      </c>
      <c r="B75" s="92" t="inlineStr">
        <is>
          <t>فولاد</t>
        </is>
      </c>
      <c r="C75" s="92" t="inlineStr">
        <is>
          <t>شروع ریاست (رئیس جدید نسبت به مبنا)</t>
        </is>
      </c>
      <c r="D75" s="92" t="inlineStr">
        <is>
          <t>محمدحسین مقیمی</t>
        </is>
      </c>
      <c r="E75" s="92" t="inlineStr">
        <is>
          <t>سرمایه گذاری استان اصفهان</t>
        </is>
      </c>
      <c r="F75" s="92" t="inlineStr"/>
      <c r="G75" s="92" t="inlineStr">
        <is>
          <t>محمدحسین مقیمی</t>
        </is>
      </c>
      <c r="H75" s="92" t="inlineStr">
        <is>
          <t>1404/10/03</t>
        </is>
      </c>
      <c r="I75" s="92" t="inlineStr">
        <is>
          <t>تاریخ جلسه در اطلاعیه</t>
        </is>
      </c>
      <c r="J75" s="92" t="inlineStr"/>
      <c r="K75" s="92" t="inlineStr">
        <is>
          <t>بله</t>
        </is>
      </c>
      <c r="L75" s="92" t="inlineStr">
        <is>
          <t>بله</t>
        </is>
      </c>
      <c r="M75" s="92" t="inlineStr">
        <is>
          <t>تا 1404/12/29</t>
        </is>
      </c>
      <c r="N75" s="92" t="inlineStr">
        <is>
          <t>ناقص</t>
        </is>
      </c>
      <c r="O75" s="92" t="inlineStr">
        <is>
          <t>BR Tenure v41 T107</t>
        </is>
      </c>
      <c r="P75" s="92" t="inlineStr">
        <is>
          <t>متوسط</t>
        </is>
      </c>
      <c r="Q75" s="92" t="inlineStr">
        <is>
          <t>نام رئیس مبنا در فایل نیست؛ فقط شروع ریاست فعلی پس از مبنا ثبت شد</t>
        </is>
      </c>
    </row>
    <row r="76" ht="40" customHeight="1" s="76">
      <c r="A76" s="92" t="inlineStr">
        <is>
          <t>EV0073</t>
        </is>
      </c>
      <c r="B76" s="92" t="inlineStr">
        <is>
          <t>کگل</t>
        </is>
      </c>
      <c r="C76" s="92" t="inlineStr">
        <is>
          <t>شروع ریاست (رئیس جدید نسبت به مبنا)</t>
        </is>
      </c>
      <c r="D76" s="92" t="inlineStr">
        <is>
          <t>مجتبی رضاخواه</t>
        </is>
      </c>
      <c r="E76" s="92" t="inlineStr">
        <is>
          <t>گروه مدیریت سرمایه گذاری امید</t>
        </is>
      </c>
      <c r="F76" s="92" t="inlineStr"/>
      <c r="G76" s="92" t="inlineStr">
        <is>
          <t>مجتبی رضاخواه</t>
        </is>
      </c>
      <c r="H76" s="92" t="inlineStr">
        <is>
          <t>1404/01/25</t>
        </is>
      </c>
      <c r="I76" s="92" t="inlineStr">
        <is>
          <t>تاریخ جلسه در اطلاعیه</t>
        </is>
      </c>
      <c r="J76" s="92" t="inlineStr"/>
      <c r="K76" s="92" t="inlineStr">
        <is>
          <t>بله</t>
        </is>
      </c>
      <c r="L76" s="92" t="inlineStr">
        <is>
          <t>نامشخص</t>
        </is>
      </c>
      <c r="M76" s="92" t="inlineStr">
        <is>
          <t>تا 1404/09/30</t>
        </is>
      </c>
      <c r="N76" s="92" t="inlineStr">
        <is>
          <t>ناقص</t>
        </is>
      </c>
      <c r="O76" s="92" t="inlineStr">
        <is>
          <t>BR Tenure v41 T121</t>
        </is>
      </c>
      <c r="P76" s="92" t="inlineStr">
        <is>
          <t>متوسط</t>
        </is>
      </c>
      <c r="Q76" s="92" t="inlineStr">
        <is>
          <t>نام رئیس مبنا در فایل نیست؛ فقط شروع ریاست فعلی پس از مبنا ثبت شد</t>
        </is>
      </c>
    </row>
    <row r="77" ht="40" customHeight="1" s="76">
      <c r="A77" s="92" t="inlineStr">
        <is>
          <t>EV0074</t>
        </is>
      </c>
      <c r="B77" s="92" t="inlineStr">
        <is>
          <t>ومعادن</t>
        </is>
      </c>
      <c r="C77" s="92" t="inlineStr">
        <is>
          <t>شروع ریاست (رئیس جدید نسبت به مبنا)</t>
        </is>
      </c>
      <c r="D77" s="92" t="inlineStr">
        <is>
          <t>محمد آقاجانلو</t>
        </is>
      </c>
      <c r="E77" s="92" t="inlineStr">
        <is>
          <t>فولاد مبارکه اصفهان</t>
        </is>
      </c>
      <c r="F77" s="92" t="inlineStr"/>
      <c r="G77" s="92" t="inlineStr">
        <is>
          <t>محمد آقاجانلو</t>
        </is>
      </c>
      <c r="H77" s="92" t="inlineStr">
        <is>
          <t>1404/07/30</t>
        </is>
      </c>
      <c r="I77" s="92" t="inlineStr">
        <is>
          <t>تاریخ جلسه در اطلاعیه</t>
        </is>
      </c>
      <c r="J77" s="92" t="inlineStr"/>
      <c r="K77" s="92" t="inlineStr">
        <is>
          <t>بله</t>
        </is>
      </c>
      <c r="L77" s="92" t="inlineStr">
        <is>
          <t>بله</t>
        </is>
      </c>
      <c r="M77" s="92" t="inlineStr">
        <is>
          <t>تا 1404/12/29</t>
        </is>
      </c>
      <c r="N77" s="92" t="inlineStr">
        <is>
          <t>ناقص</t>
        </is>
      </c>
      <c r="O77" s="92" t="inlineStr">
        <is>
          <t>BR Tenure v41 T148</t>
        </is>
      </c>
      <c r="P77" s="92" t="inlineStr">
        <is>
          <t>متوسط</t>
        </is>
      </c>
      <c r="Q77" s="92" t="inlineStr">
        <is>
          <t>نام رئیس مبنا در فایل نیست؛ فقط شروع ریاست فعلی پس از مبنا ثبت شد</t>
        </is>
      </c>
    </row>
  </sheetData>
  <autoFilter ref="A3:Q77"/>
  <mergeCells count="2">
    <mergeCell ref="A2:Q2"/>
    <mergeCell ref="A1:Q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45"/>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8" customWidth="1" style="76" min="1" max="1"/>
    <col width="9" customWidth="1" style="76" min="2" max="2"/>
    <col width="40" customWidth="1" style="76" min="3" max="3"/>
    <col width="22" customWidth="1" style="76" min="4" max="4"/>
    <col width="16" customWidth="1" style="76" min="5" max="5"/>
    <col width="70" customWidth="1" style="76" min="6" max="6"/>
    <col width="34" customWidth="1" style="76" min="7" max="7"/>
    <col width="34" customWidth="1" style="76" min="8" max="8"/>
    <col width="28" customWidth="1" style="76" min="9" max="9"/>
    <col width="30" customWidth="1" style="76" min="10" max="10"/>
  </cols>
  <sheetData>
    <row r="1" ht="26" customHeight="1" s="76">
      <c r="A1" s="89" t="inlineStr">
        <is>
          <t>نتیجه پنج پرونده تاریخی در سطح هر ادعا</t>
        </is>
      </c>
    </row>
    <row r="2" ht="44" customHeight="1" s="76">
      <c r="A2" s="90" t="inlineStr">
        <is>
          <t>هر پرونده به ادعاهای جدا شکسته شد: خروج تاییدشده بین دو مقطع، تاریخ دقیق خروج، علت خروج و تغییر رئیس چهار ادعای جدا با وضعیت مستقل اند. پرونده ای که فقط بخشی از آن حل شده کامل حل شده اعلام نشده است. هیچ سند اصلی در این جلسه بازدریافت نشد؛ بسته شواهد v41 ارائه نشد و کدال با 503 و قطع اتصال پاسخ داد، بنابراین وضعیت ها از متن و بازسازی داخل خود فایل اند و تایید مستقل متن سند نیستند.</t>
        </is>
      </c>
    </row>
    <row r="3" ht="42" customHeight="1" s="76">
      <c r="A3" s="91" t="inlineStr">
        <is>
          <t>شناسه ادعا</t>
        </is>
      </c>
      <c r="B3" s="91" t="inlineStr">
        <is>
          <t>پرونده</t>
        </is>
      </c>
      <c r="C3" s="91" t="inlineStr">
        <is>
          <t>ادعا</t>
        </is>
      </c>
      <c r="D3" s="91" t="inlineStr">
        <is>
          <t>مقطع یا زمان</t>
        </is>
      </c>
      <c r="E3" s="91" t="inlineStr">
        <is>
          <t>وضعیت نهایی ادعا</t>
        </is>
      </c>
      <c r="F3" s="91" t="inlineStr">
        <is>
          <t>یافته v42</t>
        </is>
      </c>
      <c r="G3" s="91" t="inlineStr">
        <is>
          <t>منابع در فایل</t>
        </is>
      </c>
      <c r="H3" s="91" t="inlineStr">
        <is>
          <t>سند یا کار لازم</t>
        </is>
      </c>
      <c r="I3" s="91" t="inlineStr">
        <is>
          <t>اثر بر سنجه ها</t>
        </is>
      </c>
      <c r="J3" s="91" t="inlineStr">
        <is>
          <t>یادداشت</t>
        </is>
      </c>
    </row>
    <row r="4" ht="60" customHeight="1" s="76">
      <c r="A4" s="93" t="inlineStr">
        <is>
          <t>SUM</t>
        </is>
      </c>
      <c r="B4" s="93" t="inlineStr">
        <is>
          <t>وتجارت</t>
        </is>
      </c>
      <c r="C4" s="93" t="inlineStr">
        <is>
          <t>خلاصه پرونده</t>
        </is>
      </c>
      <c r="D4" s="93" t="inlineStr"/>
      <c r="E4" s="93" t="inlineStr">
        <is>
          <t>حل جزئی</t>
        </is>
      </c>
      <c r="F4" s="93" t="inlineStr">
        <is>
          <t>ساختار و رئیس تایید جزئی؛ خروج شریفیان بین دو مقطع تایید جزئی؛ تاریخ و علت خروج و کرسی خالی مشخص نشد؛ علت اختلاف اطلاعیه ها مشخص نشد.</t>
        </is>
      </c>
      <c r="G4" s="93" t="inlineStr"/>
      <c r="H4" s="93" t="inlineStr"/>
      <c r="I4" s="93" t="inlineStr"/>
      <c r="J4" s="93" t="inlineStr"/>
    </row>
    <row r="5" ht="60" customHeight="1" s="76">
      <c r="A5" s="93" t="inlineStr">
        <is>
          <t>SUM</t>
        </is>
      </c>
      <c r="B5" s="93" t="inlineStr">
        <is>
          <t>وپاسار</t>
        </is>
      </c>
      <c r="C5" s="93" t="inlineStr">
        <is>
          <t>خلاصه پرونده</t>
        </is>
      </c>
      <c r="D5" s="93" t="inlineStr"/>
      <c r="E5" s="93" t="inlineStr">
        <is>
          <t>حل نشد</t>
        </is>
      </c>
      <c r="F5" s="93" t="inlineStr">
        <is>
          <t>مبنا متعارض و پایان بدون شاهد در منابع بررسی شده؛ متن گزارش 1526305 و نام امضاکنندگان در دسترس نبود.</t>
        </is>
      </c>
      <c r="G5" s="93" t="inlineStr"/>
      <c r="H5" s="93" t="inlineStr"/>
      <c r="I5" s="93" t="inlineStr"/>
      <c r="J5" s="93" t="inlineStr"/>
    </row>
    <row r="6" ht="60" customHeight="1" s="76">
      <c r="A6" s="93" t="inlineStr">
        <is>
          <t>SUM</t>
        </is>
      </c>
      <c r="B6" s="93" t="inlineStr">
        <is>
          <t>حکشتی</t>
        </is>
      </c>
      <c r="C6" s="93" t="inlineStr">
        <is>
          <t>خلاصه پرونده</t>
        </is>
      </c>
      <c r="D6" s="93" t="inlineStr"/>
      <c r="E6" s="93" t="inlineStr">
        <is>
          <t>حل جزئی</t>
        </is>
      </c>
      <c r="F6" s="93" t="inlineStr">
        <is>
          <t>ساختار حقوقی و سه تغییر دارنده در سطح شخص حقوقی تایید جزئی؛ نمایندگان حقیقی همچنان معلوم نیستند.</t>
        </is>
      </c>
      <c r="G6" s="93" t="inlineStr"/>
      <c r="H6" s="93" t="inlineStr"/>
      <c r="I6" s="93" t="inlineStr"/>
      <c r="J6" s="93" t="inlineStr"/>
    </row>
    <row r="7" ht="60" customHeight="1" s="76">
      <c r="A7" s="93" t="inlineStr">
        <is>
          <t>SUM</t>
        </is>
      </c>
      <c r="B7" s="93" t="inlineStr">
        <is>
          <t>فملی</t>
        </is>
      </c>
      <c r="C7" s="93" t="inlineStr">
        <is>
          <t>خلاصه پرونده</t>
        </is>
      </c>
      <c r="D7" s="93" t="inlineStr"/>
      <c r="E7" s="93" t="inlineStr">
        <is>
          <t>حل جزئی با تعارض باز</t>
        </is>
      </c>
      <c r="F7" s="93" t="inlineStr">
        <is>
          <t>رئیس پایان مشخص و تغییر رئیس غیرمستقیم بله؛ رئیس مبنا نامشخص؛ مقدار گردش صفر از پنج با شواهد v41 متعارض است.</t>
        </is>
      </c>
      <c r="G7" s="93" t="inlineStr"/>
      <c r="H7" s="93" t="inlineStr"/>
      <c r="I7" s="93" t="inlineStr"/>
      <c r="J7" s="93" t="inlineStr"/>
    </row>
    <row r="8" ht="60" customHeight="1" s="76">
      <c r="A8" s="93" t="inlineStr">
        <is>
          <t>SUM</t>
        </is>
      </c>
      <c r="B8" s="93" t="inlineStr">
        <is>
          <t>رمپنا</t>
        </is>
      </c>
      <c r="C8" s="93" t="inlineStr">
        <is>
          <t>خلاصه پرونده</t>
        </is>
      </c>
      <c r="D8" s="93" t="inlineStr"/>
      <c r="E8" s="93" t="inlineStr">
        <is>
          <t>حل جزئی</t>
        </is>
      </c>
      <c r="F8" s="93" t="inlineStr">
        <is>
          <t>رئیس پایان مشخص و تغییر رئیس غیرمستقیم بله؛ رئیس مبنا نامشخص.</t>
        </is>
      </c>
      <c r="G8" s="93" t="inlineStr"/>
      <c r="H8" s="93" t="inlineStr"/>
      <c r="I8" s="93" t="inlineStr"/>
      <c r="J8" s="93" t="inlineStr"/>
    </row>
    <row r="9" ht="95" customHeight="1" s="76">
      <c r="A9" s="92" t="inlineStr">
        <is>
          <t>W01</t>
        </is>
      </c>
      <c r="B9" s="92" t="inlineStr">
        <is>
          <t>وتجارت</t>
        </is>
      </c>
      <c r="C9" s="92" t="inlineStr">
        <is>
          <t>اطلاعیه اولیه 1443078 و اصلاحیه 1444154 به همین شرکت و همین موضوع مربوط اند</t>
        </is>
      </c>
      <c r="D9" s="92" t="inlineStr">
        <is>
          <t>انتشار 1404/09/04 و 1404/09/15</t>
        </is>
      </c>
      <c r="E9" s="92" t="inlineStr">
        <is>
          <t>تایید جزئی</t>
        </is>
      </c>
      <c r="F9" s="92" t="inlineStr">
        <is>
          <t>هر دو شماره در رجیستری BR Sources v41 با نماد وتجارت، نوع اطلاعیه ن۴۵، تاریخ انتشار، sha256 و مسیر محلی ثبت اند. متن واقعی دو سند در این جلسه باز نشد، پس تطبیق متن انجام نشد.</t>
        </is>
      </c>
      <c r="G9" s="92" t="inlineStr">
        <is>
          <t>BR Sources v41 ردیف 1443078 و 1444154؛ Sources v39 V39S06</t>
        </is>
      </c>
      <c r="H9" s="92" t="inlineStr">
        <is>
          <t>متن دو اطلاعیه از بسته شواهد v41 یا کدال</t>
        </is>
      </c>
      <c r="I9" s="92" t="inlineStr">
        <is>
          <t>بدون اثر</t>
        </is>
      </c>
      <c r="J9" s="92" t="inlineStr">
        <is>
          <t>فقط فراداده و بازسازی v38 دیده شد</t>
        </is>
      </c>
    </row>
    <row r="10" ht="95" customHeight="1" s="76">
      <c r="A10" s="94" t="inlineStr">
        <is>
          <t>W02</t>
        </is>
      </c>
      <c r="B10" s="94" t="inlineStr">
        <is>
          <t>وتجارت</t>
        </is>
      </c>
      <c r="C10" s="94" t="inlineStr">
        <is>
          <t>علت اختلاف اطلاعیه اولیه و اصلاحیه درباره شریفیان مشخص است</t>
        </is>
      </c>
      <c r="D10" s="94" t="inlineStr">
        <is>
          <t>جلسه 1404/09/01 در برابر 1404/08/28</t>
        </is>
      </c>
      <c r="E10" s="94" t="inlineStr">
        <is>
          <t>داده کافی پیدا نشد</t>
        </is>
      </c>
      <c r="F10" s="94" t="inlineStr">
        <is>
          <t>بازسازی v38 اولیه را با جلسه 1404/09/01 و پنج نفر ثبت کرده و اصلاحیه را با جلسه 1404/08/28 و چهار نفر. اصلاحیه به جلسه ای زودتر از اولیه اشاره دارد؛ این ترتیب با جایگزینی ساده سازگار نیست و از روی فایل نمی توان بین اصلاح ترکیب، تفاوت تاریخ جلسه و اشتباه جدول انتخاب کرد.</t>
        </is>
      </c>
      <c r="G10" s="94" t="inlineStr">
        <is>
          <t>Turnover Resolution Audit ردیف شریفیان؛ Sources v39 V39S06</t>
        </is>
      </c>
      <c r="H10" s="94" t="inlineStr">
        <is>
          <t>جدول اعضا، تاریخ جلسه و توضیح اصلاحیه در متن هر دو اطلاعیه</t>
        </is>
      </c>
      <c r="I10" s="94" t="inlineStr">
        <is>
          <t>ابهام خروج شریفیان باقی می ماند</t>
        </is>
      </c>
      <c r="J10" s="94" t="inlineStr"/>
    </row>
    <row r="11" ht="95" customHeight="1" s="76">
      <c r="A11" s="92" t="inlineStr">
        <is>
          <t>W03</t>
        </is>
      </c>
      <c r="B11" s="92" t="inlineStr">
        <is>
          <t>وتجارت</t>
        </is>
      </c>
      <c r="C11" s="92" t="inlineStr">
        <is>
          <t>فهرست مبنا در 1403/12/29 پنج عضو حقیقی مستقیم است</t>
        </is>
      </c>
      <c r="D11" s="92" t="inlineStr">
        <is>
          <t>مبنا 1403/12/29</t>
        </is>
      </c>
      <c r="E11" s="92" t="inlineStr">
        <is>
          <t>تایید جزئی</t>
        </is>
      </c>
      <c r="F11" s="92" t="inlineStr">
        <is>
          <t>پنج نام از اطلاعیه 1159936 (انتشار 1402/12/08) و اعلام آخرین اعضا در تصمیمات مجمع FY1403 (1385253) آمده است. در رجیستری هیچ اطلاعیه ن۴۵ بین 1402/12/08 و 1404/09/04 ثبت نیست، یعنی تغییری ثبت نشده؛ اما سند مستقیم با تاریخ مبنا نیست.</t>
        </is>
      </c>
      <c r="G11" s="92" t="inlineStr">
        <is>
          <t>BR Sources v41؛ Turnover Resolution Audit؛ Snapshot Members v42</t>
        </is>
      </c>
      <c r="H11" s="92" t="inlineStr">
        <is>
          <t>گزارش یا اطلاعیه ای که ترکیب را صریح در 1403/12/29 نشان دهد</t>
        </is>
      </c>
      <c r="I11" s="92" t="inlineStr">
        <is>
          <t>مخرج 5 در REF05 و گردش افراد</t>
        </is>
      </c>
      <c r="J11" s="92" t="inlineStr"/>
    </row>
    <row r="12" ht="95" customHeight="1" s="76">
      <c r="A12" s="92" t="inlineStr">
        <is>
          <t>W04</t>
        </is>
      </c>
      <c r="B12" s="92" t="inlineStr">
        <is>
          <t>وتجارت</t>
        </is>
      </c>
      <c r="C12" s="92" t="inlineStr">
        <is>
          <t>فهرست پایان در 1404/12/29 چهار عضو است و کامل است</t>
        </is>
      </c>
      <c r="D12" s="92" t="inlineStr">
        <is>
          <t>پایان 1404/12/29</t>
        </is>
      </c>
      <c r="E12" s="92" t="inlineStr">
        <is>
          <t>تایید جزئی</t>
        </is>
      </c>
      <c r="F12" s="92" t="inlineStr">
        <is>
          <t>اصلاحیه 1444154، جدول عضویت گزارش FY1404 با تاریخ 1404/12/29 (v41، ص43) و صفحه فارسی بانک هم راستا هستند و چهار نام دارند. اطلاعیه اولیه 1443078 و صفحه انگلیسی بانک پنج نام با شریفیان دارند. کامل بودن فهرست چهار نفره و خالی بودن کرسی پنجم مستند نشده است.</t>
        </is>
      </c>
      <c r="G12" s="92" t="inlineStr">
        <is>
          <t>BR Independence v41 F09 M1 تا M4؛ BR Scope v41 F09؛ Sources v39 V39S01 و V39S02</t>
        </is>
      </c>
      <c r="H12" s="92" t="inlineStr">
        <is>
          <t>تعداد اعضای اعلام شده در متن گزارش و وضعیت کرسی پنجم</t>
        </is>
      </c>
      <c r="I12" s="92" t="inlineStr">
        <is>
          <t>نرخ های کل هیئت به صورت مشروط می مانند</t>
        </is>
      </c>
      <c r="J12" s="92" t="inlineStr"/>
    </row>
    <row r="13" ht="95" customHeight="1" s="76">
      <c r="A13" s="92" t="inlineStr">
        <is>
          <t>W05</t>
        </is>
      </c>
      <c r="B13" s="92" t="inlineStr">
        <is>
          <t>وتجارت</t>
        </is>
      </c>
      <c r="C13" s="92" t="inlineStr">
        <is>
          <t>شریفیان بین دو مقطع از هیئت خارج شده است (حضور در مبنا و نبود در پایان)</t>
        </is>
      </c>
      <c r="D13" s="92" t="inlineStr">
        <is>
          <t>بین 1403/12/29 و 1404/12/29</t>
        </is>
      </c>
      <c r="E13" s="92" t="inlineStr">
        <is>
          <t>تایید جزئی</t>
        </is>
      </c>
      <c r="F13" s="92" t="inlineStr">
        <is>
          <t>حضور او در مبنا و نبودش در اصلاحیه، جدول FY1404 و صفحه فارسی هم راستاست، ولی سه نقطه ضعف باقی است: اطلاعیه اولیه با جلسه 1404/09/01 هنوز او را دارد، کامل بودن فهرست پایان مستند نیست و اعتبار اصلاحیه در برابر اولیه از متن اثبات نشد. به همین دلیل قطعی اعلام نشد.</t>
        </is>
      </c>
      <c r="G13" s="92" t="inlineStr">
        <is>
          <t>Turnover Resolution Audit؛ Person Flows v42</t>
        </is>
      </c>
      <c r="H13" s="92" t="inlineStr">
        <is>
          <t>متن اصلاحیه و اطلاعیه اولیه یا اعلام رسمی پایان عضویت</t>
        </is>
      </c>
      <c r="I13" s="92" t="inlineStr">
        <is>
          <t>REF05 1/5 و گردش افراد وتجارت مشروط می مانند</t>
        </is>
      </c>
      <c r="J13" s="92" t="inlineStr">
        <is>
          <t>خروج بین دو مقطع، تاریخ خروج و علت خروج سه ادعای جدا هستند</t>
        </is>
      </c>
    </row>
    <row r="14" ht="95" customHeight="1" s="76">
      <c r="A14" s="94" t="inlineStr">
        <is>
          <t>W06</t>
        </is>
      </c>
      <c r="B14" s="94" t="inlineStr">
        <is>
          <t>وتجارت</t>
        </is>
      </c>
      <c r="C14" s="94" t="inlineStr">
        <is>
          <t>تاریخ دقیق خروج شریفیان مشخص است</t>
        </is>
      </c>
      <c r="D14" s="94" t="inlineStr">
        <is>
          <t>نامشخص</t>
        </is>
      </c>
      <c r="E14" s="94" t="inlineStr">
        <is>
          <t>داده کافی پیدا نشد</t>
        </is>
      </c>
      <c r="F14" s="94" t="inlineStr">
        <is>
          <t>بازه ثبت شده در v38 از پس از 1403/12/29 تا پیش از 1404/08/28 است و با ماندن نام او در اطلاعیه اولیه 1404/09/01 ناسازگار است. تاریخ ساختگی وارد نشد.</t>
        </is>
      </c>
      <c r="G14" s="94" t="inlineStr">
        <is>
          <t>Turnover Resolution Audit ستون تاریخ موثر</t>
        </is>
      </c>
      <c r="H14" s="94" t="inlineStr">
        <is>
          <t>صورتجلسه استعفا یا اعلام رسمی پایان عضویت</t>
        </is>
      </c>
      <c r="I14" s="94" t="inlineStr">
        <is>
          <t>تاریخ موثر در Turnover Events v42 خالی می ماند</t>
        </is>
      </c>
      <c r="J14" s="94" t="inlineStr"/>
    </row>
    <row r="15" ht="95" customHeight="1" s="76">
      <c r="A15" s="94" t="inlineStr">
        <is>
          <t>W07</t>
        </is>
      </c>
      <c r="B15" s="94" t="inlineStr">
        <is>
          <t>وتجارت</t>
        </is>
      </c>
      <c r="C15" s="94" t="inlineStr">
        <is>
          <t>علت خروج شریفیان مشخص است</t>
        </is>
      </c>
      <c r="D15" s="94" t="inlineStr">
        <is>
          <t>نامشخص</t>
        </is>
      </c>
      <c r="E15" s="94" t="inlineStr">
        <is>
          <t>داده کافی پیدا نشد</t>
        </is>
      </c>
      <c r="F15" s="94" t="inlineStr">
        <is>
          <t>در هیچ منبع ثبت شده علت خروج دیده نشد.</t>
        </is>
      </c>
      <c r="G15" s="94" t="inlineStr">
        <is>
          <t>Turnover Resolution Audit</t>
        </is>
      </c>
      <c r="H15" s="94" t="inlineStr">
        <is>
          <t>اعلام رسمی بانک یا صورتجلسه</t>
        </is>
      </c>
      <c r="I15" s="94" t="inlineStr">
        <is>
          <t>بدون اثر</t>
        </is>
      </c>
      <c r="J15" s="94" t="inlineStr"/>
    </row>
    <row r="16" ht="95" customHeight="1" s="76">
      <c r="A16" s="92" t="inlineStr">
        <is>
          <t>W08</t>
        </is>
      </c>
      <c r="B16" s="92" t="inlineStr">
        <is>
          <t>وتجارت</t>
        </is>
      </c>
      <c r="C16" s="92" t="inlineStr">
        <is>
          <t>کرسی شریفیان خالی مستند است یا حذف شده است</t>
        </is>
      </c>
      <c r="D16" s="92" t="inlineStr">
        <is>
          <t>پایان 1404/12/29</t>
        </is>
      </c>
      <c r="E16" s="92" t="inlineStr">
        <is>
          <t>هنوز بررسی نشده</t>
        </is>
      </c>
      <c r="F16" s="92" t="inlineStr">
        <is>
          <t>در فایل نه جانشین مستند است و نه اعلام رسمی خالی بودن یا ظرفیت کرسی ها. چهار نام در جدول به تنهایی نشان نمی دهد کرسی پنجم خالی شده است.</t>
        </is>
      </c>
      <c r="G16" s="92" t="inlineStr">
        <is>
          <t>Snapshot Members v42</t>
        </is>
      </c>
      <c r="H16" s="92" t="inlineStr">
        <is>
          <t>اساسنامه یا اعلام رسمی تعداد کرسی ها</t>
        </is>
      </c>
      <c r="I16" s="92" t="inlineStr">
        <is>
          <t>نوع تغییر کرسی: تطبیق نامشخص</t>
        </is>
      </c>
      <c r="J16" s="92" t="inlineStr"/>
    </row>
    <row r="17" ht="95" customHeight="1" s="76">
      <c r="A17" s="92" t="inlineStr">
        <is>
          <t>W09</t>
        </is>
      </c>
      <c r="B17" s="92" t="inlineStr">
        <is>
          <t>وتجارت</t>
        </is>
      </c>
      <c r="C17" s="92" t="inlineStr">
        <is>
          <t>ترک تبریزی رئیس هیئت مدیره در هر دو مقطع است (مستقل از پرونده شریفیان)</t>
        </is>
      </c>
      <c r="D17" s="92" t="inlineStr">
        <is>
          <t>مبنا و پایان</t>
        </is>
      </c>
      <c r="E17" s="92" t="inlineStr">
        <is>
          <t>تایید جزئی</t>
        </is>
      </c>
      <c r="F17" s="92" t="inlineStr">
        <is>
          <t>نام مرتضی ترک تبریزی در فهرست هر دو مقطع با سمت رئیس آمده و شروع ریاست در v41 برابر 1401/12/27 است. ابهام خروج شریفیان به هویت رئیس تعمیم داده نشد. CR1A وتجارت صفر می ماند با همان محدودیت کامل بودن فهرست پایان.</t>
        </is>
      </c>
      <c r="G17" s="92" t="inlineStr">
        <is>
          <t>CR1A v39 ردیف وتجارت؛ BR Tenure v41 T058 و T059</t>
        </is>
      </c>
      <c r="H17" s="92" t="inlineStr">
        <is>
          <t>همان متن اطلاعیه ها</t>
        </is>
      </c>
      <c r="I17" s="92" t="inlineStr">
        <is>
          <t>CR1A بدون تغییر</t>
        </is>
      </c>
      <c r="J17" s="92" t="inlineStr"/>
    </row>
    <row r="18" ht="95" customHeight="1" s="76">
      <c r="A18" s="92" t="inlineStr">
        <is>
          <t>W10</t>
        </is>
      </c>
      <c r="B18" s="92" t="inlineStr">
        <is>
          <t>وتجارت</t>
        </is>
      </c>
      <c r="C18" s="92" t="inlineStr">
        <is>
          <t>تعداد رویدادهای مستند تغییر رئیس در طول دوره</t>
        </is>
      </c>
      <c r="D18" s="92" t="inlineStr">
        <is>
          <t>بین 1403/12/29 و 1404/12/29</t>
        </is>
      </c>
      <c r="E18" s="92" t="inlineStr">
        <is>
          <t>تایید جزئی</t>
        </is>
      </c>
      <c r="F18" s="92" t="inlineStr">
        <is>
          <t>هیچ رویداد مستند تغییر رئیس ثبت نشد. در رجیستری بین 1402/12/08 و 1404/09/04 اطلاعیه ای نیست، ولی کامل بودن زنجیره اثبات نشده و صفر به معنی نبود قطعی رویداد میانی نیست.</t>
        </is>
      </c>
      <c r="G18" s="92" t="inlineStr">
        <is>
          <t>BR Sources v41</t>
        </is>
      </c>
      <c r="H18" s="92" t="inlineStr">
        <is>
          <t>بررسی گزارش های FY1403 و FY1404 برای تغییرات میانی</t>
        </is>
      </c>
      <c r="I18" s="92" t="inlineStr">
        <is>
          <t>جدا از CR1A</t>
        </is>
      </c>
      <c r="J18" s="92" t="inlineStr"/>
    </row>
    <row r="19" ht="95" customHeight="1" s="76">
      <c r="A19" s="92" t="inlineStr">
        <is>
          <t>P01</t>
        </is>
      </c>
      <c r="B19" s="92" t="inlineStr">
        <is>
          <t>وپاسار</t>
        </is>
      </c>
      <c r="C19" s="92" t="inlineStr">
        <is>
          <t>گزارش کنترل داخلی 1526305 برای دوره 1404/12/29 وجود دارد</t>
        </is>
      </c>
      <c r="D19" s="92" t="inlineStr">
        <is>
          <t>دوره 1404/12/29؛ انتشار 1405/02/27</t>
        </is>
      </c>
      <c r="E19" s="92" t="inlineStr">
        <is>
          <t>تایید جزئی</t>
        </is>
      </c>
      <c r="F19" s="92" t="inlineStr">
        <is>
          <t>سرنخ با ردیابی 1526305 در Sources v39 و AC Sources v40 ثبت شده و v40 صفحه های تصویری آن را داشته است. متن و نام امضاکنندگان در فایل v41 نگهداری نشده و بسته شواهد v41 در این جلسه ارائه نشد. تاریخ انتشار با دوره گزارش دو زمان جدا هستند.</t>
        </is>
      </c>
      <c r="G19" s="92" t="inlineStr">
        <is>
          <t>Sources v39 V39S04؛ AC Sources v40 ردیف 44 و 45؛ BR Audit v41 AU034 و AU042</t>
        </is>
      </c>
      <c r="H19" s="92" t="inlineStr">
        <is>
          <t>فایل EV_VPSR_ICR_1526305.pdf از بسته شواهد v40</t>
        </is>
      </c>
      <c r="I19" s="92" t="inlineStr">
        <is>
          <t>بدون اثر</t>
        </is>
      </c>
      <c r="J19" s="92" t="inlineStr"/>
    </row>
    <row r="20" ht="95" customHeight="1" s="76">
      <c r="A20" s="94" t="inlineStr">
        <is>
          <t>P02</t>
        </is>
      </c>
      <c r="B20" s="94" t="inlineStr">
        <is>
          <t>وپاسار</t>
        </is>
      </c>
      <c r="C20" s="94" t="inlineStr">
        <is>
          <t>هر یک از هفت امضاکننده عضو اصلی هیئت مدیره است</t>
        </is>
      </c>
      <c r="D20" s="94" t="inlineStr">
        <is>
          <t>نامشخص</t>
        </is>
      </c>
      <c r="E20" s="94" t="inlineStr">
        <is>
          <t>منبع در دسترس نبود</t>
        </is>
      </c>
      <c r="F20" s="94" t="inlineStr">
        <is>
          <t>نام هفت امضاکننده در هیچ برگه فایل ثبت نیست؛ فقط شمار هفت در v40 آمده است. بدون نام، تطبیق با فهرست اعضا انجام نشد.</t>
        </is>
      </c>
      <c r="G20" s="94" t="inlineStr">
        <is>
          <t>AC Audit v40 ردیف 28</t>
        </is>
      </c>
      <c r="H20" s="94" t="inlineStr">
        <is>
          <t>نام و سمت امضاکنندگان از متن گزارش</t>
        </is>
      </c>
      <c r="I20" s="94" t="inlineStr">
        <is>
          <t>ترکیب پایان نامشخص می ماند</t>
        </is>
      </c>
      <c r="J20" s="94" t="inlineStr"/>
    </row>
    <row r="21" ht="95" customHeight="1" s="76">
      <c r="A21" s="92" t="inlineStr">
        <is>
          <t>P03</t>
        </is>
      </c>
      <c r="B21" s="92" t="inlineStr">
        <is>
          <t>وپاسار</t>
        </is>
      </c>
      <c r="C21" s="92" t="inlineStr">
        <is>
          <t>تاریخ و مسئولیت هر امضا مشخص است</t>
        </is>
      </c>
      <c r="D21" s="92" t="inlineStr">
        <is>
          <t>نامشخص</t>
        </is>
      </c>
      <c r="E21" s="92" t="inlineStr">
        <is>
          <t>هنوز بررسی نشده</t>
        </is>
      </c>
      <c r="F21" s="92" t="inlineStr">
        <is>
          <t>بررسی نشد چون متن گزارش در دسترس نبود.</t>
        </is>
      </c>
      <c r="G21" s="92" t="inlineStr">
        <is>
          <t>ندارد</t>
        </is>
      </c>
      <c r="H21" s="92" t="inlineStr">
        <is>
          <t>متن و امضاهای گزارش</t>
        </is>
      </c>
      <c r="I21" s="92" t="inlineStr">
        <is>
          <t>بدون اثر</t>
        </is>
      </c>
      <c r="J21" s="92" t="inlineStr"/>
    </row>
    <row r="22" ht="95" customHeight="1" s="76">
      <c r="A22" s="92" t="inlineStr">
        <is>
          <t>P04</t>
        </is>
      </c>
      <c r="B22" s="92" t="inlineStr">
        <is>
          <t>وپاسار</t>
        </is>
      </c>
      <c r="C22" s="92" t="inlineStr">
        <is>
          <t>فهرست امضاکنندگان وضعیت زمان امضا را نشان می دهد یا پایان دوره را</t>
        </is>
      </c>
      <c r="D22" s="92" t="inlineStr">
        <is>
          <t>نامشخص</t>
        </is>
      </c>
      <c r="E22" s="92" t="inlineStr">
        <is>
          <t>هنوز بررسی نشده</t>
        </is>
      </c>
      <c r="F22" s="92" t="inlineStr">
        <is>
          <t>بررسی نشد. تاریخ پایان دوره 1404/12/29 و تاریخ انتشار 1405/02/27 جدا نگه داشته شدند.</t>
        </is>
      </c>
      <c r="G22" s="92" t="inlineStr">
        <is>
          <t>ندارد</t>
        </is>
      </c>
      <c r="H22" s="92" t="inlineStr">
        <is>
          <t>تاریخ امضا در متن گزارش</t>
        </is>
      </c>
      <c r="I22" s="92" t="inlineStr">
        <is>
          <t>بدون اثر</t>
        </is>
      </c>
      <c r="J22" s="92" t="inlineStr"/>
    </row>
    <row r="23" ht="95" customHeight="1" s="76">
      <c r="A23" s="92" t="inlineStr">
        <is>
          <t>P05</t>
        </is>
      </c>
      <c r="B23" s="92" t="inlineStr">
        <is>
          <t>وپاسار</t>
        </is>
      </c>
      <c r="C23" s="92" t="inlineStr">
        <is>
          <t>بین امضاکنندگان عضو علی البدل، مدیرعامل خارج از هیئت یا شخص دیگری هست</t>
        </is>
      </c>
      <c r="D23" s="92" t="inlineStr">
        <is>
          <t>نامشخص</t>
        </is>
      </c>
      <c r="E23" s="92" t="inlineStr">
        <is>
          <t>هنوز بررسی نشده</t>
        </is>
      </c>
      <c r="F23" s="92" t="inlineStr">
        <is>
          <t>بررسی نشد. وجود هفت امضا به تنهایی ترکیب هفت نفره در مقطع هدف را اثبات نمی کند.</t>
        </is>
      </c>
      <c r="G23" s="92" t="inlineStr">
        <is>
          <t>ندارد</t>
        </is>
      </c>
      <c r="H23" s="92" t="inlineStr">
        <is>
          <t>نام امضاکنندگان و سمت آنها</t>
        </is>
      </c>
      <c r="I23" s="92" t="inlineStr">
        <is>
          <t>بدون اثر</t>
        </is>
      </c>
      <c r="J23" s="92" t="inlineStr"/>
    </row>
    <row r="24" ht="95" customHeight="1" s="76">
      <c r="A24" s="94" t="inlineStr">
        <is>
          <t>P06</t>
        </is>
      </c>
      <c r="B24" s="94" t="inlineStr">
        <is>
          <t>وپاسار</t>
        </is>
      </c>
      <c r="C24" s="94" t="inlineStr">
        <is>
          <t>ترکیب مبنا: هفت نفر در گزارش FY1403 در برابر پنج نفر در تصمیمات مجمع</t>
        </is>
      </c>
      <c r="D24" s="94" t="inlineStr">
        <is>
          <t>مبنا 1403/12/29</t>
        </is>
      </c>
      <c r="E24" s="94" t="inlineStr">
        <is>
          <t>متعارض</t>
        </is>
      </c>
      <c r="F24" s="94" t="inlineStr">
        <is>
          <t>گزارش FY1403 (1396276، انتشار 1404/06/16) هفت نفر را نشان می دهد و تصمیمات مجمع 1404/06/17 پنج نفر. اصلی یا علی البدل بودن، تاریخ موثر و پنجره دو فهرست تطبیق نشده است. گزارش FY1403 در رجیستری BR Sources v41 ردیف ندارد.</t>
        </is>
      </c>
      <c r="G24" s="94" t="inlineStr">
        <is>
          <t>Sources v39 V39S08؛ Turnover Resolution Audit ردیف وپاسار</t>
        </is>
      </c>
      <c r="H24" s="94" t="inlineStr">
        <is>
          <t>گزارش FY1403 به صورت متن، تصمیمات مجمع 1404/06/17 و اطلاعیه های تعیین سمت</t>
        </is>
      </c>
      <c r="I24" s="94" t="inlineStr">
        <is>
          <t>مخرج مبنا تعیین نمی شود</t>
        </is>
      </c>
      <c r="J24" s="94" t="inlineStr"/>
    </row>
    <row r="25" ht="95" customHeight="1" s="76">
      <c r="A25" s="94" t="inlineStr">
        <is>
          <t>P07</t>
        </is>
      </c>
      <c r="B25" s="94" t="inlineStr">
        <is>
          <t>وپاسار</t>
        </is>
      </c>
      <c r="C25" s="94" t="inlineStr">
        <is>
          <t>ترکیب پایان 1404/12/29 در منابع بررسی شده وجود دارد</t>
        </is>
      </c>
      <c r="D25" s="94" t="inlineStr">
        <is>
          <t>پایان 1404/12/29</t>
        </is>
      </c>
      <c r="E25" s="94" t="inlineStr">
        <is>
          <t>داده کافی پیدا نشد</t>
        </is>
      </c>
      <c r="F25" s="94" t="inlineStr">
        <is>
          <t>در منابع بررسی شده دریافت نشد: آخرین اطلاعیه ن۴۵ ثبت شده 1402/04/05 است، گزارش فعالیت FY1404 در آرشیو نبود و مجمع 1405/04/31 بدون حد نصاب گزارش شده است. منتشر نشدن اسناد قطعی اعلام نمی شود.</t>
        </is>
      </c>
      <c r="G25" s="94" t="inlineStr">
        <is>
          <t>BR Audit v41 AU034 و AU068؛ BR Sources v41 ردیف 418</t>
        </is>
      </c>
      <c r="H25" s="94" t="inlineStr">
        <is>
          <t>گزارش فعالیت FY1404، اطلاعیه ن۴۵ جدید یا صورتجلسه مجمع با فهرست اعضا</t>
        </is>
      </c>
      <c r="I25" s="94" t="inlineStr">
        <is>
          <t>همه سنجه های وپاسار بدون مقدار</t>
        </is>
      </c>
      <c r="J25" s="94" t="inlineStr"/>
    </row>
    <row r="26" ht="95" customHeight="1" s="76">
      <c r="A26" s="94" t="inlineStr">
        <is>
          <t>P08</t>
        </is>
      </c>
      <c r="B26" s="94" t="inlineStr">
        <is>
          <t>وپاسار</t>
        </is>
      </c>
      <c r="C26" s="94" t="inlineStr">
        <is>
          <t>ورود، خروج و تغییر رئیس وپاسار قابل تعیین است</t>
        </is>
      </c>
      <c r="D26" s="94" t="inlineStr">
        <is>
          <t>بین دو مقطع</t>
        </is>
      </c>
      <c r="E26" s="94" t="inlineStr">
        <is>
          <t>داده کافی پیدا نشد</t>
        </is>
      </c>
      <c r="F26" s="94" t="inlineStr">
        <is>
          <t>بدون دو فهرست قابل اتکا هیچ سنجه ای ساخته نشد و هیچ مقداری صفر نشد.</t>
        </is>
      </c>
      <c r="G26" s="94" t="inlineStr">
        <is>
          <t>Measures v42</t>
        </is>
      </c>
      <c r="H26" s="94" t="inlineStr">
        <is>
          <t>همان اسناد ردیف P07 و P06</t>
        </is>
      </c>
      <c r="I26" s="94" t="inlineStr">
        <is>
          <t>REF05 تا CR1A بدون مقدار</t>
        </is>
      </c>
      <c r="J26" s="94" t="inlineStr"/>
    </row>
    <row r="27" ht="95" customHeight="1" s="76">
      <c r="A27" s="94" t="inlineStr">
        <is>
          <t>P09</t>
        </is>
      </c>
      <c r="B27" s="94" t="inlineStr">
        <is>
          <t>وپاسار</t>
        </is>
      </c>
      <c r="C27" s="94" t="inlineStr">
        <is>
          <t>بازدریافت اسناد از کدال در این مرحله</t>
        </is>
      </c>
      <c r="D27" s="94" t="inlineStr">
        <is>
          <t>همین جلسه</t>
        </is>
      </c>
      <c r="E27" s="94" t="inlineStr">
        <is>
          <t>منبع در دسترس نبود</t>
        </is>
      </c>
      <c r="F27" s="94" t="inlineStr">
        <is>
          <t>درخواست به کدال و WebFetch با خطای 503 و قطع اتصال پاسخ داده شد؛ این به معنی نبود سند نیست.</t>
        </is>
      </c>
      <c r="G27" s="94" t="inlineStr">
        <is>
          <t>logs/fetch_attempts.txt در بسته شواهد</t>
        </is>
      </c>
      <c r="H27" s="94" t="inlineStr">
        <is>
          <t>اجرای دوباره با دسترسی به کدال</t>
        </is>
      </c>
      <c r="I27" s="94" t="inlineStr">
        <is>
          <t>بدون اثر</t>
        </is>
      </c>
      <c r="J27" s="94" t="inlineStr"/>
    </row>
    <row r="28" ht="95" customHeight="1" s="76">
      <c r="A28" s="92" t="inlineStr">
        <is>
          <t>H01</t>
        </is>
      </c>
      <c r="B28" s="92" t="inlineStr">
        <is>
          <t>حکشتی</t>
        </is>
      </c>
      <c r="C28" s="92" t="inlineStr">
        <is>
          <t>ساختار هیئت پنج کرسی حقوقی است</t>
        </is>
      </c>
      <c r="D28" s="92" t="inlineStr">
        <is>
          <t>مبنا و پایان</t>
        </is>
      </c>
      <c r="E28" s="92" t="inlineStr">
        <is>
          <t>تایید جزئی</t>
        </is>
      </c>
      <c r="F28" s="92" t="inlineStr">
        <is>
          <t>پنج شخص حقوقی در پایان (اطلاعیه 1433770، انتشار 1404/08/18) و پنج دارنده در فهرست v41 با مقطع 1404/03/31 دیده می شود؛ ردیف حکشتی در Turnover نهایی ساختار نمایندگی حقوقی را خیر نوشته که با این دو سازگار نیست و در صف اصلاح ثبت شد.</t>
        </is>
      </c>
      <c r="G28" s="92" t="inlineStr">
        <is>
          <t>BR Independence v41 F29 M1 تا M5؛ Turnover Resolution Audit ردیف حکشتی</t>
        </is>
      </c>
      <c r="H28" s="92" t="inlineStr">
        <is>
          <t>متن اطلاعیه ها</t>
        </is>
      </c>
      <c r="I28" s="92" t="inlineStr">
        <is>
          <t>واجد شرایط بودن برای REF08 و ROB_LEGAL</t>
        </is>
      </c>
      <c r="J28" s="92" t="inlineStr"/>
    </row>
    <row r="29" ht="95" customHeight="1" s="76">
      <c r="A29" s="94" t="inlineStr">
        <is>
          <t>H02</t>
        </is>
      </c>
      <c r="B29" s="94" t="inlineStr">
        <is>
          <t>حکشتی</t>
        </is>
      </c>
      <c r="C29" s="94" t="inlineStr">
        <is>
          <t>نمایندگان حقیقی پنج کرسی در مبنا و پایان معلوم است</t>
        </is>
      </c>
      <c r="D29" s="94" t="inlineStr">
        <is>
          <t>هر دو مقطع</t>
        </is>
      </c>
      <c r="E29" s="94" t="inlineStr">
        <is>
          <t>داده کافی پیدا نشد</t>
        </is>
      </c>
      <c r="F29" s="94" t="inlineStr">
        <is>
          <t>در اطلاعیه ها نماینده ها فاقد نماینده ثبت شده اند و v41 هم آنها را نماینده نامشخص (NO_REPRESENTATIVE_NAMED_IN_NOTICE) آورده است. این عبارت به معنی خالی بودن واقعی کرسی نیست و به صفر تغییر یا خروج تبدیل نشد.</t>
        </is>
      </c>
      <c r="G29" s="94" t="inlineStr">
        <is>
          <t>BR Tenure v41 T190 تا T195؛ V39S07</t>
        </is>
      </c>
      <c r="H29" s="94" t="inlineStr">
        <is>
          <t>صورتجلسه تعیین سمت با نام نمایندگان یا صفحه رسمی تاریخ دار کشتیرانی</t>
        </is>
      </c>
      <c r="I29" s="94" t="inlineStr">
        <is>
          <t>گردش افراد و REF08 بدون مقدار</t>
        </is>
      </c>
      <c r="J29" s="94" t="inlineStr"/>
    </row>
    <row r="30" ht="95" customHeight="1" s="76">
      <c r="A30" s="92" t="inlineStr">
        <is>
          <t>H03</t>
        </is>
      </c>
      <c r="B30" s="92" t="inlineStr">
        <is>
          <t>حکشتی</t>
        </is>
      </c>
      <c r="C30" s="92" t="inlineStr">
        <is>
          <t>داده تازه v41 بخشی از مانع قبلی را حل می کند</t>
        </is>
      </c>
      <c r="D30" s="92" t="inlineStr">
        <is>
          <t>مقطع 1404/03/31</t>
        </is>
      </c>
      <c r="E30" s="92" t="inlineStr">
        <is>
          <t>تایید جزئی</t>
        </is>
      </c>
      <c r="F30" s="92" t="inlineStr">
        <is>
          <t>فقط ساختار دارندگان حقوقی در پایان دوره مالی (1404/03/31) را تایید می کند؛ همان پنج دارنده پیش از تغییر جلسه 1404/08/12 هستند. نماینده ها همچنان نامشخص اند. فهرست 1404/03/31 جای فهرست پنجره مشترک نشد چون 94 روز پس از مبنای قدیمی است.</t>
        </is>
      </c>
      <c r="G30" s="92" t="inlineStr">
        <is>
          <t>BR Scope v41 F29؛ BR Independence v41</t>
        </is>
      </c>
      <c r="H30" s="92" t="inlineStr">
        <is>
          <t>نام نمایندگان</t>
        </is>
      </c>
      <c r="I30" s="92" t="inlineStr">
        <is>
          <t>ROB_LEGAL سطح دارنده با محدودیت</t>
        </is>
      </c>
      <c r="J30" s="92" t="inlineStr">
        <is>
          <t>دو نمای زمانی جمع نشدند</t>
        </is>
      </c>
    </row>
    <row r="31" ht="95" customHeight="1" s="76">
      <c r="A31" s="92" t="inlineStr">
        <is>
          <t>H04</t>
        </is>
      </c>
      <c r="B31" s="92" t="inlineStr">
        <is>
          <t>حکشتی</t>
        </is>
      </c>
      <c r="C31" s="92" t="inlineStr">
        <is>
          <t>تعداد تغییر شخص حقوقی دارنده کرسی در پنجره</t>
        </is>
      </c>
      <c r="D31" s="92" t="inlineStr">
        <is>
          <t>بین دو مقطع</t>
        </is>
      </c>
      <c r="E31" s="92" t="inlineStr">
        <is>
          <t>تایید جزئی</t>
        </is>
      </c>
      <c r="F31" s="92" t="inlineStr">
        <is>
          <t>سه دارنده تغییر کرده اند: مادر تخصصی بازرگانی به تأمین اندیش رفاه پردیس، صندوق بازنشستگی کشوری به آتیه صبا، استان گیلان به سیستان و بلوچستان (جلسه 1404/08/12، مجمع 1404/07/15). دو دارنده ثابت اند. شناسه ملی اشخاص حقوقی در فایل نیست و جفت شدن کرسی ها طبق خوانش v38 است.</t>
        </is>
      </c>
      <c r="G31" s="92" t="inlineStr">
        <is>
          <t>Turnover Resolution Audit ردیف حکشتی؛ Seat Changes v42</t>
        </is>
      </c>
      <c r="H31" s="92" t="inlineStr">
        <is>
          <t>متن اطلاعیه 1433770 و فهرست 1310210</t>
        </is>
      </c>
      <c r="I31" s="92" t="inlineStr">
        <is>
          <t>ROB_LEGAL سطح دارنده 3 از 5 با محدودیت</t>
        </is>
      </c>
      <c r="J31" s="92" t="inlineStr"/>
    </row>
    <row r="32" ht="95" customHeight="1" s="76">
      <c r="A32" s="94" t="inlineStr">
        <is>
          <t>H05</t>
        </is>
      </c>
      <c r="B32" s="94" t="inlineStr">
        <is>
          <t>حکشتی</t>
        </is>
      </c>
      <c r="C32" s="94" t="inlineStr">
        <is>
          <t>REF08: تغییر نماینده در کرسی های حقوقی ثابت</t>
        </is>
      </c>
      <c r="D32" s="94" t="inlineStr">
        <is>
          <t>بین دو مقطع</t>
        </is>
      </c>
      <c r="E32" s="94" t="inlineStr">
        <is>
          <t>داده کافی پیدا نشد</t>
        </is>
      </c>
      <c r="F32" s="94" t="inlineStr">
        <is>
          <t>دو کرسی حقوقی ثابت (تأمین اجتماعی و صبا تأمین) وجود دارد و نماینده معلوم در هر دو مقطع برای هیچ کدام نداریم. این کمبود داده است، نه غیرقابل اعمال بودن.</t>
        </is>
      </c>
      <c r="G32" s="94" t="inlineStr">
        <is>
          <t>Seat Changes v42</t>
        </is>
      </c>
      <c r="H32" s="94" t="inlineStr">
        <is>
          <t>نام نمایندگان دو کرسی ثابت</t>
        </is>
      </c>
      <c r="I32" s="94" t="inlineStr">
        <is>
          <t>REF08 بدون مقدار</t>
        </is>
      </c>
      <c r="J32" s="94" t="inlineStr"/>
    </row>
    <row r="33" ht="95" customHeight="1" s="76">
      <c r="A33" s="94" t="inlineStr">
        <is>
          <t>H06</t>
        </is>
      </c>
      <c r="B33" s="94" t="inlineStr">
        <is>
          <t>حکشتی</t>
        </is>
      </c>
      <c r="C33" s="94" t="inlineStr">
        <is>
          <t>تغییر رئیس هیئت مدیره</t>
        </is>
      </c>
      <c r="D33" s="94" t="inlineStr">
        <is>
          <t>بین دو مقطع</t>
        </is>
      </c>
      <c r="E33" s="94" t="inlineStr">
        <is>
          <t>داده کافی پیدا نشد</t>
        </is>
      </c>
      <c r="F33" s="94" t="inlineStr">
        <is>
          <t>در سطح دارنده، کرسی ریاست در مبنا و FY1404 با مادر تخصصی بازرگانی است که در پنجره جایگزین شده است؛ نام رئیس حقیقی در پایان مستند نیست. نام علی مسیبی بهروز از فهرست انجمن (1403/10/17) فقط سرنخ تاریخی است و به کرسی منتسب نشد.</t>
        </is>
      </c>
      <c r="G33" s="94" t="inlineStr">
        <is>
          <t>BR Tenure v41 T192؛ V39S05</t>
        </is>
      </c>
      <c r="H33" s="94" t="inlineStr">
        <is>
          <t>صورتجلسه تعیین سمت</t>
        </is>
      </c>
      <c r="I33" s="94" t="inlineStr">
        <is>
          <t>CR1A بدون مقدار</t>
        </is>
      </c>
      <c r="J33" s="94" t="inlineStr"/>
    </row>
    <row r="34" ht="95" customHeight="1" s="76">
      <c r="A34" s="94" t="inlineStr">
        <is>
          <t>H07</t>
        </is>
      </c>
      <c r="B34" s="94" t="inlineStr">
        <is>
          <t>حکشتی</t>
        </is>
      </c>
      <c r="C34" s="94" t="inlineStr">
        <is>
          <t>مدیرعامل حکشتی عضو هیئت یا نماینده شخص حقوقی است</t>
        </is>
      </c>
      <c r="D34" s="94" t="inlineStr">
        <is>
          <t>نامشخص</t>
        </is>
      </c>
      <c r="E34" s="94" t="inlineStr">
        <is>
          <t>داده کافی پیدا نشد</t>
        </is>
      </c>
      <c r="F34" s="94" t="inlineStr">
        <is>
          <t>نام محمدرضا مدرس خیابانی فقط در فهرست انجمن آمده است؛ v41 برای مدیرعامل NO_CEO_BLOCK_IN_NOTICES ثبت کرده است. مدیرعامل بودن به تنهایی عضویت یا نمایندگی را اثبات نمی کند.</t>
        </is>
      </c>
      <c r="G34" s="94" t="inlineStr">
        <is>
          <t>V39S05؛ BR Tenure v41 T196</t>
        </is>
      </c>
      <c r="H34" s="94" t="inlineStr">
        <is>
          <t>اطلاعیه یا صورتجلسه با سمت ها</t>
        </is>
      </c>
      <c r="I34" s="94" t="inlineStr">
        <is>
          <t>بدون اثر</t>
        </is>
      </c>
      <c r="J34" s="94" t="inlineStr"/>
    </row>
    <row r="35" ht="95" customHeight="1" s="76">
      <c r="A35" s="94" t="inlineStr">
        <is>
          <t>H08</t>
        </is>
      </c>
      <c r="B35" s="94" t="inlineStr">
        <is>
          <t>حکشتی</t>
        </is>
      </c>
      <c r="C35" s="94" t="inlineStr">
        <is>
          <t>بازدریافت صفحه رسمی شرکت</t>
        </is>
      </c>
      <c r="D35" s="94" t="inlineStr">
        <is>
          <t>همین جلسه</t>
        </is>
      </c>
      <c r="E35" s="94" t="inlineStr">
        <is>
          <t>منبع در دسترس نبود</t>
        </is>
      </c>
      <c r="F35" s="94" t="inlineStr">
        <is>
          <t>سایت شرکت و کدال از این محیط در دسترس نبود؛ این به معنی نبود سند نیست.</t>
        </is>
      </c>
      <c r="G35" s="94" t="inlineStr">
        <is>
          <t>logs/fetch_attempts.txt</t>
        </is>
      </c>
      <c r="H35" s="94" t="inlineStr">
        <is>
          <t>اجرای دوباره با دسترسی</t>
        </is>
      </c>
      <c r="I35" s="94" t="inlineStr">
        <is>
          <t>بدون اثر</t>
        </is>
      </c>
      <c r="J35" s="94" t="inlineStr"/>
    </row>
    <row r="36" ht="95" customHeight="1" s="76">
      <c r="A36" s="92" t="inlineStr">
        <is>
          <t>M01</t>
        </is>
      </c>
      <c r="B36" s="92" t="inlineStr">
        <is>
          <t>فملی</t>
        </is>
      </c>
      <c r="C36" s="92" t="inlineStr">
        <is>
          <t>هویت ناشر و شرکت موضوع اسناد فملی درست است</t>
        </is>
      </c>
      <c r="D36" s="92" t="inlineStr">
        <is>
          <t>همه اسناد رجیستری</t>
        </is>
      </c>
      <c r="E36" s="92" t="inlineStr">
        <is>
          <t>تایید جزئی</t>
        </is>
      </c>
      <c r="F36" s="92" t="inlineStr">
        <is>
          <t>همه 17 اطلاعیه ن۴۵ و گزارش FY1404 (ردیابی 1566308) در رجیستری v41 با نماد فملی ثبت اند. خطای انتساب قبلی (Conflict Log C15، منبع نسل اشتباه فملی و وبملت) مربوط به منابع کمیته حسابرسی بود و داده هیئت مدیره را خودکار بی اعتبار نمی کند. فقط فراداده کنترل شد.</t>
        </is>
      </c>
      <c r="G36" s="92" t="inlineStr">
        <is>
          <t>BR Sources v41؛ Conflict Log C15</t>
        </is>
      </c>
      <c r="H36" s="92" t="inlineStr">
        <is>
          <t>تطبیق متن ناشر در سند</t>
        </is>
      </c>
      <c r="I36" s="92" t="inlineStr">
        <is>
          <t>بدون اثر</t>
        </is>
      </c>
      <c r="J36" s="92" t="inlineStr"/>
    </row>
    <row r="37" ht="95" customHeight="1" s="76">
      <c r="A37" s="92" t="inlineStr">
        <is>
          <t>M02</t>
        </is>
      </c>
      <c r="B37" s="92" t="inlineStr">
        <is>
          <t>فملی</t>
        </is>
      </c>
      <c r="C37" s="92" t="inlineStr">
        <is>
          <t>رئیس هیئت مدیره در پایان 1404/12/29 غلامرضا شافعی است</t>
        </is>
      </c>
      <c r="D37" s="92" t="inlineStr">
        <is>
          <t>پایان 1404/12/29</t>
        </is>
      </c>
      <c r="E37" s="92" t="inlineStr">
        <is>
          <t>تایید جزئی</t>
        </is>
      </c>
      <c r="F37" s="92" t="inlineStr">
        <is>
          <t>شروع ریاست و عضویت او 1404/02/02 است (جلسه، EXACT) و گزارش FY1404 تاریخ 1404/02/01 را تایید می کند (اختلاف یک روز). این دو شاهد برای همین ناشر و همین زمان اند و با پایان دوره مالی 1404/12/29 برابرند.</t>
        </is>
      </c>
      <c r="G37" s="92" t="inlineStr">
        <is>
          <t>BR Tenure v41 T001 و T002؛ BR Independence v41 F01 M1</t>
        </is>
      </c>
      <c r="H37" s="92" t="inlineStr">
        <is>
          <t>متن اطلاعیه 1338264</t>
        </is>
      </c>
      <c r="I37" s="92" t="inlineStr">
        <is>
          <t>CR1A فملی</t>
        </is>
      </c>
      <c r="J37" s="92" t="inlineStr">
        <is>
          <t>نام رئیس با نایب رئیس و مدیرعامل (فیض اردکانی) یکی گرفته نشد</t>
        </is>
      </c>
    </row>
    <row r="38" ht="95" customHeight="1" s="76">
      <c r="A38" s="94" t="inlineStr">
        <is>
          <t>M03</t>
        </is>
      </c>
      <c r="B38" s="94" t="inlineStr">
        <is>
          <t>فملی</t>
        </is>
      </c>
      <c r="C38" s="94" t="inlineStr">
        <is>
          <t>رئیس مبنا در 1403/12/29 شناخته شده است</t>
        </is>
      </c>
      <c r="D38" s="94" t="inlineStr">
        <is>
          <t>مبنا 1403/12/29</t>
        </is>
      </c>
      <c r="E38" s="94" t="inlineStr">
        <is>
          <t>داده کافی پیدا نشد</t>
        </is>
      </c>
      <c r="F38" s="94" t="inlineStr">
        <is>
          <t>نام رئیس مبنا در هیچ برگه فایل ثبت نیست. آخرین اطلاعیه ثبت شده پیش از مبنا 1317785 (اصلاحیه، انتشار 1403/12/15) است و باید خوانده شود. ستون نماینده قبلی در اطلاعیه های بعدی فقط هویت نماینده قبلی را نشان می دهد نه سمت او را.</t>
        </is>
      </c>
      <c r="G38" s="94" t="inlineStr">
        <is>
          <t>BR Sources v41</t>
        </is>
      </c>
      <c r="H38" s="94" t="inlineStr">
        <is>
          <t>متن 1317785 و 1317727</t>
        </is>
      </c>
      <c r="I38" s="94" t="inlineStr">
        <is>
          <t>هویت رئیس مبنا</t>
        </is>
      </c>
      <c r="J38" s="94" t="inlineStr"/>
    </row>
    <row r="39" ht="95" customHeight="1" s="76">
      <c r="A39" s="92" t="inlineStr">
        <is>
          <t>M04</t>
        </is>
      </c>
      <c r="B39" s="92" t="inlineStr">
        <is>
          <t>فملی</t>
        </is>
      </c>
      <c r="C39" s="92" t="inlineStr">
        <is>
          <t>رئیس بین دو مقطع تغییر کرده است</t>
        </is>
      </c>
      <c r="D39" s="92" t="inlineStr">
        <is>
          <t>بین دو مقطع</t>
        </is>
      </c>
      <c r="E39" s="92" t="inlineStr">
        <is>
          <t>تایید جزئی</t>
        </is>
      </c>
      <c r="F39" s="92" t="inlineStr">
        <is>
          <t>شافعی از 1404/02/02 عضو شده، یعنی پس از مبنا؛ پس رئیس مبنا کس دیگری بوده است. این استنباط غیرمستقیم است و با مقدار خام خیر در مستر (تعارض C04) نمی خواند. مقدار مستر تغییر نکرد؛ مقدار قابل استفاده بله با شرط خواندن اطلاعیه 1317785 ثبت شد و در پوشش محافظه کارانه v39 وارد نشد.</t>
        </is>
      </c>
      <c r="G39" s="92" t="inlineStr">
        <is>
          <t>Turnover نهایی V4؛ BR Tenure v41 T001؛ Conflict Log C04</t>
        </is>
      </c>
      <c r="H39" s="92" t="inlineStr">
        <is>
          <t>متن 1317785 و 1338264</t>
        </is>
      </c>
      <c r="I39" s="92" t="inlineStr">
        <is>
          <t>CR1A فملی: بله غیرمستقیم</t>
        </is>
      </c>
      <c r="J39" s="92" t="inlineStr">
        <is>
          <t>خروج یا ورود فرد و تغییر رئیس چهار ادعای جدا هستند</t>
        </is>
      </c>
    </row>
    <row r="40" ht="95" customHeight="1" s="76">
      <c r="A40" s="94" t="inlineStr">
        <is>
          <t>M05</t>
        </is>
      </c>
      <c r="B40" s="94" t="inlineStr">
        <is>
          <t>فملی</t>
        </is>
      </c>
      <c r="C40" s="94" t="inlineStr">
        <is>
          <t>گردش فملی صفر از پنج است</t>
        </is>
      </c>
      <c r="D40" s="94" t="inlineStr">
        <is>
          <t>بین دو مقطع</t>
        </is>
      </c>
      <c r="E40" s="94" t="inlineStr">
        <is>
          <t>متعارض</t>
        </is>
      </c>
      <c r="F40" s="94" t="inlineStr">
        <is>
          <t>v41 سه عضو با شروع پس از مبنا نشان می دهد: فیض اردکانی 1404/01/24، شافعی 1404/02/02 و محقق زاده 1404/05/12، همه با تایید گزارش، و یک عضو نامعین (خلوصی، بازه 1403/11/07 تا 1404/03/04). مقدار مستر 0 از 5 برای گردش و عضو جدید با این شواهد نمی خواند. مقدار تاریخی حفظ شد و مقدار قابل استفاده نیازمند بررسی اعلام شد، چون فهرست اسمی مبنا در فایل نیست و عدد اصلاح شده را نمی توان ساخت.</t>
        </is>
      </c>
      <c r="G40" s="94" t="inlineStr">
        <is>
          <t>BR Tenure v41 T001 تا T006؛ Turnover نهایی G4 تا U4</t>
        </is>
      </c>
      <c r="H40" s="94" t="inlineStr">
        <is>
          <t>فهرست اسمی مبنا از 1317785 و 1317727</t>
        </is>
      </c>
      <c r="I40" s="94" t="inlineStr">
        <is>
          <t>REF05 و ROB_NEW و ROB_STABILITY و REF08 فملی نیازمند بررسی</t>
        </is>
      </c>
      <c r="J40" s="94" t="inlineStr">
        <is>
          <t>کف عضو جدید دست کم 3 است</t>
        </is>
      </c>
    </row>
    <row r="41" ht="95" customHeight="1" s="76">
      <c r="A41" s="92" t="inlineStr">
        <is>
          <t>R01</t>
        </is>
      </c>
      <c r="B41" s="92" t="inlineStr">
        <is>
          <t>رمپنا</t>
        </is>
      </c>
      <c r="C41" s="92" t="inlineStr">
        <is>
          <t>رئیس هیئت مدیره در پایان 1404/12/29 محمدرضا اولی است</t>
        </is>
      </c>
      <c r="D41" s="92" t="inlineStr">
        <is>
          <t>پایان 1404/12/29</t>
        </is>
      </c>
      <c r="E41" s="92" t="inlineStr">
        <is>
          <t>تایید جزئی</t>
        </is>
      </c>
      <c r="F41" s="92" t="inlineStr">
        <is>
          <t>شروع عضویت و ریاست او 1404/02/21 است (جلسه ثبت شده در اطلاعیه، EXACT) و رمپنا پایان دوره مالی 1404/12/29 دارد. شروع او با انتشار 1343229 در 1404/02/23 هم راستاست.</t>
        </is>
      </c>
      <c r="G41" s="92" t="inlineStr">
        <is>
          <t>BR Tenure v41 T063 و T064; BR Independence v41 F10 M1</t>
        </is>
      </c>
      <c r="H41" s="92" t="inlineStr">
        <is>
          <t>متن اطلاعیه 1343229</t>
        </is>
      </c>
      <c r="I41" s="92" t="inlineStr">
        <is>
          <t>CR1A رمپنا</t>
        </is>
      </c>
      <c r="J41" s="92" t="inlineStr"/>
    </row>
    <row r="42" ht="95" customHeight="1" s="76">
      <c r="A42" s="94" t="inlineStr">
        <is>
          <t>R02</t>
        </is>
      </c>
      <c r="B42" s="94" t="inlineStr">
        <is>
          <t>رمپنا</t>
        </is>
      </c>
      <c r="C42" s="94" t="inlineStr">
        <is>
          <t>رئیس مبنا در 1403/12/29 شناخته شده است</t>
        </is>
      </c>
      <c r="D42" s="94" t="inlineStr">
        <is>
          <t>مبنا 1403/12/29</t>
        </is>
      </c>
      <c r="E42" s="94" t="inlineStr">
        <is>
          <t>داده کافی پیدا نشد</t>
        </is>
      </c>
      <c r="F42" s="94" t="inlineStr">
        <is>
          <t>نام رئیس مبنا در فایل نیست. نزدیک ترین اطلاعیه ثبت شده پیش از مبنا 1203308 (انتشار 1403/03/26) است و بین آن و 1343229 اطلاعیه ای در رجیستری نیست. ستون نماینده قبلی در 1343229 هویت نماینده قبلی را می دهد ولی سمت قبلی او را اثبات نمی کند و سمت رئیس قبلی از سمت فعلی نماینده جدید استنباط نشد.</t>
        </is>
      </c>
      <c r="G42" s="94" t="inlineStr">
        <is>
          <t>BR Sources v41</t>
        </is>
      </c>
      <c r="H42" s="94" t="inlineStr">
        <is>
          <t>متن 1203308 و 1343229</t>
        </is>
      </c>
      <c r="I42" s="94" t="inlineStr">
        <is>
          <t>هویت رئیس مبنا</t>
        </is>
      </c>
      <c r="J42" s="94" t="inlineStr"/>
    </row>
    <row r="43" ht="95" customHeight="1" s="76">
      <c r="A43" s="92" t="inlineStr">
        <is>
          <t>R03</t>
        </is>
      </c>
      <c r="B43" s="92" t="inlineStr">
        <is>
          <t>رمپنا</t>
        </is>
      </c>
      <c r="C43" s="92" t="inlineStr">
        <is>
          <t>رئیس بین دو مقطع تغییر کرده است</t>
        </is>
      </c>
      <c r="D43" s="92" t="inlineStr">
        <is>
          <t>بین دو مقطع</t>
        </is>
      </c>
      <c r="E43" s="92" t="inlineStr">
        <is>
          <t>تایید جزئی</t>
        </is>
      </c>
      <c r="F43" s="92" t="inlineStr">
        <is>
          <t>اولی پس از مبنا (1404/02/21) به هیئت آمده و همان روز رئیس شده؛ پس رئیس مبنا کس دیگری بوده است. این استنباط غیرمستقیم است. مقدار مستر نامشخص بود و تغییر نکرد؛ مقدار قابل استفاده بله غیرمستقیم است و در پوشش محافظه کارانه وارد نشد.</t>
        </is>
      </c>
      <c r="G43" s="92" t="inlineStr">
        <is>
          <t>BR Tenure v41 T063 و T064</t>
        </is>
      </c>
      <c r="H43" s="92" t="inlineStr">
        <is>
          <t>نام رئیس مبنا</t>
        </is>
      </c>
      <c r="I43" s="92" t="inlineStr">
        <is>
          <t>CR1A رمپنا: بله غیرمستقیم</t>
        </is>
      </c>
      <c r="J43" s="92" t="inlineStr"/>
    </row>
    <row r="44" ht="95" customHeight="1" s="76">
      <c r="A44" s="92" t="inlineStr">
        <is>
          <t>R04</t>
        </is>
      </c>
      <c r="B44" s="92" t="inlineStr">
        <is>
          <t>رمپنا</t>
        </is>
      </c>
      <c r="C44" s="92" t="inlineStr">
        <is>
          <t>شروع عضویت، شروع ریاست، انتخاب مجدد و تاریخ جلسه جدا ثبت شده اند</t>
        </is>
      </c>
      <c r="D44" s="92" t="inlineStr">
        <is>
          <t>پنجره</t>
        </is>
      </c>
      <c r="E44" s="92" t="inlineStr">
        <is>
          <t>تایید جزئی</t>
        </is>
      </c>
      <c r="F44" s="92" t="inlineStr">
        <is>
          <t>برای اولی شروع عضویت و شروع ریاست هر دو 1404/02/21 و از تاریخ جلسه اند، نه تاریخ انتشار. سه عضو دیگر (اولیاء، بهبهانی، هامونی) بازه 1402/04/06 تا 1402/04/18 دارند چون نسخه های اطلاعیه در تاریخ جلسه اختلاف دارند.</t>
        </is>
      </c>
      <c r="G44" s="92" t="inlineStr">
        <is>
          <t>BR Tenure v41 T063 تا T068</t>
        </is>
      </c>
      <c r="H44" s="92" t="inlineStr"/>
      <c r="I44" s="92" t="inlineStr">
        <is>
          <t>بدون اثر</t>
        </is>
      </c>
      <c r="J44" s="92" t="inlineStr"/>
    </row>
    <row r="45" ht="95" customHeight="1" s="76">
      <c r="A45" s="92" t="inlineStr">
        <is>
          <t>R05</t>
        </is>
      </c>
      <c r="B45" s="92" t="inlineStr">
        <is>
          <t>رمپنا</t>
        </is>
      </c>
      <c r="C45" s="92" t="inlineStr">
        <is>
          <t>گردش و تغییر شخص حقوقی رمپنا</t>
        </is>
      </c>
      <c r="D45" s="92" t="inlineStr">
        <is>
          <t>بین دو مقطع</t>
        </is>
      </c>
      <c r="E45" s="92" t="inlineStr">
        <is>
          <t>تایید جزئی</t>
        </is>
      </c>
      <c r="F45" s="92" t="inlineStr">
        <is>
          <t>مقادیر مستر 2 از 5 برای REF05، 1 از 1 برای REF08، 4 از 5 برای تغییر شخص حقوقی و 2 از 5 برای عضو جدید ارثی اند. کف عضو جدید از v41 برابر 2 است و با مستر هم راستاست. فهرست اسمی مبنا در فایل نیست و بازتولید اسمی ممکن نشد.</t>
        </is>
      </c>
      <c r="G45" s="92" t="inlineStr">
        <is>
          <t>Turnover نهایی ردیف رمپنا؛ BR Tenure v41</t>
        </is>
      </c>
      <c r="H45" s="92" t="inlineStr">
        <is>
          <t>فهرست اسمی مبنا</t>
        </is>
      </c>
      <c r="I45" s="92" t="inlineStr">
        <is>
          <t>ارثی</t>
        </is>
      </c>
      <c r="J45" s="92" t="inlineStr"/>
    </row>
  </sheetData>
  <autoFilter ref="A3:J45"/>
  <mergeCells count="2">
    <mergeCell ref="A1:J1"/>
    <mergeCell ref="A2:J2"/>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303"/>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9" customWidth="1" style="76" min="1" max="1"/>
    <col width="14" customWidth="1" style="76" min="2" max="2"/>
    <col width="30" customWidth="1" style="76" min="3" max="3"/>
    <col width="22" customWidth="1" style="76" min="4" max="4"/>
    <col width="46" customWidth="1" style="76" min="5" max="5"/>
    <col width="16" customWidth="1" style="76" min="6" max="6"/>
    <col width="16" customWidth="1" style="76" min="7" max="7"/>
    <col width="16" customWidth="1" style="76" min="8" max="8"/>
    <col width="16" customWidth="1" style="76" min="9" max="9"/>
    <col width="16" customWidth="1" style="76" min="10" max="10"/>
    <col width="16" customWidth="1" style="76" min="11" max="11"/>
    <col width="16" customWidth="1" style="76" min="12" max="12"/>
    <col width="16" customWidth="1" style="76" min="13" max="13"/>
    <col width="18" customWidth="1" style="76" min="14" max="14"/>
    <col width="16" customWidth="1" style="76" min="15" max="15"/>
    <col width="18" customWidth="1" style="76" min="16" max="16"/>
    <col width="18" customWidth="1" style="76" min="17" max="17"/>
    <col width="28" customWidth="1" style="76" min="18" max="18"/>
    <col width="50" customWidth="1" style="76" min="19" max="19"/>
    <col width="22" customWidth="1" style="76" min="20" max="20"/>
  </cols>
  <sheetData>
    <row r="1" ht="26" customHeight="1" s="76">
      <c r="A1" s="89" t="inlineStr">
        <is>
          <t>سنجه های قدیمی، بازتولیدشده و جدید با صورت و مخرج</t>
        </is>
      </c>
    </row>
    <row r="2" ht="44" customHeight="1" s="76">
      <c r="A2" s="90" t="inlineStr">
        <is>
          <t>سه چیز جدا نگه داشته شده است: مقدار قدیمی REF05 و تعریف تاریخی آن، مقدار بازتولیدشده با همان تعریف و سنجه های جدید مبتنی بر افراد یکتا با کدهای UPX1 و UPN1 و UPR1 و UPF1. نرخ خروج افراد یکتا بی اعلام جای REF05 نشده است. نبود داده، شرکت را از جمعیت واجد شرایط خارج نکرده است؛ نبود ساختار (کرسی حقوقی) با نبود داده جداست.</t>
        </is>
      </c>
    </row>
    <row r="3" ht="42" customHeight="1" s="76">
      <c r="A3" s="91" t="inlineStr">
        <is>
          <t>نماد</t>
        </is>
      </c>
      <c r="B3" s="91" t="inlineStr">
        <is>
          <t>کد سنجه</t>
        </is>
      </c>
      <c r="C3" s="91" t="inlineStr">
        <is>
          <t>نام سنجه</t>
        </is>
      </c>
      <c r="D3" s="91" t="inlineStr">
        <is>
          <t>رده</t>
        </is>
      </c>
      <c r="E3" s="91" t="inlineStr">
        <is>
          <t>تعریف صورت و مخرج</t>
        </is>
      </c>
      <c r="F3" s="91" t="inlineStr">
        <is>
          <t>صورت تاریخی v41</t>
        </is>
      </c>
      <c r="G3" s="91" t="inlineStr">
        <is>
          <t>مخرج تاریخی v41</t>
        </is>
      </c>
      <c r="H3" s="91" t="inlineStr">
        <is>
          <t>صورت قابل استفاده</t>
        </is>
      </c>
      <c r="I3" s="91" t="inlineStr">
        <is>
          <t>مخرج قابل استفاده</t>
        </is>
      </c>
      <c r="J3" s="91" t="inlineStr">
        <is>
          <t>نرخ قابل استفاده</t>
        </is>
      </c>
      <c r="K3" s="91" t="inlineStr">
        <is>
          <t>مبنای زمانی</t>
        </is>
      </c>
      <c r="L3" s="91" t="inlineStr">
        <is>
          <t>تاریخ مبنا</t>
        </is>
      </c>
      <c r="M3" s="91" t="inlineStr">
        <is>
          <t>تاریخ پایان</t>
        </is>
      </c>
      <c r="N3" s="91" t="inlineStr">
        <is>
          <t>واجد شرایط بر پایه تعریف و ساختار</t>
        </is>
      </c>
      <c r="O3" s="91" t="inlineStr">
        <is>
          <t>کفایت داده</t>
        </is>
      </c>
      <c r="P3" s="91" t="inlineStr">
        <is>
          <t>وضعیت شواهد</t>
        </is>
      </c>
      <c r="Q3" s="91" t="inlineStr">
        <is>
          <t>مقدار بازتولیدشده با همان تعریف</t>
        </is>
      </c>
      <c r="R3" s="91" t="inlineStr">
        <is>
          <t>مقایسه با مقدار تاریخی</t>
        </is>
      </c>
      <c r="S3" s="91" t="inlineStr">
        <is>
          <t>توضیح</t>
        </is>
      </c>
      <c r="T3" s="91" t="inlineStr">
        <is>
          <t>سلول مبدا در v41</t>
        </is>
      </c>
    </row>
    <row r="4" ht="48" customHeight="1" s="76">
      <c r="A4" s="94" t="inlineStr">
        <is>
          <t>فملی</t>
        </is>
      </c>
      <c r="B4" s="94" t="inlineStr">
        <is>
          <t>REF05</t>
        </is>
      </c>
      <c r="C4" s="94" t="inlineStr">
        <is>
          <t>گردش فردی مبتنی بر کرسی</t>
        </is>
      </c>
      <c r="D4" s="94" t="inlineStr">
        <is>
          <t>قدیمی؛ تعریف حفظ شده</t>
        </is>
      </c>
      <c r="E4" s="94" t="inlineStr">
        <is>
          <t>صورت: کرسی های قابل مقایسه که شخص نامبرده در دو مقطع فرق دارد؛ مخرج: کرسی های قابل مقایسه (مبنای نامبرده). کرسی حقیقی مستقیم در سطح فرد</t>
        </is>
      </c>
      <c r="F4" s="94" t="n">
        <v>0</v>
      </c>
      <c r="G4" s="94" t="n">
        <v>5</v>
      </c>
      <c r="H4" s="94" t="inlineStr"/>
      <c r="I4" s="94" t="inlineStr"/>
      <c r="J4" s="94" t="str">
        <f>IF(AND(ISNUMBER(H4),ISNUMBER(I4),I4&gt;0),H4/I4,"")</f>
        <v/>
      </c>
      <c r="K4" s="94" t="inlineStr">
        <is>
          <t>پنجره مشترک</t>
        </is>
      </c>
      <c r="L4" s="94" t="inlineStr">
        <is>
          <t>1403/12/29</t>
        </is>
      </c>
      <c r="M4" s="94" t="inlineStr">
        <is>
          <t>1404/12/29</t>
        </is>
      </c>
      <c r="N4" s="94" t="inlineStr">
        <is>
          <t>بله</t>
        </is>
      </c>
      <c r="O4" s="94" t="inlineStr">
        <is>
          <t>نیازمند بررسی</t>
        </is>
      </c>
      <c r="P4" s="94" t="inlineStr">
        <is>
          <t>متعارض</t>
        </is>
      </c>
      <c r="Q4" s="94" t="inlineStr"/>
      <c r="R4" s="94" t="inlineStr">
        <is>
          <t>متعارض با شواهد v41</t>
        </is>
      </c>
      <c r="S4" s="94" t="inlineStr">
        <is>
          <t>مقدار تاریخی حفظ شد؛ سه عضو با شروع پس از مبنا در v41 با صفر ناسازگار است و فهرست اسمی مبنا برای اصلاح در دسترس نیست</t>
        </is>
      </c>
      <c r="T4" s="94" t="inlineStr">
        <is>
          <t>Turnover نهایی G4 و H4</t>
        </is>
      </c>
    </row>
    <row r="5" ht="48" customHeight="1" s="76">
      <c r="A5" s="94" t="inlineStr">
        <is>
          <t>فملی</t>
        </is>
      </c>
      <c r="B5" s="94" t="inlineStr">
        <is>
          <t>REF08</t>
        </is>
      </c>
      <c r="C5" s="94" t="inlineStr">
        <is>
          <t>تغییر نماینده با شخص حقوقی ثابت</t>
        </is>
      </c>
      <c r="D5" s="94" t="inlineStr">
        <is>
          <t>قدیمی؛ تعریف حفظ شده</t>
        </is>
      </c>
      <c r="E5" s="94" t="inlineStr">
        <is>
          <t>صورت: کرسی با همان شخص حقوقی که نماینده فرق دارد؛ مخرج: کرسی های با همان شخص حقوقی و نماینده معلوم در هر دو مقطع</t>
        </is>
      </c>
      <c r="F5" s="94" t="n">
        <v>0</v>
      </c>
      <c r="G5" s="94" t="n">
        <v>5</v>
      </c>
      <c r="H5" s="94" t="inlineStr"/>
      <c r="I5" s="94" t="inlineStr"/>
      <c r="J5" s="94" t="str">
        <f>IF(AND(ISNUMBER(H5),ISNUMBER(I5),I5&gt;0),H5/I5,"")</f>
        <v/>
      </c>
      <c r="K5" s="94" t="inlineStr">
        <is>
          <t>پنجره مشترک</t>
        </is>
      </c>
      <c r="L5" s="94" t="inlineStr">
        <is>
          <t>1403/12/29</t>
        </is>
      </c>
      <c r="M5" s="94" t="inlineStr">
        <is>
          <t>1404/12/29</t>
        </is>
      </c>
      <c r="N5" s="94" t="inlineStr">
        <is>
          <t>بله</t>
        </is>
      </c>
      <c r="O5" s="94" t="inlineStr">
        <is>
          <t>نیازمند بررسی</t>
        </is>
      </c>
      <c r="P5" s="94" t="inlineStr">
        <is>
          <t>متعارض</t>
        </is>
      </c>
      <c r="Q5" s="94" t="inlineStr"/>
      <c r="R5" s="94" t="inlineStr">
        <is>
          <t>متعارض با شواهد v41</t>
        </is>
      </c>
      <c r="S5" s="94" t="inlineStr">
        <is>
          <t>مقدار تاریخی حفظ شد؛ سه عضو با شروع پس از مبنا در v41 با صفر ناسازگار است و فهرست اسمی مبنا برای اصلاح در دسترس نیست</t>
        </is>
      </c>
      <c r="T5" s="94" t="inlineStr">
        <is>
          <t>Turnover نهایی J4 و K4</t>
        </is>
      </c>
    </row>
    <row r="6" ht="48" customHeight="1" s="76">
      <c r="A6" s="94" t="inlineStr">
        <is>
          <t>فملی</t>
        </is>
      </c>
      <c r="B6" s="94" t="inlineStr">
        <is>
          <t>ROB_LEGAL</t>
        </is>
      </c>
      <c r="C6" s="94" t="inlineStr">
        <is>
          <t>تغییر شخص حقوقی دارنده کرسی</t>
        </is>
      </c>
      <c r="D6" s="94" t="inlineStr">
        <is>
          <t>قدیمی؛ تعریف حفظ شده</t>
        </is>
      </c>
      <c r="E6" s="94" t="inlineStr">
        <is>
          <t>صورت: کرسی هایی که شخص حقوقی دارنده فرق دارد؛ مخرج: کرسی های موجود در هر دو مقطع</t>
        </is>
      </c>
      <c r="F6" s="94" t="n">
        <v>0</v>
      </c>
      <c r="G6" s="94" t="n">
        <v>5</v>
      </c>
      <c r="H6" s="94" t="inlineStr"/>
      <c r="I6" s="94" t="inlineStr"/>
      <c r="J6" s="94" t="str">
        <f>IF(AND(ISNUMBER(H6),ISNUMBER(I6),I6&gt;0),H6/I6,"")</f>
        <v/>
      </c>
      <c r="K6" s="94" t="inlineStr">
        <is>
          <t>پنجره مشترک</t>
        </is>
      </c>
      <c r="L6" s="94" t="inlineStr">
        <is>
          <t>1403/12/29</t>
        </is>
      </c>
      <c r="M6" s="94" t="inlineStr">
        <is>
          <t>1404/12/29</t>
        </is>
      </c>
      <c r="N6" s="94" t="inlineStr">
        <is>
          <t>بله</t>
        </is>
      </c>
      <c r="O6" s="94" t="inlineStr">
        <is>
          <t>نیازمند بررسی</t>
        </is>
      </c>
      <c r="P6" s="94" t="inlineStr">
        <is>
          <t>متعارض</t>
        </is>
      </c>
      <c r="Q6" s="94" t="inlineStr"/>
      <c r="R6" s="94" t="inlineStr">
        <is>
          <t>متعارض با شواهد v41</t>
        </is>
      </c>
      <c r="S6" s="94" t="inlineStr">
        <is>
          <t>مقدار تاریخی حفظ شد؛ سه عضو با شروع پس از مبنا در v41 با صفر ناسازگار است و فهرست اسمی مبنا برای اصلاح در دسترس نیست</t>
        </is>
      </c>
      <c r="T6" s="94" t="inlineStr">
        <is>
          <t>Turnover نهایی M4 و N4</t>
        </is>
      </c>
    </row>
    <row r="7" ht="48" customHeight="1" s="76">
      <c r="A7" s="94" t="inlineStr">
        <is>
          <t>فملی</t>
        </is>
      </c>
      <c r="B7" s="94" t="inlineStr">
        <is>
          <t>ROB_NEW</t>
        </is>
      </c>
      <c r="C7" s="94" t="inlineStr">
        <is>
          <t>سهم اعضای جدید</t>
        </is>
      </c>
      <c r="D7" s="94" t="inlineStr">
        <is>
          <t>قدیمی؛ تعریف حفظ شده</t>
        </is>
      </c>
      <c r="E7" s="94" t="inlineStr">
        <is>
          <t>صورت: افراد پایان که در مبنا نبودند؛ مخرج: افراد پایان</t>
        </is>
      </c>
      <c r="F7" s="94" t="n">
        <v>0</v>
      </c>
      <c r="G7" s="94" t="n">
        <v>5</v>
      </c>
      <c r="H7" s="94" t="inlineStr"/>
      <c r="I7" s="94" t="inlineStr"/>
      <c r="J7" s="94" t="str">
        <f>IF(AND(ISNUMBER(H7),ISNUMBER(I7),I7&gt;0),H7/I7,"")</f>
        <v/>
      </c>
      <c r="K7" s="94" t="inlineStr">
        <is>
          <t>پنجره مشترک</t>
        </is>
      </c>
      <c r="L7" s="94" t="inlineStr">
        <is>
          <t>1403/12/29</t>
        </is>
      </c>
      <c r="M7" s="94" t="inlineStr">
        <is>
          <t>1404/12/29</t>
        </is>
      </c>
      <c r="N7" s="94" t="inlineStr">
        <is>
          <t>بله</t>
        </is>
      </c>
      <c r="O7" s="94" t="inlineStr">
        <is>
          <t>نیازمند بررسی</t>
        </is>
      </c>
      <c r="P7" s="94" t="inlineStr">
        <is>
          <t>متعارض</t>
        </is>
      </c>
      <c r="Q7" s="94" t="inlineStr"/>
      <c r="R7" s="94" t="inlineStr">
        <is>
          <t>متعارض با شواهد v41</t>
        </is>
      </c>
      <c r="S7" s="94" t="inlineStr">
        <is>
          <t>مقدار تاریخی حفظ شد؛ سه عضو با شروع پس از مبنا در v41 با صفر ناسازگار است و فهرست اسمی مبنا برای اصلاح در دسترس نیست</t>
        </is>
      </c>
      <c r="T7" s="94" t="inlineStr">
        <is>
          <t>Turnover نهایی P4 و Q4</t>
        </is>
      </c>
    </row>
    <row r="8" ht="48" customHeight="1" s="76">
      <c r="A8" s="94" t="inlineStr">
        <is>
          <t>فملی</t>
        </is>
      </c>
      <c r="B8" s="94" t="inlineStr">
        <is>
          <t>ROB_STABILITY</t>
        </is>
      </c>
      <c r="C8" s="94" t="inlineStr">
        <is>
          <t>ثبات کرسی با همان شخص</t>
        </is>
      </c>
      <c r="D8" s="94" t="inlineStr">
        <is>
          <t>قدیمی؛ تعریف حفظ شده</t>
        </is>
      </c>
      <c r="E8" s="94" t="inlineStr">
        <is>
          <t>صورت: کرسی های قابل مقایسه با همان شخص؛ مخرج: کرسی های قابل مقایسه</t>
        </is>
      </c>
      <c r="F8" s="94" t="n">
        <v>5</v>
      </c>
      <c r="G8" s="94" t="n">
        <v>5</v>
      </c>
      <c r="H8" s="94" t="inlineStr"/>
      <c r="I8" s="94" t="inlineStr"/>
      <c r="J8" s="94" t="str">
        <f>IF(AND(ISNUMBER(H8),ISNUMBER(I8),I8&gt;0),H8/I8,"")</f>
        <v/>
      </c>
      <c r="K8" s="94" t="inlineStr">
        <is>
          <t>پنجره مشترک</t>
        </is>
      </c>
      <c r="L8" s="94" t="inlineStr">
        <is>
          <t>1403/12/29</t>
        </is>
      </c>
      <c r="M8" s="94" t="inlineStr">
        <is>
          <t>1404/12/29</t>
        </is>
      </c>
      <c r="N8" s="94" t="inlineStr">
        <is>
          <t>بله</t>
        </is>
      </c>
      <c r="O8" s="94" t="inlineStr">
        <is>
          <t>نیازمند بررسی</t>
        </is>
      </c>
      <c r="P8" s="94" t="inlineStr">
        <is>
          <t>متعارض</t>
        </is>
      </c>
      <c r="Q8" s="94" t="inlineStr"/>
      <c r="R8" s="94" t="inlineStr">
        <is>
          <t>متعارض با شواهد v41</t>
        </is>
      </c>
      <c r="S8" s="94" t="inlineStr">
        <is>
          <t>مقدار تاریخی حفظ شد؛ سه عضو با شروع پس از مبنا در v41 با صفر ناسازگار است و فهرست اسمی مبنا برای اصلاح در دسترس نیست</t>
        </is>
      </c>
      <c r="T8" s="94" t="inlineStr">
        <is>
          <t>Turnover نهایی S4 و T4</t>
        </is>
      </c>
    </row>
    <row r="9" ht="48" customHeight="1" s="76">
      <c r="A9" s="94" t="inlineStr">
        <is>
          <t>فملی</t>
        </is>
      </c>
      <c r="B9" s="94" t="inlineStr">
        <is>
          <t>CR1A</t>
        </is>
      </c>
      <c r="C9" s="94" t="inlineStr">
        <is>
          <t>تغییر رئیس هیئت مدیره بین دو مقطع</t>
        </is>
      </c>
      <c r="D9" s="94" t="inlineStr">
        <is>
          <t>قدیمی؛ تعریف حفظ شده</t>
        </is>
      </c>
      <c r="E9" s="94" t="inlineStr">
        <is>
          <t>صورت: 1 اگر هویت رئیس در دو مقطع فرق دارد؛ مخرج: 1. جدا از تعداد رویدادهای میانی</t>
        </is>
      </c>
      <c r="F9" s="94" t="n">
        <v>0</v>
      </c>
      <c r="G9" s="94" t="n">
        <v>1</v>
      </c>
      <c r="H9" s="94" t="inlineStr"/>
      <c r="I9" s="94" t="inlineStr"/>
      <c r="J9" s="94" t="str">
        <f>IF(AND(ISNUMBER(H9),ISNUMBER(I9),I9&gt;0),H9/I9,"")</f>
        <v/>
      </c>
      <c r="K9" s="94" t="inlineStr">
        <is>
          <t>پنجره مشترک</t>
        </is>
      </c>
      <c r="L9" s="94" t="inlineStr">
        <is>
          <t>1403/12/29</t>
        </is>
      </c>
      <c r="M9" s="94" t="inlineStr">
        <is>
          <t>1404/12/29</t>
        </is>
      </c>
      <c r="N9" s="94" t="inlineStr">
        <is>
          <t>بله</t>
        </is>
      </c>
      <c r="O9" s="94" t="inlineStr">
        <is>
          <t>نیازمند بررسی</t>
        </is>
      </c>
      <c r="P9" s="94" t="inlineStr">
        <is>
          <t>متعارض</t>
        </is>
      </c>
      <c r="Q9" s="94" t="inlineStr">
        <is>
          <t>رئیس پایان: غلامرضا شافعی (از 1404/02/02)؛ رئیس مبنا نامعلوم</t>
        </is>
      </c>
      <c r="R9" s="94" t="inlineStr">
        <is>
          <t>متعارض</t>
        </is>
      </c>
      <c r="S9" s="94" t="inlineStr">
        <is>
          <t>مقدار خام خیر حفظ شد؛ شواهد غیرمستقیم v41 بله است؛ در پوشش محافظه کارانه v39 نبود و نماند</t>
        </is>
      </c>
      <c r="T9" s="94" t="inlineStr">
        <is>
          <t>Turnover نهایی V4؛ CR1A v39 ردیف 4</t>
        </is>
      </c>
    </row>
    <row r="10" ht="44" customHeight="1" s="76">
      <c r="A10" s="93" t="inlineStr">
        <is>
          <t>فملی</t>
        </is>
      </c>
      <c r="B10" s="93" t="inlineStr">
        <is>
          <t>UPX1</t>
        </is>
      </c>
      <c r="C10" s="93" t="inlineStr">
        <is>
          <t>نرخ خروج افراد یکتا</t>
        </is>
      </c>
      <c r="D10" s="93" t="inlineStr">
        <is>
          <t>جدید؛ کد غیرمتداخل</t>
        </is>
      </c>
      <c r="E10" s="93" t="inlineStr">
        <is>
          <t>صورت: افراد حاضر در مبنا و غایب در پایان؛ مخرج: اعضای فعال مبنا</t>
        </is>
      </c>
      <c r="F10" s="93" t="inlineStr"/>
      <c r="G10" s="93" t="inlineStr"/>
      <c r="H10" s="93" t="inlineStr"/>
      <c r="I10" s="93" t="inlineStr"/>
      <c r="J10" s="93" t="str">
        <f>IF(AND(ISNUMBER(H10),ISNUMBER(I10),I10&gt;0),H10/I10,"")</f>
        <v/>
      </c>
      <c r="K10" s="93" t="inlineStr">
        <is>
          <t>پنجره مشترک</t>
        </is>
      </c>
      <c r="L10" s="93" t="inlineStr">
        <is>
          <t>1403/12/29</t>
        </is>
      </c>
      <c r="M10" s="93" t="inlineStr">
        <is>
          <t>1404/12/29</t>
        </is>
      </c>
      <c r="N10" s="93" t="inlineStr">
        <is>
          <t>بله</t>
        </is>
      </c>
      <c r="O10" s="93" t="inlineStr">
        <is>
          <t>ناکافی</t>
        </is>
      </c>
      <c r="P10" s="93" t="inlineStr">
        <is>
          <t>منبع در دسترس نبود</t>
        </is>
      </c>
      <c r="Q10" s="93" t="inlineStr"/>
      <c r="R10" s="93" t="inlineStr"/>
      <c r="S10" s="93" t="inlineStr">
        <is>
          <t>فهرست اسمی مبنا در بسته شواهد v41 است که در این جلسه ارائه نشد؛ شمار تجمیعی مستر برای افراد یکتا کافی نیست</t>
        </is>
      </c>
      <c r="T10" s="93" t="inlineStr">
        <is>
          <t>Snapshot Members v42؛ Person Flows v42</t>
        </is>
      </c>
    </row>
    <row r="11" ht="44" customHeight="1" s="76">
      <c r="A11" s="93" t="inlineStr">
        <is>
          <t>فملی</t>
        </is>
      </c>
      <c r="B11" s="93" t="inlineStr">
        <is>
          <t>UPN1</t>
        </is>
      </c>
      <c r="C11" s="93" t="inlineStr">
        <is>
          <t>سهم افراد واردشده</t>
        </is>
      </c>
      <c r="D11" s="93" t="inlineStr">
        <is>
          <t>جدید؛ کد غیرمتداخل</t>
        </is>
      </c>
      <c r="E11" s="93" t="inlineStr">
        <is>
          <t>صورت: افراد حاضر در پایان و غایب در مبنا؛ مخرج: اعضای فعال پایان</t>
        </is>
      </c>
      <c r="F11" s="93" t="inlineStr"/>
      <c r="G11" s="93" t="inlineStr"/>
      <c r="H11" s="93" t="inlineStr"/>
      <c r="I11" s="93" t="inlineStr"/>
      <c r="J11" s="93" t="str">
        <f>IF(AND(ISNUMBER(H11),ISNUMBER(I11),I11&gt;0),H11/I11,"")</f>
        <v/>
      </c>
      <c r="K11" s="93" t="inlineStr">
        <is>
          <t>پنجره مشترک</t>
        </is>
      </c>
      <c r="L11" s="93" t="inlineStr">
        <is>
          <t>1403/12/29</t>
        </is>
      </c>
      <c r="M11" s="93" t="inlineStr">
        <is>
          <t>1404/12/29</t>
        </is>
      </c>
      <c r="N11" s="93" t="inlineStr">
        <is>
          <t>بله</t>
        </is>
      </c>
      <c r="O11" s="93" t="inlineStr">
        <is>
          <t>ناکافی</t>
        </is>
      </c>
      <c r="P11" s="93" t="inlineStr">
        <is>
          <t>منبع در دسترس نبود</t>
        </is>
      </c>
      <c r="Q11" s="93" t="inlineStr"/>
      <c r="R11" s="93" t="inlineStr"/>
      <c r="S11" s="93" t="inlineStr">
        <is>
          <t>فهرست اسمی مبنا در بسته شواهد v41 است که در این جلسه ارائه نشد؛ شمار تجمیعی مستر برای افراد یکتا کافی نیست</t>
        </is>
      </c>
      <c r="T11" s="93" t="inlineStr">
        <is>
          <t>Snapshot Members v42؛ Person Flows v42</t>
        </is>
      </c>
    </row>
    <row r="12" ht="44" customHeight="1" s="76">
      <c r="A12" s="93" t="inlineStr">
        <is>
          <t>فملی</t>
        </is>
      </c>
      <c r="B12" s="93" t="inlineStr">
        <is>
          <t>UPR1</t>
        </is>
      </c>
      <c r="C12" s="93" t="inlineStr">
        <is>
          <t>نرخ ماندگاری افراد یکتا</t>
        </is>
      </c>
      <c r="D12" s="93" t="inlineStr">
        <is>
          <t>جدید؛ کد غیرمتداخل</t>
        </is>
      </c>
      <c r="E12" s="93" t="inlineStr">
        <is>
          <t>صورت: افراد حاضر در هر دو مقطع؛ مخرج: اعضای فعال مبنا</t>
        </is>
      </c>
      <c r="F12" s="93" t="inlineStr"/>
      <c r="G12" s="93" t="inlineStr"/>
      <c r="H12" s="93" t="inlineStr"/>
      <c r="I12" s="93" t="inlineStr"/>
      <c r="J12" s="93" t="str">
        <f>IF(AND(ISNUMBER(H12),ISNUMBER(I12),I12&gt;0),H12/I12,"")</f>
        <v/>
      </c>
      <c r="K12" s="93" t="inlineStr">
        <is>
          <t>پنجره مشترک</t>
        </is>
      </c>
      <c r="L12" s="93" t="inlineStr">
        <is>
          <t>1403/12/29</t>
        </is>
      </c>
      <c r="M12" s="93" t="inlineStr">
        <is>
          <t>1404/12/29</t>
        </is>
      </c>
      <c r="N12" s="93" t="inlineStr">
        <is>
          <t>بله</t>
        </is>
      </c>
      <c r="O12" s="93" t="inlineStr">
        <is>
          <t>ناکافی</t>
        </is>
      </c>
      <c r="P12" s="93" t="inlineStr">
        <is>
          <t>منبع در دسترس نبود</t>
        </is>
      </c>
      <c r="Q12" s="93" t="inlineStr"/>
      <c r="R12" s="93" t="inlineStr"/>
      <c r="S12" s="93" t="inlineStr">
        <is>
          <t>فهرست اسمی مبنا در بسته شواهد v41 است که در این جلسه ارائه نشد؛ شمار تجمیعی مستر برای افراد یکتا کافی نیست</t>
        </is>
      </c>
      <c r="T12" s="93" t="inlineStr">
        <is>
          <t>Snapshot Members v42؛ Person Flows v42</t>
        </is>
      </c>
    </row>
    <row r="13" ht="44" customHeight="1" s="76">
      <c r="A13" s="92" t="inlineStr">
        <is>
          <t>فملی</t>
        </is>
      </c>
      <c r="B13" s="92" t="inlineStr">
        <is>
          <t>UPF1</t>
        </is>
      </c>
      <c r="C13" s="92" t="inlineStr">
        <is>
          <t>افراد یکتا در نمای مالی (FY1403 تا FY1404)</t>
        </is>
      </c>
      <c r="D13" s="92" t="inlineStr">
        <is>
          <t>جدید؛ نمای مالی</t>
        </is>
      </c>
      <c r="E13" s="92" t="inlineStr">
        <is>
          <t>همان سه نسبت UPX1 و UPN1 و UPR1 ولی بین پایان FY1403 و FY1404 هر شرکت؛ فقط با دو فهرست کامل معتبر</t>
        </is>
      </c>
      <c r="F13" s="92" t="inlineStr"/>
      <c r="G13" s="92" t="inlineStr"/>
      <c r="H13" s="92" t="inlineStr"/>
      <c r="I13" s="92" t="inlineStr"/>
      <c r="J13" s="92" t="str">
        <f>IF(AND(ISNUMBER(H13),ISNUMBER(I13),I13&gt;0),H13/I13,"")</f>
        <v/>
      </c>
      <c r="K13" s="92" t="inlineStr">
        <is>
          <t>نمای مالی</t>
        </is>
      </c>
      <c r="L13" s="92" t="inlineStr">
        <is>
          <t>1403/12/30</t>
        </is>
      </c>
      <c r="M13" s="92" t="inlineStr">
        <is>
          <t>1404/12/29</t>
        </is>
      </c>
      <c r="N13" s="92" t="inlineStr">
        <is>
          <t>بله</t>
        </is>
      </c>
      <c r="O13" s="92" t="inlineStr">
        <is>
          <t>ناکافی</t>
        </is>
      </c>
      <c r="P13" s="92" t="inlineStr">
        <is>
          <t>هنوز بررسی نشده</t>
        </is>
      </c>
      <c r="Q13" s="92" t="inlineStr"/>
      <c r="R13" s="92" t="inlineStr"/>
      <c r="S13" s="92" t="inlineStr">
        <is>
          <t>فهرست اسمی پایان FY1403 در فایل نیست؛ نتیجه نمای مالی نامشخص ماند و عدد پنجره مشترک جای آن نیامد</t>
        </is>
      </c>
      <c r="T13" s="92" t="inlineStr">
        <is>
          <t>Scope v42</t>
        </is>
      </c>
    </row>
    <row r="14" ht="48" customHeight="1" s="76">
      <c r="A14" s="92" t="inlineStr">
        <is>
          <t>تاپیکو</t>
        </is>
      </c>
      <c r="B14" s="92" t="inlineStr">
        <is>
          <t>REF05</t>
        </is>
      </c>
      <c r="C14" s="92" t="inlineStr">
        <is>
          <t>گردش فردی مبتنی بر کرسی</t>
        </is>
      </c>
      <c r="D14" s="92" t="inlineStr">
        <is>
          <t>قدیمی؛ تعریف حفظ شده</t>
        </is>
      </c>
      <c r="E14" s="92" t="inlineStr">
        <is>
          <t>صورت: کرسی های قابل مقایسه که شخص نامبرده در دو مقطع فرق دارد؛ مخرج: کرسی های قابل مقایسه (مبنای نامبرده). کرسی حقیقی مستقیم در سطح فرد</t>
        </is>
      </c>
      <c r="F14" s="92" t="n">
        <v>3</v>
      </c>
      <c r="G14" s="92" t="n">
        <v>5</v>
      </c>
      <c r="H14" s="92" t="n">
        <v>3</v>
      </c>
      <c r="I14" s="92" t="n">
        <v>5</v>
      </c>
      <c r="J14" s="92">
        <f>IF(AND(ISNUMBER(H14),ISNUMBER(I14),I14&gt;0),H14/I14,"")</f>
        <v>0.6</v>
      </c>
      <c r="K14" s="92" t="inlineStr">
        <is>
          <t>پنجره مشترک</t>
        </is>
      </c>
      <c r="L14" s="92" t="inlineStr">
        <is>
          <t>1403/12/29</t>
        </is>
      </c>
      <c r="M14" s="92" t="inlineStr">
        <is>
          <t>1404/12/29</t>
        </is>
      </c>
      <c r="N14" s="92" t="inlineStr">
        <is>
          <t>بله</t>
        </is>
      </c>
      <c r="O14" s="92" t="inlineStr">
        <is>
          <t>کامل</t>
        </is>
      </c>
      <c r="P14" s="92" t="inlineStr">
        <is>
          <t>تایید جزئی</t>
        </is>
      </c>
      <c r="Q14" s="92" t="inlineStr">
        <is>
          <t>3 از 5</t>
        </is>
      </c>
      <c r="R14" s="92" t="inlineStr">
        <is>
          <t>برابر</t>
        </is>
      </c>
      <c r="S14" s="92" t="inlineStr">
        <is>
          <t>بازتولید با تعریف تاریخی از بازسازی سطح کرسی v38؛ سند اصلی در این جلسه بازدریافت نشد</t>
        </is>
      </c>
      <c r="T14" s="92" t="inlineStr">
        <is>
          <t>Turnover نهایی G5 و H5</t>
        </is>
      </c>
    </row>
    <row r="15" ht="48" customHeight="1" s="76">
      <c r="A15" s="92" t="inlineStr">
        <is>
          <t>تاپیکو</t>
        </is>
      </c>
      <c r="B15" s="92" t="inlineStr">
        <is>
          <t>REF08</t>
        </is>
      </c>
      <c r="C15" s="92" t="inlineStr">
        <is>
          <t>تغییر نماینده با شخص حقوقی ثابت</t>
        </is>
      </c>
      <c r="D15" s="92" t="inlineStr">
        <is>
          <t>قدیمی؛ تعریف حفظ شده</t>
        </is>
      </c>
      <c r="E15" s="92" t="inlineStr">
        <is>
          <t>صورت: کرسی با همان شخص حقوقی که نماینده فرق دارد؛ مخرج: کرسی های با همان شخص حقوقی و نماینده معلوم در هر دو مقطع</t>
        </is>
      </c>
      <c r="F15" s="92" t="n">
        <v>3</v>
      </c>
      <c r="G15" s="92" t="n">
        <v>5</v>
      </c>
      <c r="H15" s="92" t="n">
        <v>3</v>
      </c>
      <c r="I15" s="92" t="n">
        <v>5</v>
      </c>
      <c r="J15" s="92">
        <f>IF(AND(ISNUMBER(H15),ISNUMBER(I15),I15&gt;0),H15/I15,"")</f>
        <v>0.6</v>
      </c>
      <c r="K15" s="92" t="inlineStr">
        <is>
          <t>پنجره مشترک</t>
        </is>
      </c>
      <c r="L15" s="92" t="inlineStr">
        <is>
          <t>1403/12/29</t>
        </is>
      </c>
      <c r="M15" s="92" t="inlineStr">
        <is>
          <t>1404/12/29</t>
        </is>
      </c>
      <c r="N15" s="92" t="inlineStr">
        <is>
          <t>بله</t>
        </is>
      </c>
      <c r="O15" s="92" t="inlineStr">
        <is>
          <t>کامل</t>
        </is>
      </c>
      <c r="P15" s="92" t="inlineStr">
        <is>
          <t>تایید جزئی</t>
        </is>
      </c>
      <c r="Q15" s="92" t="inlineStr">
        <is>
          <t>3 از 5</t>
        </is>
      </c>
      <c r="R15" s="92" t="inlineStr">
        <is>
          <t>برابر</t>
        </is>
      </c>
      <c r="S15" s="92" t="inlineStr">
        <is>
          <t>بازتولید با تعریف تاریخی از بازسازی سطح کرسی v38؛ سند اصلی در این جلسه بازدریافت نشد</t>
        </is>
      </c>
      <c r="T15" s="92" t="inlineStr">
        <is>
          <t>Turnover نهایی J5 و K5</t>
        </is>
      </c>
    </row>
    <row r="16" ht="48" customHeight="1" s="76">
      <c r="A16" s="92" t="inlineStr">
        <is>
          <t>تاپیکو</t>
        </is>
      </c>
      <c r="B16" s="92" t="inlineStr">
        <is>
          <t>ROB_LEGAL</t>
        </is>
      </c>
      <c r="C16" s="92" t="inlineStr">
        <is>
          <t>تغییر شخص حقوقی دارنده کرسی</t>
        </is>
      </c>
      <c r="D16" s="92" t="inlineStr">
        <is>
          <t>قدیمی؛ تعریف حفظ شده</t>
        </is>
      </c>
      <c r="E16" s="92" t="inlineStr">
        <is>
          <t>صورت: کرسی هایی که شخص حقوقی دارنده فرق دارد؛ مخرج: کرسی های موجود در هر دو مقطع</t>
        </is>
      </c>
      <c r="F16" s="92" t="n">
        <v>0</v>
      </c>
      <c r="G16" s="92" t="n">
        <v>5</v>
      </c>
      <c r="H16" s="92" t="n">
        <v>0</v>
      </c>
      <c r="I16" s="92" t="n">
        <v>5</v>
      </c>
      <c r="J16" s="92">
        <f>IF(AND(ISNUMBER(H16),ISNUMBER(I16),I16&gt;0),H16/I16,"")</f>
        <v>0.0</v>
      </c>
      <c r="K16" s="92" t="inlineStr">
        <is>
          <t>پنجره مشترک</t>
        </is>
      </c>
      <c r="L16" s="92" t="inlineStr">
        <is>
          <t>1403/12/29</t>
        </is>
      </c>
      <c r="M16" s="92" t="inlineStr">
        <is>
          <t>1404/12/29</t>
        </is>
      </c>
      <c r="N16" s="92" t="inlineStr">
        <is>
          <t>بله</t>
        </is>
      </c>
      <c r="O16" s="92" t="inlineStr">
        <is>
          <t>کامل</t>
        </is>
      </c>
      <c r="P16" s="92" t="inlineStr">
        <is>
          <t>تایید جزئی</t>
        </is>
      </c>
      <c r="Q16" s="92" t="inlineStr">
        <is>
          <t>0 از 5</t>
        </is>
      </c>
      <c r="R16" s="92" t="inlineStr">
        <is>
          <t>برابر</t>
        </is>
      </c>
      <c r="S16" s="92" t="inlineStr">
        <is>
          <t>بازتولید با تعریف تاریخی از بازسازی سطح کرسی v38؛ سند اصلی در این جلسه بازدریافت نشد</t>
        </is>
      </c>
      <c r="T16" s="92" t="inlineStr">
        <is>
          <t>Turnover نهایی M5 و N5</t>
        </is>
      </c>
    </row>
    <row r="17" ht="48" customHeight="1" s="76">
      <c r="A17" s="92" t="inlineStr">
        <is>
          <t>تاپیکو</t>
        </is>
      </c>
      <c r="B17" s="92" t="inlineStr">
        <is>
          <t>ROB_NEW</t>
        </is>
      </c>
      <c r="C17" s="92" t="inlineStr">
        <is>
          <t>سهم اعضای جدید</t>
        </is>
      </c>
      <c r="D17" s="92" t="inlineStr">
        <is>
          <t>قدیمی؛ تعریف حفظ شده</t>
        </is>
      </c>
      <c r="E17" s="92" t="inlineStr">
        <is>
          <t>صورت: افراد پایان که در مبنا نبودند؛ مخرج: افراد پایان</t>
        </is>
      </c>
      <c r="F17" s="92" t="n">
        <v>3</v>
      </c>
      <c r="G17" s="92" t="n">
        <v>5</v>
      </c>
      <c r="H17" s="92" t="n">
        <v>3</v>
      </c>
      <c r="I17" s="92" t="n">
        <v>5</v>
      </c>
      <c r="J17" s="92">
        <f>IF(AND(ISNUMBER(H17),ISNUMBER(I17),I17&gt;0),H17/I17,"")</f>
        <v>0.6</v>
      </c>
      <c r="K17" s="92" t="inlineStr">
        <is>
          <t>پنجره مشترک</t>
        </is>
      </c>
      <c r="L17" s="92" t="inlineStr">
        <is>
          <t>1403/12/29</t>
        </is>
      </c>
      <c r="M17" s="92" t="inlineStr">
        <is>
          <t>1404/12/29</t>
        </is>
      </c>
      <c r="N17" s="92" t="inlineStr">
        <is>
          <t>بله</t>
        </is>
      </c>
      <c r="O17" s="92" t="inlineStr">
        <is>
          <t>کامل</t>
        </is>
      </c>
      <c r="P17" s="92" t="inlineStr">
        <is>
          <t>تایید جزئی</t>
        </is>
      </c>
      <c r="Q17" s="92" t="inlineStr">
        <is>
          <t>3 از 5</t>
        </is>
      </c>
      <c r="R17" s="92" t="inlineStr">
        <is>
          <t>برابر</t>
        </is>
      </c>
      <c r="S17" s="92" t="inlineStr">
        <is>
          <t>بازتولید با تعریف تاریخی از بازسازی سطح کرسی v38؛ سند اصلی در این جلسه بازدریافت نشد</t>
        </is>
      </c>
      <c r="T17" s="92" t="inlineStr">
        <is>
          <t>Turnover نهایی P5 و Q5</t>
        </is>
      </c>
    </row>
    <row r="18" ht="48" customHeight="1" s="76">
      <c r="A18" s="92" t="inlineStr">
        <is>
          <t>تاپیکو</t>
        </is>
      </c>
      <c r="B18" s="92" t="inlineStr">
        <is>
          <t>ROB_STABILITY</t>
        </is>
      </c>
      <c r="C18" s="92" t="inlineStr">
        <is>
          <t>ثبات کرسی با همان شخص</t>
        </is>
      </c>
      <c r="D18" s="92" t="inlineStr">
        <is>
          <t>قدیمی؛ تعریف حفظ شده</t>
        </is>
      </c>
      <c r="E18" s="92" t="inlineStr">
        <is>
          <t>صورت: کرسی های قابل مقایسه با همان شخص؛ مخرج: کرسی های قابل مقایسه</t>
        </is>
      </c>
      <c r="F18" s="92" t="n">
        <v>2</v>
      </c>
      <c r="G18" s="92" t="n">
        <v>5</v>
      </c>
      <c r="H18" s="92" t="n">
        <v>2</v>
      </c>
      <c r="I18" s="92" t="n">
        <v>5</v>
      </c>
      <c r="J18" s="92">
        <f>IF(AND(ISNUMBER(H18),ISNUMBER(I18),I18&gt;0),H18/I18,"")</f>
        <v>0.4</v>
      </c>
      <c r="K18" s="92" t="inlineStr">
        <is>
          <t>پنجره مشترک</t>
        </is>
      </c>
      <c r="L18" s="92" t="inlineStr">
        <is>
          <t>1403/12/29</t>
        </is>
      </c>
      <c r="M18" s="92" t="inlineStr">
        <is>
          <t>1404/12/29</t>
        </is>
      </c>
      <c r="N18" s="92" t="inlineStr">
        <is>
          <t>بله</t>
        </is>
      </c>
      <c r="O18" s="92" t="inlineStr">
        <is>
          <t>کامل</t>
        </is>
      </c>
      <c r="P18" s="92" t="inlineStr">
        <is>
          <t>تایید جزئی</t>
        </is>
      </c>
      <c r="Q18" s="92" t="inlineStr">
        <is>
          <t>2 از 5</t>
        </is>
      </c>
      <c r="R18" s="92" t="inlineStr">
        <is>
          <t>برابر</t>
        </is>
      </c>
      <c r="S18" s="92" t="inlineStr">
        <is>
          <t>بازتولید با تعریف تاریخی از بازسازی سطح کرسی v38؛ سند اصلی در این جلسه بازدریافت نشد</t>
        </is>
      </c>
      <c r="T18" s="92" t="inlineStr">
        <is>
          <t>Turnover نهایی S5 و T5</t>
        </is>
      </c>
    </row>
    <row r="19" ht="48" customHeight="1" s="76">
      <c r="A19" s="92" t="inlineStr">
        <is>
          <t>تاپیکو</t>
        </is>
      </c>
      <c r="B19" s="92" t="inlineStr">
        <is>
          <t>CR1A</t>
        </is>
      </c>
      <c r="C19" s="92" t="inlineStr">
        <is>
          <t>تغییر رئیس هیئت مدیره بین دو مقطع</t>
        </is>
      </c>
      <c r="D19" s="92" t="inlineStr">
        <is>
          <t>قدیمی؛ تعریف حفظ شده</t>
        </is>
      </c>
      <c r="E19" s="92" t="inlineStr">
        <is>
          <t>صورت: 1 اگر هویت رئیس در دو مقطع فرق دارد؛ مخرج: 1. جدا از تعداد رویدادهای میانی</t>
        </is>
      </c>
      <c r="F19" s="92" t="n">
        <v>1</v>
      </c>
      <c r="G19" s="92" t="n">
        <v>1</v>
      </c>
      <c r="H19" s="92" t="n">
        <v>1</v>
      </c>
      <c r="I19" s="92" t="n">
        <v>1</v>
      </c>
      <c r="J19" s="92">
        <f>IF(AND(ISNUMBER(H19),ISNUMBER(I19),I19&gt;0),H19/I19,"")</f>
        <v>1.0</v>
      </c>
      <c r="K19" s="92" t="inlineStr">
        <is>
          <t>پنجره مشترک</t>
        </is>
      </c>
      <c r="L19" s="92" t="inlineStr">
        <is>
          <t>1403/12/29</t>
        </is>
      </c>
      <c r="M19" s="92" t="inlineStr">
        <is>
          <t>1404/12/29</t>
        </is>
      </c>
      <c r="N19" s="92" t="inlineStr">
        <is>
          <t>بله</t>
        </is>
      </c>
      <c r="O19" s="92" t="inlineStr">
        <is>
          <t>کامل</t>
        </is>
      </c>
      <c r="P19" s="92" t="inlineStr">
        <is>
          <t>تایید جزئی</t>
        </is>
      </c>
      <c r="Q19" s="92" t="inlineStr">
        <is>
          <t>رئیس مبنا جعفر ربیعی؛ رئیس پایان محمدمهدی رحمتی</t>
        </is>
      </c>
      <c r="R19" s="92" t="inlineStr">
        <is>
          <t>برابر</t>
        </is>
      </c>
      <c r="S19" s="92" t="inlineStr">
        <is>
          <t>مقایسه هویت رئیس در دو مقطع از بازسازی سطح کرسی v38؛ تعداد رویدادهای میانی جدا در Turnover Events v42</t>
        </is>
      </c>
      <c r="T19" s="92" t="inlineStr">
        <is>
          <t>Turnover نهایی V5؛ CR1A v39 ردیف 5</t>
        </is>
      </c>
    </row>
    <row r="20" ht="44" customHeight="1" s="76">
      <c r="A20" s="92" t="inlineStr">
        <is>
          <t>تاپیکو</t>
        </is>
      </c>
      <c r="B20" s="92" t="inlineStr">
        <is>
          <t>UPX1</t>
        </is>
      </c>
      <c r="C20" s="92" t="inlineStr">
        <is>
          <t>نرخ خروج افراد یکتا</t>
        </is>
      </c>
      <c r="D20" s="92" t="inlineStr">
        <is>
          <t>جدید؛ کد غیرمتداخل</t>
        </is>
      </c>
      <c r="E20" s="92" t="inlineStr">
        <is>
          <t>صورت: افراد حاضر در مبنا و غایب در پایان؛ مخرج: اعضای فعال مبنا</t>
        </is>
      </c>
      <c r="F20" s="92" t="inlineStr"/>
      <c r="G20" s="92" t="inlineStr"/>
      <c r="H20" s="92" t="n">
        <v>3</v>
      </c>
      <c r="I20" s="92" t="n">
        <v>5</v>
      </c>
      <c r="J20" s="92">
        <f>IF(AND(ISNUMBER(H20),ISNUMBER(I20),I20&gt;0),H20/I20,"")</f>
        <v>0.6</v>
      </c>
      <c r="K20" s="92" t="inlineStr">
        <is>
          <t>پنجره مشترک</t>
        </is>
      </c>
      <c r="L20" s="92" t="inlineStr">
        <is>
          <t>1403/12/29</t>
        </is>
      </c>
      <c r="M20" s="92" t="inlineStr">
        <is>
          <t>1404/12/29</t>
        </is>
      </c>
      <c r="N20" s="92" t="inlineStr">
        <is>
          <t>بله</t>
        </is>
      </c>
      <c r="O20" s="92" t="inlineStr">
        <is>
          <t>کامل</t>
        </is>
      </c>
      <c r="P20" s="92" t="inlineStr">
        <is>
          <t>تایید جزئی</t>
        </is>
      </c>
      <c r="Q20" s="92" t="inlineStr">
        <is>
          <t>3 از 5</t>
        </is>
      </c>
      <c r="R20" s="92" t="inlineStr"/>
      <c r="S20" s="92" t="inlineStr">
        <is>
          <t>هر دو فهرست اسمی کامل؛ هویت ها با نام یکسان سازی شده در همان شرکت مطابقت داده شد</t>
        </is>
      </c>
      <c r="T20" s="92" t="inlineStr">
        <is>
          <t>Snapshot Members v42؛ Person Flows v42</t>
        </is>
      </c>
    </row>
    <row r="21" ht="44" customHeight="1" s="76">
      <c r="A21" s="92" t="inlineStr">
        <is>
          <t>تاپیکو</t>
        </is>
      </c>
      <c r="B21" s="92" t="inlineStr">
        <is>
          <t>UPN1</t>
        </is>
      </c>
      <c r="C21" s="92" t="inlineStr">
        <is>
          <t>سهم افراد واردشده</t>
        </is>
      </c>
      <c r="D21" s="92" t="inlineStr">
        <is>
          <t>جدید؛ کد غیرمتداخل</t>
        </is>
      </c>
      <c r="E21" s="92" t="inlineStr">
        <is>
          <t>صورت: افراد حاضر در پایان و غایب در مبنا؛ مخرج: اعضای فعال پایان</t>
        </is>
      </c>
      <c r="F21" s="92" t="inlineStr"/>
      <c r="G21" s="92" t="inlineStr"/>
      <c r="H21" s="92" t="n">
        <v>3</v>
      </c>
      <c r="I21" s="92" t="n">
        <v>5</v>
      </c>
      <c r="J21" s="92">
        <f>IF(AND(ISNUMBER(H21),ISNUMBER(I21),I21&gt;0),H21/I21,"")</f>
        <v>0.6</v>
      </c>
      <c r="K21" s="92" t="inlineStr">
        <is>
          <t>پنجره مشترک</t>
        </is>
      </c>
      <c r="L21" s="92" t="inlineStr">
        <is>
          <t>1403/12/29</t>
        </is>
      </c>
      <c r="M21" s="92" t="inlineStr">
        <is>
          <t>1404/12/29</t>
        </is>
      </c>
      <c r="N21" s="92" t="inlineStr">
        <is>
          <t>بله</t>
        </is>
      </c>
      <c r="O21" s="92" t="inlineStr">
        <is>
          <t>کامل</t>
        </is>
      </c>
      <c r="P21" s="92" t="inlineStr">
        <is>
          <t>تایید جزئی</t>
        </is>
      </c>
      <c r="Q21" s="92" t="inlineStr">
        <is>
          <t>3 از 5</t>
        </is>
      </c>
      <c r="R21" s="92" t="inlineStr"/>
      <c r="S21" s="92" t="inlineStr">
        <is>
          <t>هر دو فهرست اسمی کامل؛ هویت ها با نام یکسان سازی شده در همان شرکت مطابقت داده شد</t>
        </is>
      </c>
      <c r="T21" s="92" t="inlineStr">
        <is>
          <t>Snapshot Members v42؛ Person Flows v42</t>
        </is>
      </c>
    </row>
    <row r="22" ht="44" customHeight="1" s="76">
      <c r="A22" s="92" t="inlineStr">
        <is>
          <t>تاپیکو</t>
        </is>
      </c>
      <c r="B22" s="92" t="inlineStr">
        <is>
          <t>UPR1</t>
        </is>
      </c>
      <c r="C22" s="92" t="inlineStr">
        <is>
          <t>نرخ ماندگاری افراد یکتا</t>
        </is>
      </c>
      <c r="D22" s="92" t="inlineStr">
        <is>
          <t>جدید؛ کد غیرمتداخل</t>
        </is>
      </c>
      <c r="E22" s="92" t="inlineStr">
        <is>
          <t>صورت: افراد حاضر در هر دو مقطع؛ مخرج: اعضای فعال مبنا</t>
        </is>
      </c>
      <c r="F22" s="92" t="inlineStr"/>
      <c r="G22" s="92" t="inlineStr"/>
      <c r="H22" s="92" t="n">
        <v>2</v>
      </c>
      <c r="I22" s="92" t="n">
        <v>5</v>
      </c>
      <c r="J22" s="92">
        <f>IF(AND(ISNUMBER(H22),ISNUMBER(I22),I22&gt;0),H22/I22,"")</f>
        <v>0.4</v>
      </c>
      <c r="K22" s="92" t="inlineStr">
        <is>
          <t>پنجره مشترک</t>
        </is>
      </c>
      <c r="L22" s="92" t="inlineStr">
        <is>
          <t>1403/12/29</t>
        </is>
      </c>
      <c r="M22" s="92" t="inlineStr">
        <is>
          <t>1404/12/29</t>
        </is>
      </c>
      <c r="N22" s="92" t="inlineStr">
        <is>
          <t>بله</t>
        </is>
      </c>
      <c r="O22" s="92" t="inlineStr">
        <is>
          <t>کامل</t>
        </is>
      </c>
      <c r="P22" s="92" t="inlineStr">
        <is>
          <t>تایید جزئی</t>
        </is>
      </c>
      <c r="Q22" s="92" t="inlineStr">
        <is>
          <t>2 از 5</t>
        </is>
      </c>
      <c r="R22" s="92" t="inlineStr"/>
      <c r="S22" s="92" t="inlineStr">
        <is>
          <t>هر دو فهرست اسمی کامل؛ هویت ها با نام یکسان سازی شده در همان شرکت مطابقت داده شد</t>
        </is>
      </c>
      <c r="T22" s="92" t="inlineStr">
        <is>
          <t>Snapshot Members v42؛ Person Flows v42</t>
        </is>
      </c>
    </row>
    <row r="23" ht="44" customHeight="1" s="76">
      <c r="A23" s="92" t="inlineStr">
        <is>
          <t>تاپیکو</t>
        </is>
      </c>
      <c r="B23" s="92" t="inlineStr">
        <is>
          <t>UPF1</t>
        </is>
      </c>
      <c r="C23" s="92" t="inlineStr">
        <is>
          <t>افراد یکتا در نمای مالی (FY1403 تا FY1404)</t>
        </is>
      </c>
      <c r="D23" s="92" t="inlineStr">
        <is>
          <t>جدید؛ نمای مالی</t>
        </is>
      </c>
      <c r="E23" s="92" t="inlineStr">
        <is>
          <t>همان سه نسبت UPX1 و UPN1 و UPR1 ولی بین پایان FY1403 و FY1404 هر شرکت؛ فقط با دو فهرست کامل معتبر</t>
        </is>
      </c>
      <c r="F23" s="92" t="inlineStr"/>
      <c r="G23" s="92" t="inlineStr"/>
      <c r="H23" s="92" t="inlineStr"/>
      <c r="I23" s="92" t="inlineStr"/>
      <c r="J23" s="92" t="str">
        <f>IF(AND(ISNUMBER(H23),ISNUMBER(I23),I23&gt;0),H23/I23,"")</f>
        <v/>
      </c>
      <c r="K23" s="92" t="inlineStr">
        <is>
          <t>نمای مالی</t>
        </is>
      </c>
      <c r="L23" s="92" t="inlineStr">
        <is>
          <t>1403/02/31</t>
        </is>
      </c>
      <c r="M23" s="92" t="inlineStr">
        <is>
          <t>1404/02/31</t>
        </is>
      </c>
      <c r="N23" s="92" t="inlineStr">
        <is>
          <t>بله</t>
        </is>
      </c>
      <c r="O23" s="92" t="inlineStr">
        <is>
          <t>ناکافی</t>
        </is>
      </c>
      <c r="P23" s="92" t="inlineStr">
        <is>
          <t>هنوز بررسی نشده</t>
        </is>
      </c>
      <c r="Q23" s="92" t="inlineStr"/>
      <c r="R23" s="92" t="inlineStr"/>
      <c r="S23" s="92" t="inlineStr">
        <is>
          <t>فهرست اسمی پایان FY1403 در فایل نیست؛ نتیجه نمای مالی نامشخص ماند و عدد پنجره مشترک جای آن نیامد</t>
        </is>
      </c>
      <c r="T23" s="92" t="inlineStr">
        <is>
          <t>Scope v42</t>
        </is>
      </c>
    </row>
    <row r="24" ht="48" customHeight="1" s="76">
      <c r="A24" s="92" t="inlineStr">
        <is>
          <t>فارس</t>
        </is>
      </c>
      <c r="B24" s="92" t="inlineStr">
        <is>
          <t>REF05</t>
        </is>
      </c>
      <c r="C24" s="92" t="inlineStr">
        <is>
          <t>گردش فردی مبتنی بر کرسی</t>
        </is>
      </c>
      <c r="D24" s="92" t="inlineStr">
        <is>
          <t>قدیمی؛ تعریف حفظ شده</t>
        </is>
      </c>
      <c r="E24" s="92" t="inlineStr">
        <is>
          <t>صورت: کرسی های قابل مقایسه که شخص نامبرده در دو مقطع فرق دارد؛ مخرج: کرسی های قابل مقایسه (مبنای نامبرده). کرسی حقیقی مستقیم در سطح فرد</t>
        </is>
      </c>
      <c r="F24" s="92" t="n">
        <v>3</v>
      </c>
      <c r="G24" s="92" t="n">
        <v>5</v>
      </c>
      <c r="H24" s="92" t="n">
        <v>3</v>
      </c>
      <c r="I24" s="92" t="n">
        <v>5</v>
      </c>
      <c r="J24" s="92">
        <f>IF(AND(ISNUMBER(H24),ISNUMBER(I24),I24&gt;0),H24/I24,"")</f>
        <v>0.6</v>
      </c>
      <c r="K24" s="92" t="inlineStr">
        <is>
          <t>پنجره مشترک</t>
        </is>
      </c>
      <c r="L24" s="92" t="inlineStr">
        <is>
          <t>1403/12/29</t>
        </is>
      </c>
      <c r="M24" s="92" t="inlineStr">
        <is>
          <t>1404/12/29</t>
        </is>
      </c>
      <c r="N24" s="92" t="inlineStr">
        <is>
          <t>بله</t>
        </is>
      </c>
      <c r="O24" s="92" t="inlineStr">
        <is>
          <t>کامل ارثی</t>
        </is>
      </c>
      <c r="P24" s="92" t="inlineStr">
        <is>
          <t>تایید جزئی</t>
        </is>
      </c>
      <c r="Q24" s="92" t="inlineStr"/>
      <c r="R24" s="92" t="inlineStr">
        <is>
          <t>بازتولید ممکن نشد</t>
        </is>
      </c>
      <c r="S24" s="92" t="inlineStr">
        <is>
          <t>ارثی از مستر؛ فهرست اسمی دو مقطع در دسترس نیست و بازتولید اسمی ممکن نشد</t>
        </is>
      </c>
      <c r="T24" s="92" t="inlineStr">
        <is>
          <t>Turnover نهایی G6 و H6</t>
        </is>
      </c>
    </row>
    <row r="25" ht="48" customHeight="1" s="76">
      <c r="A25" s="92" t="inlineStr">
        <is>
          <t>فارس</t>
        </is>
      </c>
      <c r="B25" s="92" t="inlineStr">
        <is>
          <t>REF08</t>
        </is>
      </c>
      <c r="C25" s="92" t="inlineStr">
        <is>
          <t>تغییر نماینده با شخص حقوقی ثابت</t>
        </is>
      </c>
      <c r="D25" s="92" t="inlineStr">
        <is>
          <t>قدیمی؛ تعریف حفظ شده</t>
        </is>
      </c>
      <c r="E25" s="92" t="inlineStr">
        <is>
          <t>صورت: کرسی با همان شخص حقوقی که نماینده فرق دارد؛ مخرج: کرسی های با همان شخص حقوقی و نماینده معلوم در هر دو مقطع</t>
        </is>
      </c>
      <c r="F25" s="92" t="n">
        <v>3</v>
      </c>
      <c r="G25" s="92" t="n">
        <v>5</v>
      </c>
      <c r="H25" s="92" t="n">
        <v>3</v>
      </c>
      <c r="I25" s="92" t="n">
        <v>5</v>
      </c>
      <c r="J25" s="92">
        <f>IF(AND(ISNUMBER(H25),ISNUMBER(I25),I25&gt;0),H25/I25,"")</f>
        <v>0.6</v>
      </c>
      <c r="K25" s="92" t="inlineStr">
        <is>
          <t>پنجره مشترک</t>
        </is>
      </c>
      <c r="L25" s="92" t="inlineStr">
        <is>
          <t>1403/12/29</t>
        </is>
      </c>
      <c r="M25" s="92" t="inlineStr">
        <is>
          <t>1404/12/29</t>
        </is>
      </c>
      <c r="N25" s="92" t="inlineStr">
        <is>
          <t>بله</t>
        </is>
      </c>
      <c r="O25" s="92" t="inlineStr">
        <is>
          <t>کامل ارثی</t>
        </is>
      </c>
      <c r="P25" s="92" t="inlineStr">
        <is>
          <t>تایید جزئی</t>
        </is>
      </c>
      <c r="Q25" s="92" t="inlineStr"/>
      <c r="R25" s="92" t="inlineStr">
        <is>
          <t>بازتولید ممکن نشد</t>
        </is>
      </c>
      <c r="S25" s="92" t="inlineStr">
        <is>
          <t>ارثی از مستر؛ فهرست اسمی دو مقطع در دسترس نیست و بازتولید اسمی ممکن نشد</t>
        </is>
      </c>
      <c r="T25" s="92" t="inlineStr">
        <is>
          <t>Turnover نهایی J6 و K6</t>
        </is>
      </c>
    </row>
    <row r="26" ht="48" customHeight="1" s="76">
      <c r="A26" s="92" t="inlineStr">
        <is>
          <t>فارس</t>
        </is>
      </c>
      <c r="B26" s="92" t="inlineStr">
        <is>
          <t>ROB_LEGAL</t>
        </is>
      </c>
      <c r="C26" s="92" t="inlineStr">
        <is>
          <t>تغییر شخص حقوقی دارنده کرسی</t>
        </is>
      </c>
      <c r="D26" s="92" t="inlineStr">
        <is>
          <t>قدیمی؛ تعریف حفظ شده</t>
        </is>
      </c>
      <c r="E26" s="92" t="inlineStr">
        <is>
          <t>صورت: کرسی هایی که شخص حقوقی دارنده فرق دارد؛ مخرج: کرسی های موجود در هر دو مقطع</t>
        </is>
      </c>
      <c r="F26" s="92" t="n">
        <v>0</v>
      </c>
      <c r="G26" s="92" t="n">
        <v>5</v>
      </c>
      <c r="H26" s="92" t="n">
        <v>0</v>
      </c>
      <c r="I26" s="92" t="n">
        <v>5</v>
      </c>
      <c r="J26" s="92">
        <f>IF(AND(ISNUMBER(H26),ISNUMBER(I26),I26&gt;0),H26/I26,"")</f>
        <v>0.0</v>
      </c>
      <c r="K26" s="92" t="inlineStr">
        <is>
          <t>پنجره مشترک</t>
        </is>
      </c>
      <c r="L26" s="92" t="inlineStr">
        <is>
          <t>1403/12/29</t>
        </is>
      </c>
      <c r="M26" s="92" t="inlineStr">
        <is>
          <t>1404/12/29</t>
        </is>
      </c>
      <c r="N26" s="92" t="inlineStr">
        <is>
          <t>بله</t>
        </is>
      </c>
      <c r="O26" s="92" t="inlineStr">
        <is>
          <t>کامل ارثی</t>
        </is>
      </c>
      <c r="P26" s="92" t="inlineStr">
        <is>
          <t>تایید جزئی</t>
        </is>
      </c>
      <c r="Q26" s="92" t="inlineStr"/>
      <c r="R26" s="92" t="inlineStr">
        <is>
          <t>بازتولید ممکن نشد</t>
        </is>
      </c>
      <c r="S26" s="92" t="inlineStr">
        <is>
          <t>ارثی از مستر؛ فهرست اسمی دو مقطع در دسترس نیست و بازتولید اسمی ممکن نشد</t>
        </is>
      </c>
      <c r="T26" s="92" t="inlineStr">
        <is>
          <t>Turnover نهایی M6 و N6</t>
        </is>
      </c>
    </row>
    <row r="27" ht="48" customHeight="1" s="76">
      <c r="A27" s="92" t="inlineStr">
        <is>
          <t>فارس</t>
        </is>
      </c>
      <c r="B27" s="92" t="inlineStr">
        <is>
          <t>ROB_NEW</t>
        </is>
      </c>
      <c r="C27" s="92" t="inlineStr">
        <is>
          <t>سهم اعضای جدید</t>
        </is>
      </c>
      <c r="D27" s="92" t="inlineStr">
        <is>
          <t>قدیمی؛ تعریف حفظ شده</t>
        </is>
      </c>
      <c r="E27" s="92" t="inlineStr">
        <is>
          <t>صورت: افراد پایان که در مبنا نبودند؛ مخرج: افراد پایان</t>
        </is>
      </c>
      <c r="F27" s="92" t="n">
        <v>3</v>
      </c>
      <c r="G27" s="92" t="n">
        <v>5</v>
      </c>
      <c r="H27" s="92" t="n">
        <v>3</v>
      </c>
      <c r="I27" s="92" t="n">
        <v>5</v>
      </c>
      <c r="J27" s="92">
        <f>IF(AND(ISNUMBER(H27),ISNUMBER(I27),I27&gt;0),H27/I27,"")</f>
        <v>0.6</v>
      </c>
      <c r="K27" s="92" t="inlineStr">
        <is>
          <t>پنجره مشترک</t>
        </is>
      </c>
      <c r="L27" s="92" t="inlineStr">
        <is>
          <t>1403/12/29</t>
        </is>
      </c>
      <c r="M27" s="92" t="inlineStr">
        <is>
          <t>1404/12/29</t>
        </is>
      </c>
      <c r="N27" s="92" t="inlineStr">
        <is>
          <t>بله</t>
        </is>
      </c>
      <c r="O27" s="92" t="inlineStr">
        <is>
          <t>کامل ارثی</t>
        </is>
      </c>
      <c r="P27" s="92" t="inlineStr">
        <is>
          <t>تایید جزئی</t>
        </is>
      </c>
      <c r="Q27" s="92" t="inlineStr"/>
      <c r="R27" s="92" t="inlineStr">
        <is>
          <t>بازتولید ممکن نشد</t>
        </is>
      </c>
      <c r="S27" s="92" t="inlineStr">
        <is>
          <t>ارثی از مستر؛ فهرست اسمی دو مقطع در دسترس نیست و بازتولید اسمی ممکن نشد</t>
        </is>
      </c>
      <c r="T27" s="92" t="inlineStr">
        <is>
          <t>Turnover نهایی P6 و Q6</t>
        </is>
      </c>
    </row>
    <row r="28" ht="48" customHeight="1" s="76">
      <c r="A28" s="92" t="inlineStr">
        <is>
          <t>فارس</t>
        </is>
      </c>
      <c r="B28" s="92" t="inlineStr">
        <is>
          <t>ROB_STABILITY</t>
        </is>
      </c>
      <c r="C28" s="92" t="inlineStr">
        <is>
          <t>ثبات کرسی با همان شخص</t>
        </is>
      </c>
      <c r="D28" s="92" t="inlineStr">
        <is>
          <t>قدیمی؛ تعریف حفظ شده</t>
        </is>
      </c>
      <c r="E28" s="92" t="inlineStr">
        <is>
          <t>صورت: کرسی های قابل مقایسه با همان شخص؛ مخرج: کرسی های قابل مقایسه</t>
        </is>
      </c>
      <c r="F28" s="92" t="n">
        <v>2</v>
      </c>
      <c r="G28" s="92" t="n">
        <v>5</v>
      </c>
      <c r="H28" s="92" t="n">
        <v>2</v>
      </c>
      <c r="I28" s="92" t="n">
        <v>5</v>
      </c>
      <c r="J28" s="92">
        <f>IF(AND(ISNUMBER(H28),ISNUMBER(I28),I28&gt;0),H28/I28,"")</f>
        <v>0.4</v>
      </c>
      <c r="K28" s="92" t="inlineStr">
        <is>
          <t>پنجره مشترک</t>
        </is>
      </c>
      <c r="L28" s="92" t="inlineStr">
        <is>
          <t>1403/12/29</t>
        </is>
      </c>
      <c r="M28" s="92" t="inlineStr">
        <is>
          <t>1404/12/29</t>
        </is>
      </c>
      <c r="N28" s="92" t="inlineStr">
        <is>
          <t>بله</t>
        </is>
      </c>
      <c r="O28" s="92" t="inlineStr">
        <is>
          <t>کامل ارثی</t>
        </is>
      </c>
      <c r="P28" s="92" t="inlineStr">
        <is>
          <t>تایید جزئی</t>
        </is>
      </c>
      <c r="Q28" s="92" t="inlineStr"/>
      <c r="R28" s="92" t="inlineStr">
        <is>
          <t>بازتولید ممکن نشد</t>
        </is>
      </c>
      <c r="S28" s="92" t="inlineStr">
        <is>
          <t>ارثی از مستر؛ فهرست اسمی دو مقطع در دسترس نیست و بازتولید اسمی ممکن نشد</t>
        </is>
      </c>
      <c r="T28" s="92" t="inlineStr">
        <is>
          <t>Turnover نهایی S6 و T6</t>
        </is>
      </c>
    </row>
    <row r="29" ht="48" customHeight="1" s="76">
      <c r="A29" s="92" t="inlineStr">
        <is>
          <t>فارس</t>
        </is>
      </c>
      <c r="B29" s="92" t="inlineStr">
        <is>
          <t>CR1A</t>
        </is>
      </c>
      <c r="C29" s="92" t="inlineStr">
        <is>
          <t>تغییر رئیس هیئت مدیره بین دو مقطع</t>
        </is>
      </c>
      <c r="D29" s="92" t="inlineStr">
        <is>
          <t>قدیمی؛ تعریف حفظ شده</t>
        </is>
      </c>
      <c r="E29" s="92" t="inlineStr">
        <is>
          <t>صورت: 1 اگر هویت رئیس در دو مقطع فرق دارد؛ مخرج: 1. جدا از تعداد رویدادهای میانی</t>
        </is>
      </c>
      <c r="F29" s="92" t="n">
        <v>1</v>
      </c>
      <c r="G29" s="92" t="n">
        <v>1</v>
      </c>
      <c r="H29" s="92" t="n">
        <v>1</v>
      </c>
      <c r="I29" s="92" t="n">
        <v>1</v>
      </c>
      <c r="J29" s="92">
        <f>IF(AND(ISNUMBER(H29),ISNUMBER(I29),I29&gt;0),H29/I29,"")</f>
        <v>1.0</v>
      </c>
      <c r="K29" s="92" t="inlineStr">
        <is>
          <t>پنجره مشترک</t>
        </is>
      </c>
      <c r="L29" s="92" t="inlineStr">
        <is>
          <t>1403/12/29</t>
        </is>
      </c>
      <c r="M29" s="92" t="inlineStr">
        <is>
          <t>1404/12/29</t>
        </is>
      </c>
      <c r="N29" s="92" t="inlineStr">
        <is>
          <t>بله</t>
        </is>
      </c>
      <c r="O29" s="92" t="inlineStr">
        <is>
          <t>کامل ارثی</t>
        </is>
      </c>
      <c r="P29" s="92" t="inlineStr">
        <is>
          <t>تایید جزئی</t>
        </is>
      </c>
      <c r="Q29" s="92" t="inlineStr"/>
      <c r="R29" s="92" t="inlineStr">
        <is>
          <t>بازتولید ممکن نشد</t>
        </is>
      </c>
      <c r="S29" s="92" t="inlineStr">
        <is>
          <t>ارثی از CR1A v39 (INHERITED_WITH_LIMITATION)؛ تایید مجدد مستقل همه منابع انجام نشد</t>
        </is>
      </c>
      <c r="T29" s="92" t="inlineStr">
        <is>
          <t>Turnover نهایی V6؛ CR1A v39 ردیف 6</t>
        </is>
      </c>
    </row>
    <row r="30" ht="44" customHeight="1" s="76">
      <c r="A30" s="93" t="inlineStr">
        <is>
          <t>فارس</t>
        </is>
      </c>
      <c r="B30" s="93" t="inlineStr">
        <is>
          <t>UPX1</t>
        </is>
      </c>
      <c r="C30" s="93" t="inlineStr">
        <is>
          <t>نرخ خروج افراد یکتا</t>
        </is>
      </c>
      <c r="D30" s="93" t="inlineStr">
        <is>
          <t>جدید؛ کد غیرمتداخل</t>
        </is>
      </c>
      <c r="E30" s="93" t="inlineStr">
        <is>
          <t>صورت: افراد حاضر در مبنا و غایب در پایان؛ مخرج: اعضای فعال مبنا</t>
        </is>
      </c>
      <c r="F30" s="93" t="inlineStr"/>
      <c r="G30" s="93" t="inlineStr"/>
      <c r="H30" s="93" t="inlineStr"/>
      <c r="I30" s="93" t="inlineStr"/>
      <c r="J30" s="93" t="str">
        <f>IF(AND(ISNUMBER(H30),ISNUMBER(I30),I30&gt;0),H30/I30,"")</f>
        <v/>
      </c>
      <c r="K30" s="93" t="inlineStr">
        <is>
          <t>پنجره مشترک</t>
        </is>
      </c>
      <c r="L30" s="93" t="inlineStr">
        <is>
          <t>1403/12/29</t>
        </is>
      </c>
      <c r="M30" s="93" t="inlineStr">
        <is>
          <t>1404/12/29</t>
        </is>
      </c>
      <c r="N30" s="93" t="inlineStr">
        <is>
          <t>بله</t>
        </is>
      </c>
      <c r="O30" s="93" t="inlineStr">
        <is>
          <t>ناکافی</t>
        </is>
      </c>
      <c r="P30" s="93" t="inlineStr">
        <is>
          <t>منبع در دسترس نبود</t>
        </is>
      </c>
      <c r="Q30" s="93" t="inlineStr"/>
      <c r="R30" s="93" t="inlineStr"/>
      <c r="S30" s="93" t="inlineStr">
        <is>
          <t>فهرست اسمی مبنا در بسته شواهد v41 است که در این جلسه ارائه نشد؛ شمار تجمیعی مستر برای افراد یکتا کافی نیست</t>
        </is>
      </c>
      <c r="T30" s="93" t="inlineStr">
        <is>
          <t>Snapshot Members v42؛ Person Flows v42</t>
        </is>
      </c>
    </row>
    <row r="31" ht="44" customHeight="1" s="76">
      <c r="A31" s="93" t="inlineStr">
        <is>
          <t>فارس</t>
        </is>
      </c>
      <c r="B31" s="93" t="inlineStr">
        <is>
          <t>UPN1</t>
        </is>
      </c>
      <c r="C31" s="93" t="inlineStr">
        <is>
          <t>سهم افراد واردشده</t>
        </is>
      </c>
      <c r="D31" s="93" t="inlineStr">
        <is>
          <t>جدید؛ کد غیرمتداخل</t>
        </is>
      </c>
      <c r="E31" s="93" t="inlineStr">
        <is>
          <t>صورت: افراد حاضر در پایان و غایب در مبنا؛ مخرج: اعضای فعال پایان</t>
        </is>
      </c>
      <c r="F31" s="93" t="inlineStr"/>
      <c r="G31" s="93" t="inlineStr"/>
      <c r="H31" s="93" t="inlineStr"/>
      <c r="I31" s="93" t="inlineStr"/>
      <c r="J31" s="93" t="str">
        <f>IF(AND(ISNUMBER(H31),ISNUMBER(I31),I31&gt;0),H31/I31,"")</f>
        <v/>
      </c>
      <c r="K31" s="93" t="inlineStr">
        <is>
          <t>پنجره مشترک</t>
        </is>
      </c>
      <c r="L31" s="93" t="inlineStr">
        <is>
          <t>1403/12/29</t>
        </is>
      </c>
      <c r="M31" s="93" t="inlineStr">
        <is>
          <t>1404/12/29</t>
        </is>
      </c>
      <c r="N31" s="93" t="inlineStr">
        <is>
          <t>بله</t>
        </is>
      </c>
      <c r="O31" s="93" t="inlineStr">
        <is>
          <t>ناکافی</t>
        </is>
      </c>
      <c r="P31" s="93" t="inlineStr">
        <is>
          <t>منبع در دسترس نبود</t>
        </is>
      </c>
      <c r="Q31" s="93" t="inlineStr"/>
      <c r="R31" s="93" t="inlineStr"/>
      <c r="S31" s="93" t="inlineStr">
        <is>
          <t>فهرست اسمی مبنا در بسته شواهد v41 است که در این جلسه ارائه نشد؛ شمار تجمیعی مستر برای افراد یکتا کافی نیست</t>
        </is>
      </c>
      <c r="T31" s="93" t="inlineStr">
        <is>
          <t>Snapshot Members v42؛ Person Flows v42</t>
        </is>
      </c>
    </row>
    <row r="32" ht="44" customHeight="1" s="76">
      <c r="A32" s="93" t="inlineStr">
        <is>
          <t>فارس</t>
        </is>
      </c>
      <c r="B32" s="93" t="inlineStr">
        <is>
          <t>UPR1</t>
        </is>
      </c>
      <c r="C32" s="93" t="inlineStr">
        <is>
          <t>نرخ ماندگاری افراد یکتا</t>
        </is>
      </c>
      <c r="D32" s="93" t="inlineStr">
        <is>
          <t>جدید؛ کد غیرمتداخل</t>
        </is>
      </c>
      <c r="E32" s="93" t="inlineStr">
        <is>
          <t>صورت: افراد حاضر در هر دو مقطع؛ مخرج: اعضای فعال مبنا</t>
        </is>
      </c>
      <c r="F32" s="93" t="inlineStr"/>
      <c r="G32" s="93" t="inlineStr"/>
      <c r="H32" s="93" t="inlineStr"/>
      <c r="I32" s="93" t="inlineStr"/>
      <c r="J32" s="93" t="str">
        <f>IF(AND(ISNUMBER(H32),ISNUMBER(I32),I32&gt;0),H32/I32,"")</f>
        <v/>
      </c>
      <c r="K32" s="93" t="inlineStr">
        <is>
          <t>پنجره مشترک</t>
        </is>
      </c>
      <c r="L32" s="93" t="inlineStr">
        <is>
          <t>1403/12/29</t>
        </is>
      </c>
      <c r="M32" s="93" t="inlineStr">
        <is>
          <t>1404/12/29</t>
        </is>
      </c>
      <c r="N32" s="93" t="inlineStr">
        <is>
          <t>بله</t>
        </is>
      </c>
      <c r="O32" s="93" t="inlineStr">
        <is>
          <t>ناکافی</t>
        </is>
      </c>
      <c r="P32" s="93" t="inlineStr">
        <is>
          <t>منبع در دسترس نبود</t>
        </is>
      </c>
      <c r="Q32" s="93" t="inlineStr"/>
      <c r="R32" s="93" t="inlineStr"/>
      <c r="S32" s="93" t="inlineStr">
        <is>
          <t>فهرست اسمی مبنا در بسته شواهد v41 است که در این جلسه ارائه نشد؛ شمار تجمیعی مستر برای افراد یکتا کافی نیست</t>
        </is>
      </c>
      <c r="T32" s="93" t="inlineStr">
        <is>
          <t>Snapshot Members v42؛ Person Flows v42</t>
        </is>
      </c>
    </row>
    <row r="33" ht="44" customHeight="1" s="76">
      <c r="A33" s="92" t="inlineStr">
        <is>
          <t>فارس</t>
        </is>
      </c>
      <c r="B33" s="92" t="inlineStr">
        <is>
          <t>UPF1</t>
        </is>
      </c>
      <c r="C33" s="92" t="inlineStr">
        <is>
          <t>افراد یکتا در نمای مالی (FY1403 تا FY1404)</t>
        </is>
      </c>
      <c r="D33" s="92" t="inlineStr">
        <is>
          <t>جدید؛ نمای مالی</t>
        </is>
      </c>
      <c r="E33" s="92" t="inlineStr">
        <is>
          <t>همان سه نسبت UPX1 و UPN1 و UPR1 ولی بین پایان FY1403 و FY1404 هر شرکت؛ فقط با دو فهرست کامل معتبر</t>
        </is>
      </c>
      <c r="F33" s="92" t="inlineStr"/>
      <c r="G33" s="92" t="inlineStr"/>
      <c r="H33" s="92" t="inlineStr"/>
      <c r="I33" s="92" t="inlineStr"/>
      <c r="J33" s="92" t="str">
        <f>IF(AND(ISNUMBER(H33),ISNUMBER(I33),I33&gt;0),H33/I33,"")</f>
        <v/>
      </c>
      <c r="K33" s="92" t="inlineStr">
        <is>
          <t>نمای مالی</t>
        </is>
      </c>
      <c r="L33" s="92" t="inlineStr">
        <is>
          <t>1403/03/31</t>
        </is>
      </c>
      <c r="M33" s="92" t="inlineStr">
        <is>
          <t>1404/03/31</t>
        </is>
      </c>
      <c r="N33" s="92" t="inlineStr">
        <is>
          <t>بله</t>
        </is>
      </c>
      <c r="O33" s="92" t="inlineStr">
        <is>
          <t>ناکافی</t>
        </is>
      </c>
      <c r="P33" s="92" t="inlineStr">
        <is>
          <t>هنوز بررسی نشده</t>
        </is>
      </c>
      <c r="Q33" s="92" t="inlineStr"/>
      <c r="R33" s="92" t="inlineStr"/>
      <c r="S33" s="92" t="inlineStr">
        <is>
          <t>فهرست اسمی پایان FY1403 در فایل نیست؛ نتیجه نمای مالی نامشخص ماند و عدد پنجره مشترک جای آن نیامد</t>
        </is>
      </c>
      <c r="T33" s="92" t="inlineStr">
        <is>
          <t>Scope v42</t>
        </is>
      </c>
    </row>
    <row r="34" ht="48" customHeight="1" s="76">
      <c r="A34" s="92" t="inlineStr">
        <is>
          <t>خودرو</t>
        </is>
      </c>
      <c r="B34" s="92" t="inlineStr">
        <is>
          <t>REF05</t>
        </is>
      </c>
      <c r="C34" s="92" t="inlineStr">
        <is>
          <t>گردش فردی مبتنی بر کرسی</t>
        </is>
      </c>
      <c r="D34" s="92" t="inlineStr">
        <is>
          <t>قدیمی؛ تعریف حفظ شده</t>
        </is>
      </c>
      <c r="E34" s="92" t="inlineStr">
        <is>
          <t>صورت: کرسی های قابل مقایسه که شخص نامبرده در دو مقطع فرق دارد؛ مخرج: کرسی های قابل مقایسه (مبنای نامبرده). کرسی حقیقی مستقیم در سطح فرد</t>
        </is>
      </c>
      <c r="F34" s="92" t="n">
        <v>1</v>
      </c>
      <c r="G34" s="92" t="n">
        <v>5</v>
      </c>
      <c r="H34" s="92" t="n">
        <v>1</v>
      </c>
      <c r="I34" s="92" t="n">
        <v>5</v>
      </c>
      <c r="J34" s="92">
        <f>IF(AND(ISNUMBER(H34),ISNUMBER(I34),I34&gt;0),H34/I34,"")</f>
        <v>0.2</v>
      </c>
      <c r="K34" s="92" t="inlineStr">
        <is>
          <t>پنجره مشترک</t>
        </is>
      </c>
      <c r="L34" s="92" t="inlineStr">
        <is>
          <t>1403/12/29</t>
        </is>
      </c>
      <c r="M34" s="92" t="inlineStr">
        <is>
          <t>1404/12/29</t>
        </is>
      </c>
      <c r="N34" s="92" t="inlineStr">
        <is>
          <t>بله</t>
        </is>
      </c>
      <c r="O34" s="92" t="inlineStr">
        <is>
          <t>کامل</t>
        </is>
      </c>
      <c r="P34" s="92" t="inlineStr">
        <is>
          <t>تایید جزئی</t>
        </is>
      </c>
      <c r="Q34" s="92" t="inlineStr">
        <is>
          <t>1 از 5</t>
        </is>
      </c>
      <c r="R34" s="92" t="inlineStr">
        <is>
          <t>برابر</t>
        </is>
      </c>
      <c r="S34" s="92" t="inlineStr">
        <is>
          <t>بازتولید با تعریف تاریخی از بازسازی سطح کرسی v38؛ سند اصلی در این جلسه بازدریافت نشد</t>
        </is>
      </c>
      <c r="T34" s="92" t="inlineStr">
        <is>
          <t>Turnover نهایی G7 و H7</t>
        </is>
      </c>
    </row>
    <row r="35" ht="48" customHeight="1" s="76">
      <c r="A35" s="92" t="inlineStr">
        <is>
          <t>خودرو</t>
        </is>
      </c>
      <c r="B35" s="92" t="inlineStr">
        <is>
          <t>REF08</t>
        </is>
      </c>
      <c r="C35" s="92" t="inlineStr">
        <is>
          <t>تغییر نماینده با شخص حقوقی ثابت</t>
        </is>
      </c>
      <c r="D35" s="92" t="inlineStr">
        <is>
          <t>قدیمی؛ تعریف حفظ شده</t>
        </is>
      </c>
      <c r="E35" s="92" t="inlineStr">
        <is>
          <t>صورت: کرسی با همان شخص حقوقی که نماینده فرق دارد؛ مخرج: کرسی های با همان شخص حقوقی و نماینده معلوم در هر دو مقطع</t>
        </is>
      </c>
      <c r="F35" s="92" t="n">
        <v>1</v>
      </c>
      <c r="G35" s="92" t="n">
        <v>5</v>
      </c>
      <c r="H35" s="92" t="n">
        <v>1</v>
      </c>
      <c r="I35" s="92" t="n">
        <v>5</v>
      </c>
      <c r="J35" s="92">
        <f>IF(AND(ISNUMBER(H35),ISNUMBER(I35),I35&gt;0),H35/I35,"")</f>
        <v>0.2</v>
      </c>
      <c r="K35" s="92" t="inlineStr">
        <is>
          <t>پنجره مشترک</t>
        </is>
      </c>
      <c r="L35" s="92" t="inlineStr">
        <is>
          <t>1403/12/29</t>
        </is>
      </c>
      <c r="M35" s="92" t="inlineStr">
        <is>
          <t>1404/12/29</t>
        </is>
      </c>
      <c r="N35" s="92" t="inlineStr">
        <is>
          <t>بله</t>
        </is>
      </c>
      <c r="O35" s="92" t="inlineStr">
        <is>
          <t>کامل</t>
        </is>
      </c>
      <c r="P35" s="92" t="inlineStr">
        <is>
          <t>تایید جزئی</t>
        </is>
      </c>
      <c r="Q35" s="92" t="inlineStr">
        <is>
          <t>1 از 5</t>
        </is>
      </c>
      <c r="R35" s="92" t="inlineStr">
        <is>
          <t>برابر</t>
        </is>
      </c>
      <c r="S35" s="92" t="inlineStr">
        <is>
          <t>بازتولید با تعریف تاریخی از بازسازی سطح کرسی v38؛ سند اصلی در این جلسه بازدریافت نشد</t>
        </is>
      </c>
      <c r="T35" s="92" t="inlineStr">
        <is>
          <t>Turnover نهایی J7 و K7</t>
        </is>
      </c>
    </row>
    <row r="36" ht="48" customHeight="1" s="76">
      <c r="A36" s="92" t="inlineStr">
        <is>
          <t>خودرو</t>
        </is>
      </c>
      <c r="B36" s="92" t="inlineStr">
        <is>
          <t>ROB_LEGAL</t>
        </is>
      </c>
      <c r="C36" s="92" t="inlineStr">
        <is>
          <t>تغییر شخص حقوقی دارنده کرسی</t>
        </is>
      </c>
      <c r="D36" s="92" t="inlineStr">
        <is>
          <t>قدیمی؛ تعریف حفظ شده</t>
        </is>
      </c>
      <c r="E36" s="92" t="inlineStr">
        <is>
          <t>صورت: کرسی هایی که شخص حقوقی دارنده فرق دارد؛ مخرج: کرسی های موجود در هر دو مقطع</t>
        </is>
      </c>
      <c r="F36" s="92" t="n">
        <v>0</v>
      </c>
      <c r="G36" s="92" t="n">
        <v>5</v>
      </c>
      <c r="H36" s="92" t="n">
        <v>0</v>
      </c>
      <c r="I36" s="92" t="n">
        <v>5</v>
      </c>
      <c r="J36" s="92">
        <f>IF(AND(ISNUMBER(H36),ISNUMBER(I36),I36&gt;0),H36/I36,"")</f>
        <v>0.0</v>
      </c>
      <c r="K36" s="92" t="inlineStr">
        <is>
          <t>پنجره مشترک</t>
        </is>
      </c>
      <c r="L36" s="92" t="inlineStr">
        <is>
          <t>1403/12/29</t>
        </is>
      </c>
      <c r="M36" s="92" t="inlineStr">
        <is>
          <t>1404/12/29</t>
        </is>
      </c>
      <c r="N36" s="92" t="inlineStr">
        <is>
          <t>بله</t>
        </is>
      </c>
      <c r="O36" s="92" t="inlineStr">
        <is>
          <t>کامل</t>
        </is>
      </c>
      <c r="P36" s="92" t="inlineStr">
        <is>
          <t>تایید جزئی</t>
        </is>
      </c>
      <c r="Q36" s="92" t="inlineStr">
        <is>
          <t>0 از 5</t>
        </is>
      </c>
      <c r="R36" s="92" t="inlineStr">
        <is>
          <t>برابر</t>
        </is>
      </c>
      <c r="S36" s="92" t="inlineStr">
        <is>
          <t>بازتولید با تعریف تاریخی از بازسازی سطح کرسی v38؛ سند اصلی در این جلسه بازدریافت نشد</t>
        </is>
      </c>
      <c r="T36" s="92" t="inlineStr">
        <is>
          <t>Turnover نهایی M7 و N7</t>
        </is>
      </c>
    </row>
    <row r="37" ht="48" customHeight="1" s="76">
      <c r="A37" s="92" t="inlineStr">
        <is>
          <t>خودرو</t>
        </is>
      </c>
      <c r="B37" s="92" t="inlineStr">
        <is>
          <t>ROB_NEW</t>
        </is>
      </c>
      <c r="C37" s="92" t="inlineStr">
        <is>
          <t>سهم اعضای جدید</t>
        </is>
      </c>
      <c r="D37" s="92" t="inlineStr">
        <is>
          <t>قدیمی؛ تعریف حفظ شده</t>
        </is>
      </c>
      <c r="E37" s="92" t="inlineStr">
        <is>
          <t>صورت: افراد پایان که در مبنا نبودند؛ مخرج: افراد پایان</t>
        </is>
      </c>
      <c r="F37" s="92" t="n">
        <v>1</v>
      </c>
      <c r="G37" s="92" t="n">
        <v>5</v>
      </c>
      <c r="H37" s="92" t="n">
        <v>1</v>
      </c>
      <c r="I37" s="92" t="n">
        <v>5</v>
      </c>
      <c r="J37" s="92">
        <f>IF(AND(ISNUMBER(H37),ISNUMBER(I37),I37&gt;0),H37/I37,"")</f>
        <v>0.2</v>
      </c>
      <c r="K37" s="92" t="inlineStr">
        <is>
          <t>پنجره مشترک</t>
        </is>
      </c>
      <c r="L37" s="92" t="inlineStr">
        <is>
          <t>1403/12/29</t>
        </is>
      </c>
      <c r="M37" s="92" t="inlineStr">
        <is>
          <t>1404/12/29</t>
        </is>
      </c>
      <c r="N37" s="92" t="inlineStr">
        <is>
          <t>بله</t>
        </is>
      </c>
      <c r="O37" s="92" t="inlineStr">
        <is>
          <t>کامل</t>
        </is>
      </c>
      <c r="P37" s="92" t="inlineStr">
        <is>
          <t>تایید جزئی</t>
        </is>
      </c>
      <c r="Q37" s="92" t="inlineStr">
        <is>
          <t>1 از 5</t>
        </is>
      </c>
      <c r="R37" s="92" t="inlineStr">
        <is>
          <t>برابر</t>
        </is>
      </c>
      <c r="S37" s="92" t="inlineStr">
        <is>
          <t>بازتولید با تعریف تاریخی از بازسازی سطح کرسی v38؛ سند اصلی در این جلسه بازدریافت نشد</t>
        </is>
      </c>
      <c r="T37" s="92" t="inlineStr">
        <is>
          <t>Turnover نهایی P7 و Q7</t>
        </is>
      </c>
    </row>
    <row r="38" ht="48" customHeight="1" s="76">
      <c r="A38" s="92" t="inlineStr">
        <is>
          <t>خودرو</t>
        </is>
      </c>
      <c r="B38" s="92" t="inlineStr">
        <is>
          <t>ROB_STABILITY</t>
        </is>
      </c>
      <c r="C38" s="92" t="inlineStr">
        <is>
          <t>ثبات کرسی با همان شخص</t>
        </is>
      </c>
      <c r="D38" s="92" t="inlineStr">
        <is>
          <t>قدیمی؛ تعریف حفظ شده</t>
        </is>
      </c>
      <c r="E38" s="92" t="inlineStr">
        <is>
          <t>صورت: کرسی های قابل مقایسه با همان شخص؛ مخرج: کرسی های قابل مقایسه</t>
        </is>
      </c>
      <c r="F38" s="92" t="n">
        <v>4</v>
      </c>
      <c r="G38" s="92" t="n">
        <v>5</v>
      </c>
      <c r="H38" s="92" t="n">
        <v>4</v>
      </c>
      <c r="I38" s="92" t="n">
        <v>5</v>
      </c>
      <c r="J38" s="92">
        <f>IF(AND(ISNUMBER(H38),ISNUMBER(I38),I38&gt;0),H38/I38,"")</f>
        <v>0.8</v>
      </c>
      <c r="K38" s="92" t="inlineStr">
        <is>
          <t>پنجره مشترک</t>
        </is>
      </c>
      <c r="L38" s="92" t="inlineStr">
        <is>
          <t>1403/12/29</t>
        </is>
      </c>
      <c r="M38" s="92" t="inlineStr">
        <is>
          <t>1404/12/29</t>
        </is>
      </c>
      <c r="N38" s="92" t="inlineStr">
        <is>
          <t>بله</t>
        </is>
      </c>
      <c r="O38" s="92" t="inlineStr">
        <is>
          <t>کامل</t>
        </is>
      </c>
      <c r="P38" s="92" t="inlineStr">
        <is>
          <t>تایید جزئی</t>
        </is>
      </c>
      <c r="Q38" s="92" t="inlineStr">
        <is>
          <t>4 از 5</t>
        </is>
      </c>
      <c r="R38" s="92" t="inlineStr">
        <is>
          <t>برابر</t>
        </is>
      </c>
      <c r="S38" s="92" t="inlineStr">
        <is>
          <t>بازتولید با تعریف تاریخی از بازسازی سطح کرسی v38؛ سند اصلی در این جلسه بازدریافت نشد</t>
        </is>
      </c>
      <c r="T38" s="92" t="inlineStr">
        <is>
          <t>Turnover نهایی S7 و T7</t>
        </is>
      </c>
    </row>
    <row r="39" ht="48" customHeight="1" s="76">
      <c r="A39" s="92" t="inlineStr">
        <is>
          <t>خودرو</t>
        </is>
      </c>
      <c r="B39" s="92" t="inlineStr">
        <is>
          <t>CR1A</t>
        </is>
      </c>
      <c r="C39" s="92" t="inlineStr">
        <is>
          <t>تغییر رئیس هیئت مدیره بین دو مقطع</t>
        </is>
      </c>
      <c r="D39" s="92" t="inlineStr">
        <is>
          <t>قدیمی؛ تعریف حفظ شده</t>
        </is>
      </c>
      <c r="E39" s="92" t="inlineStr">
        <is>
          <t>صورت: 1 اگر هویت رئیس در دو مقطع فرق دارد؛ مخرج: 1. جدا از تعداد رویدادهای میانی</t>
        </is>
      </c>
      <c r="F39" s="92" t="n">
        <v>0</v>
      </c>
      <c r="G39" s="92" t="n">
        <v>1</v>
      </c>
      <c r="H39" s="92" t="n">
        <v>0</v>
      </c>
      <c r="I39" s="92" t="n">
        <v>1</v>
      </c>
      <c r="J39" s="92">
        <f>IF(AND(ISNUMBER(H39),ISNUMBER(I39),I39&gt;0),H39/I39,"")</f>
        <v>0.0</v>
      </c>
      <c r="K39" s="92" t="inlineStr">
        <is>
          <t>پنجره مشترک</t>
        </is>
      </c>
      <c r="L39" s="92" t="inlineStr">
        <is>
          <t>1403/12/29</t>
        </is>
      </c>
      <c r="M39" s="92" t="inlineStr">
        <is>
          <t>1404/12/29</t>
        </is>
      </c>
      <c r="N39" s="92" t="inlineStr">
        <is>
          <t>بله</t>
        </is>
      </c>
      <c r="O39" s="92" t="inlineStr">
        <is>
          <t>کامل</t>
        </is>
      </c>
      <c r="P39" s="92" t="inlineStr">
        <is>
          <t>تایید جزئی</t>
        </is>
      </c>
      <c r="Q39" s="92" t="inlineStr">
        <is>
          <t>رئیس مبنا یوسف الهی شکیب؛ رئیس پایان یوسف الهی شکیب</t>
        </is>
      </c>
      <c r="R39" s="92" t="inlineStr">
        <is>
          <t>برابر</t>
        </is>
      </c>
      <c r="S39" s="92" t="inlineStr">
        <is>
          <t>مقایسه هویت رئیس در دو مقطع از بازسازی سطح کرسی v38؛ تعداد رویدادهای میانی جدا در Turnover Events v42</t>
        </is>
      </c>
      <c r="T39" s="92" t="inlineStr">
        <is>
          <t>Turnover نهایی V7؛ CR1A v39 ردیف 7</t>
        </is>
      </c>
    </row>
    <row r="40" ht="44" customHeight="1" s="76">
      <c r="A40" s="92" t="inlineStr">
        <is>
          <t>خودرو</t>
        </is>
      </c>
      <c r="B40" s="92" t="inlineStr">
        <is>
          <t>UPX1</t>
        </is>
      </c>
      <c r="C40" s="92" t="inlineStr">
        <is>
          <t>نرخ خروج افراد یکتا</t>
        </is>
      </c>
      <c r="D40" s="92" t="inlineStr">
        <is>
          <t>جدید؛ کد غیرمتداخل</t>
        </is>
      </c>
      <c r="E40" s="92" t="inlineStr">
        <is>
          <t>صورت: افراد حاضر در مبنا و غایب در پایان؛ مخرج: اعضای فعال مبنا</t>
        </is>
      </c>
      <c r="F40" s="92" t="inlineStr"/>
      <c r="G40" s="92" t="inlineStr"/>
      <c r="H40" s="92" t="n">
        <v>1</v>
      </c>
      <c r="I40" s="92" t="n">
        <v>5</v>
      </c>
      <c r="J40" s="92">
        <f>IF(AND(ISNUMBER(H40),ISNUMBER(I40),I40&gt;0),H40/I40,"")</f>
        <v>0.2</v>
      </c>
      <c r="K40" s="92" t="inlineStr">
        <is>
          <t>پنجره مشترک</t>
        </is>
      </c>
      <c r="L40" s="92" t="inlineStr">
        <is>
          <t>1403/12/29</t>
        </is>
      </c>
      <c r="M40" s="92" t="inlineStr">
        <is>
          <t>1404/12/29</t>
        </is>
      </c>
      <c r="N40" s="92" t="inlineStr">
        <is>
          <t>بله</t>
        </is>
      </c>
      <c r="O40" s="92" t="inlineStr">
        <is>
          <t>کامل</t>
        </is>
      </c>
      <c r="P40" s="92" t="inlineStr">
        <is>
          <t>تایید جزئی</t>
        </is>
      </c>
      <c r="Q40" s="92" t="inlineStr">
        <is>
          <t>1 از 5</t>
        </is>
      </c>
      <c r="R40" s="92" t="inlineStr"/>
      <c r="S40" s="92" t="inlineStr">
        <is>
          <t>هر دو فهرست اسمی کامل؛ هویت ها با نام یکسان سازی شده در همان شرکت مطابقت داده شد</t>
        </is>
      </c>
      <c r="T40" s="92" t="inlineStr">
        <is>
          <t>Snapshot Members v42؛ Person Flows v42</t>
        </is>
      </c>
    </row>
    <row r="41" ht="44" customHeight="1" s="76">
      <c r="A41" s="92" t="inlineStr">
        <is>
          <t>خودرو</t>
        </is>
      </c>
      <c r="B41" s="92" t="inlineStr">
        <is>
          <t>UPN1</t>
        </is>
      </c>
      <c r="C41" s="92" t="inlineStr">
        <is>
          <t>سهم افراد واردشده</t>
        </is>
      </c>
      <c r="D41" s="92" t="inlineStr">
        <is>
          <t>جدید؛ کد غیرمتداخل</t>
        </is>
      </c>
      <c r="E41" s="92" t="inlineStr">
        <is>
          <t>صورت: افراد حاضر در پایان و غایب در مبنا؛ مخرج: اعضای فعال پایان</t>
        </is>
      </c>
      <c r="F41" s="92" t="inlineStr"/>
      <c r="G41" s="92" t="inlineStr"/>
      <c r="H41" s="92" t="n">
        <v>1</v>
      </c>
      <c r="I41" s="92" t="n">
        <v>5</v>
      </c>
      <c r="J41" s="92">
        <f>IF(AND(ISNUMBER(H41),ISNUMBER(I41),I41&gt;0),H41/I41,"")</f>
        <v>0.2</v>
      </c>
      <c r="K41" s="92" t="inlineStr">
        <is>
          <t>پنجره مشترک</t>
        </is>
      </c>
      <c r="L41" s="92" t="inlineStr">
        <is>
          <t>1403/12/29</t>
        </is>
      </c>
      <c r="M41" s="92" t="inlineStr">
        <is>
          <t>1404/12/29</t>
        </is>
      </c>
      <c r="N41" s="92" t="inlineStr">
        <is>
          <t>بله</t>
        </is>
      </c>
      <c r="O41" s="92" t="inlineStr">
        <is>
          <t>کامل</t>
        </is>
      </c>
      <c r="P41" s="92" t="inlineStr">
        <is>
          <t>تایید جزئی</t>
        </is>
      </c>
      <c r="Q41" s="92" t="inlineStr">
        <is>
          <t>1 از 5</t>
        </is>
      </c>
      <c r="R41" s="92" t="inlineStr"/>
      <c r="S41" s="92" t="inlineStr">
        <is>
          <t>هر دو فهرست اسمی کامل؛ هویت ها با نام یکسان سازی شده در همان شرکت مطابقت داده شد</t>
        </is>
      </c>
      <c r="T41" s="92" t="inlineStr">
        <is>
          <t>Snapshot Members v42؛ Person Flows v42</t>
        </is>
      </c>
    </row>
    <row r="42" ht="44" customHeight="1" s="76">
      <c r="A42" s="92" t="inlineStr">
        <is>
          <t>خودرو</t>
        </is>
      </c>
      <c r="B42" s="92" t="inlineStr">
        <is>
          <t>UPR1</t>
        </is>
      </c>
      <c r="C42" s="92" t="inlineStr">
        <is>
          <t>نرخ ماندگاری افراد یکتا</t>
        </is>
      </c>
      <c r="D42" s="92" t="inlineStr">
        <is>
          <t>جدید؛ کد غیرمتداخل</t>
        </is>
      </c>
      <c r="E42" s="92" t="inlineStr">
        <is>
          <t>صورت: افراد حاضر در هر دو مقطع؛ مخرج: اعضای فعال مبنا</t>
        </is>
      </c>
      <c r="F42" s="92" t="inlineStr"/>
      <c r="G42" s="92" t="inlineStr"/>
      <c r="H42" s="92" t="n">
        <v>4</v>
      </c>
      <c r="I42" s="92" t="n">
        <v>5</v>
      </c>
      <c r="J42" s="92">
        <f>IF(AND(ISNUMBER(H42),ISNUMBER(I42),I42&gt;0),H42/I42,"")</f>
        <v>0.8</v>
      </c>
      <c r="K42" s="92" t="inlineStr">
        <is>
          <t>پنجره مشترک</t>
        </is>
      </c>
      <c r="L42" s="92" t="inlineStr">
        <is>
          <t>1403/12/29</t>
        </is>
      </c>
      <c r="M42" s="92" t="inlineStr">
        <is>
          <t>1404/12/29</t>
        </is>
      </c>
      <c r="N42" s="92" t="inlineStr">
        <is>
          <t>بله</t>
        </is>
      </c>
      <c r="O42" s="92" t="inlineStr">
        <is>
          <t>کامل</t>
        </is>
      </c>
      <c r="P42" s="92" t="inlineStr">
        <is>
          <t>تایید جزئی</t>
        </is>
      </c>
      <c r="Q42" s="92" t="inlineStr">
        <is>
          <t>4 از 5</t>
        </is>
      </c>
      <c r="R42" s="92" t="inlineStr"/>
      <c r="S42" s="92" t="inlineStr">
        <is>
          <t>هر دو فهرست اسمی کامل؛ هویت ها با نام یکسان سازی شده در همان شرکت مطابقت داده شد</t>
        </is>
      </c>
      <c r="T42" s="92" t="inlineStr">
        <is>
          <t>Snapshot Members v42؛ Person Flows v42</t>
        </is>
      </c>
    </row>
    <row r="43" ht="44" customHeight="1" s="76">
      <c r="A43" s="92" t="inlineStr">
        <is>
          <t>خودرو</t>
        </is>
      </c>
      <c r="B43" s="92" t="inlineStr">
        <is>
          <t>UPF1</t>
        </is>
      </c>
      <c r="C43" s="92" t="inlineStr">
        <is>
          <t>افراد یکتا در نمای مالی (FY1403 تا FY1404)</t>
        </is>
      </c>
      <c r="D43" s="92" t="inlineStr">
        <is>
          <t>جدید؛ نمای مالی</t>
        </is>
      </c>
      <c r="E43" s="92" t="inlineStr">
        <is>
          <t>همان سه نسبت UPX1 و UPN1 و UPR1 ولی بین پایان FY1403 و FY1404 هر شرکت؛ فقط با دو فهرست کامل معتبر</t>
        </is>
      </c>
      <c r="F43" s="92" t="inlineStr"/>
      <c r="G43" s="92" t="inlineStr"/>
      <c r="H43" s="92" t="inlineStr"/>
      <c r="I43" s="92" t="inlineStr"/>
      <c r="J43" s="92" t="str">
        <f>IF(AND(ISNUMBER(H43),ISNUMBER(I43),I43&gt;0),H43/I43,"")</f>
        <v/>
      </c>
      <c r="K43" s="92" t="inlineStr">
        <is>
          <t>نمای مالی</t>
        </is>
      </c>
      <c r="L43" s="92" t="inlineStr">
        <is>
          <t>1403/12/30</t>
        </is>
      </c>
      <c r="M43" s="92" t="inlineStr">
        <is>
          <t>1404/12/29</t>
        </is>
      </c>
      <c r="N43" s="92" t="inlineStr">
        <is>
          <t>بله</t>
        </is>
      </c>
      <c r="O43" s="92" t="inlineStr">
        <is>
          <t>ناکافی</t>
        </is>
      </c>
      <c r="P43" s="92" t="inlineStr">
        <is>
          <t>هنوز بررسی نشده</t>
        </is>
      </c>
      <c r="Q43" s="92" t="inlineStr"/>
      <c r="R43" s="92" t="inlineStr"/>
      <c r="S43" s="92" t="inlineStr">
        <is>
          <t>فهرست اسمی پایان FY1403 در فایل نیست؛ نتیجه نمای مالی نامشخص ماند و عدد پنجره مشترک جای آن نیامد</t>
        </is>
      </c>
      <c r="T43" s="92" t="inlineStr">
        <is>
          <t>Scope v42</t>
        </is>
      </c>
    </row>
    <row r="44" ht="48" customHeight="1" s="76">
      <c r="A44" s="92" t="inlineStr">
        <is>
          <t>زاگرس</t>
        </is>
      </c>
      <c r="B44" s="92" t="inlineStr">
        <is>
          <t>REF05</t>
        </is>
      </c>
      <c r="C44" s="92" t="inlineStr">
        <is>
          <t>گردش فردی مبتنی بر کرسی</t>
        </is>
      </c>
      <c r="D44" s="92" t="inlineStr">
        <is>
          <t>قدیمی؛ تعریف حفظ شده</t>
        </is>
      </c>
      <c r="E44" s="92" t="inlineStr">
        <is>
          <t>صورت: کرسی های قابل مقایسه که شخص نامبرده در دو مقطع فرق دارد؛ مخرج: کرسی های قابل مقایسه (مبنای نامبرده). کرسی حقیقی مستقیم در سطح فرد</t>
        </is>
      </c>
      <c r="F44" s="92" t="n">
        <v>2</v>
      </c>
      <c r="G44" s="92" t="n">
        <v>3</v>
      </c>
      <c r="H44" s="92" t="n">
        <v>2</v>
      </c>
      <c r="I44" s="92" t="n">
        <v>3</v>
      </c>
      <c r="J44" s="92">
        <f>IF(AND(ISNUMBER(H44),ISNUMBER(I44),I44&gt;0),H44/I44,"")</f>
        <v>0.6666666666666666</v>
      </c>
      <c r="K44" s="92" t="inlineStr">
        <is>
          <t>پنجره مشترک</t>
        </is>
      </c>
      <c r="L44" s="92" t="inlineStr">
        <is>
          <t>1403/12/29</t>
        </is>
      </c>
      <c r="M44" s="92" t="inlineStr">
        <is>
          <t>1404/12/29</t>
        </is>
      </c>
      <c r="N44" s="92" t="inlineStr">
        <is>
          <t>بله</t>
        </is>
      </c>
      <c r="O44" s="92" t="inlineStr">
        <is>
          <t>کامل ارثی</t>
        </is>
      </c>
      <c r="P44" s="92" t="inlineStr">
        <is>
          <t>تایید جزئی</t>
        </is>
      </c>
      <c r="Q44" s="92" t="inlineStr"/>
      <c r="R44" s="92" t="inlineStr">
        <is>
          <t>بازتولید ممکن نشد</t>
        </is>
      </c>
      <c r="S44" s="92" t="inlineStr">
        <is>
          <t>ارثی از مستر؛ فهرست اسمی دو مقطع در دسترس نیست و بازتولید اسمی ممکن نشد</t>
        </is>
      </c>
      <c r="T44" s="92" t="inlineStr">
        <is>
          <t>Turnover نهایی G8 و H8</t>
        </is>
      </c>
    </row>
    <row r="45" ht="48" customHeight="1" s="76">
      <c r="A45" s="92" t="inlineStr">
        <is>
          <t>زاگرس</t>
        </is>
      </c>
      <c r="B45" s="92" t="inlineStr">
        <is>
          <t>REF08</t>
        </is>
      </c>
      <c r="C45" s="92" t="inlineStr">
        <is>
          <t>تغییر نماینده با شخص حقوقی ثابت</t>
        </is>
      </c>
      <c r="D45" s="92" t="inlineStr">
        <is>
          <t>قدیمی؛ تعریف حفظ شده</t>
        </is>
      </c>
      <c r="E45" s="92" t="inlineStr">
        <is>
          <t>صورت: کرسی با همان شخص حقوقی که نماینده فرق دارد؛ مخرج: کرسی های با همان شخص حقوقی و نماینده معلوم در هر دو مقطع</t>
        </is>
      </c>
      <c r="F45" s="92" t="n">
        <v>2</v>
      </c>
      <c r="G45" s="92" t="n">
        <v>3</v>
      </c>
      <c r="H45" s="92" t="n">
        <v>2</v>
      </c>
      <c r="I45" s="92" t="n">
        <v>3</v>
      </c>
      <c r="J45" s="92">
        <f>IF(AND(ISNUMBER(H45),ISNUMBER(I45),I45&gt;0),H45/I45,"")</f>
        <v>0.6666666666666666</v>
      </c>
      <c r="K45" s="92" t="inlineStr">
        <is>
          <t>پنجره مشترک</t>
        </is>
      </c>
      <c r="L45" s="92" t="inlineStr">
        <is>
          <t>1403/12/29</t>
        </is>
      </c>
      <c r="M45" s="92" t="inlineStr">
        <is>
          <t>1404/12/29</t>
        </is>
      </c>
      <c r="N45" s="92" t="inlineStr">
        <is>
          <t>بله</t>
        </is>
      </c>
      <c r="O45" s="92" t="inlineStr">
        <is>
          <t>کامل ارثی</t>
        </is>
      </c>
      <c r="P45" s="92" t="inlineStr">
        <is>
          <t>تایید جزئی</t>
        </is>
      </c>
      <c r="Q45" s="92" t="inlineStr"/>
      <c r="R45" s="92" t="inlineStr">
        <is>
          <t>بازتولید ممکن نشد</t>
        </is>
      </c>
      <c r="S45" s="92" t="inlineStr">
        <is>
          <t>ارثی از مستر؛ فهرست اسمی دو مقطع در دسترس نیست و بازتولید اسمی ممکن نشد</t>
        </is>
      </c>
      <c r="T45" s="92" t="inlineStr">
        <is>
          <t>Turnover نهایی J8 و K8</t>
        </is>
      </c>
    </row>
    <row r="46" ht="48" customHeight="1" s="76">
      <c r="A46" s="92" t="inlineStr">
        <is>
          <t>زاگرس</t>
        </is>
      </c>
      <c r="B46" s="92" t="inlineStr">
        <is>
          <t>ROB_LEGAL</t>
        </is>
      </c>
      <c r="C46" s="92" t="inlineStr">
        <is>
          <t>تغییر شخص حقوقی دارنده کرسی</t>
        </is>
      </c>
      <c r="D46" s="92" t="inlineStr">
        <is>
          <t>قدیمی؛ تعریف حفظ شده</t>
        </is>
      </c>
      <c r="E46" s="92" t="inlineStr">
        <is>
          <t>صورت: کرسی هایی که شخص حقوقی دارنده فرق دارد؛ مخرج: کرسی های موجود در هر دو مقطع</t>
        </is>
      </c>
      <c r="F46" s="92" t="n">
        <v>0</v>
      </c>
      <c r="G46" s="92" t="n">
        <v>3</v>
      </c>
      <c r="H46" s="92" t="n">
        <v>0</v>
      </c>
      <c r="I46" s="92" t="n">
        <v>3</v>
      </c>
      <c r="J46" s="92">
        <f>IF(AND(ISNUMBER(H46),ISNUMBER(I46),I46&gt;0),H46/I46,"")</f>
        <v>0.0</v>
      </c>
      <c r="K46" s="92" t="inlineStr">
        <is>
          <t>پنجره مشترک</t>
        </is>
      </c>
      <c r="L46" s="92" t="inlineStr">
        <is>
          <t>1403/12/29</t>
        </is>
      </c>
      <c r="M46" s="92" t="inlineStr">
        <is>
          <t>1404/12/29</t>
        </is>
      </c>
      <c r="N46" s="92" t="inlineStr">
        <is>
          <t>بله</t>
        </is>
      </c>
      <c r="O46" s="92" t="inlineStr">
        <is>
          <t>کامل ارثی</t>
        </is>
      </c>
      <c r="P46" s="92" t="inlineStr">
        <is>
          <t>تایید جزئی</t>
        </is>
      </c>
      <c r="Q46" s="92" t="inlineStr"/>
      <c r="R46" s="92" t="inlineStr">
        <is>
          <t>بازتولید ممکن نشد</t>
        </is>
      </c>
      <c r="S46" s="92" t="inlineStr">
        <is>
          <t>ارثی از مستر؛ فهرست اسمی دو مقطع در دسترس نیست و بازتولید اسمی ممکن نشد</t>
        </is>
      </c>
      <c r="T46" s="92" t="inlineStr">
        <is>
          <t>Turnover نهایی M8 و N8</t>
        </is>
      </c>
    </row>
    <row r="47" ht="48" customHeight="1" s="76">
      <c r="A47" s="92" t="inlineStr">
        <is>
          <t>زاگرس</t>
        </is>
      </c>
      <c r="B47" s="92" t="inlineStr">
        <is>
          <t>ROB_NEW</t>
        </is>
      </c>
      <c r="C47" s="92" t="inlineStr">
        <is>
          <t>سهم اعضای جدید</t>
        </is>
      </c>
      <c r="D47" s="92" t="inlineStr">
        <is>
          <t>قدیمی؛ تعریف حفظ شده</t>
        </is>
      </c>
      <c r="E47" s="92" t="inlineStr">
        <is>
          <t>صورت: افراد پایان که در مبنا نبودند؛ مخرج: افراد پایان</t>
        </is>
      </c>
      <c r="F47" s="92" t="n">
        <v>2</v>
      </c>
      <c r="G47" s="92" t="n">
        <v>4</v>
      </c>
      <c r="H47" s="92" t="n">
        <v>2</v>
      </c>
      <c r="I47" s="92" t="n">
        <v>4</v>
      </c>
      <c r="J47" s="92">
        <f>IF(AND(ISNUMBER(H47),ISNUMBER(I47),I47&gt;0),H47/I47,"")</f>
        <v>0.5</v>
      </c>
      <c r="K47" s="92" t="inlineStr">
        <is>
          <t>پنجره مشترک</t>
        </is>
      </c>
      <c r="L47" s="92" t="inlineStr">
        <is>
          <t>1403/12/29</t>
        </is>
      </c>
      <c r="M47" s="92" t="inlineStr">
        <is>
          <t>1404/12/29</t>
        </is>
      </c>
      <c r="N47" s="92" t="inlineStr">
        <is>
          <t>بله</t>
        </is>
      </c>
      <c r="O47" s="92" t="inlineStr">
        <is>
          <t>کامل ارثی</t>
        </is>
      </c>
      <c r="P47" s="92" t="inlineStr">
        <is>
          <t>تایید جزئی</t>
        </is>
      </c>
      <c r="Q47" s="92" t="inlineStr"/>
      <c r="R47" s="92" t="inlineStr">
        <is>
          <t>بازتولید ممکن نشد</t>
        </is>
      </c>
      <c r="S47" s="92" t="inlineStr">
        <is>
          <t>ارثی از مستر؛ فهرست اسمی دو مقطع در دسترس نیست و بازتولید اسمی ممکن نشد</t>
        </is>
      </c>
      <c r="T47" s="92" t="inlineStr">
        <is>
          <t>Turnover نهایی P8 و Q8</t>
        </is>
      </c>
    </row>
    <row r="48" ht="48" customHeight="1" s="76">
      <c r="A48" s="92" t="inlineStr">
        <is>
          <t>زاگرس</t>
        </is>
      </c>
      <c r="B48" s="92" t="inlineStr">
        <is>
          <t>ROB_STABILITY</t>
        </is>
      </c>
      <c r="C48" s="92" t="inlineStr">
        <is>
          <t>ثبات کرسی با همان شخص</t>
        </is>
      </c>
      <c r="D48" s="92" t="inlineStr">
        <is>
          <t>قدیمی؛ تعریف حفظ شده</t>
        </is>
      </c>
      <c r="E48" s="92" t="inlineStr">
        <is>
          <t>صورت: کرسی های قابل مقایسه با همان شخص؛ مخرج: کرسی های قابل مقایسه</t>
        </is>
      </c>
      <c r="F48" s="92" t="n">
        <v>1</v>
      </c>
      <c r="G48" s="92" t="n">
        <v>3</v>
      </c>
      <c r="H48" s="92" t="n">
        <v>1</v>
      </c>
      <c r="I48" s="92" t="n">
        <v>3</v>
      </c>
      <c r="J48" s="92">
        <f>IF(AND(ISNUMBER(H48),ISNUMBER(I48),I48&gt;0),H48/I48,"")</f>
        <v>0.3333333333333333</v>
      </c>
      <c r="K48" s="92" t="inlineStr">
        <is>
          <t>پنجره مشترک</t>
        </is>
      </c>
      <c r="L48" s="92" t="inlineStr">
        <is>
          <t>1403/12/29</t>
        </is>
      </c>
      <c r="M48" s="92" t="inlineStr">
        <is>
          <t>1404/12/29</t>
        </is>
      </c>
      <c r="N48" s="92" t="inlineStr">
        <is>
          <t>بله</t>
        </is>
      </c>
      <c r="O48" s="92" t="inlineStr">
        <is>
          <t>کامل ارثی</t>
        </is>
      </c>
      <c r="P48" s="92" t="inlineStr">
        <is>
          <t>تایید جزئی</t>
        </is>
      </c>
      <c r="Q48" s="92" t="inlineStr"/>
      <c r="R48" s="92" t="inlineStr">
        <is>
          <t>بازتولید ممکن نشد</t>
        </is>
      </c>
      <c r="S48" s="92" t="inlineStr">
        <is>
          <t>ارثی از مستر؛ فهرست اسمی دو مقطع در دسترس نیست و بازتولید اسمی ممکن نشد</t>
        </is>
      </c>
      <c r="T48" s="92" t="inlineStr">
        <is>
          <t>Turnover نهایی S8 و T8</t>
        </is>
      </c>
    </row>
    <row r="49" ht="48" customHeight="1" s="76">
      <c r="A49" s="92" t="inlineStr">
        <is>
          <t>زاگرس</t>
        </is>
      </c>
      <c r="B49" s="92" t="inlineStr">
        <is>
          <t>CR1A</t>
        </is>
      </c>
      <c r="C49" s="92" t="inlineStr">
        <is>
          <t>تغییر رئیس هیئت مدیره بین دو مقطع</t>
        </is>
      </c>
      <c r="D49" s="92" t="inlineStr">
        <is>
          <t>قدیمی؛ تعریف حفظ شده</t>
        </is>
      </c>
      <c r="E49" s="92" t="inlineStr">
        <is>
          <t>صورت: 1 اگر هویت رئیس در دو مقطع فرق دارد؛ مخرج: 1. جدا از تعداد رویدادهای میانی</t>
        </is>
      </c>
      <c r="F49" s="92" t="n">
        <v>1</v>
      </c>
      <c r="G49" s="92" t="n">
        <v>1</v>
      </c>
      <c r="H49" s="92" t="n">
        <v>1</v>
      </c>
      <c r="I49" s="92" t="n">
        <v>1</v>
      </c>
      <c r="J49" s="92">
        <f>IF(AND(ISNUMBER(H49),ISNUMBER(I49),I49&gt;0),H49/I49,"")</f>
        <v>1.0</v>
      </c>
      <c r="K49" s="92" t="inlineStr">
        <is>
          <t>پنجره مشترک</t>
        </is>
      </c>
      <c r="L49" s="92" t="inlineStr">
        <is>
          <t>1403/12/29</t>
        </is>
      </c>
      <c r="M49" s="92" t="inlineStr">
        <is>
          <t>1404/12/29</t>
        </is>
      </c>
      <c r="N49" s="92" t="inlineStr">
        <is>
          <t>بله</t>
        </is>
      </c>
      <c r="O49" s="92" t="inlineStr">
        <is>
          <t>کامل ارثی</t>
        </is>
      </c>
      <c r="P49" s="92" t="inlineStr">
        <is>
          <t>تایید جزئی</t>
        </is>
      </c>
      <c r="Q49" s="92" t="inlineStr"/>
      <c r="R49" s="92" t="inlineStr">
        <is>
          <t>بازتولید ممکن نشد</t>
        </is>
      </c>
      <c r="S49" s="92" t="inlineStr">
        <is>
          <t>ارثی از CR1A v39 (INHERITED_WITH_LIMITATION)؛ تایید مجدد مستقل همه منابع انجام نشد</t>
        </is>
      </c>
      <c r="T49" s="92" t="inlineStr">
        <is>
          <t>Turnover نهایی V8؛ CR1A v39 ردیف 8</t>
        </is>
      </c>
    </row>
    <row r="50" ht="44" customHeight="1" s="76">
      <c r="A50" s="93" t="inlineStr">
        <is>
          <t>زاگرس</t>
        </is>
      </c>
      <c r="B50" s="93" t="inlineStr">
        <is>
          <t>UPX1</t>
        </is>
      </c>
      <c r="C50" s="93" t="inlineStr">
        <is>
          <t>نرخ خروج افراد یکتا</t>
        </is>
      </c>
      <c r="D50" s="93" t="inlineStr">
        <is>
          <t>جدید؛ کد غیرمتداخل</t>
        </is>
      </c>
      <c r="E50" s="93" t="inlineStr">
        <is>
          <t>صورت: افراد حاضر در مبنا و غایب در پایان؛ مخرج: اعضای فعال مبنا</t>
        </is>
      </c>
      <c r="F50" s="93" t="inlineStr"/>
      <c r="G50" s="93" t="inlineStr"/>
      <c r="H50" s="93" t="inlineStr"/>
      <c r="I50" s="93" t="inlineStr"/>
      <c r="J50" s="93" t="str">
        <f>IF(AND(ISNUMBER(H50),ISNUMBER(I50),I50&gt;0),H50/I50,"")</f>
        <v/>
      </c>
      <c r="K50" s="93" t="inlineStr">
        <is>
          <t>پنجره مشترک</t>
        </is>
      </c>
      <c r="L50" s="93" t="inlineStr">
        <is>
          <t>1403/12/29</t>
        </is>
      </c>
      <c r="M50" s="93" t="inlineStr">
        <is>
          <t>1404/12/29</t>
        </is>
      </c>
      <c r="N50" s="93" t="inlineStr">
        <is>
          <t>بله</t>
        </is>
      </c>
      <c r="O50" s="93" t="inlineStr">
        <is>
          <t>ناکافی</t>
        </is>
      </c>
      <c r="P50" s="93" t="inlineStr">
        <is>
          <t>منبع در دسترس نبود</t>
        </is>
      </c>
      <c r="Q50" s="93" t="inlineStr"/>
      <c r="R50" s="93" t="inlineStr"/>
      <c r="S50" s="93" t="inlineStr">
        <is>
          <t>فهرست اسمی مبنا در بسته شواهد v41 است که در این جلسه ارائه نشد؛ شمار تجمیعی مستر برای افراد یکتا کافی نیست</t>
        </is>
      </c>
      <c r="T50" s="93" t="inlineStr">
        <is>
          <t>Snapshot Members v42؛ Person Flows v42</t>
        </is>
      </c>
    </row>
    <row r="51" ht="44" customHeight="1" s="76">
      <c r="A51" s="93" t="inlineStr">
        <is>
          <t>زاگرس</t>
        </is>
      </c>
      <c r="B51" s="93" t="inlineStr">
        <is>
          <t>UPN1</t>
        </is>
      </c>
      <c r="C51" s="93" t="inlineStr">
        <is>
          <t>سهم افراد واردشده</t>
        </is>
      </c>
      <c r="D51" s="93" t="inlineStr">
        <is>
          <t>جدید؛ کد غیرمتداخل</t>
        </is>
      </c>
      <c r="E51" s="93" t="inlineStr">
        <is>
          <t>صورت: افراد حاضر در پایان و غایب در مبنا؛ مخرج: اعضای فعال پایان</t>
        </is>
      </c>
      <c r="F51" s="93" t="inlineStr"/>
      <c r="G51" s="93" t="inlineStr"/>
      <c r="H51" s="93" t="inlineStr"/>
      <c r="I51" s="93" t="inlineStr"/>
      <c r="J51" s="93" t="str">
        <f>IF(AND(ISNUMBER(H51),ISNUMBER(I51),I51&gt;0),H51/I51,"")</f>
        <v/>
      </c>
      <c r="K51" s="93" t="inlineStr">
        <is>
          <t>پنجره مشترک</t>
        </is>
      </c>
      <c r="L51" s="93" t="inlineStr">
        <is>
          <t>1403/12/29</t>
        </is>
      </c>
      <c r="M51" s="93" t="inlineStr">
        <is>
          <t>1404/12/29</t>
        </is>
      </c>
      <c r="N51" s="93" t="inlineStr">
        <is>
          <t>بله</t>
        </is>
      </c>
      <c r="O51" s="93" t="inlineStr">
        <is>
          <t>ناکافی</t>
        </is>
      </c>
      <c r="P51" s="93" t="inlineStr">
        <is>
          <t>منبع در دسترس نبود</t>
        </is>
      </c>
      <c r="Q51" s="93" t="inlineStr"/>
      <c r="R51" s="93" t="inlineStr"/>
      <c r="S51" s="93" t="inlineStr">
        <is>
          <t>فهرست اسمی مبنا در بسته شواهد v41 است که در این جلسه ارائه نشد؛ شمار تجمیعی مستر برای افراد یکتا کافی نیست</t>
        </is>
      </c>
      <c r="T51" s="93" t="inlineStr">
        <is>
          <t>Snapshot Members v42؛ Person Flows v42</t>
        </is>
      </c>
    </row>
    <row r="52" ht="44" customHeight="1" s="76">
      <c r="A52" s="93" t="inlineStr">
        <is>
          <t>زاگرس</t>
        </is>
      </c>
      <c r="B52" s="93" t="inlineStr">
        <is>
          <t>UPR1</t>
        </is>
      </c>
      <c r="C52" s="93" t="inlineStr">
        <is>
          <t>نرخ ماندگاری افراد یکتا</t>
        </is>
      </c>
      <c r="D52" s="93" t="inlineStr">
        <is>
          <t>جدید؛ کد غیرمتداخل</t>
        </is>
      </c>
      <c r="E52" s="93" t="inlineStr">
        <is>
          <t>صورت: افراد حاضر در هر دو مقطع؛ مخرج: اعضای فعال مبنا</t>
        </is>
      </c>
      <c r="F52" s="93" t="inlineStr"/>
      <c r="G52" s="93" t="inlineStr"/>
      <c r="H52" s="93" t="inlineStr"/>
      <c r="I52" s="93" t="inlineStr"/>
      <c r="J52" s="93" t="str">
        <f>IF(AND(ISNUMBER(H52),ISNUMBER(I52),I52&gt;0),H52/I52,"")</f>
        <v/>
      </c>
      <c r="K52" s="93" t="inlineStr">
        <is>
          <t>پنجره مشترک</t>
        </is>
      </c>
      <c r="L52" s="93" t="inlineStr">
        <is>
          <t>1403/12/29</t>
        </is>
      </c>
      <c r="M52" s="93" t="inlineStr">
        <is>
          <t>1404/12/29</t>
        </is>
      </c>
      <c r="N52" s="93" t="inlineStr">
        <is>
          <t>بله</t>
        </is>
      </c>
      <c r="O52" s="93" t="inlineStr">
        <is>
          <t>ناکافی</t>
        </is>
      </c>
      <c r="P52" s="93" t="inlineStr">
        <is>
          <t>منبع در دسترس نبود</t>
        </is>
      </c>
      <c r="Q52" s="93" t="inlineStr"/>
      <c r="R52" s="93" t="inlineStr"/>
      <c r="S52" s="93" t="inlineStr">
        <is>
          <t>فهرست اسمی مبنا در بسته شواهد v41 است که در این جلسه ارائه نشد؛ شمار تجمیعی مستر برای افراد یکتا کافی نیست</t>
        </is>
      </c>
      <c r="T52" s="93" t="inlineStr">
        <is>
          <t>Snapshot Members v42؛ Person Flows v42</t>
        </is>
      </c>
    </row>
    <row r="53" ht="44" customHeight="1" s="76">
      <c r="A53" s="92" t="inlineStr">
        <is>
          <t>زاگرس</t>
        </is>
      </c>
      <c r="B53" s="92" t="inlineStr">
        <is>
          <t>UPF1</t>
        </is>
      </c>
      <c r="C53" s="92" t="inlineStr">
        <is>
          <t>افراد یکتا در نمای مالی (FY1403 تا FY1404)</t>
        </is>
      </c>
      <c r="D53" s="92" t="inlineStr">
        <is>
          <t>جدید؛ نمای مالی</t>
        </is>
      </c>
      <c r="E53" s="92" t="inlineStr">
        <is>
          <t>همان سه نسبت UPX1 و UPN1 و UPR1 ولی بین پایان FY1403 و FY1404 هر شرکت؛ فقط با دو فهرست کامل معتبر</t>
        </is>
      </c>
      <c r="F53" s="92" t="inlineStr"/>
      <c r="G53" s="92" t="inlineStr"/>
      <c r="H53" s="92" t="inlineStr"/>
      <c r="I53" s="92" t="inlineStr"/>
      <c r="J53" s="92" t="str">
        <f>IF(AND(ISNUMBER(H53),ISNUMBER(I53),I53&gt;0),H53/I53,"")</f>
        <v/>
      </c>
      <c r="K53" s="92" t="inlineStr">
        <is>
          <t>نمای مالی</t>
        </is>
      </c>
      <c r="L53" s="92" t="inlineStr">
        <is>
          <t>1403/12/30</t>
        </is>
      </c>
      <c r="M53" s="92" t="inlineStr">
        <is>
          <t>1404/12/29</t>
        </is>
      </c>
      <c r="N53" s="92" t="inlineStr">
        <is>
          <t>بله</t>
        </is>
      </c>
      <c r="O53" s="92" t="inlineStr">
        <is>
          <t>ناکافی</t>
        </is>
      </c>
      <c r="P53" s="92" t="inlineStr">
        <is>
          <t>هنوز بررسی نشده</t>
        </is>
      </c>
      <c r="Q53" s="92" t="inlineStr"/>
      <c r="R53" s="92" t="inlineStr"/>
      <c r="S53" s="92" t="inlineStr">
        <is>
          <t>فهرست اسمی پایان FY1403 در فایل نیست؛ نتیجه نمای مالی نامشخص ماند و عدد پنجره مشترک جای آن نیامد</t>
        </is>
      </c>
      <c r="T53" s="92" t="inlineStr">
        <is>
          <t>Scope v42</t>
        </is>
      </c>
    </row>
    <row r="54" ht="48" customHeight="1" s="76">
      <c r="A54" s="92" t="inlineStr">
        <is>
          <t>شبندر</t>
        </is>
      </c>
      <c r="B54" s="92" t="inlineStr">
        <is>
          <t>REF05</t>
        </is>
      </c>
      <c r="C54" s="92" t="inlineStr">
        <is>
          <t>گردش فردی مبتنی بر کرسی</t>
        </is>
      </c>
      <c r="D54" s="92" t="inlineStr">
        <is>
          <t>قدیمی؛ تعریف حفظ شده</t>
        </is>
      </c>
      <c r="E54" s="92" t="inlineStr">
        <is>
          <t>صورت: کرسی های قابل مقایسه که شخص نامبرده در دو مقطع فرق دارد؛ مخرج: کرسی های قابل مقایسه (مبنای نامبرده). کرسی حقیقی مستقیم در سطح فرد</t>
        </is>
      </c>
      <c r="F54" s="92" t="n">
        <v>2</v>
      </c>
      <c r="G54" s="92" t="n">
        <v>5</v>
      </c>
      <c r="H54" s="92" t="n">
        <v>2</v>
      </c>
      <c r="I54" s="92" t="n">
        <v>5</v>
      </c>
      <c r="J54" s="92">
        <f>IF(AND(ISNUMBER(H54),ISNUMBER(I54),I54&gt;0),H54/I54,"")</f>
        <v>0.4</v>
      </c>
      <c r="K54" s="92" t="inlineStr">
        <is>
          <t>پنجره مشترک</t>
        </is>
      </c>
      <c r="L54" s="92" t="inlineStr">
        <is>
          <t>1403/12/29</t>
        </is>
      </c>
      <c r="M54" s="92" t="inlineStr">
        <is>
          <t>1404/12/29</t>
        </is>
      </c>
      <c r="N54" s="92" t="inlineStr">
        <is>
          <t>بله</t>
        </is>
      </c>
      <c r="O54" s="92" t="inlineStr">
        <is>
          <t>کامل ارثی</t>
        </is>
      </c>
      <c r="P54" s="92" t="inlineStr">
        <is>
          <t>تایید جزئی</t>
        </is>
      </c>
      <c r="Q54" s="92" t="inlineStr"/>
      <c r="R54" s="92" t="inlineStr">
        <is>
          <t>بازتولید ممکن نشد</t>
        </is>
      </c>
      <c r="S54" s="92" t="inlineStr">
        <is>
          <t>ارثی از مستر؛ فهرست اسمی دو مقطع در دسترس نیست و بازتولید اسمی ممکن نشد</t>
        </is>
      </c>
      <c r="T54" s="92" t="inlineStr">
        <is>
          <t>Turnover نهایی G9 و H9</t>
        </is>
      </c>
    </row>
    <row r="55" ht="48" customHeight="1" s="76">
      <c r="A55" s="92" t="inlineStr">
        <is>
          <t>شبندر</t>
        </is>
      </c>
      <c r="B55" s="92" t="inlineStr">
        <is>
          <t>REF08</t>
        </is>
      </c>
      <c r="C55" s="92" t="inlineStr">
        <is>
          <t>تغییر نماینده با شخص حقوقی ثابت</t>
        </is>
      </c>
      <c r="D55" s="92" t="inlineStr">
        <is>
          <t>قدیمی؛ تعریف حفظ شده</t>
        </is>
      </c>
      <c r="E55" s="92" t="inlineStr">
        <is>
          <t>صورت: کرسی با همان شخص حقوقی که نماینده فرق دارد؛ مخرج: کرسی های با همان شخص حقوقی و نماینده معلوم در هر دو مقطع</t>
        </is>
      </c>
      <c r="F55" s="92" t="n">
        <v>0</v>
      </c>
      <c r="G55" s="92" t="n">
        <v>3</v>
      </c>
      <c r="H55" s="92" t="n">
        <v>0</v>
      </c>
      <c r="I55" s="92" t="n">
        <v>3</v>
      </c>
      <c r="J55" s="92">
        <f>IF(AND(ISNUMBER(H55),ISNUMBER(I55),I55&gt;0),H55/I55,"")</f>
        <v>0.0</v>
      </c>
      <c r="K55" s="92" t="inlineStr">
        <is>
          <t>پنجره مشترک</t>
        </is>
      </c>
      <c r="L55" s="92" t="inlineStr">
        <is>
          <t>1403/12/29</t>
        </is>
      </c>
      <c r="M55" s="92" t="inlineStr">
        <is>
          <t>1404/12/29</t>
        </is>
      </c>
      <c r="N55" s="92" t="inlineStr">
        <is>
          <t>بله</t>
        </is>
      </c>
      <c r="O55" s="92" t="inlineStr">
        <is>
          <t>کامل ارثی</t>
        </is>
      </c>
      <c r="P55" s="92" t="inlineStr">
        <is>
          <t>تایید جزئی</t>
        </is>
      </c>
      <c r="Q55" s="92" t="inlineStr"/>
      <c r="R55" s="92" t="inlineStr">
        <is>
          <t>بازتولید ممکن نشد</t>
        </is>
      </c>
      <c r="S55" s="92" t="inlineStr">
        <is>
          <t>ارثی از مستر؛ فهرست اسمی دو مقطع در دسترس نیست و بازتولید اسمی ممکن نشد</t>
        </is>
      </c>
      <c r="T55" s="92" t="inlineStr">
        <is>
          <t>Turnover نهایی J9 و K9</t>
        </is>
      </c>
    </row>
    <row r="56" ht="48" customHeight="1" s="76">
      <c r="A56" s="92" t="inlineStr">
        <is>
          <t>شبندر</t>
        </is>
      </c>
      <c r="B56" s="92" t="inlineStr">
        <is>
          <t>ROB_LEGAL</t>
        </is>
      </c>
      <c r="C56" s="92" t="inlineStr">
        <is>
          <t>تغییر شخص حقوقی دارنده کرسی</t>
        </is>
      </c>
      <c r="D56" s="92" t="inlineStr">
        <is>
          <t>قدیمی؛ تعریف حفظ شده</t>
        </is>
      </c>
      <c r="E56" s="92" t="inlineStr">
        <is>
          <t>صورت: کرسی هایی که شخص حقوقی دارنده فرق دارد؛ مخرج: کرسی های موجود در هر دو مقطع</t>
        </is>
      </c>
      <c r="F56" s="92" t="n">
        <v>2</v>
      </c>
      <c r="G56" s="92" t="n">
        <v>5</v>
      </c>
      <c r="H56" s="92" t="n">
        <v>2</v>
      </c>
      <c r="I56" s="92" t="n">
        <v>5</v>
      </c>
      <c r="J56" s="92">
        <f>IF(AND(ISNUMBER(H56),ISNUMBER(I56),I56&gt;0),H56/I56,"")</f>
        <v>0.4</v>
      </c>
      <c r="K56" s="92" t="inlineStr">
        <is>
          <t>پنجره مشترک</t>
        </is>
      </c>
      <c r="L56" s="92" t="inlineStr">
        <is>
          <t>1403/12/29</t>
        </is>
      </c>
      <c r="M56" s="92" t="inlineStr">
        <is>
          <t>1404/12/29</t>
        </is>
      </c>
      <c r="N56" s="92" t="inlineStr">
        <is>
          <t>بله</t>
        </is>
      </c>
      <c r="O56" s="92" t="inlineStr">
        <is>
          <t>کامل ارثی</t>
        </is>
      </c>
      <c r="P56" s="92" t="inlineStr">
        <is>
          <t>تایید جزئی</t>
        </is>
      </c>
      <c r="Q56" s="92" t="inlineStr"/>
      <c r="R56" s="92" t="inlineStr">
        <is>
          <t>بازتولید ممکن نشد</t>
        </is>
      </c>
      <c r="S56" s="92" t="inlineStr">
        <is>
          <t>ارثی از مستر؛ فهرست اسمی دو مقطع در دسترس نیست و بازتولید اسمی ممکن نشد</t>
        </is>
      </c>
      <c r="T56" s="92" t="inlineStr">
        <is>
          <t>Turnover نهایی M9 و N9</t>
        </is>
      </c>
    </row>
    <row r="57" ht="48" customHeight="1" s="76">
      <c r="A57" s="92" t="inlineStr">
        <is>
          <t>شبندر</t>
        </is>
      </c>
      <c r="B57" s="92" t="inlineStr">
        <is>
          <t>ROB_NEW</t>
        </is>
      </c>
      <c r="C57" s="92" t="inlineStr">
        <is>
          <t>سهم اعضای جدید</t>
        </is>
      </c>
      <c r="D57" s="92" t="inlineStr">
        <is>
          <t>قدیمی؛ تعریف حفظ شده</t>
        </is>
      </c>
      <c r="E57" s="92" t="inlineStr">
        <is>
          <t>صورت: افراد پایان که در مبنا نبودند؛ مخرج: افراد پایان</t>
        </is>
      </c>
      <c r="F57" s="92" t="n">
        <v>2</v>
      </c>
      <c r="G57" s="92" t="n">
        <v>5</v>
      </c>
      <c r="H57" s="92" t="n">
        <v>2</v>
      </c>
      <c r="I57" s="92" t="n">
        <v>5</v>
      </c>
      <c r="J57" s="92">
        <f>IF(AND(ISNUMBER(H57),ISNUMBER(I57),I57&gt;0),H57/I57,"")</f>
        <v>0.4</v>
      </c>
      <c r="K57" s="92" t="inlineStr">
        <is>
          <t>پنجره مشترک</t>
        </is>
      </c>
      <c r="L57" s="92" t="inlineStr">
        <is>
          <t>1403/12/29</t>
        </is>
      </c>
      <c r="M57" s="92" t="inlineStr">
        <is>
          <t>1404/12/29</t>
        </is>
      </c>
      <c r="N57" s="92" t="inlineStr">
        <is>
          <t>بله</t>
        </is>
      </c>
      <c r="O57" s="92" t="inlineStr">
        <is>
          <t>کامل ارثی</t>
        </is>
      </c>
      <c r="P57" s="92" t="inlineStr">
        <is>
          <t>تایید جزئی</t>
        </is>
      </c>
      <c r="Q57" s="92" t="inlineStr"/>
      <c r="R57" s="92" t="inlineStr">
        <is>
          <t>بازتولید ممکن نشد</t>
        </is>
      </c>
      <c r="S57" s="92" t="inlineStr">
        <is>
          <t>ارثی از مستر؛ فهرست اسمی دو مقطع در دسترس نیست و بازتولید اسمی ممکن نشد</t>
        </is>
      </c>
      <c r="T57" s="92" t="inlineStr">
        <is>
          <t>Turnover نهایی P9 و Q9</t>
        </is>
      </c>
    </row>
    <row r="58" ht="48" customHeight="1" s="76">
      <c r="A58" s="92" t="inlineStr">
        <is>
          <t>شبندر</t>
        </is>
      </c>
      <c r="B58" s="92" t="inlineStr">
        <is>
          <t>ROB_STABILITY</t>
        </is>
      </c>
      <c r="C58" s="92" t="inlineStr">
        <is>
          <t>ثبات کرسی با همان شخص</t>
        </is>
      </c>
      <c r="D58" s="92" t="inlineStr">
        <is>
          <t>قدیمی؛ تعریف حفظ شده</t>
        </is>
      </c>
      <c r="E58" s="92" t="inlineStr">
        <is>
          <t>صورت: کرسی های قابل مقایسه با همان شخص؛ مخرج: کرسی های قابل مقایسه</t>
        </is>
      </c>
      <c r="F58" s="92" t="n">
        <v>3</v>
      </c>
      <c r="G58" s="92" t="n">
        <v>5</v>
      </c>
      <c r="H58" s="92" t="n">
        <v>3</v>
      </c>
      <c r="I58" s="92" t="n">
        <v>5</v>
      </c>
      <c r="J58" s="92">
        <f>IF(AND(ISNUMBER(H58),ISNUMBER(I58),I58&gt;0),H58/I58,"")</f>
        <v>0.6</v>
      </c>
      <c r="K58" s="92" t="inlineStr">
        <is>
          <t>پنجره مشترک</t>
        </is>
      </c>
      <c r="L58" s="92" t="inlineStr">
        <is>
          <t>1403/12/29</t>
        </is>
      </c>
      <c r="M58" s="92" t="inlineStr">
        <is>
          <t>1404/12/29</t>
        </is>
      </c>
      <c r="N58" s="92" t="inlineStr">
        <is>
          <t>بله</t>
        </is>
      </c>
      <c r="O58" s="92" t="inlineStr">
        <is>
          <t>کامل ارثی</t>
        </is>
      </c>
      <c r="P58" s="92" t="inlineStr">
        <is>
          <t>تایید جزئی</t>
        </is>
      </c>
      <c r="Q58" s="92" t="inlineStr"/>
      <c r="R58" s="92" t="inlineStr">
        <is>
          <t>بازتولید ممکن نشد</t>
        </is>
      </c>
      <c r="S58" s="92" t="inlineStr">
        <is>
          <t>ارثی از مستر؛ فهرست اسمی دو مقطع در دسترس نیست و بازتولید اسمی ممکن نشد</t>
        </is>
      </c>
      <c r="T58" s="92" t="inlineStr">
        <is>
          <t>Turnover نهایی S9 و T9</t>
        </is>
      </c>
    </row>
    <row r="59" ht="48" customHeight="1" s="76">
      <c r="A59" s="92" t="inlineStr">
        <is>
          <t>شبندر</t>
        </is>
      </c>
      <c r="B59" s="92" t="inlineStr">
        <is>
          <t>CR1A</t>
        </is>
      </c>
      <c r="C59" s="92" t="inlineStr">
        <is>
          <t>تغییر رئیس هیئت مدیره بین دو مقطع</t>
        </is>
      </c>
      <c r="D59" s="92" t="inlineStr">
        <is>
          <t>قدیمی؛ تعریف حفظ شده</t>
        </is>
      </c>
      <c r="E59" s="92" t="inlineStr">
        <is>
          <t>صورت: 1 اگر هویت رئیس در دو مقطع فرق دارد؛ مخرج: 1. جدا از تعداد رویدادهای میانی</t>
        </is>
      </c>
      <c r="F59" s="92" t="n">
        <v>1</v>
      </c>
      <c r="G59" s="92" t="n">
        <v>1</v>
      </c>
      <c r="H59" s="92" t="n">
        <v>1</v>
      </c>
      <c r="I59" s="92" t="n">
        <v>1</v>
      </c>
      <c r="J59" s="92">
        <f>IF(AND(ISNUMBER(H59),ISNUMBER(I59),I59&gt;0),H59/I59,"")</f>
        <v>1.0</v>
      </c>
      <c r="K59" s="92" t="inlineStr">
        <is>
          <t>پنجره مشترک</t>
        </is>
      </c>
      <c r="L59" s="92" t="inlineStr">
        <is>
          <t>1403/12/29</t>
        </is>
      </c>
      <c r="M59" s="92" t="inlineStr">
        <is>
          <t>1404/12/29</t>
        </is>
      </c>
      <c r="N59" s="92" t="inlineStr">
        <is>
          <t>بله</t>
        </is>
      </c>
      <c r="O59" s="92" t="inlineStr">
        <is>
          <t>کامل ارثی</t>
        </is>
      </c>
      <c r="P59" s="92" t="inlineStr">
        <is>
          <t>تایید جزئی</t>
        </is>
      </c>
      <c r="Q59" s="92" t="inlineStr"/>
      <c r="R59" s="92" t="inlineStr">
        <is>
          <t>بازتولید ممکن نشد</t>
        </is>
      </c>
      <c r="S59" s="92" t="inlineStr">
        <is>
          <t>ارثی از CR1A v39 (INHERITED_WITH_LIMITATION)؛ تایید مجدد مستقل همه منابع انجام نشد</t>
        </is>
      </c>
      <c r="T59" s="92" t="inlineStr">
        <is>
          <t>Turnover نهایی V9؛ CR1A v39 ردیف 9</t>
        </is>
      </c>
    </row>
    <row r="60" ht="44" customHeight="1" s="76">
      <c r="A60" s="93" t="inlineStr">
        <is>
          <t>شبندر</t>
        </is>
      </c>
      <c r="B60" s="93" t="inlineStr">
        <is>
          <t>UPX1</t>
        </is>
      </c>
      <c r="C60" s="93" t="inlineStr">
        <is>
          <t>نرخ خروج افراد یکتا</t>
        </is>
      </c>
      <c r="D60" s="93" t="inlineStr">
        <is>
          <t>جدید؛ کد غیرمتداخل</t>
        </is>
      </c>
      <c r="E60" s="93" t="inlineStr">
        <is>
          <t>صورت: افراد حاضر در مبنا و غایب در پایان؛ مخرج: اعضای فعال مبنا</t>
        </is>
      </c>
      <c r="F60" s="93" t="inlineStr"/>
      <c r="G60" s="93" t="inlineStr"/>
      <c r="H60" s="93" t="inlineStr"/>
      <c r="I60" s="93" t="inlineStr"/>
      <c r="J60" s="93" t="str">
        <f>IF(AND(ISNUMBER(H60),ISNUMBER(I60),I60&gt;0),H60/I60,"")</f>
        <v/>
      </c>
      <c r="K60" s="93" t="inlineStr">
        <is>
          <t>پنجره مشترک</t>
        </is>
      </c>
      <c r="L60" s="93" t="inlineStr">
        <is>
          <t>1403/12/29</t>
        </is>
      </c>
      <c r="M60" s="93" t="inlineStr">
        <is>
          <t>1404/12/29</t>
        </is>
      </c>
      <c r="N60" s="93" t="inlineStr">
        <is>
          <t>بله</t>
        </is>
      </c>
      <c r="O60" s="93" t="inlineStr">
        <is>
          <t>ناکافی</t>
        </is>
      </c>
      <c r="P60" s="93" t="inlineStr">
        <is>
          <t>منبع در دسترس نبود</t>
        </is>
      </c>
      <c r="Q60" s="93" t="inlineStr"/>
      <c r="R60" s="93" t="inlineStr"/>
      <c r="S60" s="93" t="inlineStr">
        <is>
          <t>فهرست اسمی مبنا در بسته شواهد v41 است که در این جلسه ارائه نشد؛ شمار تجمیعی مستر برای افراد یکتا کافی نیست</t>
        </is>
      </c>
      <c r="T60" s="93" t="inlineStr">
        <is>
          <t>Snapshot Members v42؛ Person Flows v42</t>
        </is>
      </c>
    </row>
    <row r="61" ht="44" customHeight="1" s="76">
      <c r="A61" s="93" t="inlineStr">
        <is>
          <t>شبندر</t>
        </is>
      </c>
      <c r="B61" s="93" t="inlineStr">
        <is>
          <t>UPN1</t>
        </is>
      </c>
      <c r="C61" s="93" t="inlineStr">
        <is>
          <t>سهم افراد واردشده</t>
        </is>
      </c>
      <c r="D61" s="93" t="inlineStr">
        <is>
          <t>جدید؛ کد غیرمتداخل</t>
        </is>
      </c>
      <c r="E61" s="93" t="inlineStr">
        <is>
          <t>صورت: افراد حاضر در پایان و غایب در مبنا؛ مخرج: اعضای فعال پایان</t>
        </is>
      </c>
      <c r="F61" s="93" t="inlineStr"/>
      <c r="G61" s="93" t="inlineStr"/>
      <c r="H61" s="93" t="inlineStr"/>
      <c r="I61" s="93" t="inlineStr"/>
      <c r="J61" s="93" t="str">
        <f>IF(AND(ISNUMBER(H61),ISNUMBER(I61),I61&gt;0),H61/I61,"")</f>
        <v/>
      </c>
      <c r="K61" s="93" t="inlineStr">
        <is>
          <t>پنجره مشترک</t>
        </is>
      </c>
      <c r="L61" s="93" t="inlineStr">
        <is>
          <t>1403/12/29</t>
        </is>
      </c>
      <c r="M61" s="93" t="inlineStr">
        <is>
          <t>1404/12/29</t>
        </is>
      </c>
      <c r="N61" s="93" t="inlineStr">
        <is>
          <t>بله</t>
        </is>
      </c>
      <c r="O61" s="93" t="inlineStr">
        <is>
          <t>ناکافی</t>
        </is>
      </c>
      <c r="P61" s="93" t="inlineStr">
        <is>
          <t>منبع در دسترس نبود</t>
        </is>
      </c>
      <c r="Q61" s="93" t="inlineStr"/>
      <c r="R61" s="93" t="inlineStr"/>
      <c r="S61" s="93" t="inlineStr">
        <is>
          <t>فهرست اسمی مبنا در بسته شواهد v41 است که در این جلسه ارائه نشد؛ شمار تجمیعی مستر برای افراد یکتا کافی نیست</t>
        </is>
      </c>
      <c r="T61" s="93" t="inlineStr">
        <is>
          <t>Snapshot Members v42؛ Person Flows v42</t>
        </is>
      </c>
    </row>
    <row r="62" ht="44" customHeight="1" s="76">
      <c r="A62" s="93" t="inlineStr">
        <is>
          <t>شبندر</t>
        </is>
      </c>
      <c r="B62" s="93" t="inlineStr">
        <is>
          <t>UPR1</t>
        </is>
      </c>
      <c r="C62" s="93" t="inlineStr">
        <is>
          <t>نرخ ماندگاری افراد یکتا</t>
        </is>
      </c>
      <c r="D62" s="93" t="inlineStr">
        <is>
          <t>جدید؛ کد غیرمتداخل</t>
        </is>
      </c>
      <c r="E62" s="93" t="inlineStr">
        <is>
          <t>صورت: افراد حاضر در هر دو مقطع؛ مخرج: اعضای فعال مبنا</t>
        </is>
      </c>
      <c r="F62" s="93" t="inlineStr"/>
      <c r="G62" s="93" t="inlineStr"/>
      <c r="H62" s="93" t="inlineStr"/>
      <c r="I62" s="93" t="inlineStr"/>
      <c r="J62" s="93" t="str">
        <f>IF(AND(ISNUMBER(H62),ISNUMBER(I62),I62&gt;0),H62/I62,"")</f>
        <v/>
      </c>
      <c r="K62" s="93" t="inlineStr">
        <is>
          <t>پنجره مشترک</t>
        </is>
      </c>
      <c r="L62" s="93" t="inlineStr">
        <is>
          <t>1403/12/29</t>
        </is>
      </c>
      <c r="M62" s="93" t="inlineStr">
        <is>
          <t>1404/12/29</t>
        </is>
      </c>
      <c r="N62" s="93" t="inlineStr">
        <is>
          <t>بله</t>
        </is>
      </c>
      <c r="O62" s="93" t="inlineStr">
        <is>
          <t>ناکافی</t>
        </is>
      </c>
      <c r="P62" s="93" t="inlineStr">
        <is>
          <t>منبع در دسترس نبود</t>
        </is>
      </c>
      <c r="Q62" s="93" t="inlineStr"/>
      <c r="R62" s="93" t="inlineStr"/>
      <c r="S62" s="93" t="inlineStr">
        <is>
          <t>فهرست اسمی مبنا در بسته شواهد v41 است که در این جلسه ارائه نشد؛ شمار تجمیعی مستر برای افراد یکتا کافی نیست</t>
        </is>
      </c>
      <c r="T62" s="93" t="inlineStr">
        <is>
          <t>Snapshot Members v42؛ Person Flows v42</t>
        </is>
      </c>
    </row>
    <row r="63" ht="44" customHeight="1" s="76">
      <c r="A63" s="92" t="inlineStr">
        <is>
          <t>شبندر</t>
        </is>
      </c>
      <c r="B63" s="92" t="inlineStr">
        <is>
          <t>UPF1</t>
        </is>
      </c>
      <c r="C63" s="92" t="inlineStr">
        <is>
          <t>افراد یکتا در نمای مالی (FY1403 تا FY1404)</t>
        </is>
      </c>
      <c r="D63" s="92" t="inlineStr">
        <is>
          <t>جدید؛ نمای مالی</t>
        </is>
      </c>
      <c r="E63" s="92" t="inlineStr">
        <is>
          <t>همان سه نسبت UPX1 و UPN1 و UPR1 ولی بین پایان FY1403 و FY1404 هر شرکت؛ فقط با دو فهرست کامل معتبر</t>
        </is>
      </c>
      <c r="F63" s="92" t="inlineStr"/>
      <c r="G63" s="92" t="inlineStr"/>
      <c r="H63" s="92" t="inlineStr"/>
      <c r="I63" s="92" t="inlineStr"/>
      <c r="J63" s="92" t="str">
        <f>IF(AND(ISNUMBER(H63),ISNUMBER(I63),I63&gt;0),H63/I63,"")</f>
        <v/>
      </c>
      <c r="K63" s="92" t="inlineStr">
        <is>
          <t>نمای مالی</t>
        </is>
      </c>
      <c r="L63" s="92" t="inlineStr">
        <is>
          <t>1403/12/30</t>
        </is>
      </c>
      <c r="M63" s="92" t="inlineStr">
        <is>
          <t>1404/12/29</t>
        </is>
      </c>
      <c r="N63" s="92" t="inlineStr">
        <is>
          <t>بله</t>
        </is>
      </c>
      <c r="O63" s="92" t="inlineStr">
        <is>
          <t>ناکافی</t>
        </is>
      </c>
      <c r="P63" s="92" t="inlineStr">
        <is>
          <t>هنوز بررسی نشده</t>
        </is>
      </c>
      <c r="Q63" s="92" t="inlineStr"/>
      <c r="R63" s="92" t="inlineStr"/>
      <c r="S63" s="92" t="inlineStr">
        <is>
          <t>فهرست اسمی پایان FY1403 در فایل نیست؛ نتیجه نمای مالی نامشخص ماند و عدد پنجره مشترک جای آن نیامد</t>
        </is>
      </c>
      <c r="T63" s="92" t="inlineStr">
        <is>
          <t>Scope v42</t>
        </is>
      </c>
    </row>
    <row r="64" ht="48" customHeight="1" s="76">
      <c r="A64" s="92" t="inlineStr">
        <is>
          <t>پارس</t>
        </is>
      </c>
      <c r="B64" s="92" t="inlineStr">
        <is>
          <t>REF05</t>
        </is>
      </c>
      <c r="C64" s="92" t="inlineStr">
        <is>
          <t>گردش فردی مبتنی بر کرسی</t>
        </is>
      </c>
      <c r="D64" s="92" t="inlineStr">
        <is>
          <t>قدیمی؛ تعریف حفظ شده</t>
        </is>
      </c>
      <c r="E64" s="92" t="inlineStr">
        <is>
          <t>صورت: کرسی های قابل مقایسه که شخص نامبرده در دو مقطع فرق دارد؛ مخرج: کرسی های قابل مقایسه (مبنای نامبرده). کرسی حقیقی مستقیم در سطح فرد</t>
        </is>
      </c>
      <c r="F64" s="92" t="n">
        <v>3</v>
      </c>
      <c r="G64" s="92" t="n">
        <v>5</v>
      </c>
      <c r="H64" s="92" t="n">
        <v>3</v>
      </c>
      <c r="I64" s="92" t="n">
        <v>5</v>
      </c>
      <c r="J64" s="92">
        <f>IF(AND(ISNUMBER(H64),ISNUMBER(I64),I64&gt;0),H64/I64,"")</f>
        <v>0.6</v>
      </c>
      <c r="K64" s="92" t="inlineStr">
        <is>
          <t>پنجره مشترک</t>
        </is>
      </c>
      <c r="L64" s="92" t="inlineStr">
        <is>
          <t>1403/12/29</t>
        </is>
      </c>
      <c r="M64" s="92" t="inlineStr">
        <is>
          <t>1404/12/29</t>
        </is>
      </c>
      <c r="N64" s="92" t="inlineStr">
        <is>
          <t>بله</t>
        </is>
      </c>
      <c r="O64" s="92" t="inlineStr">
        <is>
          <t>کامل ارثی</t>
        </is>
      </c>
      <c r="P64" s="92" t="inlineStr">
        <is>
          <t>تایید جزئی</t>
        </is>
      </c>
      <c r="Q64" s="92" t="inlineStr"/>
      <c r="R64" s="92" t="inlineStr">
        <is>
          <t>بازتولید ممکن نشد</t>
        </is>
      </c>
      <c r="S64" s="92" t="inlineStr">
        <is>
          <t>ارثی از مستر؛ فهرست اسمی دو مقطع در دسترس نیست و بازتولید اسمی ممکن نشد</t>
        </is>
      </c>
      <c r="T64" s="92" t="inlineStr">
        <is>
          <t>Turnover نهایی G10 و H10</t>
        </is>
      </c>
    </row>
    <row r="65" ht="48" customHeight="1" s="76">
      <c r="A65" s="92" t="inlineStr">
        <is>
          <t>پارس</t>
        </is>
      </c>
      <c r="B65" s="92" t="inlineStr">
        <is>
          <t>REF08</t>
        </is>
      </c>
      <c r="C65" s="92" t="inlineStr">
        <is>
          <t>تغییر نماینده با شخص حقوقی ثابت</t>
        </is>
      </c>
      <c r="D65" s="92" t="inlineStr">
        <is>
          <t>قدیمی؛ تعریف حفظ شده</t>
        </is>
      </c>
      <c r="E65" s="92" t="inlineStr">
        <is>
          <t>صورت: کرسی با همان شخص حقوقی که نماینده فرق دارد؛ مخرج: کرسی های با همان شخص حقوقی و نماینده معلوم در هر دو مقطع</t>
        </is>
      </c>
      <c r="F65" s="92" t="n">
        <v>3</v>
      </c>
      <c r="G65" s="92" t="n">
        <v>5</v>
      </c>
      <c r="H65" s="92" t="n">
        <v>3</v>
      </c>
      <c r="I65" s="92" t="n">
        <v>5</v>
      </c>
      <c r="J65" s="92">
        <f>IF(AND(ISNUMBER(H65),ISNUMBER(I65),I65&gt;0),H65/I65,"")</f>
        <v>0.6</v>
      </c>
      <c r="K65" s="92" t="inlineStr">
        <is>
          <t>پنجره مشترک</t>
        </is>
      </c>
      <c r="L65" s="92" t="inlineStr">
        <is>
          <t>1403/12/29</t>
        </is>
      </c>
      <c r="M65" s="92" t="inlineStr">
        <is>
          <t>1404/12/29</t>
        </is>
      </c>
      <c r="N65" s="92" t="inlineStr">
        <is>
          <t>بله</t>
        </is>
      </c>
      <c r="O65" s="92" t="inlineStr">
        <is>
          <t>کامل ارثی</t>
        </is>
      </c>
      <c r="P65" s="92" t="inlineStr">
        <is>
          <t>تایید جزئی</t>
        </is>
      </c>
      <c r="Q65" s="92" t="inlineStr"/>
      <c r="R65" s="92" t="inlineStr">
        <is>
          <t>بازتولید ممکن نشد</t>
        </is>
      </c>
      <c r="S65" s="92" t="inlineStr">
        <is>
          <t>ارثی از مستر؛ فهرست اسمی دو مقطع در دسترس نیست و بازتولید اسمی ممکن نشد</t>
        </is>
      </c>
      <c r="T65" s="92" t="inlineStr">
        <is>
          <t>Turnover نهایی J10 و K10</t>
        </is>
      </c>
    </row>
    <row r="66" ht="48" customHeight="1" s="76">
      <c r="A66" s="92" t="inlineStr">
        <is>
          <t>پارس</t>
        </is>
      </c>
      <c r="B66" s="92" t="inlineStr">
        <is>
          <t>ROB_LEGAL</t>
        </is>
      </c>
      <c r="C66" s="92" t="inlineStr">
        <is>
          <t>تغییر شخص حقوقی دارنده کرسی</t>
        </is>
      </c>
      <c r="D66" s="92" t="inlineStr">
        <is>
          <t>قدیمی؛ تعریف حفظ شده</t>
        </is>
      </c>
      <c r="E66" s="92" t="inlineStr">
        <is>
          <t>صورت: کرسی هایی که شخص حقوقی دارنده فرق دارد؛ مخرج: کرسی های موجود در هر دو مقطع</t>
        </is>
      </c>
      <c r="F66" s="92" t="n">
        <v>0</v>
      </c>
      <c r="G66" s="92" t="n">
        <v>5</v>
      </c>
      <c r="H66" s="92" t="n">
        <v>0</v>
      </c>
      <c r="I66" s="92" t="n">
        <v>5</v>
      </c>
      <c r="J66" s="92">
        <f>IF(AND(ISNUMBER(H66),ISNUMBER(I66),I66&gt;0),H66/I66,"")</f>
        <v>0.0</v>
      </c>
      <c r="K66" s="92" t="inlineStr">
        <is>
          <t>پنجره مشترک</t>
        </is>
      </c>
      <c r="L66" s="92" t="inlineStr">
        <is>
          <t>1403/12/29</t>
        </is>
      </c>
      <c r="M66" s="92" t="inlineStr">
        <is>
          <t>1404/12/29</t>
        </is>
      </c>
      <c r="N66" s="92" t="inlineStr">
        <is>
          <t>بله</t>
        </is>
      </c>
      <c r="O66" s="92" t="inlineStr">
        <is>
          <t>کامل ارثی</t>
        </is>
      </c>
      <c r="P66" s="92" t="inlineStr">
        <is>
          <t>تایید جزئی</t>
        </is>
      </c>
      <c r="Q66" s="92" t="inlineStr"/>
      <c r="R66" s="92" t="inlineStr">
        <is>
          <t>بازتولید ممکن نشد</t>
        </is>
      </c>
      <c r="S66" s="92" t="inlineStr">
        <is>
          <t>ارثی از مستر؛ فهرست اسمی دو مقطع در دسترس نیست و بازتولید اسمی ممکن نشد</t>
        </is>
      </c>
      <c r="T66" s="92" t="inlineStr">
        <is>
          <t>Turnover نهایی M10 و N10</t>
        </is>
      </c>
    </row>
    <row r="67" ht="48" customHeight="1" s="76">
      <c r="A67" s="92" t="inlineStr">
        <is>
          <t>پارس</t>
        </is>
      </c>
      <c r="B67" s="92" t="inlineStr">
        <is>
          <t>ROB_NEW</t>
        </is>
      </c>
      <c r="C67" s="92" t="inlineStr">
        <is>
          <t>سهم اعضای جدید</t>
        </is>
      </c>
      <c r="D67" s="92" t="inlineStr">
        <is>
          <t>قدیمی؛ تعریف حفظ شده</t>
        </is>
      </c>
      <c r="E67" s="92" t="inlineStr">
        <is>
          <t>صورت: افراد پایان که در مبنا نبودند؛ مخرج: افراد پایان</t>
        </is>
      </c>
      <c r="F67" s="92" t="n">
        <v>3</v>
      </c>
      <c r="G67" s="92" t="n">
        <v>5</v>
      </c>
      <c r="H67" s="92" t="n">
        <v>3</v>
      </c>
      <c r="I67" s="92" t="n">
        <v>5</v>
      </c>
      <c r="J67" s="92">
        <f>IF(AND(ISNUMBER(H67),ISNUMBER(I67),I67&gt;0),H67/I67,"")</f>
        <v>0.6</v>
      </c>
      <c r="K67" s="92" t="inlineStr">
        <is>
          <t>پنجره مشترک</t>
        </is>
      </c>
      <c r="L67" s="92" t="inlineStr">
        <is>
          <t>1403/12/29</t>
        </is>
      </c>
      <c r="M67" s="92" t="inlineStr">
        <is>
          <t>1404/12/29</t>
        </is>
      </c>
      <c r="N67" s="92" t="inlineStr">
        <is>
          <t>بله</t>
        </is>
      </c>
      <c r="O67" s="92" t="inlineStr">
        <is>
          <t>کامل ارثی</t>
        </is>
      </c>
      <c r="P67" s="92" t="inlineStr">
        <is>
          <t>تایید جزئی</t>
        </is>
      </c>
      <c r="Q67" s="92" t="inlineStr"/>
      <c r="R67" s="92" t="inlineStr">
        <is>
          <t>بازتولید ممکن نشد</t>
        </is>
      </c>
      <c r="S67" s="92" t="inlineStr">
        <is>
          <t>ارثی از مستر؛ فهرست اسمی دو مقطع در دسترس نیست و بازتولید اسمی ممکن نشد</t>
        </is>
      </c>
      <c r="T67" s="92" t="inlineStr">
        <is>
          <t>Turnover نهایی P10 و Q10</t>
        </is>
      </c>
    </row>
    <row r="68" ht="48" customHeight="1" s="76">
      <c r="A68" s="92" t="inlineStr">
        <is>
          <t>پارس</t>
        </is>
      </c>
      <c r="B68" s="92" t="inlineStr">
        <is>
          <t>ROB_STABILITY</t>
        </is>
      </c>
      <c r="C68" s="92" t="inlineStr">
        <is>
          <t>ثبات کرسی با همان شخص</t>
        </is>
      </c>
      <c r="D68" s="92" t="inlineStr">
        <is>
          <t>قدیمی؛ تعریف حفظ شده</t>
        </is>
      </c>
      <c r="E68" s="92" t="inlineStr">
        <is>
          <t>صورت: کرسی های قابل مقایسه با همان شخص؛ مخرج: کرسی های قابل مقایسه</t>
        </is>
      </c>
      <c r="F68" s="92" t="n">
        <v>2</v>
      </c>
      <c r="G68" s="92" t="n">
        <v>5</v>
      </c>
      <c r="H68" s="92" t="n">
        <v>2</v>
      </c>
      <c r="I68" s="92" t="n">
        <v>5</v>
      </c>
      <c r="J68" s="92">
        <f>IF(AND(ISNUMBER(H68),ISNUMBER(I68),I68&gt;0),H68/I68,"")</f>
        <v>0.4</v>
      </c>
      <c r="K68" s="92" t="inlineStr">
        <is>
          <t>پنجره مشترک</t>
        </is>
      </c>
      <c r="L68" s="92" t="inlineStr">
        <is>
          <t>1403/12/29</t>
        </is>
      </c>
      <c r="M68" s="92" t="inlineStr">
        <is>
          <t>1404/12/29</t>
        </is>
      </c>
      <c r="N68" s="92" t="inlineStr">
        <is>
          <t>بله</t>
        </is>
      </c>
      <c r="O68" s="92" t="inlineStr">
        <is>
          <t>کامل ارثی</t>
        </is>
      </c>
      <c r="P68" s="92" t="inlineStr">
        <is>
          <t>تایید جزئی</t>
        </is>
      </c>
      <c r="Q68" s="92" t="inlineStr"/>
      <c r="R68" s="92" t="inlineStr">
        <is>
          <t>بازتولید ممکن نشد</t>
        </is>
      </c>
      <c r="S68" s="92" t="inlineStr">
        <is>
          <t>ارثی از مستر؛ فهرست اسمی دو مقطع در دسترس نیست و بازتولید اسمی ممکن نشد</t>
        </is>
      </c>
      <c r="T68" s="92" t="inlineStr">
        <is>
          <t>Turnover نهایی S10 و T10</t>
        </is>
      </c>
    </row>
    <row r="69" ht="48" customHeight="1" s="76">
      <c r="A69" s="92" t="inlineStr">
        <is>
          <t>پارس</t>
        </is>
      </c>
      <c r="B69" s="92" t="inlineStr">
        <is>
          <t>CR1A</t>
        </is>
      </c>
      <c r="C69" s="92" t="inlineStr">
        <is>
          <t>تغییر رئیس هیئت مدیره بین دو مقطع</t>
        </is>
      </c>
      <c r="D69" s="92" t="inlineStr">
        <is>
          <t>قدیمی؛ تعریف حفظ شده</t>
        </is>
      </c>
      <c r="E69" s="92" t="inlineStr">
        <is>
          <t>صورت: 1 اگر هویت رئیس در دو مقطع فرق دارد؛ مخرج: 1. جدا از تعداد رویدادهای میانی</t>
        </is>
      </c>
      <c r="F69" s="92" t="n">
        <v>1</v>
      </c>
      <c r="G69" s="92" t="n">
        <v>1</v>
      </c>
      <c r="H69" s="92" t="n">
        <v>1</v>
      </c>
      <c r="I69" s="92" t="n">
        <v>1</v>
      </c>
      <c r="J69" s="92">
        <f>IF(AND(ISNUMBER(H69),ISNUMBER(I69),I69&gt;0),H69/I69,"")</f>
        <v>1.0</v>
      </c>
      <c r="K69" s="92" t="inlineStr">
        <is>
          <t>پنجره مشترک</t>
        </is>
      </c>
      <c r="L69" s="92" t="inlineStr">
        <is>
          <t>1403/12/29</t>
        </is>
      </c>
      <c r="M69" s="92" t="inlineStr">
        <is>
          <t>1404/12/29</t>
        </is>
      </c>
      <c r="N69" s="92" t="inlineStr">
        <is>
          <t>بله</t>
        </is>
      </c>
      <c r="O69" s="92" t="inlineStr">
        <is>
          <t>کامل ارثی</t>
        </is>
      </c>
      <c r="P69" s="92" t="inlineStr">
        <is>
          <t>تایید جزئی</t>
        </is>
      </c>
      <c r="Q69" s="92" t="inlineStr"/>
      <c r="R69" s="92" t="inlineStr">
        <is>
          <t>بازتولید ممکن نشد</t>
        </is>
      </c>
      <c r="S69" s="92" t="inlineStr">
        <is>
          <t>ارثی از CR1A v39 (INHERITED_WITH_LIMITATION)؛ تایید مجدد مستقل همه منابع انجام نشد</t>
        </is>
      </c>
      <c r="T69" s="92" t="inlineStr">
        <is>
          <t>Turnover نهایی V10؛ CR1A v39 ردیف 10</t>
        </is>
      </c>
    </row>
    <row r="70" ht="44" customHeight="1" s="76">
      <c r="A70" s="93" t="inlineStr">
        <is>
          <t>پارس</t>
        </is>
      </c>
      <c r="B70" s="93" t="inlineStr">
        <is>
          <t>UPX1</t>
        </is>
      </c>
      <c r="C70" s="93" t="inlineStr">
        <is>
          <t>نرخ خروج افراد یکتا</t>
        </is>
      </c>
      <c r="D70" s="93" t="inlineStr">
        <is>
          <t>جدید؛ کد غیرمتداخل</t>
        </is>
      </c>
      <c r="E70" s="93" t="inlineStr">
        <is>
          <t>صورت: افراد حاضر در مبنا و غایب در پایان؛ مخرج: اعضای فعال مبنا</t>
        </is>
      </c>
      <c r="F70" s="93" t="inlineStr"/>
      <c r="G70" s="93" t="inlineStr"/>
      <c r="H70" s="93" t="inlineStr"/>
      <c r="I70" s="93" t="inlineStr"/>
      <c r="J70" s="93" t="str">
        <f>IF(AND(ISNUMBER(H70),ISNUMBER(I70),I70&gt;0),H70/I70,"")</f>
        <v/>
      </c>
      <c r="K70" s="93" t="inlineStr">
        <is>
          <t>پنجره مشترک</t>
        </is>
      </c>
      <c r="L70" s="93" t="inlineStr">
        <is>
          <t>1403/12/29</t>
        </is>
      </c>
      <c r="M70" s="93" t="inlineStr">
        <is>
          <t>1404/12/29</t>
        </is>
      </c>
      <c r="N70" s="93" t="inlineStr">
        <is>
          <t>بله</t>
        </is>
      </c>
      <c r="O70" s="93" t="inlineStr">
        <is>
          <t>ناکافی</t>
        </is>
      </c>
      <c r="P70" s="93" t="inlineStr">
        <is>
          <t>منبع در دسترس نبود</t>
        </is>
      </c>
      <c r="Q70" s="93" t="inlineStr"/>
      <c r="R70" s="93" t="inlineStr"/>
      <c r="S70" s="93" t="inlineStr">
        <is>
          <t>فهرست اسمی مبنا در بسته شواهد v41 است که در این جلسه ارائه نشد؛ شمار تجمیعی مستر برای افراد یکتا کافی نیست</t>
        </is>
      </c>
      <c r="T70" s="93" t="inlineStr">
        <is>
          <t>Snapshot Members v42؛ Person Flows v42</t>
        </is>
      </c>
    </row>
    <row r="71" ht="44" customHeight="1" s="76">
      <c r="A71" s="93" t="inlineStr">
        <is>
          <t>پارس</t>
        </is>
      </c>
      <c r="B71" s="93" t="inlineStr">
        <is>
          <t>UPN1</t>
        </is>
      </c>
      <c r="C71" s="93" t="inlineStr">
        <is>
          <t>سهم افراد واردشده</t>
        </is>
      </c>
      <c r="D71" s="93" t="inlineStr">
        <is>
          <t>جدید؛ کد غیرمتداخل</t>
        </is>
      </c>
      <c r="E71" s="93" t="inlineStr">
        <is>
          <t>صورت: افراد حاضر در پایان و غایب در مبنا؛ مخرج: اعضای فعال پایان</t>
        </is>
      </c>
      <c r="F71" s="93" t="inlineStr"/>
      <c r="G71" s="93" t="inlineStr"/>
      <c r="H71" s="93" t="inlineStr"/>
      <c r="I71" s="93" t="inlineStr"/>
      <c r="J71" s="93" t="str">
        <f>IF(AND(ISNUMBER(H71),ISNUMBER(I71),I71&gt;0),H71/I71,"")</f>
        <v/>
      </c>
      <c r="K71" s="93" t="inlineStr">
        <is>
          <t>پنجره مشترک</t>
        </is>
      </c>
      <c r="L71" s="93" t="inlineStr">
        <is>
          <t>1403/12/29</t>
        </is>
      </c>
      <c r="M71" s="93" t="inlineStr">
        <is>
          <t>1404/12/29</t>
        </is>
      </c>
      <c r="N71" s="93" t="inlineStr">
        <is>
          <t>بله</t>
        </is>
      </c>
      <c r="O71" s="93" t="inlineStr">
        <is>
          <t>ناکافی</t>
        </is>
      </c>
      <c r="P71" s="93" t="inlineStr">
        <is>
          <t>منبع در دسترس نبود</t>
        </is>
      </c>
      <c r="Q71" s="93" t="inlineStr"/>
      <c r="R71" s="93" t="inlineStr"/>
      <c r="S71" s="93" t="inlineStr">
        <is>
          <t>فهرست اسمی مبنا در بسته شواهد v41 است که در این جلسه ارائه نشد؛ شمار تجمیعی مستر برای افراد یکتا کافی نیست</t>
        </is>
      </c>
      <c r="T71" s="93" t="inlineStr">
        <is>
          <t>Snapshot Members v42؛ Person Flows v42</t>
        </is>
      </c>
    </row>
    <row r="72" ht="44" customHeight="1" s="76">
      <c r="A72" s="93" t="inlineStr">
        <is>
          <t>پارس</t>
        </is>
      </c>
      <c r="B72" s="93" t="inlineStr">
        <is>
          <t>UPR1</t>
        </is>
      </c>
      <c r="C72" s="93" t="inlineStr">
        <is>
          <t>نرخ ماندگاری افراد یکتا</t>
        </is>
      </c>
      <c r="D72" s="93" t="inlineStr">
        <is>
          <t>جدید؛ کد غیرمتداخل</t>
        </is>
      </c>
      <c r="E72" s="93" t="inlineStr">
        <is>
          <t>صورت: افراد حاضر در هر دو مقطع؛ مخرج: اعضای فعال مبنا</t>
        </is>
      </c>
      <c r="F72" s="93" t="inlineStr"/>
      <c r="G72" s="93" t="inlineStr"/>
      <c r="H72" s="93" t="inlineStr"/>
      <c r="I72" s="93" t="inlineStr"/>
      <c r="J72" s="93" t="str">
        <f>IF(AND(ISNUMBER(H72),ISNUMBER(I72),I72&gt;0),H72/I72,"")</f>
        <v/>
      </c>
      <c r="K72" s="93" t="inlineStr">
        <is>
          <t>پنجره مشترک</t>
        </is>
      </c>
      <c r="L72" s="93" t="inlineStr">
        <is>
          <t>1403/12/29</t>
        </is>
      </c>
      <c r="M72" s="93" t="inlineStr">
        <is>
          <t>1404/12/29</t>
        </is>
      </c>
      <c r="N72" s="93" t="inlineStr">
        <is>
          <t>بله</t>
        </is>
      </c>
      <c r="O72" s="93" t="inlineStr">
        <is>
          <t>ناکافی</t>
        </is>
      </c>
      <c r="P72" s="93" t="inlineStr">
        <is>
          <t>منبع در دسترس نبود</t>
        </is>
      </c>
      <c r="Q72" s="93" t="inlineStr"/>
      <c r="R72" s="93" t="inlineStr"/>
      <c r="S72" s="93" t="inlineStr">
        <is>
          <t>فهرست اسمی مبنا در بسته شواهد v41 است که در این جلسه ارائه نشد؛ شمار تجمیعی مستر برای افراد یکتا کافی نیست</t>
        </is>
      </c>
      <c r="T72" s="93" t="inlineStr">
        <is>
          <t>Snapshot Members v42؛ Person Flows v42</t>
        </is>
      </c>
    </row>
    <row r="73" ht="44" customHeight="1" s="76">
      <c r="A73" s="92" t="inlineStr">
        <is>
          <t>پارس</t>
        </is>
      </c>
      <c r="B73" s="92" t="inlineStr">
        <is>
          <t>UPF1</t>
        </is>
      </c>
      <c r="C73" s="92" t="inlineStr">
        <is>
          <t>افراد یکتا در نمای مالی (FY1403 تا FY1404)</t>
        </is>
      </c>
      <c r="D73" s="92" t="inlineStr">
        <is>
          <t>جدید؛ نمای مالی</t>
        </is>
      </c>
      <c r="E73" s="92" t="inlineStr">
        <is>
          <t>همان سه نسبت UPX1 و UPN1 و UPR1 ولی بین پایان FY1403 و FY1404 هر شرکت؛ فقط با دو فهرست کامل معتبر</t>
        </is>
      </c>
      <c r="F73" s="92" t="inlineStr"/>
      <c r="G73" s="92" t="inlineStr"/>
      <c r="H73" s="92" t="inlineStr"/>
      <c r="I73" s="92" t="inlineStr"/>
      <c r="J73" s="92" t="str">
        <f>IF(AND(ISNUMBER(H73),ISNUMBER(I73),I73&gt;0),H73/I73,"")</f>
        <v/>
      </c>
      <c r="K73" s="92" t="inlineStr">
        <is>
          <t>نمای مالی</t>
        </is>
      </c>
      <c r="L73" s="92" t="inlineStr">
        <is>
          <t>1403/12/30</t>
        </is>
      </c>
      <c r="M73" s="92" t="inlineStr">
        <is>
          <t>1404/12/29</t>
        </is>
      </c>
      <c r="N73" s="92" t="inlineStr">
        <is>
          <t>بله</t>
        </is>
      </c>
      <c r="O73" s="92" t="inlineStr">
        <is>
          <t>ناکافی</t>
        </is>
      </c>
      <c r="P73" s="92" t="inlineStr">
        <is>
          <t>هنوز بررسی نشده</t>
        </is>
      </c>
      <c r="Q73" s="92" t="inlineStr"/>
      <c r="R73" s="92" t="inlineStr"/>
      <c r="S73" s="92" t="inlineStr">
        <is>
          <t>فهرست اسمی پایان FY1403 در فایل نیست؛ نتیجه نمای مالی نامشخص ماند و عدد پنجره مشترک جای آن نیامد</t>
        </is>
      </c>
      <c r="T73" s="92" t="inlineStr">
        <is>
          <t>Scope v42</t>
        </is>
      </c>
    </row>
    <row r="74" ht="48" customHeight="1" s="76">
      <c r="A74" s="92" t="inlineStr">
        <is>
          <t>شتران</t>
        </is>
      </c>
      <c r="B74" s="92" t="inlineStr">
        <is>
          <t>REF05</t>
        </is>
      </c>
      <c r="C74" s="92" t="inlineStr">
        <is>
          <t>گردش فردی مبتنی بر کرسی</t>
        </is>
      </c>
      <c r="D74" s="92" t="inlineStr">
        <is>
          <t>قدیمی؛ تعریف حفظ شده</t>
        </is>
      </c>
      <c r="E74" s="92" t="inlineStr">
        <is>
          <t>صورت: کرسی های قابل مقایسه که شخص نامبرده در دو مقطع فرق دارد؛ مخرج: کرسی های قابل مقایسه (مبنای نامبرده). کرسی حقیقی مستقیم در سطح فرد</t>
        </is>
      </c>
      <c r="F74" s="92" t="n">
        <v>1</v>
      </c>
      <c r="G74" s="92" t="n">
        <v>5</v>
      </c>
      <c r="H74" s="92" t="n">
        <v>1</v>
      </c>
      <c r="I74" s="92" t="n">
        <v>5</v>
      </c>
      <c r="J74" s="92">
        <f>IF(AND(ISNUMBER(H74),ISNUMBER(I74),I74&gt;0),H74/I74,"")</f>
        <v>0.2</v>
      </c>
      <c r="K74" s="92" t="inlineStr">
        <is>
          <t>پنجره مشترک</t>
        </is>
      </c>
      <c r="L74" s="92" t="inlineStr">
        <is>
          <t>1403/12/29</t>
        </is>
      </c>
      <c r="M74" s="92" t="inlineStr">
        <is>
          <t>1404/12/29</t>
        </is>
      </c>
      <c r="N74" s="92" t="inlineStr">
        <is>
          <t>بله</t>
        </is>
      </c>
      <c r="O74" s="92" t="inlineStr">
        <is>
          <t>کامل ارثی</t>
        </is>
      </c>
      <c r="P74" s="92" t="inlineStr">
        <is>
          <t>تایید جزئی</t>
        </is>
      </c>
      <c r="Q74" s="92" t="inlineStr"/>
      <c r="R74" s="92" t="inlineStr">
        <is>
          <t>بازتولید ممکن نشد</t>
        </is>
      </c>
      <c r="S74" s="92" t="inlineStr">
        <is>
          <t>ارثی از مستر؛ فهرست اسمی دو مقطع در دسترس نیست و بازتولید اسمی ممکن نشد</t>
        </is>
      </c>
      <c r="T74" s="92" t="inlineStr">
        <is>
          <t>Turnover نهایی G11 و H11</t>
        </is>
      </c>
    </row>
    <row r="75" ht="48" customHeight="1" s="76">
      <c r="A75" s="92" t="inlineStr">
        <is>
          <t>شتران</t>
        </is>
      </c>
      <c r="B75" s="92" t="inlineStr">
        <is>
          <t>REF08</t>
        </is>
      </c>
      <c r="C75" s="92" t="inlineStr">
        <is>
          <t>تغییر نماینده با شخص حقوقی ثابت</t>
        </is>
      </c>
      <c r="D75" s="92" t="inlineStr">
        <is>
          <t>قدیمی؛ تعریف حفظ شده</t>
        </is>
      </c>
      <c r="E75" s="92" t="inlineStr">
        <is>
          <t>صورت: کرسی با همان شخص حقوقی که نماینده فرق دارد؛ مخرج: کرسی های با همان شخص حقوقی و نماینده معلوم در هر دو مقطع</t>
        </is>
      </c>
      <c r="F75" s="92" t="n">
        <v>1</v>
      </c>
      <c r="G75" s="92" t="n">
        <v>5</v>
      </c>
      <c r="H75" s="92" t="n">
        <v>1</v>
      </c>
      <c r="I75" s="92" t="n">
        <v>5</v>
      </c>
      <c r="J75" s="92">
        <f>IF(AND(ISNUMBER(H75),ISNUMBER(I75),I75&gt;0),H75/I75,"")</f>
        <v>0.2</v>
      </c>
      <c r="K75" s="92" t="inlineStr">
        <is>
          <t>پنجره مشترک</t>
        </is>
      </c>
      <c r="L75" s="92" t="inlineStr">
        <is>
          <t>1403/12/29</t>
        </is>
      </c>
      <c r="M75" s="92" t="inlineStr">
        <is>
          <t>1404/12/29</t>
        </is>
      </c>
      <c r="N75" s="92" t="inlineStr">
        <is>
          <t>بله</t>
        </is>
      </c>
      <c r="O75" s="92" t="inlineStr">
        <is>
          <t>کامل ارثی</t>
        </is>
      </c>
      <c r="P75" s="92" t="inlineStr">
        <is>
          <t>تایید جزئی</t>
        </is>
      </c>
      <c r="Q75" s="92" t="inlineStr"/>
      <c r="R75" s="92" t="inlineStr">
        <is>
          <t>بازتولید ممکن نشد</t>
        </is>
      </c>
      <c r="S75" s="92" t="inlineStr">
        <is>
          <t>ارثی از مستر؛ فهرست اسمی دو مقطع در دسترس نیست و بازتولید اسمی ممکن نشد</t>
        </is>
      </c>
      <c r="T75" s="92" t="inlineStr">
        <is>
          <t>Turnover نهایی J11 و K11</t>
        </is>
      </c>
    </row>
    <row r="76" ht="48" customHeight="1" s="76">
      <c r="A76" s="92" t="inlineStr">
        <is>
          <t>شتران</t>
        </is>
      </c>
      <c r="B76" s="92" t="inlineStr">
        <is>
          <t>ROB_LEGAL</t>
        </is>
      </c>
      <c r="C76" s="92" t="inlineStr">
        <is>
          <t>تغییر شخص حقوقی دارنده کرسی</t>
        </is>
      </c>
      <c r="D76" s="92" t="inlineStr">
        <is>
          <t>قدیمی؛ تعریف حفظ شده</t>
        </is>
      </c>
      <c r="E76" s="92" t="inlineStr">
        <is>
          <t>صورت: کرسی هایی که شخص حقوقی دارنده فرق دارد؛ مخرج: کرسی های موجود در هر دو مقطع</t>
        </is>
      </c>
      <c r="F76" s="92" t="n">
        <v>0</v>
      </c>
      <c r="G76" s="92" t="n">
        <v>5</v>
      </c>
      <c r="H76" s="92" t="n">
        <v>0</v>
      </c>
      <c r="I76" s="92" t="n">
        <v>5</v>
      </c>
      <c r="J76" s="92">
        <f>IF(AND(ISNUMBER(H76),ISNUMBER(I76),I76&gt;0),H76/I76,"")</f>
        <v>0.0</v>
      </c>
      <c r="K76" s="92" t="inlineStr">
        <is>
          <t>پنجره مشترک</t>
        </is>
      </c>
      <c r="L76" s="92" t="inlineStr">
        <is>
          <t>1403/12/29</t>
        </is>
      </c>
      <c r="M76" s="92" t="inlineStr">
        <is>
          <t>1404/12/29</t>
        </is>
      </c>
      <c r="N76" s="92" t="inlineStr">
        <is>
          <t>بله</t>
        </is>
      </c>
      <c r="O76" s="92" t="inlineStr">
        <is>
          <t>کامل ارثی</t>
        </is>
      </c>
      <c r="P76" s="92" t="inlineStr">
        <is>
          <t>تایید جزئی</t>
        </is>
      </c>
      <c r="Q76" s="92" t="inlineStr"/>
      <c r="R76" s="92" t="inlineStr">
        <is>
          <t>بازتولید ممکن نشد</t>
        </is>
      </c>
      <c r="S76" s="92" t="inlineStr">
        <is>
          <t>ارثی از مستر؛ فهرست اسمی دو مقطع در دسترس نیست و بازتولید اسمی ممکن نشد</t>
        </is>
      </c>
      <c r="T76" s="92" t="inlineStr">
        <is>
          <t>Turnover نهایی M11 و N11</t>
        </is>
      </c>
    </row>
    <row r="77" ht="48" customHeight="1" s="76">
      <c r="A77" s="92" t="inlineStr">
        <is>
          <t>شتران</t>
        </is>
      </c>
      <c r="B77" s="92" t="inlineStr">
        <is>
          <t>ROB_NEW</t>
        </is>
      </c>
      <c r="C77" s="92" t="inlineStr">
        <is>
          <t>سهم اعضای جدید</t>
        </is>
      </c>
      <c r="D77" s="92" t="inlineStr">
        <is>
          <t>قدیمی؛ تعریف حفظ شده</t>
        </is>
      </c>
      <c r="E77" s="92" t="inlineStr">
        <is>
          <t>صورت: افراد پایان که در مبنا نبودند؛ مخرج: افراد پایان</t>
        </is>
      </c>
      <c r="F77" s="92" t="n">
        <v>1</v>
      </c>
      <c r="G77" s="92" t="n">
        <v>5</v>
      </c>
      <c r="H77" s="92" t="n">
        <v>1</v>
      </c>
      <c r="I77" s="92" t="n">
        <v>5</v>
      </c>
      <c r="J77" s="92">
        <f>IF(AND(ISNUMBER(H77),ISNUMBER(I77),I77&gt;0),H77/I77,"")</f>
        <v>0.2</v>
      </c>
      <c r="K77" s="92" t="inlineStr">
        <is>
          <t>پنجره مشترک</t>
        </is>
      </c>
      <c r="L77" s="92" t="inlineStr">
        <is>
          <t>1403/12/29</t>
        </is>
      </c>
      <c r="M77" s="92" t="inlineStr">
        <is>
          <t>1404/12/29</t>
        </is>
      </c>
      <c r="N77" s="92" t="inlineStr">
        <is>
          <t>بله</t>
        </is>
      </c>
      <c r="O77" s="92" t="inlineStr">
        <is>
          <t>کامل ارثی</t>
        </is>
      </c>
      <c r="P77" s="92" t="inlineStr">
        <is>
          <t>تایید جزئی</t>
        </is>
      </c>
      <c r="Q77" s="92" t="inlineStr"/>
      <c r="R77" s="92" t="inlineStr">
        <is>
          <t>بازتولید ممکن نشد</t>
        </is>
      </c>
      <c r="S77" s="92" t="inlineStr">
        <is>
          <t>ارثی از مستر؛ فهرست اسمی دو مقطع در دسترس نیست و بازتولید اسمی ممکن نشد</t>
        </is>
      </c>
      <c r="T77" s="92" t="inlineStr">
        <is>
          <t>Turnover نهایی P11 و Q11</t>
        </is>
      </c>
    </row>
    <row r="78" ht="48" customHeight="1" s="76">
      <c r="A78" s="92" t="inlineStr">
        <is>
          <t>شتران</t>
        </is>
      </c>
      <c r="B78" s="92" t="inlineStr">
        <is>
          <t>ROB_STABILITY</t>
        </is>
      </c>
      <c r="C78" s="92" t="inlineStr">
        <is>
          <t>ثبات کرسی با همان شخص</t>
        </is>
      </c>
      <c r="D78" s="92" t="inlineStr">
        <is>
          <t>قدیمی؛ تعریف حفظ شده</t>
        </is>
      </c>
      <c r="E78" s="92" t="inlineStr">
        <is>
          <t>صورت: کرسی های قابل مقایسه با همان شخص؛ مخرج: کرسی های قابل مقایسه</t>
        </is>
      </c>
      <c r="F78" s="92" t="n">
        <v>4</v>
      </c>
      <c r="G78" s="92" t="n">
        <v>5</v>
      </c>
      <c r="H78" s="92" t="n">
        <v>4</v>
      </c>
      <c r="I78" s="92" t="n">
        <v>5</v>
      </c>
      <c r="J78" s="92">
        <f>IF(AND(ISNUMBER(H78),ISNUMBER(I78),I78&gt;0),H78/I78,"")</f>
        <v>0.8</v>
      </c>
      <c r="K78" s="92" t="inlineStr">
        <is>
          <t>پنجره مشترک</t>
        </is>
      </c>
      <c r="L78" s="92" t="inlineStr">
        <is>
          <t>1403/12/29</t>
        </is>
      </c>
      <c r="M78" s="92" t="inlineStr">
        <is>
          <t>1404/12/29</t>
        </is>
      </c>
      <c r="N78" s="92" t="inlineStr">
        <is>
          <t>بله</t>
        </is>
      </c>
      <c r="O78" s="92" t="inlineStr">
        <is>
          <t>کامل ارثی</t>
        </is>
      </c>
      <c r="P78" s="92" t="inlineStr">
        <is>
          <t>تایید جزئی</t>
        </is>
      </c>
      <c r="Q78" s="92" t="inlineStr"/>
      <c r="R78" s="92" t="inlineStr">
        <is>
          <t>بازتولید ممکن نشد</t>
        </is>
      </c>
      <c r="S78" s="92" t="inlineStr">
        <is>
          <t>ارثی از مستر؛ فهرست اسمی دو مقطع در دسترس نیست و بازتولید اسمی ممکن نشد</t>
        </is>
      </c>
      <c r="T78" s="92" t="inlineStr">
        <is>
          <t>Turnover نهایی S11 و T11</t>
        </is>
      </c>
    </row>
    <row r="79" ht="48" customHeight="1" s="76">
      <c r="A79" s="92" t="inlineStr">
        <is>
          <t>شتران</t>
        </is>
      </c>
      <c r="B79" s="92" t="inlineStr">
        <is>
          <t>CR1A</t>
        </is>
      </c>
      <c r="C79" s="92" t="inlineStr">
        <is>
          <t>تغییر رئیس هیئت مدیره بین دو مقطع</t>
        </is>
      </c>
      <c r="D79" s="92" t="inlineStr">
        <is>
          <t>قدیمی؛ تعریف حفظ شده</t>
        </is>
      </c>
      <c r="E79" s="92" t="inlineStr">
        <is>
          <t>صورت: 1 اگر هویت رئیس در دو مقطع فرق دارد؛ مخرج: 1. جدا از تعداد رویدادهای میانی</t>
        </is>
      </c>
      <c r="F79" s="92" t="n">
        <v>0</v>
      </c>
      <c r="G79" s="92" t="n">
        <v>1</v>
      </c>
      <c r="H79" s="92" t="n">
        <v>0</v>
      </c>
      <c r="I79" s="92" t="n">
        <v>1</v>
      </c>
      <c r="J79" s="92">
        <f>IF(AND(ISNUMBER(H79),ISNUMBER(I79),I79&gt;0),H79/I79,"")</f>
        <v>0.0</v>
      </c>
      <c r="K79" s="92" t="inlineStr">
        <is>
          <t>پنجره مشترک</t>
        </is>
      </c>
      <c r="L79" s="92" t="inlineStr">
        <is>
          <t>1403/12/29</t>
        </is>
      </c>
      <c r="M79" s="92" t="inlineStr">
        <is>
          <t>1404/12/29</t>
        </is>
      </c>
      <c r="N79" s="92" t="inlineStr">
        <is>
          <t>بله</t>
        </is>
      </c>
      <c r="O79" s="92" t="inlineStr">
        <is>
          <t>کامل ارثی</t>
        </is>
      </c>
      <c r="P79" s="92" t="inlineStr">
        <is>
          <t>تایید جزئی</t>
        </is>
      </c>
      <c r="Q79" s="92" t="inlineStr"/>
      <c r="R79" s="92" t="inlineStr">
        <is>
          <t>بازتولید ممکن نشد</t>
        </is>
      </c>
      <c r="S79" s="92" t="inlineStr">
        <is>
          <t>ارثی از CR1A v39 (INHERITED_WITH_LIMITATION)؛ تایید مجدد مستقل همه منابع انجام نشد</t>
        </is>
      </c>
      <c r="T79" s="92" t="inlineStr">
        <is>
          <t>Turnover نهایی V11؛ CR1A v39 ردیف 11</t>
        </is>
      </c>
    </row>
    <row r="80" ht="44" customHeight="1" s="76">
      <c r="A80" s="93" t="inlineStr">
        <is>
          <t>شتران</t>
        </is>
      </c>
      <c r="B80" s="93" t="inlineStr">
        <is>
          <t>UPX1</t>
        </is>
      </c>
      <c r="C80" s="93" t="inlineStr">
        <is>
          <t>نرخ خروج افراد یکتا</t>
        </is>
      </c>
      <c r="D80" s="93" t="inlineStr">
        <is>
          <t>جدید؛ کد غیرمتداخل</t>
        </is>
      </c>
      <c r="E80" s="93" t="inlineStr">
        <is>
          <t>صورت: افراد حاضر در مبنا و غایب در پایان؛ مخرج: اعضای فعال مبنا</t>
        </is>
      </c>
      <c r="F80" s="93" t="inlineStr"/>
      <c r="G80" s="93" t="inlineStr"/>
      <c r="H80" s="93" t="inlineStr"/>
      <c r="I80" s="93" t="inlineStr"/>
      <c r="J80" s="93" t="str">
        <f>IF(AND(ISNUMBER(H80),ISNUMBER(I80),I80&gt;0),H80/I80,"")</f>
        <v/>
      </c>
      <c r="K80" s="93" t="inlineStr">
        <is>
          <t>پنجره مشترک</t>
        </is>
      </c>
      <c r="L80" s="93" t="inlineStr">
        <is>
          <t>1403/12/29</t>
        </is>
      </c>
      <c r="M80" s="93" t="inlineStr">
        <is>
          <t>1404/12/29</t>
        </is>
      </c>
      <c r="N80" s="93" t="inlineStr">
        <is>
          <t>بله</t>
        </is>
      </c>
      <c r="O80" s="93" t="inlineStr">
        <is>
          <t>ناکافی</t>
        </is>
      </c>
      <c r="P80" s="93" t="inlineStr">
        <is>
          <t>منبع در دسترس نبود</t>
        </is>
      </c>
      <c r="Q80" s="93" t="inlineStr"/>
      <c r="R80" s="93" t="inlineStr"/>
      <c r="S80" s="93" t="inlineStr">
        <is>
          <t>فهرست اسمی مبنا در بسته شواهد v41 است که در این جلسه ارائه نشد؛ شمار تجمیعی مستر برای افراد یکتا کافی نیست</t>
        </is>
      </c>
      <c r="T80" s="93" t="inlineStr">
        <is>
          <t>Snapshot Members v42؛ Person Flows v42</t>
        </is>
      </c>
    </row>
    <row r="81" ht="44" customHeight="1" s="76">
      <c r="A81" s="93" t="inlineStr">
        <is>
          <t>شتران</t>
        </is>
      </c>
      <c r="B81" s="93" t="inlineStr">
        <is>
          <t>UPN1</t>
        </is>
      </c>
      <c r="C81" s="93" t="inlineStr">
        <is>
          <t>سهم افراد واردشده</t>
        </is>
      </c>
      <c r="D81" s="93" t="inlineStr">
        <is>
          <t>جدید؛ کد غیرمتداخل</t>
        </is>
      </c>
      <c r="E81" s="93" t="inlineStr">
        <is>
          <t>صورت: افراد حاضر در پایان و غایب در مبنا؛ مخرج: اعضای فعال پایان</t>
        </is>
      </c>
      <c r="F81" s="93" t="inlineStr"/>
      <c r="G81" s="93" t="inlineStr"/>
      <c r="H81" s="93" t="inlineStr"/>
      <c r="I81" s="93" t="inlineStr"/>
      <c r="J81" s="93" t="str">
        <f>IF(AND(ISNUMBER(H81),ISNUMBER(I81),I81&gt;0),H81/I81,"")</f>
        <v/>
      </c>
      <c r="K81" s="93" t="inlineStr">
        <is>
          <t>پنجره مشترک</t>
        </is>
      </c>
      <c r="L81" s="93" t="inlineStr">
        <is>
          <t>1403/12/29</t>
        </is>
      </c>
      <c r="M81" s="93" t="inlineStr">
        <is>
          <t>1404/12/29</t>
        </is>
      </c>
      <c r="N81" s="93" t="inlineStr">
        <is>
          <t>بله</t>
        </is>
      </c>
      <c r="O81" s="93" t="inlineStr">
        <is>
          <t>ناکافی</t>
        </is>
      </c>
      <c r="P81" s="93" t="inlineStr">
        <is>
          <t>منبع در دسترس نبود</t>
        </is>
      </c>
      <c r="Q81" s="93" t="inlineStr"/>
      <c r="R81" s="93" t="inlineStr"/>
      <c r="S81" s="93" t="inlineStr">
        <is>
          <t>فهرست اسمی مبنا در بسته شواهد v41 است که در این جلسه ارائه نشد؛ شمار تجمیعی مستر برای افراد یکتا کافی نیست</t>
        </is>
      </c>
      <c r="T81" s="93" t="inlineStr">
        <is>
          <t>Snapshot Members v42؛ Person Flows v42</t>
        </is>
      </c>
    </row>
    <row r="82" ht="44" customHeight="1" s="76">
      <c r="A82" s="93" t="inlineStr">
        <is>
          <t>شتران</t>
        </is>
      </c>
      <c r="B82" s="93" t="inlineStr">
        <is>
          <t>UPR1</t>
        </is>
      </c>
      <c r="C82" s="93" t="inlineStr">
        <is>
          <t>نرخ ماندگاری افراد یکتا</t>
        </is>
      </c>
      <c r="D82" s="93" t="inlineStr">
        <is>
          <t>جدید؛ کد غیرمتداخل</t>
        </is>
      </c>
      <c r="E82" s="93" t="inlineStr">
        <is>
          <t>صورت: افراد حاضر در هر دو مقطع؛ مخرج: اعضای فعال مبنا</t>
        </is>
      </c>
      <c r="F82" s="93" t="inlineStr"/>
      <c r="G82" s="93" t="inlineStr"/>
      <c r="H82" s="93" t="inlineStr"/>
      <c r="I82" s="93" t="inlineStr"/>
      <c r="J82" s="93" t="str">
        <f>IF(AND(ISNUMBER(H82),ISNUMBER(I82),I82&gt;0),H82/I82,"")</f>
        <v/>
      </c>
      <c r="K82" s="93" t="inlineStr">
        <is>
          <t>پنجره مشترک</t>
        </is>
      </c>
      <c r="L82" s="93" t="inlineStr">
        <is>
          <t>1403/12/29</t>
        </is>
      </c>
      <c r="M82" s="93" t="inlineStr">
        <is>
          <t>1404/12/29</t>
        </is>
      </c>
      <c r="N82" s="93" t="inlineStr">
        <is>
          <t>بله</t>
        </is>
      </c>
      <c r="O82" s="93" t="inlineStr">
        <is>
          <t>ناکافی</t>
        </is>
      </c>
      <c r="P82" s="93" t="inlineStr">
        <is>
          <t>منبع در دسترس نبود</t>
        </is>
      </c>
      <c r="Q82" s="93" t="inlineStr"/>
      <c r="R82" s="93" t="inlineStr"/>
      <c r="S82" s="93" t="inlineStr">
        <is>
          <t>فهرست اسمی مبنا در بسته شواهد v41 است که در این جلسه ارائه نشد؛ شمار تجمیعی مستر برای افراد یکتا کافی نیست</t>
        </is>
      </c>
      <c r="T82" s="93" t="inlineStr">
        <is>
          <t>Snapshot Members v42؛ Person Flows v42</t>
        </is>
      </c>
    </row>
    <row r="83" ht="44" customHeight="1" s="76">
      <c r="A83" s="92" t="inlineStr">
        <is>
          <t>شتران</t>
        </is>
      </c>
      <c r="B83" s="92" t="inlineStr">
        <is>
          <t>UPF1</t>
        </is>
      </c>
      <c r="C83" s="92" t="inlineStr">
        <is>
          <t>افراد یکتا در نمای مالی (FY1403 تا FY1404)</t>
        </is>
      </c>
      <c r="D83" s="92" t="inlineStr">
        <is>
          <t>جدید؛ نمای مالی</t>
        </is>
      </c>
      <c r="E83" s="92" t="inlineStr">
        <is>
          <t>همان سه نسبت UPX1 و UPN1 و UPR1 ولی بین پایان FY1403 و FY1404 هر شرکت؛ فقط با دو فهرست کامل معتبر</t>
        </is>
      </c>
      <c r="F83" s="92" t="inlineStr"/>
      <c r="G83" s="92" t="inlineStr"/>
      <c r="H83" s="92" t="inlineStr"/>
      <c r="I83" s="92" t="inlineStr"/>
      <c r="J83" s="92" t="str">
        <f>IF(AND(ISNUMBER(H83),ISNUMBER(I83),I83&gt;0),H83/I83,"")</f>
        <v/>
      </c>
      <c r="K83" s="92" t="inlineStr">
        <is>
          <t>نمای مالی</t>
        </is>
      </c>
      <c r="L83" s="92" t="inlineStr">
        <is>
          <t>1403/12/30</t>
        </is>
      </c>
      <c r="M83" s="92" t="inlineStr">
        <is>
          <t>1404/12/29</t>
        </is>
      </c>
      <c r="N83" s="92" t="inlineStr">
        <is>
          <t>بله</t>
        </is>
      </c>
      <c r="O83" s="92" t="inlineStr">
        <is>
          <t>ناکافی</t>
        </is>
      </c>
      <c r="P83" s="92" t="inlineStr">
        <is>
          <t>هنوز بررسی نشده</t>
        </is>
      </c>
      <c r="Q83" s="92" t="inlineStr"/>
      <c r="R83" s="92" t="inlineStr"/>
      <c r="S83" s="92" t="inlineStr">
        <is>
          <t>فهرست اسمی پایان FY1403 در فایل نیست؛ نتیجه نمای مالی نامشخص ماند و عدد پنجره مشترک جای آن نیامد</t>
        </is>
      </c>
      <c r="T83" s="92" t="inlineStr">
        <is>
          <t>Scope v42</t>
        </is>
      </c>
    </row>
    <row r="84" ht="48" customHeight="1" s="76">
      <c r="A84" s="93" t="inlineStr">
        <is>
          <t>وتجارت</t>
        </is>
      </c>
      <c r="B84" s="93" t="inlineStr">
        <is>
          <t>REF05</t>
        </is>
      </c>
      <c r="C84" s="93" t="inlineStr">
        <is>
          <t>گردش فردی مبتنی بر کرسی</t>
        </is>
      </c>
      <c r="D84" s="93" t="inlineStr">
        <is>
          <t>قدیمی؛ تعریف حفظ شده</t>
        </is>
      </c>
      <c r="E84" s="93" t="inlineStr">
        <is>
          <t>صورت: کرسی های قابل مقایسه که شخص نامبرده در دو مقطع فرق دارد؛ مخرج: کرسی های قابل مقایسه (مبنای نامبرده). کرسی حقیقی مستقیم در سطح فرد</t>
        </is>
      </c>
      <c r="F84" s="93" t="n">
        <v>1</v>
      </c>
      <c r="G84" s="93" t="n">
        <v>5</v>
      </c>
      <c r="H84" s="93" t="n">
        <v>1</v>
      </c>
      <c r="I84" s="93" t="n">
        <v>5</v>
      </c>
      <c r="J84" s="93">
        <f>IF(AND(ISNUMBER(H84),ISNUMBER(I84),I84&gt;0),H84/I84,"")</f>
        <v>0.2</v>
      </c>
      <c r="K84" s="93" t="inlineStr">
        <is>
          <t>پنجره مشترک</t>
        </is>
      </c>
      <c r="L84" s="93" t="inlineStr">
        <is>
          <t>1403/12/29</t>
        </is>
      </c>
      <c r="M84" s="93" t="inlineStr">
        <is>
          <t>1404/12/29</t>
        </is>
      </c>
      <c r="N84" s="93" t="inlineStr">
        <is>
          <t>بله</t>
        </is>
      </c>
      <c r="O84" s="93" t="inlineStr">
        <is>
          <t>مشروط</t>
        </is>
      </c>
      <c r="P84" s="93" t="inlineStr">
        <is>
          <t>تایید جزئی</t>
        </is>
      </c>
      <c r="Q84" s="93" t="inlineStr">
        <is>
          <t>1 از 5</t>
        </is>
      </c>
      <c r="R84" s="93" t="inlineStr">
        <is>
          <t>برابر</t>
        </is>
      </c>
      <c r="S84" s="93" t="inlineStr">
        <is>
          <t>بازتولید برابر است ولی فهرست پایان وتجارت مشروط است؛ خروج شریفیان قطعی نیست</t>
        </is>
      </c>
      <c r="T84" s="93" t="inlineStr">
        <is>
          <t>Turnover نهایی G12 و H12</t>
        </is>
      </c>
    </row>
    <row r="85" ht="48" customHeight="1" s="76">
      <c r="A85" s="92" t="inlineStr">
        <is>
          <t>وتجارت</t>
        </is>
      </c>
      <c r="B85" s="92" t="inlineStr">
        <is>
          <t>REF08</t>
        </is>
      </c>
      <c r="C85" s="92" t="inlineStr">
        <is>
          <t>تغییر نماینده با شخص حقوقی ثابت</t>
        </is>
      </c>
      <c r="D85" s="92" t="inlineStr">
        <is>
          <t>قدیمی؛ تعریف حفظ شده</t>
        </is>
      </c>
      <c r="E85" s="92" t="inlineStr">
        <is>
          <t>صورت: کرسی با همان شخص حقوقی که نماینده فرق دارد؛ مخرج: کرسی های با همان شخص حقوقی و نماینده معلوم در هر دو مقطع</t>
        </is>
      </c>
      <c r="F85" s="92" t="inlineStr"/>
      <c r="G85" s="92" t="inlineStr"/>
      <c r="H85" s="92" t="inlineStr"/>
      <c r="I85" s="92" t="inlineStr"/>
      <c r="J85" s="92" t="str">
        <f>IF(AND(ISNUMBER(H85),ISNUMBER(I85),I85&gt;0),H85/I85,"")</f>
        <v/>
      </c>
      <c r="K85" s="92" t="inlineStr">
        <is>
          <t>پنجره مشترک</t>
        </is>
      </c>
      <c r="L85" s="92" t="inlineStr">
        <is>
          <t>1403/12/29</t>
        </is>
      </c>
      <c r="M85" s="92" t="inlineStr">
        <is>
          <t>1404/12/29</t>
        </is>
      </c>
      <c r="N85" s="92" t="inlineStr">
        <is>
          <t>خیر: غیرقابل اعمال</t>
        </is>
      </c>
      <c r="O85" s="92" t="inlineStr">
        <is>
          <t>غیرقابل اعمال</t>
        </is>
      </c>
      <c r="P85" s="92" t="inlineStr">
        <is>
          <t>از نظر تعریف قابل اعمال نیست</t>
        </is>
      </c>
      <c r="Q85" s="92" t="inlineStr"/>
      <c r="R85" s="92" t="inlineStr"/>
      <c r="S85" s="92" t="inlineStr">
        <is>
          <t>کرسی ها عضو حقیقی مستقیم اند؛ شخص حقوقی دارنده وجود ندارد</t>
        </is>
      </c>
      <c r="T85" s="92" t="inlineStr">
        <is>
          <t>Turnover نهایی J12 و K12</t>
        </is>
      </c>
    </row>
    <row r="86" ht="48" customHeight="1" s="76">
      <c r="A86" s="92" t="inlineStr">
        <is>
          <t>وتجارت</t>
        </is>
      </c>
      <c r="B86" s="92" t="inlineStr">
        <is>
          <t>ROB_LEGAL</t>
        </is>
      </c>
      <c r="C86" s="92" t="inlineStr">
        <is>
          <t>تغییر شخص حقوقی دارنده کرسی</t>
        </is>
      </c>
      <c r="D86" s="92" t="inlineStr">
        <is>
          <t>قدیمی؛ تعریف حفظ شده</t>
        </is>
      </c>
      <c r="E86" s="92" t="inlineStr">
        <is>
          <t>صورت: کرسی هایی که شخص حقوقی دارنده فرق دارد؛ مخرج: کرسی های موجود در هر دو مقطع</t>
        </is>
      </c>
      <c r="F86" s="92" t="inlineStr"/>
      <c r="G86" s="92" t="inlineStr"/>
      <c r="H86" s="92" t="inlineStr"/>
      <c r="I86" s="92" t="inlineStr"/>
      <c r="J86" s="92" t="str">
        <f>IF(AND(ISNUMBER(H86),ISNUMBER(I86),I86&gt;0),H86/I86,"")</f>
        <v/>
      </c>
      <c r="K86" s="92" t="inlineStr">
        <is>
          <t>پنجره مشترک</t>
        </is>
      </c>
      <c r="L86" s="92" t="inlineStr">
        <is>
          <t>1403/12/29</t>
        </is>
      </c>
      <c r="M86" s="92" t="inlineStr">
        <is>
          <t>1404/12/29</t>
        </is>
      </c>
      <c r="N86" s="92" t="inlineStr">
        <is>
          <t>خیر: غیرقابل اعمال</t>
        </is>
      </c>
      <c r="O86" s="92" t="inlineStr">
        <is>
          <t>غیرقابل اعمال</t>
        </is>
      </c>
      <c r="P86" s="92" t="inlineStr">
        <is>
          <t>از نظر تعریف قابل اعمال نیست</t>
        </is>
      </c>
      <c r="Q86" s="92" t="inlineStr"/>
      <c r="R86" s="92" t="inlineStr"/>
      <c r="S86" s="92" t="inlineStr">
        <is>
          <t>کرسی ها عضو حقیقی مستقیم اند؛ شخص حقوقی دارنده وجود ندارد</t>
        </is>
      </c>
      <c r="T86" s="92" t="inlineStr">
        <is>
          <t>Turnover نهایی M12 و N12</t>
        </is>
      </c>
    </row>
    <row r="87" ht="48" customHeight="1" s="76">
      <c r="A87" s="93" t="inlineStr">
        <is>
          <t>وتجارت</t>
        </is>
      </c>
      <c r="B87" s="93" t="inlineStr">
        <is>
          <t>ROB_NEW</t>
        </is>
      </c>
      <c r="C87" s="93" t="inlineStr">
        <is>
          <t>سهم اعضای جدید</t>
        </is>
      </c>
      <c r="D87" s="93" t="inlineStr">
        <is>
          <t>قدیمی؛ تعریف حفظ شده</t>
        </is>
      </c>
      <c r="E87" s="93" t="inlineStr">
        <is>
          <t>صورت: افراد پایان که در مبنا نبودند؛ مخرج: افراد پایان</t>
        </is>
      </c>
      <c r="F87" s="93" t="n">
        <v>0</v>
      </c>
      <c r="G87" s="93" t="n">
        <v>4</v>
      </c>
      <c r="H87" s="93" t="n">
        <v>0</v>
      </c>
      <c r="I87" s="93" t="n">
        <v>4</v>
      </c>
      <c r="J87" s="93">
        <f>IF(AND(ISNUMBER(H87),ISNUMBER(I87),I87&gt;0),H87/I87,"")</f>
        <v>0.0</v>
      </c>
      <c r="K87" s="93" t="inlineStr">
        <is>
          <t>پنجره مشترک</t>
        </is>
      </c>
      <c r="L87" s="93" t="inlineStr">
        <is>
          <t>1403/12/29</t>
        </is>
      </c>
      <c r="M87" s="93" t="inlineStr">
        <is>
          <t>1404/12/29</t>
        </is>
      </c>
      <c r="N87" s="93" t="inlineStr">
        <is>
          <t>بله</t>
        </is>
      </c>
      <c r="O87" s="93" t="inlineStr">
        <is>
          <t>مشروط</t>
        </is>
      </c>
      <c r="P87" s="93" t="inlineStr">
        <is>
          <t>تایید جزئی</t>
        </is>
      </c>
      <c r="Q87" s="93" t="inlineStr">
        <is>
          <t>0 از 4</t>
        </is>
      </c>
      <c r="R87" s="93" t="inlineStr">
        <is>
          <t>برابر</t>
        </is>
      </c>
      <c r="S87" s="93" t="inlineStr">
        <is>
          <t>بازتولید برابر است ولی فهرست پایان وتجارت مشروط است؛ خروج شریفیان قطعی نیست</t>
        </is>
      </c>
      <c r="T87" s="93" t="inlineStr">
        <is>
          <t>Turnover نهایی P12 و Q12</t>
        </is>
      </c>
    </row>
    <row r="88" ht="48" customHeight="1" s="76">
      <c r="A88" s="93" t="inlineStr">
        <is>
          <t>وتجارت</t>
        </is>
      </c>
      <c r="B88" s="93" t="inlineStr">
        <is>
          <t>ROB_STABILITY</t>
        </is>
      </c>
      <c r="C88" s="93" t="inlineStr">
        <is>
          <t>ثبات کرسی با همان شخص</t>
        </is>
      </c>
      <c r="D88" s="93" t="inlineStr">
        <is>
          <t>قدیمی؛ تعریف حفظ شده</t>
        </is>
      </c>
      <c r="E88" s="93" t="inlineStr">
        <is>
          <t>صورت: کرسی های قابل مقایسه با همان شخص؛ مخرج: کرسی های قابل مقایسه</t>
        </is>
      </c>
      <c r="F88" s="93" t="n">
        <v>4</v>
      </c>
      <c r="G88" s="93" t="n">
        <v>5</v>
      </c>
      <c r="H88" s="93" t="n">
        <v>4</v>
      </c>
      <c r="I88" s="93" t="n">
        <v>5</v>
      </c>
      <c r="J88" s="93">
        <f>IF(AND(ISNUMBER(H88),ISNUMBER(I88),I88&gt;0),H88/I88,"")</f>
        <v>0.8</v>
      </c>
      <c r="K88" s="93" t="inlineStr">
        <is>
          <t>پنجره مشترک</t>
        </is>
      </c>
      <c r="L88" s="93" t="inlineStr">
        <is>
          <t>1403/12/29</t>
        </is>
      </c>
      <c r="M88" s="93" t="inlineStr">
        <is>
          <t>1404/12/29</t>
        </is>
      </c>
      <c r="N88" s="93" t="inlineStr">
        <is>
          <t>بله</t>
        </is>
      </c>
      <c r="O88" s="93" t="inlineStr">
        <is>
          <t>مشروط</t>
        </is>
      </c>
      <c r="P88" s="93" t="inlineStr">
        <is>
          <t>تایید جزئی</t>
        </is>
      </c>
      <c r="Q88" s="93" t="inlineStr">
        <is>
          <t>4 از 5</t>
        </is>
      </c>
      <c r="R88" s="93" t="inlineStr">
        <is>
          <t>برابر</t>
        </is>
      </c>
      <c r="S88" s="93" t="inlineStr">
        <is>
          <t>بازتولید برابر است ولی فهرست پایان وتجارت مشروط است؛ خروج شریفیان قطعی نیست</t>
        </is>
      </c>
      <c r="T88" s="93" t="inlineStr">
        <is>
          <t>Turnover نهایی S12 و T12</t>
        </is>
      </c>
    </row>
    <row r="89" ht="48" customHeight="1" s="76">
      <c r="A89" s="93" t="inlineStr">
        <is>
          <t>وتجارت</t>
        </is>
      </c>
      <c r="B89" s="93" t="inlineStr">
        <is>
          <t>CR1A</t>
        </is>
      </c>
      <c r="C89" s="93" t="inlineStr">
        <is>
          <t>تغییر رئیس هیئت مدیره بین دو مقطع</t>
        </is>
      </c>
      <c r="D89" s="93" t="inlineStr">
        <is>
          <t>قدیمی؛ تعریف حفظ شده</t>
        </is>
      </c>
      <c r="E89" s="93" t="inlineStr">
        <is>
          <t>صورت: 1 اگر هویت رئیس در دو مقطع فرق دارد؛ مخرج: 1. جدا از تعداد رویدادهای میانی</t>
        </is>
      </c>
      <c r="F89" s="93" t="n">
        <v>0</v>
      </c>
      <c r="G89" s="93" t="n">
        <v>1</v>
      </c>
      <c r="H89" s="93" t="n">
        <v>0</v>
      </c>
      <c r="I89" s="93" t="n">
        <v>1</v>
      </c>
      <c r="J89" s="93">
        <f>IF(AND(ISNUMBER(H89),ISNUMBER(I89),I89&gt;0),H89/I89,"")</f>
        <v>0.0</v>
      </c>
      <c r="K89" s="93" t="inlineStr">
        <is>
          <t>پنجره مشترک</t>
        </is>
      </c>
      <c r="L89" s="93" t="inlineStr">
        <is>
          <t>1403/12/29</t>
        </is>
      </c>
      <c r="M89" s="93" t="inlineStr">
        <is>
          <t>1404/12/29</t>
        </is>
      </c>
      <c r="N89" s="93" t="inlineStr">
        <is>
          <t>بله</t>
        </is>
      </c>
      <c r="O89" s="93" t="inlineStr">
        <is>
          <t>مشروط</t>
        </is>
      </c>
      <c r="P89" s="93" t="inlineStr">
        <is>
          <t>تایید جزئی</t>
        </is>
      </c>
      <c r="Q89" s="93" t="inlineStr">
        <is>
          <t>رئیس مبنا مرتضی ترک تبریزی؛ رئیس پایان مرتضی ترک تبریزی</t>
        </is>
      </c>
      <c r="R89" s="93" t="inlineStr">
        <is>
          <t>برابر</t>
        </is>
      </c>
      <c r="S89" s="93" t="inlineStr">
        <is>
          <t>مقایسه هویت رئیس در دو مقطع از بازسازی سطح کرسی v38؛ تعداد رویدادهای میانی جدا در Turnover Events v42</t>
        </is>
      </c>
      <c r="T89" s="93" t="inlineStr">
        <is>
          <t>Turnover نهایی V12؛ CR1A v39 ردیف 12</t>
        </is>
      </c>
    </row>
    <row r="90" ht="44" customHeight="1" s="76">
      <c r="A90" s="93" t="inlineStr">
        <is>
          <t>وتجارت</t>
        </is>
      </c>
      <c r="B90" s="93" t="inlineStr">
        <is>
          <t>UPX1</t>
        </is>
      </c>
      <c r="C90" s="93" t="inlineStr">
        <is>
          <t>نرخ خروج افراد یکتا</t>
        </is>
      </c>
      <c r="D90" s="93" t="inlineStr">
        <is>
          <t>جدید؛ کد غیرمتداخل</t>
        </is>
      </c>
      <c r="E90" s="93" t="inlineStr">
        <is>
          <t>صورت: افراد حاضر در مبنا و غایب در پایان؛ مخرج: اعضای فعال مبنا</t>
        </is>
      </c>
      <c r="F90" s="93" t="inlineStr"/>
      <c r="G90" s="93" t="inlineStr"/>
      <c r="H90" s="93" t="inlineStr"/>
      <c r="I90" s="93" t="inlineStr"/>
      <c r="J90" s="93" t="str">
        <f>IF(AND(ISNUMBER(H90),ISNUMBER(I90),I90&gt;0),H90/I90,"")</f>
        <v/>
      </c>
      <c r="K90" s="93" t="inlineStr">
        <is>
          <t>پنجره مشترک</t>
        </is>
      </c>
      <c r="L90" s="93" t="inlineStr">
        <is>
          <t>1403/12/29</t>
        </is>
      </c>
      <c r="M90" s="93" t="inlineStr">
        <is>
          <t>1404/12/29</t>
        </is>
      </c>
      <c r="N90" s="93" t="inlineStr">
        <is>
          <t>بله</t>
        </is>
      </c>
      <c r="O90" s="93" t="inlineStr">
        <is>
          <t>مشروط</t>
        </is>
      </c>
      <c r="P90" s="93" t="inlineStr">
        <is>
          <t>تایید جزئی</t>
        </is>
      </c>
      <c r="Q90" s="93" t="inlineStr"/>
      <c r="R90" s="93" t="inlineStr"/>
      <c r="S90" s="93" t="inlineStr">
        <is>
          <t>فهرست پایان مشروط است؛ نسبت دقیق کل هیئت ساخته نشد. اگر خروج شریفیان تایید شود خروج 1 از 5 و ماندگاری 4 از 5 است</t>
        </is>
      </c>
      <c r="T90" s="93" t="inlineStr">
        <is>
          <t>Snapshot Members v42؛ Person Flows v42</t>
        </is>
      </c>
    </row>
    <row r="91" ht="44" customHeight="1" s="76">
      <c r="A91" s="93" t="inlineStr">
        <is>
          <t>وتجارت</t>
        </is>
      </c>
      <c r="B91" s="93" t="inlineStr">
        <is>
          <t>UPN1</t>
        </is>
      </c>
      <c r="C91" s="93" t="inlineStr">
        <is>
          <t>سهم افراد واردشده</t>
        </is>
      </c>
      <c r="D91" s="93" t="inlineStr">
        <is>
          <t>جدید؛ کد غیرمتداخل</t>
        </is>
      </c>
      <c r="E91" s="93" t="inlineStr">
        <is>
          <t>صورت: افراد حاضر در پایان و غایب در مبنا؛ مخرج: اعضای فعال پایان</t>
        </is>
      </c>
      <c r="F91" s="93" t="inlineStr"/>
      <c r="G91" s="93" t="inlineStr"/>
      <c r="H91" s="93" t="inlineStr"/>
      <c r="I91" s="93" t="inlineStr"/>
      <c r="J91" s="93" t="str">
        <f>IF(AND(ISNUMBER(H91),ISNUMBER(I91),I91&gt;0),H91/I91,"")</f>
        <v/>
      </c>
      <c r="K91" s="93" t="inlineStr">
        <is>
          <t>پنجره مشترک</t>
        </is>
      </c>
      <c r="L91" s="93" t="inlineStr">
        <is>
          <t>1403/12/29</t>
        </is>
      </c>
      <c r="M91" s="93" t="inlineStr">
        <is>
          <t>1404/12/29</t>
        </is>
      </c>
      <c r="N91" s="93" t="inlineStr">
        <is>
          <t>بله</t>
        </is>
      </c>
      <c r="O91" s="93" t="inlineStr">
        <is>
          <t>مشروط</t>
        </is>
      </c>
      <c r="P91" s="93" t="inlineStr">
        <is>
          <t>تایید جزئی</t>
        </is>
      </c>
      <c r="Q91" s="93" t="inlineStr"/>
      <c r="R91" s="93" t="inlineStr"/>
      <c r="S91" s="93" t="inlineStr">
        <is>
          <t>فهرست پایان مشروط است؛ نسبت دقیق کل هیئت ساخته نشد. اگر خروج شریفیان تایید شود خروج 1 از 5 و ماندگاری 4 از 5 است</t>
        </is>
      </c>
      <c r="T91" s="93" t="inlineStr">
        <is>
          <t>Snapshot Members v42؛ Person Flows v42</t>
        </is>
      </c>
    </row>
    <row r="92" ht="44" customHeight="1" s="76">
      <c r="A92" s="93" t="inlineStr">
        <is>
          <t>وتجارت</t>
        </is>
      </c>
      <c r="B92" s="93" t="inlineStr">
        <is>
          <t>UPR1</t>
        </is>
      </c>
      <c r="C92" s="93" t="inlineStr">
        <is>
          <t>نرخ ماندگاری افراد یکتا</t>
        </is>
      </c>
      <c r="D92" s="93" t="inlineStr">
        <is>
          <t>جدید؛ کد غیرمتداخل</t>
        </is>
      </c>
      <c r="E92" s="93" t="inlineStr">
        <is>
          <t>صورت: افراد حاضر در هر دو مقطع؛ مخرج: اعضای فعال مبنا</t>
        </is>
      </c>
      <c r="F92" s="93" t="inlineStr"/>
      <c r="G92" s="93" t="inlineStr"/>
      <c r="H92" s="93" t="inlineStr"/>
      <c r="I92" s="93" t="inlineStr"/>
      <c r="J92" s="93" t="str">
        <f>IF(AND(ISNUMBER(H92),ISNUMBER(I92),I92&gt;0),H92/I92,"")</f>
        <v/>
      </c>
      <c r="K92" s="93" t="inlineStr">
        <is>
          <t>پنجره مشترک</t>
        </is>
      </c>
      <c r="L92" s="93" t="inlineStr">
        <is>
          <t>1403/12/29</t>
        </is>
      </c>
      <c r="M92" s="93" t="inlineStr">
        <is>
          <t>1404/12/29</t>
        </is>
      </c>
      <c r="N92" s="93" t="inlineStr">
        <is>
          <t>بله</t>
        </is>
      </c>
      <c r="O92" s="93" t="inlineStr">
        <is>
          <t>مشروط</t>
        </is>
      </c>
      <c r="P92" s="93" t="inlineStr">
        <is>
          <t>تایید جزئی</t>
        </is>
      </c>
      <c r="Q92" s="93" t="inlineStr"/>
      <c r="R92" s="93" t="inlineStr"/>
      <c r="S92" s="93" t="inlineStr">
        <is>
          <t>فهرست پایان مشروط است؛ نسبت دقیق کل هیئت ساخته نشد. اگر خروج شریفیان تایید شود خروج 1 از 5 و ماندگاری 4 از 5 است</t>
        </is>
      </c>
      <c r="T92" s="93" t="inlineStr">
        <is>
          <t>Snapshot Members v42؛ Person Flows v42</t>
        </is>
      </c>
    </row>
    <row r="93" ht="44" customHeight="1" s="76">
      <c r="A93" s="92" t="inlineStr">
        <is>
          <t>وتجارت</t>
        </is>
      </c>
      <c r="B93" s="92" t="inlineStr">
        <is>
          <t>UPF1</t>
        </is>
      </c>
      <c r="C93" s="92" t="inlineStr">
        <is>
          <t>افراد یکتا در نمای مالی (FY1403 تا FY1404)</t>
        </is>
      </c>
      <c r="D93" s="92" t="inlineStr">
        <is>
          <t>جدید؛ نمای مالی</t>
        </is>
      </c>
      <c r="E93" s="92" t="inlineStr">
        <is>
          <t>همان سه نسبت UPX1 و UPN1 و UPR1 ولی بین پایان FY1403 و FY1404 هر شرکت؛ فقط با دو فهرست کامل معتبر</t>
        </is>
      </c>
      <c r="F93" s="92" t="inlineStr"/>
      <c r="G93" s="92" t="inlineStr"/>
      <c r="H93" s="92" t="inlineStr"/>
      <c r="I93" s="92" t="inlineStr"/>
      <c r="J93" s="92" t="str">
        <f>IF(AND(ISNUMBER(H93),ISNUMBER(I93),I93&gt;0),H93/I93,"")</f>
        <v/>
      </c>
      <c r="K93" s="92" t="inlineStr">
        <is>
          <t>نمای مالی</t>
        </is>
      </c>
      <c r="L93" s="92" t="inlineStr">
        <is>
          <t>1403/12/30</t>
        </is>
      </c>
      <c r="M93" s="92" t="inlineStr">
        <is>
          <t>1404/12/29</t>
        </is>
      </c>
      <c r="N93" s="92" t="inlineStr">
        <is>
          <t>بله</t>
        </is>
      </c>
      <c r="O93" s="92" t="inlineStr">
        <is>
          <t>ناکافی</t>
        </is>
      </c>
      <c r="P93" s="92" t="inlineStr">
        <is>
          <t>هنوز بررسی نشده</t>
        </is>
      </c>
      <c r="Q93" s="92" t="inlineStr"/>
      <c r="R93" s="92" t="inlineStr"/>
      <c r="S93" s="92" t="inlineStr">
        <is>
          <t>فهرست اسمی پایان FY1403 در فایل نیست؛ نتیجه نمای مالی نامشخص ماند و عدد پنجره مشترک جای آن نیامد</t>
        </is>
      </c>
      <c r="T93" s="92" t="inlineStr">
        <is>
          <t>Scope v42</t>
        </is>
      </c>
    </row>
    <row r="94" ht="48" customHeight="1" s="76">
      <c r="A94" s="92" t="inlineStr">
        <is>
          <t>رمپنا</t>
        </is>
      </c>
      <c r="B94" s="92" t="inlineStr">
        <is>
          <t>REF05</t>
        </is>
      </c>
      <c r="C94" s="92" t="inlineStr">
        <is>
          <t>گردش فردی مبتنی بر کرسی</t>
        </is>
      </c>
      <c r="D94" s="92" t="inlineStr">
        <is>
          <t>قدیمی؛ تعریف حفظ شده</t>
        </is>
      </c>
      <c r="E94" s="92" t="inlineStr">
        <is>
          <t>صورت: کرسی های قابل مقایسه که شخص نامبرده در دو مقطع فرق دارد؛ مخرج: کرسی های قابل مقایسه (مبنای نامبرده). کرسی حقیقی مستقیم در سطح فرد</t>
        </is>
      </c>
      <c r="F94" s="92" t="n">
        <v>2</v>
      </c>
      <c r="G94" s="92" t="n">
        <v>5</v>
      </c>
      <c r="H94" s="92" t="n">
        <v>2</v>
      </c>
      <c r="I94" s="92" t="n">
        <v>5</v>
      </c>
      <c r="J94" s="92">
        <f>IF(AND(ISNUMBER(H94),ISNUMBER(I94),I94&gt;0),H94/I94,"")</f>
        <v>0.4</v>
      </c>
      <c r="K94" s="92" t="inlineStr">
        <is>
          <t>پنجره مشترک</t>
        </is>
      </c>
      <c r="L94" s="92" t="inlineStr">
        <is>
          <t>1403/12/29</t>
        </is>
      </c>
      <c r="M94" s="92" t="inlineStr">
        <is>
          <t>1404/12/29</t>
        </is>
      </c>
      <c r="N94" s="92" t="inlineStr">
        <is>
          <t>بله</t>
        </is>
      </c>
      <c r="O94" s="92" t="inlineStr">
        <is>
          <t>کامل ارثی</t>
        </is>
      </c>
      <c r="P94" s="92" t="inlineStr">
        <is>
          <t>تایید جزئی</t>
        </is>
      </c>
      <c r="Q94" s="92" t="inlineStr"/>
      <c r="R94" s="92" t="inlineStr">
        <is>
          <t>بازتولید ممکن نشد</t>
        </is>
      </c>
      <c r="S94" s="92" t="inlineStr">
        <is>
          <t>ارثی از مستر؛ فهرست اسمی دو مقطع در دسترس نیست و بازتولید اسمی ممکن نشد</t>
        </is>
      </c>
      <c r="T94" s="92" t="inlineStr">
        <is>
          <t>Turnover نهایی G13 و H13</t>
        </is>
      </c>
    </row>
    <row r="95" ht="48" customHeight="1" s="76">
      <c r="A95" s="92" t="inlineStr">
        <is>
          <t>رمپنا</t>
        </is>
      </c>
      <c r="B95" s="92" t="inlineStr">
        <is>
          <t>REF08</t>
        </is>
      </c>
      <c r="C95" s="92" t="inlineStr">
        <is>
          <t>تغییر نماینده با شخص حقوقی ثابت</t>
        </is>
      </c>
      <c r="D95" s="92" t="inlineStr">
        <is>
          <t>قدیمی؛ تعریف حفظ شده</t>
        </is>
      </c>
      <c r="E95" s="92" t="inlineStr">
        <is>
          <t>صورت: کرسی با همان شخص حقوقی که نماینده فرق دارد؛ مخرج: کرسی های با همان شخص حقوقی و نماینده معلوم در هر دو مقطع</t>
        </is>
      </c>
      <c r="F95" s="92" t="n">
        <v>1</v>
      </c>
      <c r="G95" s="92" t="n">
        <v>1</v>
      </c>
      <c r="H95" s="92" t="n">
        <v>1</v>
      </c>
      <c r="I95" s="92" t="n">
        <v>1</v>
      </c>
      <c r="J95" s="92">
        <f>IF(AND(ISNUMBER(H95),ISNUMBER(I95),I95&gt;0),H95/I95,"")</f>
        <v>1.0</v>
      </c>
      <c r="K95" s="92" t="inlineStr">
        <is>
          <t>پنجره مشترک</t>
        </is>
      </c>
      <c r="L95" s="92" t="inlineStr">
        <is>
          <t>1403/12/29</t>
        </is>
      </c>
      <c r="M95" s="92" t="inlineStr">
        <is>
          <t>1404/12/29</t>
        </is>
      </c>
      <c r="N95" s="92" t="inlineStr">
        <is>
          <t>بله</t>
        </is>
      </c>
      <c r="O95" s="92" t="inlineStr">
        <is>
          <t>کامل ارثی</t>
        </is>
      </c>
      <c r="P95" s="92" t="inlineStr">
        <is>
          <t>تایید جزئی</t>
        </is>
      </c>
      <c r="Q95" s="92" t="inlineStr"/>
      <c r="R95" s="92" t="inlineStr">
        <is>
          <t>بازتولید ممکن نشد</t>
        </is>
      </c>
      <c r="S95" s="92" t="inlineStr">
        <is>
          <t>ارثی از مستر؛ فهرست اسمی دو مقطع در دسترس نیست و بازتولید اسمی ممکن نشد</t>
        </is>
      </c>
      <c r="T95" s="92" t="inlineStr">
        <is>
          <t>Turnover نهایی J13 و K13</t>
        </is>
      </c>
    </row>
    <row r="96" ht="48" customHeight="1" s="76">
      <c r="A96" s="92" t="inlineStr">
        <is>
          <t>رمپنا</t>
        </is>
      </c>
      <c r="B96" s="92" t="inlineStr">
        <is>
          <t>ROB_LEGAL</t>
        </is>
      </c>
      <c r="C96" s="92" t="inlineStr">
        <is>
          <t>تغییر شخص حقوقی دارنده کرسی</t>
        </is>
      </c>
      <c r="D96" s="92" t="inlineStr">
        <is>
          <t>قدیمی؛ تعریف حفظ شده</t>
        </is>
      </c>
      <c r="E96" s="92" t="inlineStr">
        <is>
          <t>صورت: کرسی هایی که شخص حقوقی دارنده فرق دارد؛ مخرج: کرسی های موجود در هر دو مقطع</t>
        </is>
      </c>
      <c r="F96" s="92" t="n">
        <v>4</v>
      </c>
      <c r="G96" s="92" t="n">
        <v>5</v>
      </c>
      <c r="H96" s="92" t="n">
        <v>4</v>
      </c>
      <c r="I96" s="92" t="n">
        <v>5</v>
      </c>
      <c r="J96" s="92">
        <f>IF(AND(ISNUMBER(H96),ISNUMBER(I96),I96&gt;0),H96/I96,"")</f>
        <v>0.8</v>
      </c>
      <c r="K96" s="92" t="inlineStr">
        <is>
          <t>پنجره مشترک</t>
        </is>
      </c>
      <c r="L96" s="92" t="inlineStr">
        <is>
          <t>1403/12/29</t>
        </is>
      </c>
      <c r="M96" s="92" t="inlineStr">
        <is>
          <t>1404/12/29</t>
        </is>
      </c>
      <c r="N96" s="92" t="inlineStr">
        <is>
          <t>بله</t>
        </is>
      </c>
      <c r="O96" s="92" t="inlineStr">
        <is>
          <t>کامل ارثی</t>
        </is>
      </c>
      <c r="P96" s="92" t="inlineStr">
        <is>
          <t>تایید جزئی</t>
        </is>
      </c>
      <c r="Q96" s="92" t="inlineStr"/>
      <c r="R96" s="92" t="inlineStr">
        <is>
          <t>بازتولید ممکن نشد</t>
        </is>
      </c>
      <c r="S96" s="92" t="inlineStr">
        <is>
          <t>ارثی از مستر؛ فهرست اسمی دو مقطع در دسترس نیست و بازتولید اسمی ممکن نشد</t>
        </is>
      </c>
      <c r="T96" s="92" t="inlineStr">
        <is>
          <t>Turnover نهایی M13 و N13</t>
        </is>
      </c>
    </row>
    <row r="97" ht="48" customHeight="1" s="76">
      <c r="A97" s="92" t="inlineStr">
        <is>
          <t>رمپنا</t>
        </is>
      </c>
      <c r="B97" s="92" t="inlineStr">
        <is>
          <t>ROB_NEW</t>
        </is>
      </c>
      <c r="C97" s="92" t="inlineStr">
        <is>
          <t>سهم اعضای جدید</t>
        </is>
      </c>
      <c r="D97" s="92" t="inlineStr">
        <is>
          <t>قدیمی؛ تعریف حفظ شده</t>
        </is>
      </c>
      <c r="E97" s="92" t="inlineStr">
        <is>
          <t>صورت: افراد پایان که در مبنا نبودند؛ مخرج: افراد پایان</t>
        </is>
      </c>
      <c r="F97" s="92" t="n">
        <v>2</v>
      </c>
      <c r="G97" s="92" t="n">
        <v>5</v>
      </c>
      <c r="H97" s="92" t="n">
        <v>2</v>
      </c>
      <c r="I97" s="92" t="n">
        <v>5</v>
      </c>
      <c r="J97" s="92">
        <f>IF(AND(ISNUMBER(H97),ISNUMBER(I97),I97&gt;0),H97/I97,"")</f>
        <v>0.4</v>
      </c>
      <c r="K97" s="92" t="inlineStr">
        <is>
          <t>پنجره مشترک</t>
        </is>
      </c>
      <c r="L97" s="92" t="inlineStr">
        <is>
          <t>1403/12/29</t>
        </is>
      </c>
      <c r="M97" s="92" t="inlineStr">
        <is>
          <t>1404/12/29</t>
        </is>
      </c>
      <c r="N97" s="92" t="inlineStr">
        <is>
          <t>بله</t>
        </is>
      </c>
      <c r="O97" s="92" t="inlineStr">
        <is>
          <t>کامل ارثی</t>
        </is>
      </c>
      <c r="P97" s="92" t="inlineStr">
        <is>
          <t>تایید جزئی</t>
        </is>
      </c>
      <c r="Q97" s="92" t="inlineStr"/>
      <c r="R97" s="92" t="inlineStr">
        <is>
          <t>بازتولید ممکن نشد</t>
        </is>
      </c>
      <c r="S97" s="92" t="inlineStr">
        <is>
          <t>ارثی از مستر؛ فهرست اسمی دو مقطع در دسترس نیست و بازتولید اسمی ممکن نشد</t>
        </is>
      </c>
      <c r="T97" s="92" t="inlineStr">
        <is>
          <t>Turnover نهایی P13 و Q13</t>
        </is>
      </c>
    </row>
    <row r="98" ht="48" customHeight="1" s="76">
      <c r="A98" s="92" t="inlineStr">
        <is>
          <t>رمپنا</t>
        </is>
      </c>
      <c r="B98" s="92" t="inlineStr">
        <is>
          <t>ROB_STABILITY</t>
        </is>
      </c>
      <c r="C98" s="92" t="inlineStr">
        <is>
          <t>ثبات کرسی با همان شخص</t>
        </is>
      </c>
      <c r="D98" s="92" t="inlineStr">
        <is>
          <t>قدیمی؛ تعریف حفظ شده</t>
        </is>
      </c>
      <c r="E98" s="92" t="inlineStr">
        <is>
          <t>صورت: کرسی های قابل مقایسه با همان شخص؛ مخرج: کرسی های قابل مقایسه</t>
        </is>
      </c>
      <c r="F98" s="92" t="n">
        <v>3</v>
      </c>
      <c r="G98" s="92" t="n">
        <v>5</v>
      </c>
      <c r="H98" s="92" t="n">
        <v>3</v>
      </c>
      <c r="I98" s="92" t="n">
        <v>5</v>
      </c>
      <c r="J98" s="92">
        <f>IF(AND(ISNUMBER(H98),ISNUMBER(I98),I98&gt;0),H98/I98,"")</f>
        <v>0.6</v>
      </c>
      <c r="K98" s="92" t="inlineStr">
        <is>
          <t>پنجره مشترک</t>
        </is>
      </c>
      <c r="L98" s="92" t="inlineStr">
        <is>
          <t>1403/12/29</t>
        </is>
      </c>
      <c r="M98" s="92" t="inlineStr">
        <is>
          <t>1404/12/29</t>
        </is>
      </c>
      <c r="N98" s="92" t="inlineStr">
        <is>
          <t>بله</t>
        </is>
      </c>
      <c r="O98" s="92" t="inlineStr">
        <is>
          <t>کامل ارثی</t>
        </is>
      </c>
      <c r="P98" s="92" t="inlineStr">
        <is>
          <t>تایید جزئی</t>
        </is>
      </c>
      <c r="Q98" s="92" t="inlineStr"/>
      <c r="R98" s="92" t="inlineStr">
        <is>
          <t>بازتولید ممکن نشد</t>
        </is>
      </c>
      <c r="S98" s="92" t="inlineStr">
        <is>
          <t>ارثی از مستر؛ فهرست اسمی دو مقطع در دسترس نیست و بازتولید اسمی ممکن نشد</t>
        </is>
      </c>
      <c r="T98" s="92" t="inlineStr">
        <is>
          <t>Turnover نهایی S13 و T13</t>
        </is>
      </c>
    </row>
    <row r="99" ht="48" customHeight="1" s="76">
      <c r="A99" s="93" t="inlineStr">
        <is>
          <t>رمپنا</t>
        </is>
      </c>
      <c r="B99" s="93" t="inlineStr">
        <is>
          <t>CR1A</t>
        </is>
      </c>
      <c r="C99" s="93" t="inlineStr">
        <is>
          <t>تغییر رئیس هیئت مدیره بین دو مقطع</t>
        </is>
      </c>
      <c r="D99" s="93" t="inlineStr">
        <is>
          <t>قدیمی؛ تعریف حفظ شده</t>
        </is>
      </c>
      <c r="E99" s="93" t="inlineStr">
        <is>
          <t>صورت: 1 اگر هویت رئیس در دو مقطع فرق دارد؛ مخرج: 1. جدا از تعداد رویدادهای میانی</t>
        </is>
      </c>
      <c r="F99" s="93" t="inlineStr"/>
      <c r="G99" s="93" t="inlineStr"/>
      <c r="H99" s="93" t="inlineStr"/>
      <c r="I99" s="93" t="inlineStr"/>
      <c r="J99" s="93" t="str">
        <f>IF(AND(ISNUMBER(H99),ISNUMBER(I99),I99&gt;0),H99/I99,"")</f>
        <v/>
      </c>
      <c r="K99" s="93" t="inlineStr">
        <is>
          <t>پنجره مشترک</t>
        </is>
      </c>
      <c r="L99" s="93" t="inlineStr">
        <is>
          <t>1403/12/29</t>
        </is>
      </c>
      <c r="M99" s="93" t="inlineStr">
        <is>
          <t>1404/12/29</t>
        </is>
      </c>
      <c r="N99" s="93" t="inlineStr">
        <is>
          <t>بله</t>
        </is>
      </c>
      <c r="O99" s="93" t="inlineStr">
        <is>
          <t>پشتیبانی غیرمستقیم</t>
        </is>
      </c>
      <c r="P99" s="93" t="inlineStr">
        <is>
          <t>تایید جزئی</t>
        </is>
      </c>
      <c r="Q99" s="93" t="inlineStr">
        <is>
          <t>رئیس پایان: محمدرضا اولی (از 1404/02/21)؛ رئیس مبنا نامعلوم</t>
        </is>
      </c>
      <c r="R99" s="93" t="inlineStr">
        <is>
          <t>مستر نامشخص بود</t>
        </is>
      </c>
      <c r="S99" s="93" t="inlineStr">
        <is>
          <t>عضویت و ریاست رئیس پایان پس از مبنا آغاز شده؛ تغییر بله غیرمستقیم؛ هویت رئیس مبنا نیازمند اطلاعیه 1203308 و 1343229</t>
        </is>
      </c>
      <c r="T99" s="93" t="inlineStr">
        <is>
          <t>Turnover نهایی V13؛ CR1A v39 ردیف 13</t>
        </is>
      </c>
    </row>
    <row r="100" ht="44" customHeight="1" s="76">
      <c r="A100" s="93" t="inlineStr">
        <is>
          <t>رمپنا</t>
        </is>
      </c>
      <c r="B100" s="93" t="inlineStr">
        <is>
          <t>UPX1</t>
        </is>
      </c>
      <c r="C100" s="93" t="inlineStr">
        <is>
          <t>نرخ خروج افراد یکتا</t>
        </is>
      </c>
      <c r="D100" s="93" t="inlineStr">
        <is>
          <t>جدید؛ کد غیرمتداخل</t>
        </is>
      </c>
      <c r="E100" s="93" t="inlineStr">
        <is>
          <t>صورت: افراد حاضر در مبنا و غایب در پایان؛ مخرج: اعضای فعال مبنا</t>
        </is>
      </c>
      <c r="F100" s="93" t="inlineStr"/>
      <c r="G100" s="93" t="inlineStr"/>
      <c r="H100" s="93" t="inlineStr"/>
      <c r="I100" s="93" t="inlineStr"/>
      <c r="J100" s="93" t="str">
        <f>IF(AND(ISNUMBER(H100),ISNUMBER(I100),I100&gt;0),H100/I100,"")</f>
        <v/>
      </c>
      <c r="K100" s="93" t="inlineStr">
        <is>
          <t>پنجره مشترک</t>
        </is>
      </c>
      <c r="L100" s="93" t="inlineStr">
        <is>
          <t>1403/12/29</t>
        </is>
      </c>
      <c r="M100" s="93" t="inlineStr">
        <is>
          <t>1404/12/29</t>
        </is>
      </c>
      <c r="N100" s="93" t="inlineStr">
        <is>
          <t>بله</t>
        </is>
      </c>
      <c r="O100" s="93" t="inlineStr">
        <is>
          <t>ناکافی</t>
        </is>
      </c>
      <c r="P100" s="93" t="inlineStr">
        <is>
          <t>منبع در دسترس نبود</t>
        </is>
      </c>
      <c r="Q100" s="93" t="inlineStr"/>
      <c r="R100" s="93" t="inlineStr"/>
      <c r="S100" s="93" t="inlineStr">
        <is>
          <t>فهرست اسمی مبنا در بسته شواهد v41 است که در این جلسه ارائه نشد؛ شمار تجمیعی مستر برای افراد یکتا کافی نیست</t>
        </is>
      </c>
      <c r="T100" s="93" t="inlineStr">
        <is>
          <t>Snapshot Members v42؛ Person Flows v42</t>
        </is>
      </c>
    </row>
    <row r="101" ht="44" customHeight="1" s="76">
      <c r="A101" s="93" t="inlineStr">
        <is>
          <t>رمپنا</t>
        </is>
      </c>
      <c r="B101" s="93" t="inlineStr">
        <is>
          <t>UPN1</t>
        </is>
      </c>
      <c r="C101" s="93" t="inlineStr">
        <is>
          <t>سهم افراد واردشده</t>
        </is>
      </c>
      <c r="D101" s="93" t="inlineStr">
        <is>
          <t>جدید؛ کد غیرمتداخل</t>
        </is>
      </c>
      <c r="E101" s="93" t="inlineStr">
        <is>
          <t>صورت: افراد حاضر در پایان و غایب در مبنا؛ مخرج: اعضای فعال پایان</t>
        </is>
      </c>
      <c r="F101" s="93" t="inlineStr"/>
      <c r="G101" s="93" t="inlineStr"/>
      <c r="H101" s="93" t="inlineStr"/>
      <c r="I101" s="93" t="inlineStr"/>
      <c r="J101" s="93" t="str">
        <f>IF(AND(ISNUMBER(H101),ISNUMBER(I101),I101&gt;0),H101/I101,"")</f>
        <v/>
      </c>
      <c r="K101" s="93" t="inlineStr">
        <is>
          <t>پنجره مشترک</t>
        </is>
      </c>
      <c r="L101" s="93" t="inlineStr">
        <is>
          <t>1403/12/29</t>
        </is>
      </c>
      <c r="M101" s="93" t="inlineStr">
        <is>
          <t>1404/12/29</t>
        </is>
      </c>
      <c r="N101" s="93" t="inlineStr">
        <is>
          <t>بله</t>
        </is>
      </c>
      <c r="O101" s="93" t="inlineStr">
        <is>
          <t>ناکافی</t>
        </is>
      </c>
      <c r="P101" s="93" t="inlineStr">
        <is>
          <t>منبع در دسترس نبود</t>
        </is>
      </c>
      <c r="Q101" s="93" t="inlineStr"/>
      <c r="R101" s="93" t="inlineStr"/>
      <c r="S101" s="93" t="inlineStr">
        <is>
          <t>فهرست اسمی مبنا در بسته شواهد v41 است که در این جلسه ارائه نشد؛ شمار تجمیعی مستر برای افراد یکتا کافی نیست</t>
        </is>
      </c>
      <c r="T101" s="93" t="inlineStr">
        <is>
          <t>Snapshot Members v42؛ Person Flows v42</t>
        </is>
      </c>
    </row>
    <row r="102" ht="44" customHeight="1" s="76">
      <c r="A102" s="93" t="inlineStr">
        <is>
          <t>رمپنا</t>
        </is>
      </c>
      <c r="B102" s="93" t="inlineStr">
        <is>
          <t>UPR1</t>
        </is>
      </c>
      <c r="C102" s="93" t="inlineStr">
        <is>
          <t>نرخ ماندگاری افراد یکتا</t>
        </is>
      </c>
      <c r="D102" s="93" t="inlineStr">
        <is>
          <t>جدید؛ کد غیرمتداخل</t>
        </is>
      </c>
      <c r="E102" s="93" t="inlineStr">
        <is>
          <t>صورت: افراد حاضر در هر دو مقطع؛ مخرج: اعضای فعال مبنا</t>
        </is>
      </c>
      <c r="F102" s="93" t="inlineStr"/>
      <c r="G102" s="93" t="inlineStr"/>
      <c r="H102" s="93" t="inlineStr"/>
      <c r="I102" s="93" t="inlineStr"/>
      <c r="J102" s="93" t="str">
        <f>IF(AND(ISNUMBER(H102),ISNUMBER(I102),I102&gt;0),H102/I102,"")</f>
        <v/>
      </c>
      <c r="K102" s="93" t="inlineStr">
        <is>
          <t>پنجره مشترک</t>
        </is>
      </c>
      <c r="L102" s="93" t="inlineStr">
        <is>
          <t>1403/12/29</t>
        </is>
      </c>
      <c r="M102" s="93" t="inlineStr">
        <is>
          <t>1404/12/29</t>
        </is>
      </c>
      <c r="N102" s="93" t="inlineStr">
        <is>
          <t>بله</t>
        </is>
      </c>
      <c r="O102" s="93" t="inlineStr">
        <is>
          <t>ناکافی</t>
        </is>
      </c>
      <c r="P102" s="93" t="inlineStr">
        <is>
          <t>منبع در دسترس نبود</t>
        </is>
      </c>
      <c r="Q102" s="93" t="inlineStr"/>
      <c r="R102" s="93" t="inlineStr"/>
      <c r="S102" s="93" t="inlineStr">
        <is>
          <t>فهرست اسمی مبنا در بسته شواهد v41 است که در این جلسه ارائه نشد؛ شمار تجمیعی مستر برای افراد یکتا کافی نیست</t>
        </is>
      </c>
      <c r="T102" s="93" t="inlineStr">
        <is>
          <t>Snapshot Members v42؛ Person Flows v42</t>
        </is>
      </c>
    </row>
    <row r="103" ht="44" customHeight="1" s="76">
      <c r="A103" s="92" t="inlineStr">
        <is>
          <t>رمپنا</t>
        </is>
      </c>
      <c r="B103" s="92" t="inlineStr">
        <is>
          <t>UPF1</t>
        </is>
      </c>
      <c r="C103" s="92" t="inlineStr">
        <is>
          <t>افراد یکتا در نمای مالی (FY1403 تا FY1404)</t>
        </is>
      </c>
      <c r="D103" s="92" t="inlineStr">
        <is>
          <t>جدید؛ نمای مالی</t>
        </is>
      </c>
      <c r="E103" s="92" t="inlineStr">
        <is>
          <t>همان سه نسبت UPX1 و UPN1 و UPR1 ولی بین پایان FY1403 و FY1404 هر شرکت؛ فقط با دو فهرست کامل معتبر</t>
        </is>
      </c>
      <c r="F103" s="92" t="inlineStr"/>
      <c r="G103" s="92" t="inlineStr"/>
      <c r="H103" s="92" t="inlineStr"/>
      <c r="I103" s="92" t="inlineStr"/>
      <c r="J103" s="92" t="str">
        <f>IF(AND(ISNUMBER(H103),ISNUMBER(I103),I103&gt;0),H103/I103,"")</f>
        <v/>
      </c>
      <c r="K103" s="92" t="inlineStr">
        <is>
          <t>نمای مالی</t>
        </is>
      </c>
      <c r="L103" s="92" t="inlineStr">
        <is>
          <t>1403/12/30</t>
        </is>
      </c>
      <c r="M103" s="92" t="inlineStr">
        <is>
          <t>1404/12/29</t>
        </is>
      </c>
      <c r="N103" s="92" t="inlineStr">
        <is>
          <t>بله</t>
        </is>
      </c>
      <c r="O103" s="92" t="inlineStr">
        <is>
          <t>ناکافی</t>
        </is>
      </c>
      <c r="P103" s="92" t="inlineStr">
        <is>
          <t>هنوز بررسی نشده</t>
        </is>
      </c>
      <c r="Q103" s="92" t="inlineStr"/>
      <c r="R103" s="92" t="inlineStr"/>
      <c r="S103" s="92" t="inlineStr">
        <is>
          <t>فهرست اسمی پایان FY1403 در فایل نیست؛ نتیجه نمای مالی نامشخص ماند و عدد پنجره مشترک جای آن نیامد</t>
        </is>
      </c>
      <c r="T103" s="92" t="inlineStr">
        <is>
          <t>Scope v42</t>
        </is>
      </c>
    </row>
    <row r="104" ht="48" customHeight="1" s="76">
      <c r="A104" s="92" t="inlineStr">
        <is>
          <t>فخوز</t>
        </is>
      </c>
      <c r="B104" s="92" t="inlineStr">
        <is>
          <t>REF05</t>
        </is>
      </c>
      <c r="C104" s="92" t="inlineStr">
        <is>
          <t>گردش فردی مبتنی بر کرسی</t>
        </is>
      </c>
      <c r="D104" s="92" t="inlineStr">
        <is>
          <t>قدیمی؛ تعریف حفظ شده</t>
        </is>
      </c>
      <c r="E104" s="92" t="inlineStr">
        <is>
          <t>صورت: کرسی های قابل مقایسه که شخص نامبرده در دو مقطع فرق دارد؛ مخرج: کرسی های قابل مقایسه (مبنای نامبرده). کرسی حقیقی مستقیم در سطح فرد</t>
        </is>
      </c>
      <c r="F104" s="92" t="n">
        <v>4</v>
      </c>
      <c r="G104" s="92" t="n">
        <v>5</v>
      </c>
      <c r="H104" s="92" t="n">
        <v>4</v>
      </c>
      <c r="I104" s="92" t="n">
        <v>5</v>
      </c>
      <c r="J104" s="92">
        <f>IF(AND(ISNUMBER(H104),ISNUMBER(I104),I104&gt;0),H104/I104,"")</f>
        <v>0.8</v>
      </c>
      <c r="K104" s="92" t="inlineStr">
        <is>
          <t>پنجره مشترک</t>
        </is>
      </c>
      <c r="L104" s="92" t="inlineStr">
        <is>
          <t>1403/12/29</t>
        </is>
      </c>
      <c r="M104" s="92" t="inlineStr">
        <is>
          <t>1404/12/29</t>
        </is>
      </c>
      <c r="N104" s="92" t="inlineStr">
        <is>
          <t>بله</t>
        </is>
      </c>
      <c r="O104" s="92" t="inlineStr">
        <is>
          <t>کامل ارثی</t>
        </is>
      </c>
      <c r="P104" s="92" t="inlineStr">
        <is>
          <t>تایید جزئی</t>
        </is>
      </c>
      <c r="Q104" s="92" t="inlineStr"/>
      <c r="R104" s="92" t="inlineStr">
        <is>
          <t>بازتولید ممکن نشد</t>
        </is>
      </c>
      <c r="S104" s="92" t="inlineStr">
        <is>
          <t>ارثی از مستر؛ فهرست اسمی دو مقطع در دسترس نیست و بازتولید اسمی ممکن نشد</t>
        </is>
      </c>
      <c r="T104" s="92" t="inlineStr">
        <is>
          <t>Turnover نهایی G14 و H14</t>
        </is>
      </c>
    </row>
    <row r="105" ht="48" customHeight="1" s="76">
      <c r="A105" s="92" t="inlineStr">
        <is>
          <t>فخوز</t>
        </is>
      </c>
      <c r="B105" s="92" t="inlineStr">
        <is>
          <t>REF08</t>
        </is>
      </c>
      <c r="C105" s="92" t="inlineStr">
        <is>
          <t>تغییر نماینده با شخص حقوقی ثابت</t>
        </is>
      </c>
      <c r="D105" s="92" t="inlineStr">
        <is>
          <t>قدیمی؛ تعریف حفظ شده</t>
        </is>
      </c>
      <c r="E105" s="92" t="inlineStr">
        <is>
          <t>صورت: کرسی با همان شخص حقوقی که نماینده فرق دارد؛ مخرج: کرسی های با همان شخص حقوقی و نماینده معلوم در هر دو مقطع</t>
        </is>
      </c>
      <c r="F105" s="92" t="n">
        <v>3</v>
      </c>
      <c r="G105" s="92" t="n">
        <v>4</v>
      </c>
      <c r="H105" s="92" t="n">
        <v>3</v>
      </c>
      <c r="I105" s="92" t="n">
        <v>4</v>
      </c>
      <c r="J105" s="92">
        <f>IF(AND(ISNUMBER(H105),ISNUMBER(I105),I105&gt;0),H105/I105,"")</f>
        <v>0.75</v>
      </c>
      <c r="K105" s="92" t="inlineStr">
        <is>
          <t>پنجره مشترک</t>
        </is>
      </c>
      <c r="L105" s="92" t="inlineStr">
        <is>
          <t>1403/12/29</t>
        </is>
      </c>
      <c r="M105" s="92" t="inlineStr">
        <is>
          <t>1404/12/29</t>
        </is>
      </c>
      <c r="N105" s="92" t="inlineStr">
        <is>
          <t>بله</t>
        </is>
      </c>
      <c r="O105" s="92" t="inlineStr">
        <is>
          <t>کامل ارثی</t>
        </is>
      </c>
      <c r="P105" s="92" t="inlineStr">
        <is>
          <t>تایید جزئی</t>
        </is>
      </c>
      <c r="Q105" s="92" t="inlineStr"/>
      <c r="R105" s="92" t="inlineStr">
        <is>
          <t>بازتولید ممکن نشد</t>
        </is>
      </c>
      <c r="S105" s="92" t="inlineStr">
        <is>
          <t>ارثی از مستر؛ فهرست اسمی دو مقطع در دسترس نیست و بازتولید اسمی ممکن نشد</t>
        </is>
      </c>
      <c r="T105" s="92" t="inlineStr">
        <is>
          <t>Turnover نهایی J14 و K14</t>
        </is>
      </c>
    </row>
    <row r="106" ht="48" customHeight="1" s="76">
      <c r="A106" s="92" t="inlineStr">
        <is>
          <t>فخوز</t>
        </is>
      </c>
      <c r="B106" s="92" t="inlineStr">
        <is>
          <t>ROB_LEGAL</t>
        </is>
      </c>
      <c r="C106" s="92" t="inlineStr">
        <is>
          <t>تغییر شخص حقوقی دارنده کرسی</t>
        </is>
      </c>
      <c r="D106" s="92" t="inlineStr">
        <is>
          <t>قدیمی؛ تعریف حفظ شده</t>
        </is>
      </c>
      <c r="E106" s="92" t="inlineStr">
        <is>
          <t>صورت: کرسی هایی که شخص حقوقی دارنده فرق دارد؛ مخرج: کرسی های موجود در هر دو مقطع</t>
        </is>
      </c>
      <c r="F106" s="92" t="n">
        <v>1</v>
      </c>
      <c r="G106" s="92" t="n">
        <v>5</v>
      </c>
      <c r="H106" s="92" t="n">
        <v>1</v>
      </c>
      <c r="I106" s="92" t="n">
        <v>5</v>
      </c>
      <c r="J106" s="92">
        <f>IF(AND(ISNUMBER(H106),ISNUMBER(I106),I106&gt;0),H106/I106,"")</f>
        <v>0.2</v>
      </c>
      <c r="K106" s="92" t="inlineStr">
        <is>
          <t>پنجره مشترک</t>
        </is>
      </c>
      <c r="L106" s="92" t="inlineStr">
        <is>
          <t>1403/12/29</t>
        </is>
      </c>
      <c r="M106" s="92" t="inlineStr">
        <is>
          <t>1404/12/29</t>
        </is>
      </c>
      <c r="N106" s="92" t="inlineStr">
        <is>
          <t>بله</t>
        </is>
      </c>
      <c r="O106" s="92" t="inlineStr">
        <is>
          <t>کامل ارثی</t>
        </is>
      </c>
      <c r="P106" s="92" t="inlineStr">
        <is>
          <t>تایید جزئی</t>
        </is>
      </c>
      <c r="Q106" s="92" t="inlineStr"/>
      <c r="R106" s="92" t="inlineStr">
        <is>
          <t>بازتولید ممکن نشد</t>
        </is>
      </c>
      <c r="S106" s="92" t="inlineStr">
        <is>
          <t>ارثی از مستر؛ فهرست اسمی دو مقطع در دسترس نیست و بازتولید اسمی ممکن نشد</t>
        </is>
      </c>
      <c r="T106" s="92" t="inlineStr">
        <is>
          <t>Turnover نهایی M14 و N14</t>
        </is>
      </c>
    </row>
    <row r="107" ht="48" customHeight="1" s="76">
      <c r="A107" s="92" t="inlineStr">
        <is>
          <t>فخوز</t>
        </is>
      </c>
      <c r="B107" s="92" t="inlineStr">
        <is>
          <t>ROB_NEW</t>
        </is>
      </c>
      <c r="C107" s="92" t="inlineStr">
        <is>
          <t>سهم اعضای جدید</t>
        </is>
      </c>
      <c r="D107" s="92" t="inlineStr">
        <is>
          <t>قدیمی؛ تعریف حفظ شده</t>
        </is>
      </c>
      <c r="E107" s="92" t="inlineStr">
        <is>
          <t>صورت: افراد پایان که در مبنا نبودند؛ مخرج: افراد پایان</t>
        </is>
      </c>
      <c r="F107" s="92" t="n">
        <v>4</v>
      </c>
      <c r="G107" s="92" t="n">
        <v>5</v>
      </c>
      <c r="H107" s="92" t="n">
        <v>4</v>
      </c>
      <c r="I107" s="92" t="n">
        <v>5</v>
      </c>
      <c r="J107" s="92">
        <f>IF(AND(ISNUMBER(H107),ISNUMBER(I107),I107&gt;0),H107/I107,"")</f>
        <v>0.8</v>
      </c>
      <c r="K107" s="92" t="inlineStr">
        <is>
          <t>پنجره مشترک</t>
        </is>
      </c>
      <c r="L107" s="92" t="inlineStr">
        <is>
          <t>1403/12/29</t>
        </is>
      </c>
      <c r="M107" s="92" t="inlineStr">
        <is>
          <t>1404/12/29</t>
        </is>
      </c>
      <c r="N107" s="92" t="inlineStr">
        <is>
          <t>بله</t>
        </is>
      </c>
      <c r="O107" s="92" t="inlineStr">
        <is>
          <t>کامل ارثی</t>
        </is>
      </c>
      <c r="P107" s="92" t="inlineStr">
        <is>
          <t>تایید جزئی</t>
        </is>
      </c>
      <c r="Q107" s="92" t="inlineStr"/>
      <c r="R107" s="92" t="inlineStr">
        <is>
          <t>بازتولید ممکن نشد</t>
        </is>
      </c>
      <c r="S107" s="92" t="inlineStr">
        <is>
          <t>ارثی از مستر؛ فهرست اسمی دو مقطع در دسترس نیست و بازتولید اسمی ممکن نشد</t>
        </is>
      </c>
      <c r="T107" s="92" t="inlineStr">
        <is>
          <t>Turnover نهایی P14 و Q14</t>
        </is>
      </c>
    </row>
    <row r="108" ht="48" customHeight="1" s="76">
      <c r="A108" s="92" t="inlineStr">
        <is>
          <t>فخوز</t>
        </is>
      </c>
      <c r="B108" s="92" t="inlineStr">
        <is>
          <t>ROB_STABILITY</t>
        </is>
      </c>
      <c r="C108" s="92" t="inlineStr">
        <is>
          <t>ثبات کرسی با همان شخص</t>
        </is>
      </c>
      <c r="D108" s="92" t="inlineStr">
        <is>
          <t>قدیمی؛ تعریف حفظ شده</t>
        </is>
      </c>
      <c r="E108" s="92" t="inlineStr">
        <is>
          <t>صورت: کرسی های قابل مقایسه با همان شخص؛ مخرج: کرسی های قابل مقایسه</t>
        </is>
      </c>
      <c r="F108" s="92" t="n">
        <v>1</v>
      </c>
      <c r="G108" s="92" t="n">
        <v>5</v>
      </c>
      <c r="H108" s="92" t="n">
        <v>1</v>
      </c>
      <c r="I108" s="92" t="n">
        <v>5</v>
      </c>
      <c r="J108" s="92">
        <f>IF(AND(ISNUMBER(H108),ISNUMBER(I108),I108&gt;0),H108/I108,"")</f>
        <v>0.2</v>
      </c>
      <c r="K108" s="92" t="inlineStr">
        <is>
          <t>پنجره مشترک</t>
        </is>
      </c>
      <c r="L108" s="92" t="inlineStr">
        <is>
          <t>1403/12/29</t>
        </is>
      </c>
      <c r="M108" s="92" t="inlineStr">
        <is>
          <t>1404/12/29</t>
        </is>
      </c>
      <c r="N108" s="92" t="inlineStr">
        <is>
          <t>بله</t>
        </is>
      </c>
      <c r="O108" s="92" t="inlineStr">
        <is>
          <t>کامل ارثی</t>
        </is>
      </c>
      <c r="P108" s="92" t="inlineStr">
        <is>
          <t>تایید جزئی</t>
        </is>
      </c>
      <c r="Q108" s="92" t="inlineStr"/>
      <c r="R108" s="92" t="inlineStr">
        <is>
          <t>بازتولید ممکن نشد</t>
        </is>
      </c>
      <c r="S108" s="92" t="inlineStr">
        <is>
          <t>ارثی از مستر؛ فهرست اسمی دو مقطع در دسترس نیست و بازتولید اسمی ممکن نشد</t>
        </is>
      </c>
      <c r="T108" s="92" t="inlineStr">
        <is>
          <t>Turnover نهایی S14 و T14</t>
        </is>
      </c>
    </row>
    <row r="109" ht="48" customHeight="1" s="76">
      <c r="A109" s="92" t="inlineStr">
        <is>
          <t>فخوز</t>
        </is>
      </c>
      <c r="B109" s="92" t="inlineStr">
        <is>
          <t>CR1A</t>
        </is>
      </c>
      <c r="C109" s="92" t="inlineStr">
        <is>
          <t>تغییر رئیس هیئت مدیره بین دو مقطع</t>
        </is>
      </c>
      <c r="D109" s="92" t="inlineStr">
        <is>
          <t>قدیمی؛ تعریف حفظ شده</t>
        </is>
      </c>
      <c r="E109" s="92" t="inlineStr">
        <is>
          <t>صورت: 1 اگر هویت رئیس در دو مقطع فرق دارد؛ مخرج: 1. جدا از تعداد رویدادهای میانی</t>
        </is>
      </c>
      <c r="F109" s="92" t="n">
        <v>1</v>
      </c>
      <c r="G109" s="92" t="n">
        <v>1</v>
      </c>
      <c r="H109" s="92" t="n">
        <v>1</v>
      </c>
      <c r="I109" s="92" t="n">
        <v>1</v>
      </c>
      <c r="J109" s="92">
        <f>IF(AND(ISNUMBER(H109),ISNUMBER(I109),I109&gt;0),H109/I109,"")</f>
        <v>1.0</v>
      </c>
      <c r="K109" s="92" t="inlineStr">
        <is>
          <t>پنجره مشترک</t>
        </is>
      </c>
      <c r="L109" s="92" t="inlineStr">
        <is>
          <t>1403/12/29</t>
        </is>
      </c>
      <c r="M109" s="92" t="inlineStr">
        <is>
          <t>1404/12/29</t>
        </is>
      </c>
      <c r="N109" s="92" t="inlineStr">
        <is>
          <t>بله</t>
        </is>
      </c>
      <c r="O109" s="92" t="inlineStr">
        <is>
          <t>کامل ارثی</t>
        </is>
      </c>
      <c r="P109" s="92" t="inlineStr">
        <is>
          <t>تایید جزئی</t>
        </is>
      </c>
      <c r="Q109" s="92" t="inlineStr"/>
      <c r="R109" s="92" t="inlineStr">
        <is>
          <t>بازتولید ممکن نشد</t>
        </is>
      </c>
      <c r="S109" s="92" t="inlineStr">
        <is>
          <t>ارثی از CR1A v39 (INHERITED_WITH_LIMITATION)؛ تایید مجدد مستقل همه منابع انجام نشد</t>
        </is>
      </c>
      <c r="T109" s="92" t="inlineStr">
        <is>
          <t>Turnover نهایی V14؛ CR1A v39 ردیف 14</t>
        </is>
      </c>
    </row>
    <row r="110" ht="44" customHeight="1" s="76">
      <c r="A110" s="93" t="inlineStr">
        <is>
          <t>فخوز</t>
        </is>
      </c>
      <c r="B110" s="93" t="inlineStr">
        <is>
          <t>UPX1</t>
        </is>
      </c>
      <c r="C110" s="93" t="inlineStr">
        <is>
          <t>نرخ خروج افراد یکتا</t>
        </is>
      </c>
      <c r="D110" s="93" t="inlineStr">
        <is>
          <t>جدید؛ کد غیرمتداخل</t>
        </is>
      </c>
      <c r="E110" s="93" t="inlineStr">
        <is>
          <t>صورت: افراد حاضر در مبنا و غایب در پایان؛ مخرج: اعضای فعال مبنا</t>
        </is>
      </c>
      <c r="F110" s="93" t="inlineStr"/>
      <c r="G110" s="93" t="inlineStr"/>
      <c r="H110" s="93" t="inlineStr"/>
      <c r="I110" s="93" t="inlineStr"/>
      <c r="J110" s="93" t="str">
        <f>IF(AND(ISNUMBER(H110),ISNUMBER(I110),I110&gt;0),H110/I110,"")</f>
        <v/>
      </c>
      <c r="K110" s="93" t="inlineStr">
        <is>
          <t>پنجره مشترک</t>
        </is>
      </c>
      <c r="L110" s="93" t="inlineStr">
        <is>
          <t>1403/12/29</t>
        </is>
      </c>
      <c r="M110" s="93" t="inlineStr">
        <is>
          <t>1404/12/29</t>
        </is>
      </c>
      <c r="N110" s="93" t="inlineStr">
        <is>
          <t>بله</t>
        </is>
      </c>
      <c r="O110" s="93" t="inlineStr">
        <is>
          <t>ناکافی</t>
        </is>
      </c>
      <c r="P110" s="93" t="inlineStr">
        <is>
          <t>منبع در دسترس نبود</t>
        </is>
      </c>
      <c r="Q110" s="93" t="inlineStr"/>
      <c r="R110" s="93" t="inlineStr"/>
      <c r="S110" s="93" t="inlineStr">
        <is>
          <t>فهرست اسمی مبنا در بسته شواهد v41 است که در این جلسه ارائه نشد؛ شمار تجمیعی مستر برای افراد یکتا کافی نیست</t>
        </is>
      </c>
      <c r="T110" s="93" t="inlineStr">
        <is>
          <t>Snapshot Members v42؛ Person Flows v42</t>
        </is>
      </c>
    </row>
    <row r="111" ht="44" customHeight="1" s="76">
      <c r="A111" s="93" t="inlineStr">
        <is>
          <t>فخوز</t>
        </is>
      </c>
      <c r="B111" s="93" t="inlineStr">
        <is>
          <t>UPN1</t>
        </is>
      </c>
      <c r="C111" s="93" t="inlineStr">
        <is>
          <t>سهم افراد واردشده</t>
        </is>
      </c>
      <c r="D111" s="93" t="inlineStr">
        <is>
          <t>جدید؛ کد غیرمتداخل</t>
        </is>
      </c>
      <c r="E111" s="93" t="inlineStr">
        <is>
          <t>صورت: افراد حاضر در پایان و غایب در مبنا؛ مخرج: اعضای فعال پایان</t>
        </is>
      </c>
      <c r="F111" s="93" t="inlineStr"/>
      <c r="G111" s="93" t="inlineStr"/>
      <c r="H111" s="93" t="inlineStr"/>
      <c r="I111" s="93" t="inlineStr"/>
      <c r="J111" s="93" t="str">
        <f>IF(AND(ISNUMBER(H111),ISNUMBER(I111),I111&gt;0),H111/I111,"")</f>
        <v/>
      </c>
      <c r="K111" s="93" t="inlineStr">
        <is>
          <t>پنجره مشترک</t>
        </is>
      </c>
      <c r="L111" s="93" t="inlineStr">
        <is>
          <t>1403/12/29</t>
        </is>
      </c>
      <c r="M111" s="93" t="inlineStr">
        <is>
          <t>1404/12/29</t>
        </is>
      </c>
      <c r="N111" s="93" t="inlineStr">
        <is>
          <t>بله</t>
        </is>
      </c>
      <c r="O111" s="93" t="inlineStr">
        <is>
          <t>ناکافی</t>
        </is>
      </c>
      <c r="P111" s="93" t="inlineStr">
        <is>
          <t>منبع در دسترس نبود</t>
        </is>
      </c>
      <c r="Q111" s="93" t="inlineStr"/>
      <c r="R111" s="93" t="inlineStr"/>
      <c r="S111" s="93" t="inlineStr">
        <is>
          <t>فهرست اسمی مبنا در بسته شواهد v41 است که در این جلسه ارائه نشد؛ شمار تجمیعی مستر برای افراد یکتا کافی نیست</t>
        </is>
      </c>
      <c r="T111" s="93" t="inlineStr">
        <is>
          <t>Snapshot Members v42؛ Person Flows v42</t>
        </is>
      </c>
    </row>
    <row r="112" ht="44" customHeight="1" s="76">
      <c r="A112" s="93" t="inlineStr">
        <is>
          <t>فخوز</t>
        </is>
      </c>
      <c r="B112" s="93" t="inlineStr">
        <is>
          <t>UPR1</t>
        </is>
      </c>
      <c r="C112" s="93" t="inlineStr">
        <is>
          <t>نرخ ماندگاری افراد یکتا</t>
        </is>
      </c>
      <c r="D112" s="93" t="inlineStr">
        <is>
          <t>جدید؛ کد غیرمتداخل</t>
        </is>
      </c>
      <c r="E112" s="93" t="inlineStr">
        <is>
          <t>صورت: افراد حاضر در هر دو مقطع؛ مخرج: اعضای فعال مبنا</t>
        </is>
      </c>
      <c r="F112" s="93" t="inlineStr"/>
      <c r="G112" s="93" t="inlineStr"/>
      <c r="H112" s="93" t="inlineStr"/>
      <c r="I112" s="93" t="inlineStr"/>
      <c r="J112" s="93" t="str">
        <f>IF(AND(ISNUMBER(H112),ISNUMBER(I112),I112&gt;0),H112/I112,"")</f>
        <v/>
      </c>
      <c r="K112" s="93" t="inlineStr">
        <is>
          <t>پنجره مشترک</t>
        </is>
      </c>
      <c r="L112" s="93" t="inlineStr">
        <is>
          <t>1403/12/29</t>
        </is>
      </c>
      <c r="M112" s="93" t="inlineStr">
        <is>
          <t>1404/12/29</t>
        </is>
      </c>
      <c r="N112" s="93" t="inlineStr">
        <is>
          <t>بله</t>
        </is>
      </c>
      <c r="O112" s="93" t="inlineStr">
        <is>
          <t>ناکافی</t>
        </is>
      </c>
      <c r="P112" s="93" t="inlineStr">
        <is>
          <t>منبع در دسترس نبود</t>
        </is>
      </c>
      <c r="Q112" s="93" t="inlineStr"/>
      <c r="R112" s="93" t="inlineStr"/>
      <c r="S112" s="93" t="inlineStr">
        <is>
          <t>فهرست اسمی مبنا در بسته شواهد v41 است که در این جلسه ارائه نشد؛ شمار تجمیعی مستر برای افراد یکتا کافی نیست</t>
        </is>
      </c>
      <c r="T112" s="93" t="inlineStr">
        <is>
          <t>Snapshot Members v42؛ Person Flows v42</t>
        </is>
      </c>
    </row>
    <row r="113" ht="44" customHeight="1" s="76">
      <c r="A113" s="92" t="inlineStr">
        <is>
          <t>فخوز</t>
        </is>
      </c>
      <c r="B113" s="92" t="inlineStr">
        <is>
          <t>UPF1</t>
        </is>
      </c>
      <c r="C113" s="92" t="inlineStr">
        <is>
          <t>افراد یکتا در نمای مالی (FY1403 تا FY1404)</t>
        </is>
      </c>
      <c r="D113" s="92" t="inlineStr">
        <is>
          <t>جدید؛ نمای مالی</t>
        </is>
      </c>
      <c r="E113" s="92" t="inlineStr">
        <is>
          <t>همان سه نسبت UPX1 و UPN1 و UPR1 ولی بین پایان FY1403 و FY1404 هر شرکت؛ فقط با دو فهرست کامل معتبر</t>
        </is>
      </c>
      <c r="F113" s="92" t="inlineStr"/>
      <c r="G113" s="92" t="inlineStr"/>
      <c r="H113" s="92" t="inlineStr"/>
      <c r="I113" s="92" t="inlineStr"/>
      <c r="J113" s="92" t="str">
        <f>IF(AND(ISNUMBER(H113),ISNUMBER(I113),I113&gt;0),H113/I113,"")</f>
        <v/>
      </c>
      <c r="K113" s="92" t="inlineStr">
        <is>
          <t>نمای مالی</t>
        </is>
      </c>
      <c r="L113" s="92" t="inlineStr">
        <is>
          <t>1403/12/30</t>
        </is>
      </c>
      <c r="M113" s="92" t="inlineStr">
        <is>
          <t>1404/12/29</t>
        </is>
      </c>
      <c r="N113" s="92" t="inlineStr">
        <is>
          <t>بله</t>
        </is>
      </c>
      <c r="O113" s="92" t="inlineStr">
        <is>
          <t>ناکافی</t>
        </is>
      </c>
      <c r="P113" s="92" t="inlineStr">
        <is>
          <t>هنوز بررسی نشده</t>
        </is>
      </c>
      <c r="Q113" s="92" t="inlineStr"/>
      <c r="R113" s="92" t="inlineStr"/>
      <c r="S113" s="92" t="inlineStr">
        <is>
          <t>فهرست اسمی پایان FY1403 در فایل نیست؛ نتیجه نمای مالی نامشخص ماند و عدد پنجره مشترک جای آن نیامد</t>
        </is>
      </c>
      <c r="T113" s="92" t="inlineStr">
        <is>
          <t>Scope v42</t>
        </is>
      </c>
    </row>
    <row r="114" ht="48" customHeight="1" s="76">
      <c r="A114" s="92" t="inlineStr">
        <is>
          <t>شستا</t>
        </is>
      </c>
      <c r="B114" s="92" t="inlineStr">
        <is>
          <t>REF05</t>
        </is>
      </c>
      <c r="C114" s="92" t="inlineStr">
        <is>
          <t>گردش فردی مبتنی بر کرسی</t>
        </is>
      </c>
      <c r="D114" s="92" t="inlineStr">
        <is>
          <t>قدیمی؛ تعریف حفظ شده</t>
        </is>
      </c>
      <c r="E114" s="92" t="inlineStr">
        <is>
          <t>صورت: کرسی های قابل مقایسه که شخص نامبرده در دو مقطع فرق دارد؛ مخرج: کرسی های قابل مقایسه (مبنای نامبرده). کرسی حقیقی مستقیم در سطح فرد</t>
        </is>
      </c>
      <c r="F114" s="92" t="n">
        <v>3</v>
      </c>
      <c r="G114" s="92" t="n">
        <v>5</v>
      </c>
      <c r="H114" s="92" t="n">
        <v>3</v>
      </c>
      <c r="I114" s="92" t="n">
        <v>5</v>
      </c>
      <c r="J114" s="92">
        <f>IF(AND(ISNUMBER(H114),ISNUMBER(I114),I114&gt;0),H114/I114,"")</f>
        <v>0.6</v>
      </c>
      <c r="K114" s="92" t="inlineStr">
        <is>
          <t>پنجره مشترک</t>
        </is>
      </c>
      <c r="L114" s="92" t="inlineStr">
        <is>
          <t>1403/12/29</t>
        </is>
      </c>
      <c r="M114" s="92" t="inlineStr">
        <is>
          <t>1404/12/29</t>
        </is>
      </c>
      <c r="N114" s="92" t="inlineStr">
        <is>
          <t>بله</t>
        </is>
      </c>
      <c r="O114" s="92" t="inlineStr">
        <is>
          <t>کامل ارثی</t>
        </is>
      </c>
      <c r="P114" s="92" t="inlineStr">
        <is>
          <t>تایید جزئی</t>
        </is>
      </c>
      <c r="Q114" s="92" t="inlineStr"/>
      <c r="R114" s="92" t="inlineStr">
        <is>
          <t>بازتولید ممکن نشد</t>
        </is>
      </c>
      <c r="S114" s="92" t="inlineStr">
        <is>
          <t>ارثی از مستر؛ فهرست اسمی دو مقطع در دسترس نیست و بازتولید اسمی ممکن نشد</t>
        </is>
      </c>
      <c r="T114" s="92" t="inlineStr">
        <is>
          <t>Turnover نهایی G15 و H15</t>
        </is>
      </c>
    </row>
    <row r="115" ht="48" customHeight="1" s="76">
      <c r="A115" s="92" t="inlineStr">
        <is>
          <t>شستا</t>
        </is>
      </c>
      <c r="B115" s="92" t="inlineStr">
        <is>
          <t>REF08</t>
        </is>
      </c>
      <c r="C115" s="92" t="inlineStr">
        <is>
          <t>تغییر نماینده با شخص حقوقی ثابت</t>
        </is>
      </c>
      <c r="D115" s="92" t="inlineStr">
        <is>
          <t>قدیمی؛ تعریف حفظ شده</t>
        </is>
      </c>
      <c r="E115" s="92" t="inlineStr">
        <is>
          <t>صورت: کرسی با همان شخص حقوقی که نماینده فرق دارد؛ مخرج: کرسی های با همان شخص حقوقی و نماینده معلوم در هر دو مقطع</t>
        </is>
      </c>
      <c r="F115" s="92" t="n">
        <v>3</v>
      </c>
      <c r="G115" s="92" t="n">
        <v>5</v>
      </c>
      <c r="H115" s="92" t="n">
        <v>3</v>
      </c>
      <c r="I115" s="92" t="n">
        <v>5</v>
      </c>
      <c r="J115" s="92">
        <f>IF(AND(ISNUMBER(H115),ISNUMBER(I115),I115&gt;0),H115/I115,"")</f>
        <v>0.6</v>
      </c>
      <c r="K115" s="92" t="inlineStr">
        <is>
          <t>پنجره مشترک</t>
        </is>
      </c>
      <c r="L115" s="92" t="inlineStr">
        <is>
          <t>1403/12/29</t>
        </is>
      </c>
      <c r="M115" s="92" t="inlineStr">
        <is>
          <t>1404/12/29</t>
        </is>
      </c>
      <c r="N115" s="92" t="inlineStr">
        <is>
          <t>بله</t>
        </is>
      </c>
      <c r="O115" s="92" t="inlineStr">
        <is>
          <t>کامل ارثی</t>
        </is>
      </c>
      <c r="P115" s="92" t="inlineStr">
        <is>
          <t>تایید جزئی</t>
        </is>
      </c>
      <c r="Q115" s="92" t="inlineStr"/>
      <c r="R115" s="92" t="inlineStr">
        <is>
          <t>بازتولید ممکن نشد</t>
        </is>
      </c>
      <c r="S115" s="92" t="inlineStr">
        <is>
          <t>ارثی از مستر؛ فهرست اسمی دو مقطع در دسترس نیست و بازتولید اسمی ممکن نشد</t>
        </is>
      </c>
      <c r="T115" s="92" t="inlineStr">
        <is>
          <t>Turnover نهایی J15 و K15</t>
        </is>
      </c>
    </row>
    <row r="116" ht="48" customHeight="1" s="76">
      <c r="A116" s="92" t="inlineStr">
        <is>
          <t>شستا</t>
        </is>
      </c>
      <c r="B116" s="92" t="inlineStr">
        <is>
          <t>ROB_LEGAL</t>
        </is>
      </c>
      <c r="C116" s="92" t="inlineStr">
        <is>
          <t>تغییر شخص حقوقی دارنده کرسی</t>
        </is>
      </c>
      <c r="D116" s="92" t="inlineStr">
        <is>
          <t>قدیمی؛ تعریف حفظ شده</t>
        </is>
      </c>
      <c r="E116" s="92" t="inlineStr">
        <is>
          <t>صورت: کرسی هایی که شخص حقوقی دارنده فرق دارد؛ مخرج: کرسی های موجود در هر دو مقطع</t>
        </is>
      </c>
      <c r="F116" s="92" t="n">
        <v>0</v>
      </c>
      <c r="G116" s="92" t="n">
        <v>5</v>
      </c>
      <c r="H116" s="92" t="n">
        <v>0</v>
      </c>
      <c r="I116" s="92" t="n">
        <v>5</v>
      </c>
      <c r="J116" s="92">
        <f>IF(AND(ISNUMBER(H116),ISNUMBER(I116),I116&gt;0),H116/I116,"")</f>
        <v>0.0</v>
      </c>
      <c r="K116" s="92" t="inlineStr">
        <is>
          <t>پنجره مشترک</t>
        </is>
      </c>
      <c r="L116" s="92" t="inlineStr">
        <is>
          <t>1403/12/29</t>
        </is>
      </c>
      <c r="M116" s="92" t="inlineStr">
        <is>
          <t>1404/12/29</t>
        </is>
      </c>
      <c r="N116" s="92" t="inlineStr">
        <is>
          <t>بله</t>
        </is>
      </c>
      <c r="O116" s="92" t="inlineStr">
        <is>
          <t>کامل ارثی</t>
        </is>
      </c>
      <c r="P116" s="92" t="inlineStr">
        <is>
          <t>تایید جزئی</t>
        </is>
      </c>
      <c r="Q116" s="92" t="inlineStr"/>
      <c r="R116" s="92" t="inlineStr">
        <is>
          <t>بازتولید ممکن نشد</t>
        </is>
      </c>
      <c r="S116" s="92" t="inlineStr">
        <is>
          <t>ارثی از مستر؛ فهرست اسمی دو مقطع در دسترس نیست و بازتولید اسمی ممکن نشد</t>
        </is>
      </c>
      <c r="T116" s="92" t="inlineStr">
        <is>
          <t>Turnover نهایی M15 و N15</t>
        </is>
      </c>
    </row>
    <row r="117" ht="48" customHeight="1" s="76">
      <c r="A117" s="92" t="inlineStr">
        <is>
          <t>شستا</t>
        </is>
      </c>
      <c r="B117" s="92" t="inlineStr">
        <is>
          <t>ROB_NEW</t>
        </is>
      </c>
      <c r="C117" s="92" t="inlineStr">
        <is>
          <t>سهم اعضای جدید</t>
        </is>
      </c>
      <c r="D117" s="92" t="inlineStr">
        <is>
          <t>قدیمی؛ تعریف حفظ شده</t>
        </is>
      </c>
      <c r="E117" s="92" t="inlineStr">
        <is>
          <t>صورت: افراد پایان که در مبنا نبودند؛ مخرج: افراد پایان</t>
        </is>
      </c>
      <c r="F117" s="92" t="n">
        <v>3</v>
      </c>
      <c r="G117" s="92" t="n">
        <v>5</v>
      </c>
      <c r="H117" s="92" t="n">
        <v>3</v>
      </c>
      <c r="I117" s="92" t="n">
        <v>5</v>
      </c>
      <c r="J117" s="92">
        <f>IF(AND(ISNUMBER(H117),ISNUMBER(I117),I117&gt;0),H117/I117,"")</f>
        <v>0.6</v>
      </c>
      <c r="K117" s="92" t="inlineStr">
        <is>
          <t>پنجره مشترک</t>
        </is>
      </c>
      <c r="L117" s="92" t="inlineStr">
        <is>
          <t>1403/12/29</t>
        </is>
      </c>
      <c r="M117" s="92" t="inlineStr">
        <is>
          <t>1404/12/29</t>
        </is>
      </c>
      <c r="N117" s="92" t="inlineStr">
        <is>
          <t>بله</t>
        </is>
      </c>
      <c r="O117" s="92" t="inlineStr">
        <is>
          <t>کامل ارثی</t>
        </is>
      </c>
      <c r="P117" s="92" t="inlineStr">
        <is>
          <t>تایید جزئی</t>
        </is>
      </c>
      <c r="Q117" s="92" t="inlineStr"/>
      <c r="R117" s="92" t="inlineStr">
        <is>
          <t>بازتولید ممکن نشد</t>
        </is>
      </c>
      <c r="S117" s="92" t="inlineStr">
        <is>
          <t>ارثی از مستر؛ فهرست اسمی دو مقطع در دسترس نیست و بازتولید اسمی ممکن نشد</t>
        </is>
      </c>
      <c r="T117" s="92" t="inlineStr">
        <is>
          <t>Turnover نهایی P15 و Q15</t>
        </is>
      </c>
    </row>
    <row r="118" ht="48" customHeight="1" s="76">
      <c r="A118" s="92" t="inlineStr">
        <is>
          <t>شستا</t>
        </is>
      </c>
      <c r="B118" s="92" t="inlineStr">
        <is>
          <t>ROB_STABILITY</t>
        </is>
      </c>
      <c r="C118" s="92" t="inlineStr">
        <is>
          <t>ثبات کرسی با همان شخص</t>
        </is>
      </c>
      <c r="D118" s="92" t="inlineStr">
        <is>
          <t>قدیمی؛ تعریف حفظ شده</t>
        </is>
      </c>
      <c r="E118" s="92" t="inlineStr">
        <is>
          <t>صورت: کرسی های قابل مقایسه با همان شخص؛ مخرج: کرسی های قابل مقایسه</t>
        </is>
      </c>
      <c r="F118" s="92" t="n">
        <v>2</v>
      </c>
      <c r="G118" s="92" t="n">
        <v>5</v>
      </c>
      <c r="H118" s="92" t="n">
        <v>2</v>
      </c>
      <c r="I118" s="92" t="n">
        <v>5</v>
      </c>
      <c r="J118" s="92">
        <f>IF(AND(ISNUMBER(H118),ISNUMBER(I118),I118&gt;0),H118/I118,"")</f>
        <v>0.4</v>
      </c>
      <c r="K118" s="92" t="inlineStr">
        <is>
          <t>پنجره مشترک</t>
        </is>
      </c>
      <c r="L118" s="92" t="inlineStr">
        <is>
          <t>1403/12/29</t>
        </is>
      </c>
      <c r="M118" s="92" t="inlineStr">
        <is>
          <t>1404/12/29</t>
        </is>
      </c>
      <c r="N118" s="92" t="inlineStr">
        <is>
          <t>بله</t>
        </is>
      </c>
      <c r="O118" s="92" t="inlineStr">
        <is>
          <t>کامل ارثی</t>
        </is>
      </c>
      <c r="P118" s="92" t="inlineStr">
        <is>
          <t>تایید جزئی</t>
        </is>
      </c>
      <c r="Q118" s="92" t="inlineStr"/>
      <c r="R118" s="92" t="inlineStr">
        <is>
          <t>بازتولید ممکن نشد</t>
        </is>
      </c>
      <c r="S118" s="92" t="inlineStr">
        <is>
          <t>ارثی از مستر؛ فهرست اسمی دو مقطع در دسترس نیست و بازتولید اسمی ممکن نشد</t>
        </is>
      </c>
      <c r="T118" s="92" t="inlineStr">
        <is>
          <t>Turnover نهایی S15 و T15</t>
        </is>
      </c>
    </row>
    <row r="119" ht="48" customHeight="1" s="76">
      <c r="A119" s="92" t="inlineStr">
        <is>
          <t>شستا</t>
        </is>
      </c>
      <c r="B119" s="92" t="inlineStr">
        <is>
          <t>CR1A</t>
        </is>
      </c>
      <c r="C119" s="92" t="inlineStr">
        <is>
          <t>تغییر رئیس هیئت مدیره بین دو مقطع</t>
        </is>
      </c>
      <c r="D119" s="92" t="inlineStr">
        <is>
          <t>قدیمی؛ تعریف حفظ شده</t>
        </is>
      </c>
      <c r="E119" s="92" t="inlineStr">
        <is>
          <t>صورت: 1 اگر هویت رئیس در دو مقطع فرق دارد؛ مخرج: 1. جدا از تعداد رویدادهای میانی</t>
        </is>
      </c>
      <c r="F119" s="92" t="n">
        <v>1</v>
      </c>
      <c r="G119" s="92" t="n">
        <v>1</v>
      </c>
      <c r="H119" s="92" t="n">
        <v>1</v>
      </c>
      <c r="I119" s="92" t="n">
        <v>1</v>
      </c>
      <c r="J119" s="92">
        <f>IF(AND(ISNUMBER(H119),ISNUMBER(I119),I119&gt;0),H119/I119,"")</f>
        <v>1.0</v>
      </c>
      <c r="K119" s="92" t="inlineStr">
        <is>
          <t>پنجره مشترک</t>
        </is>
      </c>
      <c r="L119" s="92" t="inlineStr">
        <is>
          <t>1403/12/29</t>
        </is>
      </c>
      <c r="M119" s="92" t="inlineStr">
        <is>
          <t>1404/12/29</t>
        </is>
      </c>
      <c r="N119" s="92" t="inlineStr">
        <is>
          <t>بله</t>
        </is>
      </c>
      <c r="O119" s="92" t="inlineStr">
        <is>
          <t>کامل ارثی</t>
        </is>
      </c>
      <c r="P119" s="92" t="inlineStr">
        <is>
          <t>تایید جزئی</t>
        </is>
      </c>
      <c r="Q119" s="92" t="inlineStr"/>
      <c r="R119" s="92" t="inlineStr">
        <is>
          <t>بازتولید ممکن نشد</t>
        </is>
      </c>
      <c r="S119" s="92" t="inlineStr">
        <is>
          <t>ارثی از CR1A v39 (INHERITED_WITH_LIMITATION)؛ تایید مجدد مستقل همه منابع انجام نشد</t>
        </is>
      </c>
      <c r="T119" s="92" t="inlineStr">
        <is>
          <t>Turnover نهایی V15؛ CR1A v39 ردیف 15</t>
        </is>
      </c>
    </row>
    <row r="120" ht="44" customHeight="1" s="76">
      <c r="A120" s="93" t="inlineStr">
        <is>
          <t>شستا</t>
        </is>
      </c>
      <c r="B120" s="93" t="inlineStr">
        <is>
          <t>UPX1</t>
        </is>
      </c>
      <c r="C120" s="93" t="inlineStr">
        <is>
          <t>نرخ خروج افراد یکتا</t>
        </is>
      </c>
      <c r="D120" s="93" t="inlineStr">
        <is>
          <t>جدید؛ کد غیرمتداخل</t>
        </is>
      </c>
      <c r="E120" s="93" t="inlineStr">
        <is>
          <t>صورت: افراد حاضر در مبنا و غایب در پایان؛ مخرج: اعضای فعال مبنا</t>
        </is>
      </c>
      <c r="F120" s="93" t="inlineStr"/>
      <c r="G120" s="93" t="inlineStr"/>
      <c r="H120" s="93" t="inlineStr"/>
      <c r="I120" s="93" t="inlineStr"/>
      <c r="J120" s="93" t="str">
        <f>IF(AND(ISNUMBER(H120),ISNUMBER(I120),I120&gt;0),H120/I120,"")</f>
        <v/>
      </c>
      <c r="K120" s="93" t="inlineStr">
        <is>
          <t>پنجره مشترک</t>
        </is>
      </c>
      <c r="L120" s="93" t="inlineStr">
        <is>
          <t>1403/12/29</t>
        </is>
      </c>
      <c r="M120" s="93" t="inlineStr">
        <is>
          <t>1404/12/29</t>
        </is>
      </c>
      <c r="N120" s="93" t="inlineStr">
        <is>
          <t>بله</t>
        </is>
      </c>
      <c r="O120" s="93" t="inlineStr">
        <is>
          <t>ناکافی</t>
        </is>
      </c>
      <c r="P120" s="93" t="inlineStr">
        <is>
          <t>منبع در دسترس نبود</t>
        </is>
      </c>
      <c r="Q120" s="93" t="inlineStr"/>
      <c r="R120" s="93" t="inlineStr"/>
      <c r="S120" s="93" t="inlineStr">
        <is>
          <t>فهرست اسمی مبنا در بسته شواهد v41 است که در این جلسه ارائه نشد؛ شمار تجمیعی مستر برای افراد یکتا کافی نیست</t>
        </is>
      </c>
      <c r="T120" s="93" t="inlineStr">
        <is>
          <t>Snapshot Members v42؛ Person Flows v42</t>
        </is>
      </c>
    </row>
    <row r="121" ht="44" customHeight="1" s="76">
      <c r="A121" s="93" t="inlineStr">
        <is>
          <t>شستا</t>
        </is>
      </c>
      <c r="B121" s="93" t="inlineStr">
        <is>
          <t>UPN1</t>
        </is>
      </c>
      <c r="C121" s="93" t="inlineStr">
        <is>
          <t>سهم افراد واردشده</t>
        </is>
      </c>
      <c r="D121" s="93" t="inlineStr">
        <is>
          <t>جدید؛ کد غیرمتداخل</t>
        </is>
      </c>
      <c r="E121" s="93" t="inlineStr">
        <is>
          <t>صورت: افراد حاضر در پایان و غایب در مبنا؛ مخرج: اعضای فعال پایان</t>
        </is>
      </c>
      <c r="F121" s="93" t="inlineStr"/>
      <c r="G121" s="93" t="inlineStr"/>
      <c r="H121" s="93" t="inlineStr"/>
      <c r="I121" s="93" t="inlineStr"/>
      <c r="J121" s="93" t="str">
        <f>IF(AND(ISNUMBER(H121),ISNUMBER(I121),I121&gt;0),H121/I121,"")</f>
        <v/>
      </c>
      <c r="K121" s="93" t="inlineStr">
        <is>
          <t>پنجره مشترک</t>
        </is>
      </c>
      <c r="L121" s="93" t="inlineStr">
        <is>
          <t>1403/12/29</t>
        </is>
      </c>
      <c r="M121" s="93" t="inlineStr">
        <is>
          <t>1404/12/29</t>
        </is>
      </c>
      <c r="N121" s="93" t="inlineStr">
        <is>
          <t>بله</t>
        </is>
      </c>
      <c r="O121" s="93" t="inlineStr">
        <is>
          <t>ناکافی</t>
        </is>
      </c>
      <c r="P121" s="93" t="inlineStr">
        <is>
          <t>منبع در دسترس نبود</t>
        </is>
      </c>
      <c r="Q121" s="93" t="inlineStr"/>
      <c r="R121" s="93" t="inlineStr"/>
      <c r="S121" s="93" t="inlineStr">
        <is>
          <t>فهرست اسمی مبنا در بسته شواهد v41 است که در این جلسه ارائه نشد؛ شمار تجمیعی مستر برای افراد یکتا کافی نیست</t>
        </is>
      </c>
      <c r="T121" s="93" t="inlineStr">
        <is>
          <t>Snapshot Members v42؛ Person Flows v42</t>
        </is>
      </c>
    </row>
    <row r="122" ht="44" customHeight="1" s="76">
      <c r="A122" s="93" t="inlineStr">
        <is>
          <t>شستا</t>
        </is>
      </c>
      <c r="B122" s="93" t="inlineStr">
        <is>
          <t>UPR1</t>
        </is>
      </c>
      <c r="C122" s="93" t="inlineStr">
        <is>
          <t>نرخ ماندگاری افراد یکتا</t>
        </is>
      </c>
      <c r="D122" s="93" t="inlineStr">
        <is>
          <t>جدید؛ کد غیرمتداخل</t>
        </is>
      </c>
      <c r="E122" s="93" t="inlineStr">
        <is>
          <t>صورت: افراد حاضر در هر دو مقطع؛ مخرج: اعضای فعال مبنا</t>
        </is>
      </c>
      <c r="F122" s="93" t="inlineStr"/>
      <c r="G122" s="93" t="inlineStr"/>
      <c r="H122" s="93" t="inlineStr"/>
      <c r="I122" s="93" t="inlineStr"/>
      <c r="J122" s="93" t="str">
        <f>IF(AND(ISNUMBER(H122),ISNUMBER(I122),I122&gt;0),H122/I122,"")</f>
        <v/>
      </c>
      <c r="K122" s="93" t="inlineStr">
        <is>
          <t>پنجره مشترک</t>
        </is>
      </c>
      <c r="L122" s="93" t="inlineStr">
        <is>
          <t>1403/12/29</t>
        </is>
      </c>
      <c r="M122" s="93" t="inlineStr">
        <is>
          <t>1404/12/29</t>
        </is>
      </c>
      <c r="N122" s="93" t="inlineStr">
        <is>
          <t>بله</t>
        </is>
      </c>
      <c r="O122" s="93" t="inlineStr">
        <is>
          <t>ناکافی</t>
        </is>
      </c>
      <c r="P122" s="93" t="inlineStr">
        <is>
          <t>منبع در دسترس نبود</t>
        </is>
      </c>
      <c r="Q122" s="93" t="inlineStr"/>
      <c r="R122" s="93" t="inlineStr"/>
      <c r="S122" s="93" t="inlineStr">
        <is>
          <t>فهرست اسمی مبنا در بسته شواهد v41 است که در این جلسه ارائه نشد؛ شمار تجمیعی مستر برای افراد یکتا کافی نیست</t>
        </is>
      </c>
      <c r="T122" s="93" t="inlineStr">
        <is>
          <t>Snapshot Members v42؛ Person Flows v42</t>
        </is>
      </c>
    </row>
    <row r="123" ht="44" customHeight="1" s="76">
      <c r="A123" s="92" t="inlineStr">
        <is>
          <t>شستا</t>
        </is>
      </c>
      <c r="B123" s="92" t="inlineStr">
        <is>
          <t>UPF1</t>
        </is>
      </c>
      <c r="C123" s="92" t="inlineStr">
        <is>
          <t>افراد یکتا در نمای مالی (FY1403 تا FY1404)</t>
        </is>
      </c>
      <c r="D123" s="92" t="inlineStr">
        <is>
          <t>جدید؛ نمای مالی</t>
        </is>
      </c>
      <c r="E123" s="92" t="inlineStr">
        <is>
          <t>همان سه نسبت UPX1 و UPN1 و UPR1 ولی بین پایان FY1403 و FY1404 هر شرکت؛ فقط با دو فهرست کامل معتبر</t>
        </is>
      </c>
      <c r="F123" s="92" t="inlineStr"/>
      <c r="G123" s="92" t="inlineStr"/>
      <c r="H123" s="92" t="inlineStr"/>
      <c r="I123" s="92" t="inlineStr"/>
      <c r="J123" s="92" t="str">
        <f>IF(AND(ISNUMBER(H123),ISNUMBER(I123),I123&gt;0),H123/I123,"")</f>
        <v/>
      </c>
      <c r="K123" s="92" t="inlineStr">
        <is>
          <t>نمای مالی</t>
        </is>
      </c>
      <c r="L123" s="92" t="inlineStr">
        <is>
          <t>1403/03/31</t>
        </is>
      </c>
      <c r="M123" s="92" t="inlineStr">
        <is>
          <t>1404/03/31</t>
        </is>
      </c>
      <c r="N123" s="92" t="inlineStr">
        <is>
          <t>بله</t>
        </is>
      </c>
      <c r="O123" s="92" t="inlineStr">
        <is>
          <t>ناکافی</t>
        </is>
      </c>
      <c r="P123" s="92" t="inlineStr">
        <is>
          <t>هنوز بررسی نشده</t>
        </is>
      </c>
      <c r="Q123" s="92" t="inlineStr"/>
      <c r="R123" s="92" t="inlineStr"/>
      <c r="S123" s="92" t="inlineStr">
        <is>
          <t>فهرست اسمی پایان FY1403 در فایل نیست؛ نتیجه نمای مالی نامشخص ماند و عدد پنجره مشترک جای آن نیامد</t>
        </is>
      </c>
      <c r="T123" s="92" t="inlineStr">
        <is>
          <t>Scope v42</t>
        </is>
      </c>
    </row>
    <row r="124" ht="48" customHeight="1" s="76">
      <c r="A124" s="92" t="inlineStr">
        <is>
          <t>شپنا</t>
        </is>
      </c>
      <c r="B124" s="92" t="inlineStr">
        <is>
          <t>REF05</t>
        </is>
      </c>
      <c r="C124" s="92" t="inlineStr">
        <is>
          <t>گردش فردی مبتنی بر کرسی</t>
        </is>
      </c>
      <c r="D124" s="92" t="inlineStr">
        <is>
          <t>قدیمی؛ تعریف حفظ شده</t>
        </is>
      </c>
      <c r="E124" s="92" t="inlineStr">
        <is>
          <t>صورت: کرسی های قابل مقایسه که شخص نامبرده در دو مقطع فرق دارد؛ مخرج: کرسی های قابل مقایسه (مبنای نامبرده). کرسی حقیقی مستقیم در سطح فرد</t>
        </is>
      </c>
      <c r="F124" s="92" t="n">
        <v>1</v>
      </c>
      <c r="G124" s="92" t="n">
        <v>5</v>
      </c>
      <c r="H124" s="92" t="n">
        <v>1</v>
      </c>
      <c r="I124" s="92" t="n">
        <v>5</v>
      </c>
      <c r="J124" s="92">
        <f>IF(AND(ISNUMBER(H124),ISNUMBER(I124),I124&gt;0),H124/I124,"")</f>
        <v>0.2</v>
      </c>
      <c r="K124" s="92" t="inlineStr">
        <is>
          <t>پنجره مشترک</t>
        </is>
      </c>
      <c r="L124" s="92" t="inlineStr">
        <is>
          <t>1403/12/29</t>
        </is>
      </c>
      <c r="M124" s="92" t="inlineStr">
        <is>
          <t>1404/12/29</t>
        </is>
      </c>
      <c r="N124" s="92" t="inlineStr">
        <is>
          <t>بله</t>
        </is>
      </c>
      <c r="O124" s="92" t="inlineStr">
        <is>
          <t>کامل ارثی</t>
        </is>
      </c>
      <c r="P124" s="92" t="inlineStr">
        <is>
          <t>تایید جزئی</t>
        </is>
      </c>
      <c r="Q124" s="92" t="inlineStr"/>
      <c r="R124" s="92" t="inlineStr">
        <is>
          <t>بازتولید ممکن نشد</t>
        </is>
      </c>
      <c r="S124" s="92" t="inlineStr">
        <is>
          <t>ارثی از مستر؛ فهرست اسمی دو مقطع در دسترس نیست و بازتولید اسمی ممکن نشد</t>
        </is>
      </c>
      <c r="T124" s="92" t="inlineStr">
        <is>
          <t>Turnover نهایی G16 و H16</t>
        </is>
      </c>
    </row>
    <row r="125" ht="48" customHeight="1" s="76">
      <c r="A125" s="92" t="inlineStr">
        <is>
          <t>شپنا</t>
        </is>
      </c>
      <c r="B125" s="92" t="inlineStr">
        <is>
          <t>REF08</t>
        </is>
      </c>
      <c r="C125" s="92" t="inlineStr">
        <is>
          <t>تغییر نماینده با شخص حقوقی ثابت</t>
        </is>
      </c>
      <c r="D125" s="92" t="inlineStr">
        <is>
          <t>قدیمی؛ تعریف حفظ شده</t>
        </is>
      </c>
      <c r="E125" s="92" t="inlineStr">
        <is>
          <t>صورت: کرسی با همان شخص حقوقی که نماینده فرق دارد؛ مخرج: کرسی های با همان شخص حقوقی و نماینده معلوم در هر دو مقطع</t>
        </is>
      </c>
      <c r="F125" s="92" t="n">
        <v>1</v>
      </c>
      <c r="G125" s="92" t="n">
        <v>5</v>
      </c>
      <c r="H125" s="92" t="n">
        <v>1</v>
      </c>
      <c r="I125" s="92" t="n">
        <v>5</v>
      </c>
      <c r="J125" s="92">
        <f>IF(AND(ISNUMBER(H125),ISNUMBER(I125),I125&gt;0),H125/I125,"")</f>
        <v>0.2</v>
      </c>
      <c r="K125" s="92" t="inlineStr">
        <is>
          <t>پنجره مشترک</t>
        </is>
      </c>
      <c r="L125" s="92" t="inlineStr">
        <is>
          <t>1403/12/29</t>
        </is>
      </c>
      <c r="M125" s="92" t="inlineStr">
        <is>
          <t>1404/12/29</t>
        </is>
      </c>
      <c r="N125" s="92" t="inlineStr">
        <is>
          <t>بله</t>
        </is>
      </c>
      <c r="O125" s="92" t="inlineStr">
        <is>
          <t>کامل ارثی</t>
        </is>
      </c>
      <c r="P125" s="92" t="inlineStr">
        <is>
          <t>تایید جزئی</t>
        </is>
      </c>
      <c r="Q125" s="92" t="inlineStr"/>
      <c r="R125" s="92" t="inlineStr">
        <is>
          <t>بازتولید ممکن نشد</t>
        </is>
      </c>
      <c r="S125" s="92" t="inlineStr">
        <is>
          <t>ارثی از مستر؛ فهرست اسمی دو مقطع در دسترس نیست و بازتولید اسمی ممکن نشد</t>
        </is>
      </c>
      <c r="T125" s="92" t="inlineStr">
        <is>
          <t>Turnover نهایی J16 و K16</t>
        </is>
      </c>
    </row>
    <row r="126" ht="48" customHeight="1" s="76">
      <c r="A126" s="92" t="inlineStr">
        <is>
          <t>شپنا</t>
        </is>
      </c>
      <c r="B126" s="92" t="inlineStr">
        <is>
          <t>ROB_LEGAL</t>
        </is>
      </c>
      <c r="C126" s="92" t="inlineStr">
        <is>
          <t>تغییر شخص حقوقی دارنده کرسی</t>
        </is>
      </c>
      <c r="D126" s="92" t="inlineStr">
        <is>
          <t>قدیمی؛ تعریف حفظ شده</t>
        </is>
      </c>
      <c r="E126" s="92" t="inlineStr">
        <is>
          <t>صورت: کرسی هایی که شخص حقوقی دارنده فرق دارد؛ مخرج: کرسی های موجود در هر دو مقطع</t>
        </is>
      </c>
      <c r="F126" s="92" t="n">
        <v>0</v>
      </c>
      <c r="G126" s="92" t="n">
        <v>5</v>
      </c>
      <c r="H126" s="92" t="n">
        <v>0</v>
      </c>
      <c r="I126" s="92" t="n">
        <v>5</v>
      </c>
      <c r="J126" s="92">
        <f>IF(AND(ISNUMBER(H126),ISNUMBER(I126),I126&gt;0),H126/I126,"")</f>
        <v>0.0</v>
      </c>
      <c r="K126" s="92" t="inlineStr">
        <is>
          <t>پنجره مشترک</t>
        </is>
      </c>
      <c r="L126" s="92" t="inlineStr">
        <is>
          <t>1403/12/29</t>
        </is>
      </c>
      <c r="M126" s="92" t="inlineStr">
        <is>
          <t>1404/12/29</t>
        </is>
      </c>
      <c r="N126" s="92" t="inlineStr">
        <is>
          <t>بله</t>
        </is>
      </c>
      <c r="O126" s="92" t="inlineStr">
        <is>
          <t>کامل ارثی</t>
        </is>
      </c>
      <c r="P126" s="92" t="inlineStr">
        <is>
          <t>تایید جزئی</t>
        </is>
      </c>
      <c r="Q126" s="92" t="inlineStr"/>
      <c r="R126" s="92" t="inlineStr">
        <is>
          <t>بازتولید ممکن نشد</t>
        </is>
      </c>
      <c r="S126" s="92" t="inlineStr">
        <is>
          <t>ارثی از مستر؛ فهرست اسمی دو مقطع در دسترس نیست و بازتولید اسمی ممکن نشد</t>
        </is>
      </c>
      <c r="T126" s="92" t="inlineStr">
        <is>
          <t>Turnover نهایی M16 و N16</t>
        </is>
      </c>
    </row>
    <row r="127" ht="48" customHeight="1" s="76">
      <c r="A127" s="92" t="inlineStr">
        <is>
          <t>شپنا</t>
        </is>
      </c>
      <c r="B127" s="92" t="inlineStr">
        <is>
          <t>ROB_NEW</t>
        </is>
      </c>
      <c r="C127" s="92" t="inlineStr">
        <is>
          <t>سهم اعضای جدید</t>
        </is>
      </c>
      <c r="D127" s="92" t="inlineStr">
        <is>
          <t>قدیمی؛ تعریف حفظ شده</t>
        </is>
      </c>
      <c r="E127" s="92" t="inlineStr">
        <is>
          <t>صورت: افراد پایان که در مبنا نبودند؛ مخرج: افراد پایان</t>
        </is>
      </c>
      <c r="F127" s="92" t="n">
        <v>1</v>
      </c>
      <c r="G127" s="92" t="n">
        <v>5</v>
      </c>
      <c r="H127" s="92" t="n">
        <v>1</v>
      </c>
      <c r="I127" s="92" t="n">
        <v>5</v>
      </c>
      <c r="J127" s="92">
        <f>IF(AND(ISNUMBER(H127),ISNUMBER(I127),I127&gt;0),H127/I127,"")</f>
        <v>0.2</v>
      </c>
      <c r="K127" s="92" t="inlineStr">
        <is>
          <t>پنجره مشترک</t>
        </is>
      </c>
      <c r="L127" s="92" t="inlineStr">
        <is>
          <t>1403/12/29</t>
        </is>
      </c>
      <c r="M127" s="92" t="inlineStr">
        <is>
          <t>1404/12/29</t>
        </is>
      </c>
      <c r="N127" s="92" t="inlineStr">
        <is>
          <t>بله</t>
        </is>
      </c>
      <c r="O127" s="92" t="inlineStr">
        <is>
          <t>کامل ارثی</t>
        </is>
      </c>
      <c r="P127" s="92" t="inlineStr">
        <is>
          <t>تایید جزئی</t>
        </is>
      </c>
      <c r="Q127" s="92" t="inlineStr"/>
      <c r="R127" s="92" t="inlineStr">
        <is>
          <t>بازتولید ممکن نشد</t>
        </is>
      </c>
      <c r="S127" s="92" t="inlineStr">
        <is>
          <t>ارثی از مستر؛ فهرست اسمی دو مقطع در دسترس نیست و بازتولید اسمی ممکن نشد</t>
        </is>
      </c>
      <c r="T127" s="92" t="inlineStr">
        <is>
          <t>Turnover نهایی P16 و Q16</t>
        </is>
      </c>
    </row>
    <row r="128" ht="48" customHeight="1" s="76">
      <c r="A128" s="92" t="inlineStr">
        <is>
          <t>شپنا</t>
        </is>
      </c>
      <c r="B128" s="92" t="inlineStr">
        <is>
          <t>ROB_STABILITY</t>
        </is>
      </c>
      <c r="C128" s="92" t="inlineStr">
        <is>
          <t>ثبات کرسی با همان شخص</t>
        </is>
      </c>
      <c r="D128" s="92" t="inlineStr">
        <is>
          <t>قدیمی؛ تعریف حفظ شده</t>
        </is>
      </c>
      <c r="E128" s="92" t="inlineStr">
        <is>
          <t>صورت: کرسی های قابل مقایسه با همان شخص؛ مخرج: کرسی های قابل مقایسه</t>
        </is>
      </c>
      <c r="F128" s="92" t="n">
        <v>4</v>
      </c>
      <c r="G128" s="92" t="n">
        <v>5</v>
      </c>
      <c r="H128" s="92" t="n">
        <v>4</v>
      </c>
      <c r="I128" s="92" t="n">
        <v>5</v>
      </c>
      <c r="J128" s="92">
        <f>IF(AND(ISNUMBER(H128),ISNUMBER(I128),I128&gt;0),H128/I128,"")</f>
        <v>0.8</v>
      </c>
      <c r="K128" s="92" t="inlineStr">
        <is>
          <t>پنجره مشترک</t>
        </is>
      </c>
      <c r="L128" s="92" t="inlineStr">
        <is>
          <t>1403/12/29</t>
        </is>
      </c>
      <c r="M128" s="92" t="inlineStr">
        <is>
          <t>1404/12/29</t>
        </is>
      </c>
      <c r="N128" s="92" t="inlineStr">
        <is>
          <t>بله</t>
        </is>
      </c>
      <c r="O128" s="92" t="inlineStr">
        <is>
          <t>کامل ارثی</t>
        </is>
      </c>
      <c r="P128" s="92" t="inlineStr">
        <is>
          <t>تایید جزئی</t>
        </is>
      </c>
      <c r="Q128" s="92" t="inlineStr"/>
      <c r="R128" s="92" t="inlineStr">
        <is>
          <t>بازتولید ممکن نشد</t>
        </is>
      </c>
      <c r="S128" s="92" t="inlineStr">
        <is>
          <t>ارثی از مستر؛ فهرست اسمی دو مقطع در دسترس نیست و بازتولید اسمی ممکن نشد</t>
        </is>
      </c>
      <c r="T128" s="92" t="inlineStr">
        <is>
          <t>Turnover نهایی S16 و T16</t>
        </is>
      </c>
    </row>
    <row r="129" ht="48" customHeight="1" s="76">
      <c r="A129" s="92" t="inlineStr">
        <is>
          <t>شپنا</t>
        </is>
      </c>
      <c r="B129" s="92" t="inlineStr">
        <is>
          <t>CR1A</t>
        </is>
      </c>
      <c r="C129" s="92" t="inlineStr">
        <is>
          <t>تغییر رئیس هیئت مدیره بین دو مقطع</t>
        </is>
      </c>
      <c r="D129" s="92" t="inlineStr">
        <is>
          <t>قدیمی؛ تعریف حفظ شده</t>
        </is>
      </c>
      <c r="E129" s="92" t="inlineStr">
        <is>
          <t>صورت: 1 اگر هویت رئیس در دو مقطع فرق دارد؛ مخرج: 1. جدا از تعداد رویدادهای میانی</t>
        </is>
      </c>
      <c r="F129" s="92" t="n">
        <v>0</v>
      </c>
      <c r="G129" s="92" t="n">
        <v>1</v>
      </c>
      <c r="H129" s="92" t="n">
        <v>0</v>
      </c>
      <c r="I129" s="92" t="n">
        <v>1</v>
      </c>
      <c r="J129" s="92">
        <f>IF(AND(ISNUMBER(H129),ISNUMBER(I129),I129&gt;0),H129/I129,"")</f>
        <v>0.0</v>
      </c>
      <c r="K129" s="92" t="inlineStr">
        <is>
          <t>پنجره مشترک</t>
        </is>
      </c>
      <c r="L129" s="92" t="inlineStr">
        <is>
          <t>1403/12/29</t>
        </is>
      </c>
      <c r="M129" s="92" t="inlineStr">
        <is>
          <t>1404/12/29</t>
        </is>
      </c>
      <c r="N129" s="92" t="inlineStr">
        <is>
          <t>بله</t>
        </is>
      </c>
      <c r="O129" s="92" t="inlineStr">
        <is>
          <t>کامل ارثی</t>
        </is>
      </c>
      <c r="P129" s="92" t="inlineStr">
        <is>
          <t>تایید جزئی</t>
        </is>
      </c>
      <c r="Q129" s="92" t="inlineStr"/>
      <c r="R129" s="92" t="inlineStr">
        <is>
          <t>بازتولید ممکن نشد</t>
        </is>
      </c>
      <c r="S129" s="92" t="inlineStr">
        <is>
          <t>ارثی از CR1A v39 (INHERITED_WITH_LIMITATION)؛ تایید مجدد مستقل همه منابع انجام نشد</t>
        </is>
      </c>
      <c r="T129" s="92" t="inlineStr">
        <is>
          <t>Turnover نهایی V16؛ CR1A v39 ردیف 16</t>
        </is>
      </c>
    </row>
    <row r="130" ht="44" customHeight="1" s="76">
      <c r="A130" s="93" t="inlineStr">
        <is>
          <t>شپنا</t>
        </is>
      </c>
      <c r="B130" s="93" t="inlineStr">
        <is>
          <t>UPX1</t>
        </is>
      </c>
      <c r="C130" s="93" t="inlineStr">
        <is>
          <t>نرخ خروج افراد یکتا</t>
        </is>
      </c>
      <c r="D130" s="93" t="inlineStr">
        <is>
          <t>جدید؛ کد غیرمتداخل</t>
        </is>
      </c>
      <c r="E130" s="93" t="inlineStr">
        <is>
          <t>صورت: افراد حاضر در مبنا و غایب در پایان؛ مخرج: اعضای فعال مبنا</t>
        </is>
      </c>
      <c r="F130" s="93" t="inlineStr"/>
      <c r="G130" s="93" t="inlineStr"/>
      <c r="H130" s="93" t="inlineStr"/>
      <c r="I130" s="93" t="inlineStr"/>
      <c r="J130" s="93" t="str">
        <f>IF(AND(ISNUMBER(H130),ISNUMBER(I130),I130&gt;0),H130/I130,"")</f>
        <v/>
      </c>
      <c r="K130" s="93" t="inlineStr">
        <is>
          <t>پنجره مشترک</t>
        </is>
      </c>
      <c r="L130" s="93" t="inlineStr">
        <is>
          <t>1403/12/29</t>
        </is>
      </c>
      <c r="M130" s="93" t="inlineStr">
        <is>
          <t>1404/12/29</t>
        </is>
      </c>
      <c r="N130" s="93" t="inlineStr">
        <is>
          <t>بله</t>
        </is>
      </c>
      <c r="O130" s="93" t="inlineStr">
        <is>
          <t>ناکافی</t>
        </is>
      </c>
      <c r="P130" s="93" t="inlineStr">
        <is>
          <t>منبع در دسترس نبود</t>
        </is>
      </c>
      <c r="Q130" s="93" t="inlineStr"/>
      <c r="R130" s="93" t="inlineStr"/>
      <c r="S130" s="93" t="inlineStr">
        <is>
          <t>فهرست اسمی مبنا در بسته شواهد v41 است که در این جلسه ارائه نشد؛ شمار تجمیعی مستر برای افراد یکتا کافی نیست</t>
        </is>
      </c>
      <c r="T130" s="93" t="inlineStr">
        <is>
          <t>Snapshot Members v42؛ Person Flows v42</t>
        </is>
      </c>
    </row>
    <row r="131" ht="44" customHeight="1" s="76">
      <c r="A131" s="93" t="inlineStr">
        <is>
          <t>شپنا</t>
        </is>
      </c>
      <c r="B131" s="93" t="inlineStr">
        <is>
          <t>UPN1</t>
        </is>
      </c>
      <c r="C131" s="93" t="inlineStr">
        <is>
          <t>سهم افراد واردشده</t>
        </is>
      </c>
      <c r="D131" s="93" t="inlineStr">
        <is>
          <t>جدید؛ کد غیرمتداخل</t>
        </is>
      </c>
      <c r="E131" s="93" t="inlineStr">
        <is>
          <t>صورت: افراد حاضر در پایان و غایب در مبنا؛ مخرج: اعضای فعال پایان</t>
        </is>
      </c>
      <c r="F131" s="93" t="inlineStr"/>
      <c r="G131" s="93" t="inlineStr"/>
      <c r="H131" s="93" t="inlineStr"/>
      <c r="I131" s="93" t="inlineStr"/>
      <c r="J131" s="93" t="str">
        <f>IF(AND(ISNUMBER(H131),ISNUMBER(I131),I131&gt;0),H131/I131,"")</f>
        <v/>
      </c>
      <c r="K131" s="93" t="inlineStr">
        <is>
          <t>پنجره مشترک</t>
        </is>
      </c>
      <c r="L131" s="93" t="inlineStr">
        <is>
          <t>1403/12/29</t>
        </is>
      </c>
      <c r="M131" s="93" t="inlineStr">
        <is>
          <t>1404/12/29</t>
        </is>
      </c>
      <c r="N131" s="93" t="inlineStr">
        <is>
          <t>بله</t>
        </is>
      </c>
      <c r="O131" s="93" t="inlineStr">
        <is>
          <t>ناکافی</t>
        </is>
      </c>
      <c r="P131" s="93" t="inlineStr">
        <is>
          <t>منبع در دسترس نبود</t>
        </is>
      </c>
      <c r="Q131" s="93" t="inlineStr"/>
      <c r="R131" s="93" t="inlineStr"/>
      <c r="S131" s="93" t="inlineStr">
        <is>
          <t>فهرست اسمی مبنا در بسته شواهد v41 است که در این جلسه ارائه نشد؛ شمار تجمیعی مستر برای افراد یکتا کافی نیست</t>
        </is>
      </c>
      <c r="T131" s="93" t="inlineStr">
        <is>
          <t>Snapshot Members v42؛ Person Flows v42</t>
        </is>
      </c>
    </row>
    <row r="132" ht="44" customHeight="1" s="76">
      <c r="A132" s="93" t="inlineStr">
        <is>
          <t>شپنا</t>
        </is>
      </c>
      <c r="B132" s="93" t="inlineStr">
        <is>
          <t>UPR1</t>
        </is>
      </c>
      <c r="C132" s="93" t="inlineStr">
        <is>
          <t>نرخ ماندگاری افراد یکتا</t>
        </is>
      </c>
      <c r="D132" s="93" t="inlineStr">
        <is>
          <t>جدید؛ کد غیرمتداخل</t>
        </is>
      </c>
      <c r="E132" s="93" t="inlineStr">
        <is>
          <t>صورت: افراد حاضر در هر دو مقطع؛ مخرج: اعضای فعال مبنا</t>
        </is>
      </c>
      <c r="F132" s="93" t="inlineStr"/>
      <c r="G132" s="93" t="inlineStr"/>
      <c r="H132" s="93" t="inlineStr"/>
      <c r="I132" s="93" t="inlineStr"/>
      <c r="J132" s="93" t="str">
        <f>IF(AND(ISNUMBER(H132),ISNUMBER(I132),I132&gt;0),H132/I132,"")</f>
        <v/>
      </c>
      <c r="K132" s="93" t="inlineStr">
        <is>
          <t>پنجره مشترک</t>
        </is>
      </c>
      <c r="L132" s="93" t="inlineStr">
        <is>
          <t>1403/12/29</t>
        </is>
      </c>
      <c r="M132" s="93" t="inlineStr">
        <is>
          <t>1404/12/29</t>
        </is>
      </c>
      <c r="N132" s="93" t="inlineStr">
        <is>
          <t>بله</t>
        </is>
      </c>
      <c r="O132" s="93" t="inlineStr">
        <is>
          <t>ناکافی</t>
        </is>
      </c>
      <c r="P132" s="93" t="inlineStr">
        <is>
          <t>منبع در دسترس نبود</t>
        </is>
      </c>
      <c r="Q132" s="93" t="inlineStr"/>
      <c r="R132" s="93" t="inlineStr"/>
      <c r="S132" s="93" t="inlineStr">
        <is>
          <t>فهرست اسمی مبنا در بسته شواهد v41 است که در این جلسه ارائه نشد؛ شمار تجمیعی مستر برای افراد یکتا کافی نیست</t>
        </is>
      </c>
      <c r="T132" s="93" t="inlineStr">
        <is>
          <t>Snapshot Members v42؛ Person Flows v42</t>
        </is>
      </c>
    </row>
    <row r="133" ht="44" customHeight="1" s="76">
      <c r="A133" s="92" t="inlineStr">
        <is>
          <t>شپنا</t>
        </is>
      </c>
      <c r="B133" s="92" t="inlineStr">
        <is>
          <t>UPF1</t>
        </is>
      </c>
      <c r="C133" s="92" t="inlineStr">
        <is>
          <t>افراد یکتا در نمای مالی (FY1403 تا FY1404)</t>
        </is>
      </c>
      <c r="D133" s="92" t="inlineStr">
        <is>
          <t>جدید؛ نمای مالی</t>
        </is>
      </c>
      <c r="E133" s="92" t="inlineStr">
        <is>
          <t>همان سه نسبت UPX1 و UPN1 و UPR1 ولی بین پایان FY1403 و FY1404 هر شرکت؛ فقط با دو فهرست کامل معتبر</t>
        </is>
      </c>
      <c r="F133" s="92" t="inlineStr"/>
      <c r="G133" s="92" t="inlineStr"/>
      <c r="H133" s="92" t="inlineStr"/>
      <c r="I133" s="92" t="inlineStr"/>
      <c r="J133" s="92" t="str">
        <f>IF(AND(ISNUMBER(H133),ISNUMBER(I133),I133&gt;0),H133/I133,"")</f>
        <v/>
      </c>
      <c r="K133" s="92" t="inlineStr">
        <is>
          <t>نمای مالی</t>
        </is>
      </c>
      <c r="L133" s="92" t="inlineStr">
        <is>
          <t>1403/12/30</t>
        </is>
      </c>
      <c r="M133" s="92" t="inlineStr">
        <is>
          <t>1404/12/29</t>
        </is>
      </c>
      <c r="N133" s="92" t="inlineStr">
        <is>
          <t>بله</t>
        </is>
      </c>
      <c r="O133" s="92" t="inlineStr">
        <is>
          <t>ناکافی</t>
        </is>
      </c>
      <c r="P133" s="92" t="inlineStr">
        <is>
          <t>هنوز بررسی نشده</t>
        </is>
      </c>
      <c r="Q133" s="92" t="inlineStr"/>
      <c r="R133" s="92" t="inlineStr"/>
      <c r="S133" s="92" t="inlineStr">
        <is>
          <t>فهرست اسمی پایان FY1403 در فایل نیست؛ نتیجه نمای مالی نامشخص ماند و عدد پنجره مشترک جای آن نیامد</t>
        </is>
      </c>
      <c r="T133" s="92" t="inlineStr">
        <is>
          <t>Scope v42</t>
        </is>
      </c>
    </row>
    <row r="134" ht="48" customHeight="1" s="76">
      <c r="A134" s="92" t="inlineStr">
        <is>
          <t>وغدیر</t>
        </is>
      </c>
      <c r="B134" s="92" t="inlineStr">
        <is>
          <t>REF05</t>
        </is>
      </c>
      <c r="C134" s="92" t="inlineStr">
        <is>
          <t>گردش فردی مبتنی بر کرسی</t>
        </is>
      </c>
      <c r="D134" s="92" t="inlineStr">
        <is>
          <t>قدیمی؛ تعریف حفظ شده</t>
        </is>
      </c>
      <c r="E134" s="92" t="inlineStr">
        <is>
          <t>صورت: کرسی های قابل مقایسه که شخص نامبرده در دو مقطع فرق دارد؛ مخرج: کرسی های قابل مقایسه (مبنای نامبرده). کرسی حقیقی مستقیم در سطح فرد</t>
        </is>
      </c>
      <c r="F134" s="92" t="n">
        <v>2</v>
      </c>
      <c r="G134" s="92" t="n">
        <v>5</v>
      </c>
      <c r="H134" s="92" t="n">
        <v>2</v>
      </c>
      <c r="I134" s="92" t="n">
        <v>5</v>
      </c>
      <c r="J134" s="92">
        <f>IF(AND(ISNUMBER(H134),ISNUMBER(I134),I134&gt;0),H134/I134,"")</f>
        <v>0.4</v>
      </c>
      <c r="K134" s="92" t="inlineStr">
        <is>
          <t>پنجره مشترک</t>
        </is>
      </c>
      <c r="L134" s="92" t="inlineStr">
        <is>
          <t>1403/12/29</t>
        </is>
      </c>
      <c r="M134" s="92" t="inlineStr">
        <is>
          <t>1404/12/29</t>
        </is>
      </c>
      <c r="N134" s="92" t="inlineStr">
        <is>
          <t>بله</t>
        </is>
      </c>
      <c r="O134" s="92" t="inlineStr">
        <is>
          <t>کامل ارثی</t>
        </is>
      </c>
      <c r="P134" s="92" t="inlineStr">
        <is>
          <t>تایید جزئی</t>
        </is>
      </c>
      <c r="Q134" s="92" t="inlineStr"/>
      <c r="R134" s="92" t="inlineStr">
        <is>
          <t>بازتولید ممکن نشد</t>
        </is>
      </c>
      <c r="S134" s="92" t="inlineStr">
        <is>
          <t>ارثی از مستر؛ فهرست اسمی دو مقطع در دسترس نیست و بازتولید اسمی ممکن نشد</t>
        </is>
      </c>
      <c r="T134" s="92" t="inlineStr">
        <is>
          <t>Turnover نهایی G17 و H17</t>
        </is>
      </c>
    </row>
    <row r="135" ht="48" customHeight="1" s="76">
      <c r="A135" s="92" t="inlineStr">
        <is>
          <t>وغدیر</t>
        </is>
      </c>
      <c r="B135" s="92" t="inlineStr">
        <is>
          <t>REF08</t>
        </is>
      </c>
      <c r="C135" s="92" t="inlineStr">
        <is>
          <t>تغییر نماینده با شخص حقوقی ثابت</t>
        </is>
      </c>
      <c r="D135" s="92" t="inlineStr">
        <is>
          <t>قدیمی؛ تعریف حفظ شده</t>
        </is>
      </c>
      <c r="E135" s="92" t="inlineStr">
        <is>
          <t>صورت: کرسی با همان شخص حقوقی که نماینده فرق دارد؛ مخرج: کرسی های با همان شخص حقوقی و نماینده معلوم در هر دو مقطع</t>
        </is>
      </c>
      <c r="F135" s="92" t="n">
        <v>2</v>
      </c>
      <c r="G135" s="92" t="n">
        <v>5</v>
      </c>
      <c r="H135" s="92" t="n">
        <v>2</v>
      </c>
      <c r="I135" s="92" t="n">
        <v>5</v>
      </c>
      <c r="J135" s="92">
        <f>IF(AND(ISNUMBER(H135),ISNUMBER(I135),I135&gt;0),H135/I135,"")</f>
        <v>0.4</v>
      </c>
      <c r="K135" s="92" t="inlineStr">
        <is>
          <t>پنجره مشترک</t>
        </is>
      </c>
      <c r="L135" s="92" t="inlineStr">
        <is>
          <t>1403/12/29</t>
        </is>
      </c>
      <c r="M135" s="92" t="inlineStr">
        <is>
          <t>1404/12/29</t>
        </is>
      </c>
      <c r="N135" s="92" t="inlineStr">
        <is>
          <t>بله</t>
        </is>
      </c>
      <c r="O135" s="92" t="inlineStr">
        <is>
          <t>کامل ارثی</t>
        </is>
      </c>
      <c r="P135" s="92" t="inlineStr">
        <is>
          <t>تایید جزئی</t>
        </is>
      </c>
      <c r="Q135" s="92" t="inlineStr"/>
      <c r="R135" s="92" t="inlineStr">
        <is>
          <t>بازتولید ممکن نشد</t>
        </is>
      </c>
      <c r="S135" s="92" t="inlineStr">
        <is>
          <t>ارثی از مستر؛ فهرست اسمی دو مقطع در دسترس نیست و بازتولید اسمی ممکن نشد</t>
        </is>
      </c>
      <c r="T135" s="92" t="inlineStr">
        <is>
          <t>Turnover نهایی J17 و K17</t>
        </is>
      </c>
    </row>
    <row r="136" ht="48" customHeight="1" s="76">
      <c r="A136" s="92" t="inlineStr">
        <is>
          <t>وغدیر</t>
        </is>
      </c>
      <c r="B136" s="92" t="inlineStr">
        <is>
          <t>ROB_LEGAL</t>
        </is>
      </c>
      <c r="C136" s="92" t="inlineStr">
        <is>
          <t>تغییر شخص حقوقی دارنده کرسی</t>
        </is>
      </c>
      <c r="D136" s="92" t="inlineStr">
        <is>
          <t>قدیمی؛ تعریف حفظ شده</t>
        </is>
      </c>
      <c r="E136" s="92" t="inlineStr">
        <is>
          <t>صورت: کرسی هایی که شخص حقوقی دارنده فرق دارد؛ مخرج: کرسی های موجود در هر دو مقطع</t>
        </is>
      </c>
      <c r="F136" s="92" t="n">
        <v>0</v>
      </c>
      <c r="G136" s="92" t="n">
        <v>5</v>
      </c>
      <c r="H136" s="92" t="n">
        <v>0</v>
      </c>
      <c r="I136" s="92" t="n">
        <v>5</v>
      </c>
      <c r="J136" s="92">
        <f>IF(AND(ISNUMBER(H136),ISNUMBER(I136),I136&gt;0),H136/I136,"")</f>
        <v>0.0</v>
      </c>
      <c r="K136" s="92" t="inlineStr">
        <is>
          <t>پنجره مشترک</t>
        </is>
      </c>
      <c r="L136" s="92" t="inlineStr">
        <is>
          <t>1403/12/29</t>
        </is>
      </c>
      <c r="M136" s="92" t="inlineStr">
        <is>
          <t>1404/12/29</t>
        </is>
      </c>
      <c r="N136" s="92" t="inlineStr">
        <is>
          <t>بله</t>
        </is>
      </c>
      <c r="O136" s="92" t="inlineStr">
        <is>
          <t>کامل ارثی</t>
        </is>
      </c>
      <c r="P136" s="92" t="inlineStr">
        <is>
          <t>تایید جزئی</t>
        </is>
      </c>
      <c r="Q136" s="92" t="inlineStr"/>
      <c r="R136" s="92" t="inlineStr">
        <is>
          <t>بازتولید ممکن نشد</t>
        </is>
      </c>
      <c r="S136" s="92" t="inlineStr">
        <is>
          <t>ارثی از مستر؛ فهرست اسمی دو مقطع در دسترس نیست و بازتولید اسمی ممکن نشد</t>
        </is>
      </c>
      <c r="T136" s="92" t="inlineStr">
        <is>
          <t>Turnover نهایی M17 و N17</t>
        </is>
      </c>
    </row>
    <row r="137" ht="48" customHeight="1" s="76">
      <c r="A137" s="92" t="inlineStr">
        <is>
          <t>وغدیر</t>
        </is>
      </c>
      <c r="B137" s="92" t="inlineStr">
        <is>
          <t>ROB_NEW</t>
        </is>
      </c>
      <c r="C137" s="92" t="inlineStr">
        <is>
          <t>سهم اعضای جدید</t>
        </is>
      </c>
      <c r="D137" s="92" t="inlineStr">
        <is>
          <t>قدیمی؛ تعریف حفظ شده</t>
        </is>
      </c>
      <c r="E137" s="92" t="inlineStr">
        <is>
          <t>صورت: افراد پایان که در مبنا نبودند؛ مخرج: افراد پایان</t>
        </is>
      </c>
      <c r="F137" s="92" t="n">
        <v>2</v>
      </c>
      <c r="G137" s="92" t="n">
        <v>5</v>
      </c>
      <c r="H137" s="92" t="n">
        <v>2</v>
      </c>
      <c r="I137" s="92" t="n">
        <v>5</v>
      </c>
      <c r="J137" s="92">
        <f>IF(AND(ISNUMBER(H137),ISNUMBER(I137),I137&gt;0),H137/I137,"")</f>
        <v>0.4</v>
      </c>
      <c r="K137" s="92" t="inlineStr">
        <is>
          <t>پنجره مشترک</t>
        </is>
      </c>
      <c r="L137" s="92" t="inlineStr">
        <is>
          <t>1403/12/29</t>
        </is>
      </c>
      <c r="M137" s="92" t="inlineStr">
        <is>
          <t>1404/12/29</t>
        </is>
      </c>
      <c r="N137" s="92" t="inlineStr">
        <is>
          <t>بله</t>
        </is>
      </c>
      <c r="O137" s="92" t="inlineStr">
        <is>
          <t>کامل ارثی</t>
        </is>
      </c>
      <c r="P137" s="92" t="inlineStr">
        <is>
          <t>تایید جزئی</t>
        </is>
      </c>
      <c r="Q137" s="92" t="inlineStr"/>
      <c r="R137" s="92" t="inlineStr">
        <is>
          <t>بازتولید ممکن نشد</t>
        </is>
      </c>
      <c r="S137" s="92" t="inlineStr">
        <is>
          <t>ارثی از مستر؛ فهرست اسمی دو مقطع در دسترس نیست و بازتولید اسمی ممکن نشد</t>
        </is>
      </c>
      <c r="T137" s="92" t="inlineStr">
        <is>
          <t>Turnover نهایی P17 و Q17</t>
        </is>
      </c>
    </row>
    <row r="138" ht="48" customHeight="1" s="76">
      <c r="A138" s="92" t="inlineStr">
        <is>
          <t>وغدیر</t>
        </is>
      </c>
      <c r="B138" s="92" t="inlineStr">
        <is>
          <t>ROB_STABILITY</t>
        </is>
      </c>
      <c r="C138" s="92" t="inlineStr">
        <is>
          <t>ثبات کرسی با همان شخص</t>
        </is>
      </c>
      <c r="D138" s="92" t="inlineStr">
        <is>
          <t>قدیمی؛ تعریف حفظ شده</t>
        </is>
      </c>
      <c r="E138" s="92" t="inlineStr">
        <is>
          <t>صورت: کرسی های قابل مقایسه با همان شخص؛ مخرج: کرسی های قابل مقایسه</t>
        </is>
      </c>
      <c r="F138" s="92" t="n">
        <v>3</v>
      </c>
      <c r="G138" s="92" t="n">
        <v>5</v>
      </c>
      <c r="H138" s="92" t="n">
        <v>3</v>
      </c>
      <c r="I138" s="92" t="n">
        <v>5</v>
      </c>
      <c r="J138" s="92">
        <f>IF(AND(ISNUMBER(H138),ISNUMBER(I138),I138&gt;0),H138/I138,"")</f>
        <v>0.6</v>
      </c>
      <c r="K138" s="92" t="inlineStr">
        <is>
          <t>پنجره مشترک</t>
        </is>
      </c>
      <c r="L138" s="92" t="inlineStr">
        <is>
          <t>1403/12/29</t>
        </is>
      </c>
      <c r="M138" s="92" t="inlineStr">
        <is>
          <t>1404/12/29</t>
        </is>
      </c>
      <c r="N138" s="92" t="inlineStr">
        <is>
          <t>بله</t>
        </is>
      </c>
      <c r="O138" s="92" t="inlineStr">
        <is>
          <t>کامل ارثی</t>
        </is>
      </c>
      <c r="P138" s="92" t="inlineStr">
        <is>
          <t>تایید جزئی</t>
        </is>
      </c>
      <c r="Q138" s="92" t="inlineStr"/>
      <c r="R138" s="92" t="inlineStr">
        <is>
          <t>بازتولید ممکن نشد</t>
        </is>
      </c>
      <c r="S138" s="92" t="inlineStr">
        <is>
          <t>ارثی از مستر؛ فهرست اسمی دو مقطع در دسترس نیست و بازتولید اسمی ممکن نشد</t>
        </is>
      </c>
      <c r="T138" s="92" t="inlineStr">
        <is>
          <t>Turnover نهایی S17 و T17</t>
        </is>
      </c>
    </row>
    <row r="139" ht="48" customHeight="1" s="76">
      <c r="A139" s="92" t="inlineStr">
        <is>
          <t>وغدیر</t>
        </is>
      </c>
      <c r="B139" s="92" t="inlineStr">
        <is>
          <t>CR1A</t>
        </is>
      </c>
      <c r="C139" s="92" t="inlineStr">
        <is>
          <t>تغییر رئیس هیئت مدیره بین دو مقطع</t>
        </is>
      </c>
      <c r="D139" s="92" t="inlineStr">
        <is>
          <t>قدیمی؛ تعریف حفظ شده</t>
        </is>
      </c>
      <c r="E139" s="92" t="inlineStr">
        <is>
          <t>صورت: 1 اگر هویت رئیس در دو مقطع فرق دارد؛ مخرج: 1. جدا از تعداد رویدادهای میانی</t>
        </is>
      </c>
      <c r="F139" s="92" t="n">
        <v>0</v>
      </c>
      <c r="G139" s="92" t="n">
        <v>1</v>
      </c>
      <c r="H139" s="92" t="n">
        <v>0</v>
      </c>
      <c r="I139" s="92" t="n">
        <v>1</v>
      </c>
      <c r="J139" s="92">
        <f>IF(AND(ISNUMBER(H139),ISNUMBER(I139),I139&gt;0),H139/I139,"")</f>
        <v>0.0</v>
      </c>
      <c r="K139" s="92" t="inlineStr">
        <is>
          <t>پنجره مشترک</t>
        </is>
      </c>
      <c r="L139" s="92" t="inlineStr">
        <is>
          <t>1403/12/29</t>
        </is>
      </c>
      <c r="M139" s="92" t="inlineStr">
        <is>
          <t>1404/12/29</t>
        </is>
      </c>
      <c r="N139" s="92" t="inlineStr">
        <is>
          <t>بله</t>
        </is>
      </c>
      <c r="O139" s="92" t="inlineStr">
        <is>
          <t>کامل ارثی</t>
        </is>
      </c>
      <c r="P139" s="92" t="inlineStr">
        <is>
          <t>تایید جزئی</t>
        </is>
      </c>
      <c r="Q139" s="92" t="inlineStr"/>
      <c r="R139" s="92" t="inlineStr">
        <is>
          <t>بازتولید ممکن نشد</t>
        </is>
      </c>
      <c r="S139" s="92" t="inlineStr">
        <is>
          <t>ارثی از CR1A v39 (INHERITED_WITH_LIMITATION)؛ تایید مجدد مستقل همه منابع انجام نشد</t>
        </is>
      </c>
      <c r="T139" s="92" t="inlineStr">
        <is>
          <t>Turnover نهایی V17؛ CR1A v39 ردیف 17</t>
        </is>
      </c>
    </row>
    <row r="140" ht="44" customHeight="1" s="76">
      <c r="A140" s="93" t="inlineStr">
        <is>
          <t>وغدیر</t>
        </is>
      </c>
      <c r="B140" s="93" t="inlineStr">
        <is>
          <t>UPX1</t>
        </is>
      </c>
      <c r="C140" s="93" t="inlineStr">
        <is>
          <t>نرخ خروج افراد یکتا</t>
        </is>
      </c>
      <c r="D140" s="93" t="inlineStr">
        <is>
          <t>جدید؛ کد غیرمتداخل</t>
        </is>
      </c>
      <c r="E140" s="93" t="inlineStr">
        <is>
          <t>صورت: افراد حاضر در مبنا و غایب در پایان؛ مخرج: اعضای فعال مبنا</t>
        </is>
      </c>
      <c r="F140" s="93" t="inlineStr"/>
      <c r="G140" s="93" t="inlineStr"/>
      <c r="H140" s="93" t="inlineStr"/>
      <c r="I140" s="93" t="inlineStr"/>
      <c r="J140" s="93" t="str">
        <f>IF(AND(ISNUMBER(H140),ISNUMBER(I140),I140&gt;0),H140/I140,"")</f>
        <v/>
      </c>
      <c r="K140" s="93" t="inlineStr">
        <is>
          <t>پنجره مشترک</t>
        </is>
      </c>
      <c r="L140" s="93" t="inlineStr">
        <is>
          <t>1403/12/29</t>
        </is>
      </c>
      <c r="M140" s="93" t="inlineStr">
        <is>
          <t>1404/12/29</t>
        </is>
      </c>
      <c r="N140" s="93" t="inlineStr">
        <is>
          <t>بله</t>
        </is>
      </c>
      <c r="O140" s="93" t="inlineStr">
        <is>
          <t>ناکافی</t>
        </is>
      </c>
      <c r="P140" s="93" t="inlineStr">
        <is>
          <t>منبع در دسترس نبود</t>
        </is>
      </c>
      <c r="Q140" s="93" t="inlineStr"/>
      <c r="R140" s="93" t="inlineStr"/>
      <c r="S140" s="93" t="inlineStr">
        <is>
          <t>فهرست اسمی مبنا در بسته شواهد v41 است که در این جلسه ارائه نشد؛ شمار تجمیعی مستر برای افراد یکتا کافی نیست</t>
        </is>
      </c>
      <c r="T140" s="93" t="inlineStr">
        <is>
          <t>Snapshot Members v42؛ Person Flows v42</t>
        </is>
      </c>
    </row>
    <row r="141" ht="44" customHeight="1" s="76">
      <c r="A141" s="93" t="inlineStr">
        <is>
          <t>وغدیر</t>
        </is>
      </c>
      <c r="B141" s="93" t="inlineStr">
        <is>
          <t>UPN1</t>
        </is>
      </c>
      <c r="C141" s="93" t="inlineStr">
        <is>
          <t>سهم افراد واردشده</t>
        </is>
      </c>
      <c r="D141" s="93" t="inlineStr">
        <is>
          <t>جدید؛ کد غیرمتداخل</t>
        </is>
      </c>
      <c r="E141" s="93" t="inlineStr">
        <is>
          <t>صورت: افراد حاضر در پایان و غایب در مبنا؛ مخرج: اعضای فعال پایان</t>
        </is>
      </c>
      <c r="F141" s="93" t="inlineStr"/>
      <c r="G141" s="93" t="inlineStr"/>
      <c r="H141" s="93" t="inlineStr"/>
      <c r="I141" s="93" t="inlineStr"/>
      <c r="J141" s="93" t="str">
        <f>IF(AND(ISNUMBER(H141),ISNUMBER(I141),I141&gt;0),H141/I141,"")</f>
        <v/>
      </c>
      <c r="K141" s="93" t="inlineStr">
        <is>
          <t>پنجره مشترک</t>
        </is>
      </c>
      <c r="L141" s="93" t="inlineStr">
        <is>
          <t>1403/12/29</t>
        </is>
      </c>
      <c r="M141" s="93" t="inlineStr">
        <is>
          <t>1404/12/29</t>
        </is>
      </c>
      <c r="N141" s="93" t="inlineStr">
        <is>
          <t>بله</t>
        </is>
      </c>
      <c r="O141" s="93" t="inlineStr">
        <is>
          <t>ناکافی</t>
        </is>
      </c>
      <c r="P141" s="93" t="inlineStr">
        <is>
          <t>منبع در دسترس نبود</t>
        </is>
      </c>
      <c r="Q141" s="93" t="inlineStr"/>
      <c r="R141" s="93" t="inlineStr"/>
      <c r="S141" s="93" t="inlineStr">
        <is>
          <t>فهرست اسمی مبنا در بسته شواهد v41 است که در این جلسه ارائه نشد؛ شمار تجمیعی مستر برای افراد یکتا کافی نیست</t>
        </is>
      </c>
      <c r="T141" s="93" t="inlineStr">
        <is>
          <t>Snapshot Members v42؛ Person Flows v42</t>
        </is>
      </c>
    </row>
    <row r="142" ht="44" customHeight="1" s="76">
      <c r="A142" s="93" t="inlineStr">
        <is>
          <t>وغدیر</t>
        </is>
      </c>
      <c r="B142" s="93" t="inlineStr">
        <is>
          <t>UPR1</t>
        </is>
      </c>
      <c r="C142" s="93" t="inlineStr">
        <is>
          <t>نرخ ماندگاری افراد یکتا</t>
        </is>
      </c>
      <c r="D142" s="93" t="inlineStr">
        <is>
          <t>جدید؛ کد غیرمتداخل</t>
        </is>
      </c>
      <c r="E142" s="93" t="inlineStr">
        <is>
          <t>صورت: افراد حاضر در هر دو مقطع؛ مخرج: اعضای فعال مبنا</t>
        </is>
      </c>
      <c r="F142" s="93" t="inlineStr"/>
      <c r="G142" s="93" t="inlineStr"/>
      <c r="H142" s="93" t="inlineStr"/>
      <c r="I142" s="93" t="inlineStr"/>
      <c r="J142" s="93" t="str">
        <f>IF(AND(ISNUMBER(H142),ISNUMBER(I142),I142&gt;0),H142/I142,"")</f>
        <v/>
      </c>
      <c r="K142" s="93" t="inlineStr">
        <is>
          <t>پنجره مشترک</t>
        </is>
      </c>
      <c r="L142" s="93" t="inlineStr">
        <is>
          <t>1403/12/29</t>
        </is>
      </c>
      <c r="M142" s="93" t="inlineStr">
        <is>
          <t>1404/12/29</t>
        </is>
      </c>
      <c r="N142" s="93" t="inlineStr">
        <is>
          <t>بله</t>
        </is>
      </c>
      <c r="O142" s="93" t="inlineStr">
        <is>
          <t>ناکافی</t>
        </is>
      </c>
      <c r="P142" s="93" t="inlineStr">
        <is>
          <t>منبع در دسترس نبود</t>
        </is>
      </c>
      <c r="Q142" s="93" t="inlineStr"/>
      <c r="R142" s="93" t="inlineStr"/>
      <c r="S142" s="93" t="inlineStr">
        <is>
          <t>فهرست اسمی مبنا در بسته شواهد v41 است که در این جلسه ارائه نشد؛ شمار تجمیعی مستر برای افراد یکتا کافی نیست</t>
        </is>
      </c>
      <c r="T142" s="93" t="inlineStr">
        <is>
          <t>Snapshot Members v42؛ Person Flows v42</t>
        </is>
      </c>
    </row>
    <row r="143" ht="44" customHeight="1" s="76">
      <c r="A143" s="92" t="inlineStr">
        <is>
          <t>وغدیر</t>
        </is>
      </c>
      <c r="B143" s="92" t="inlineStr">
        <is>
          <t>UPF1</t>
        </is>
      </c>
      <c r="C143" s="92" t="inlineStr">
        <is>
          <t>افراد یکتا در نمای مالی (FY1403 تا FY1404)</t>
        </is>
      </c>
      <c r="D143" s="92" t="inlineStr">
        <is>
          <t>جدید؛ نمای مالی</t>
        </is>
      </c>
      <c r="E143" s="92" t="inlineStr">
        <is>
          <t>همان سه نسبت UPX1 و UPN1 و UPR1 ولی بین پایان FY1403 و FY1404 هر شرکت؛ فقط با دو فهرست کامل معتبر</t>
        </is>
      </c>
      <c r="F143" s="92" t="inlineStr"/>
      <c r="G143" s="92" t="inlineStr"/>
      <c r="H143" s="92" t="inlineStr"/>
      <c r="I143" s="92" t="inlineStr"/>
      <c r="J143" s="92" t="str">
        <f>IF(AND(ISNUMBER(H143),ISNUMBER(I143),I143&gt;0),H143/I143,"")</f>
        <v/>
      </c>
      <c r="K143" s="92" t="inlineStr">
        <is>
          <t>نمای مالی</t>
        </is>
      </c>
      <c r="L143" s="92" t="inlineStr">
        <is>
          <t>1403/09/30</t>
        </is>
      </c>
      <c r="M143" s="92" t="inlineStr">
        <is>
          <t>1404/09/30</t>
        </is>
      </c>
      <c r="N143" s="92" t="inlineStr">
        <is>
          <t>بله</t>
        </is>
      </c>
      <c r="O143" s="92" t="inlineStr">
        <is>
          <t>ناکافی</t>
        </is>
      </c>
      <c r="P143" s="92" t="inlineStr">
        <is>
          <t>هنوز بررسی نشده</t>
        </is>
      </c>
      <c r="Q143" s="92" t="inlineStr"/>
      <c r="R143" s="92" t="inlineStr"/>
      <c r="S143" s="92" t="inlineStr">
        <is>
          <t>فهرست اسمی پایان FY1403 در فایل نیست؛ نتیجه نمای مالی نامشخص ماند و عدد پنجره مشترک جای آن نیامد</t>
        </is>
      </c>
      <c r="T143" s="92" t="inlineStr">
        <is>
          <t>Scope v42</t>
        </is>
      </c>
    </row>
    <row r="144" ht="48" customHeight="1" s="76">
      <c r="A144" s="92" t="inlineStr">
        <is>
          <t>نوری</t>
        </is>
      </c>
      <c r="B144" s="92" t="inlineStr">
        <is>
          <t>REF05</t>
        </is>
      </c>
      <c r="C144" s="92" t="inlineStr">
        <is>
          <t>گردش فردی مبتنی بر کرسی</t>
        </is>
      </c>
      <c r="D144" s="92" t="inlineStr">
        <is>
          <t>قدیمی؛ تعریف حفظ شده</t>
        </is>
      </c>
      <c r="E144" s="92" t="inlineStr">
        <is>
          <t>صورت: کرسی های قابل مقایسه که شخص نامبرده در دو مقطع فرق دارد؛ مخرج: کرسی های قابل مقایسه (مبنای نامبرده). کرسی حقیقی مستقیم در سطح فرد</t>
        </is>
      </c>
      <c r="F144" s="92" t="n">
        <v>4</v>
      </c>
      <c r="G144" s="92" t="n">
        <v>5</v>
      </c>
      <c r="H144" s="92" t="n">
        <v>4</v>
      </c>
      <c r="I144" s="92" t="n">
        <v>5</v>
      </c>
      <c r="J144" s="92">
        <f>IF(AND(ISNUMBER(H144),ISNUMBER(I144),I144&gt;0),H144/I144,"")</f>
        <v>0.8</v>
      </c>
      <c r="K144" s="92" t="inlineStr">
        <is>
          <t>پنجره مشترک</t>
        </is>
      </c>
      <c r="L144" s="92" t="inlineStr">
        <is>
          <t>1403/12/29</t>
        </is>
      </c>
      <c r="M144" s="92" t="inlineStr">
        <is>
          <t>1404/12/29</t>
        </is>
      </c>
      <c r="N144" s="92" t="inlineStr">
        <is>
          <t>بله</t>
        </is>
      </c>
      <c r="O144" s="92" t="inlineStr">
        <is>
          <t>کامل ارثی</t>
        </is>
      </c>
      <c r="P144" s="92" t="inlineStr">
        <is>
          <t>تایید جزئی</t>
        </is>
      </c>
      <c r="Q144" s="92" t="inlineStr"/>
      <c r="R144" s="92" t="inlineStr">
        <is>
          <t>بازتولید ممکن نشد</t>
        </is>
      </c>
      <c r="S144" s="92" t="inlineStr">
        <is>
          <t>ارثی از مستر؛ فهرست اسمی دو مقطع در دسترس نیست و بازتولید اسمی ممکن نشد</t>
        </is>
      </c>
      <c r="T144" s="92" t="inlineStr">
        <is>
          <t>Turnover نهایی G18 و H18</t>
        </is>
      </c>
    </row>
    <row r="145" ht="48" customHeight="1" s="76">
      <c r="A145" s="92" t="inlineStr">
        <is>
          <t>نوری</t>
        </is>
      </c>
      <c r="B145" s="92" t="inlineStr">
        <is>
          <t>REF08</t>
        </is>
      </c>
      <c r="C145" s="92" t="inlineStr">
        <is>
          <t>تغییر نماینده با شخص حقوقی ثابت</t>
        </is>
      </c>
      <c r="D145" s="92" t="inlineStr">
        <is>
          <t>قدیمی؛ تعریف حفظ شده</t>
        </is>
      </c>
      <c r="E145" s="92" t="inlineStr">
        <is>
          <t>صورت: کرسی با همان شخص حقوقی که نماینده فرق دارد؛ مخرج: کرسی های با همان شخص حقوقی و نماینده معلوم در هر دو مقطع</t>
        </is>
      </c>
      <c r="F145" s="92" t="n">
        <v>1</v>
      </c>
      <c r="G145" s="92" t="n">
        <v>1</v>
      </c>
      <c r="H145" s="92" t="n">
        <v>1</v>
      </c>
      <c r="I145" s="92" t="n">
        <v>1</v>
      </c>
      <c r="J145" s="92">
        <f>IF(AND(ISNUMBER(H145),ISNUMBER(I145),I145&gt;0),H145/I145,"")</f>
        <v>1.0</v>
      </c>
      <c r="K145" s="92" t="inlineStr">
        <is>
          <t>پنجره مشترک</t>
        </is>
      </c>
      <c r="L145" s="92" t="inlineStr">
        <is>
          <t>1403/12/29</t>
        </is>
      </c>
      <c r="M145" s="92" t="inlineStr">
        <is>
          <t>1404/12/29</t>
        </is>
      </c>
      <c r="N145" s="92" t="inlineStr">
        <is>
          <t>بله</t>
        </is>
      </c>
      <c r="O145" s="92" t="inlineStr">
        <is>
          <t>کامل ارثی</t>
        </is>
      </c>
      <c r="P145" s="92" t="inlineStr">
        <is>
          <t>تایید جزئی</t>
        </is>
      </c>
      <c r="Q145" s="92" t="inlineStr"/>
      <c r="R145" s="92" t="inlineStr">
        <is>
          <t>بازتولید ممکن نشد</t>
        </is>
      </c>
      <c r="S145" s="92" t="inlineStr">
        <is>
          <t>ارثی از مستر؛ فهرست اسمی دو مقطع در دسترس نیست و بازتولید اسمی ممکن نشد</t>
        </is>
      </c>
      <c r="T145" s="92" t="inlineStr">
        <is>
          <t>Turnover نهایی J18 و K18</t>
        </is>
      </c>
    </row>
    <row r="146" ht="48" customHeight="1" s="76">
      <c r="A146" s="92" t="inlineStr">
        <is>
          <t>نوری</t>
        </is>
      </c>
      <c r="B146" s="92" t="inlineStr">
        <is>
          <t>ROB_LEGAL</t>
        </is>
      </c>
      <c r="C146" s="92" t="inlineStr">
        <is>
          <t>تغییر شخص حقوقی دارنده کرسی</t>
        </is>
      </c>
      <c r="D146" s="92" t="inlineStr">
        <is>
          <t>قدیمی؛ تعریف حفظ شده</t>
        </is>
      </c>
      <c r="E146" s="92" t="inlineStr">
        <is>
          <t>صورت: کرسی هایی که شخص حقوقی دارنده فرق دارد؛ مخرج: کرسی های موجود در هر دو مقطع</t>
        </is>
      </c>
      <c r="F146" s="92" t="n">
        <v>4</v>
      </c>
      <c r="G146" s="92" t="n">
        <v>5</v>
      </c>
      <c r="H146" s="92" t="n">
        <v>4</v>
      </c>
      <c r="I146" s="92" t="n">
        <v>5</v>
      </c>
      <c r="J146" s="92">
        <f>IF(AND(ISNUMBER(H146),ISNUMBER(I146),I146&gt;0),H146/I146,"")</f>
        <v>0.8</v>
      </c>
      <c r="K146" s="92" t="inlineStr">
        <is>
          <t>پنجره مشترک</t>
        </is>
      </c>
      <c r="L146" s="92" t="inlineStr">
        <is>
          <t>1403/12/29</t>
        </is>
      </c>
      <c r="M146" s="92" t="inlineStr">
        <is>
          <t>1404/12/29</t>
        </is>
      </c>
      <c r="N146" s="92" t="inlineStr">
        <is>
          <t>بله</t>
        </is>
      </c>
      <c r="O146" s="92" t="inlineStr">
        <is>
          <t>کامل ارثی</t>
        </is>
      </c>
      <c r="P146" s="92" t="inlineStr">
        <is>
          <t>تایید جزئی</t>
        </is>
      </c>
      <c r="Q146" s="92" t="inlineStr"/>
      <c r="R146" s="92" t="inlineStr">
        <is>
          <t>بازتولید ممکن نشد</t>
        </is>
      </c>
      <c r="S146" s="92" t="inlineStr">
        <is>
          <t>ارثی از مستر؛ فهرست اسمی دو مقطع در دسترس نیست و بازتولید اسمی ممکن نشد</t>
        </is>
      </c>
      <c r="T146" s="92" t="inlineStr">
        <is>
          <t>Turnover نهایی M18 و N18</t>
        </is>
      </c>
    </row>
    <row r="147" ht="48" customHeight="1" s="76">
      <c r="A147" s="92" t="inlineStr">
        <is>
          <t>نوری</t>
        </is>
      </c>
      <c r="B147" s="92" t="inlineStr">
        <is>
          <t>ROB_NEW</t>
        </is>
      </c>
      <c r="C147" s="92" t="inlineStr">
        <is>
          <t>سهم اعضای جدید</t>
        </is>
      </c>
      <c r="D147" s="92" t="inlineStr">
        <is>
          <t>قدیمی؛ تعریف حفظ شده</t>
        </is>
      </c>
      <c r="E147" s="92" t="inlineStr">
        <is>
          <t>صورت: افراد پایان که در مبنا نبودند؛ مخرج: افراد پایان</t>
        </is>
      </c>
      <c r="F147" s="92" t="n">
        <v>4</v>
      </c>
      <c r="G147" s="92" t="n">
        <v>5</v>
      </c>
      <c r="H147" s="92" t="n">
        <v>4</v>
      </c>
      <c r="I147" s="92" t="n">
        <v>5</v>
      </c>
      <c r="J147" s="92">
        <f>IF(AND(ISNUMBER(H147),ISNUMBER(I147),I147&gt;0),H147/I147,"")</f>
        <v>0.8</v>
      </c>
      <c r="K147" s="92" t="inlineStr">
        <is>
          <t>پنجره مشترک</t>
        </is>
      </c>
      <c r="L147" s="92" t="inlineStr">
        <is>
          <t>1403/12/29</t>
        </is>
      </c>
      <c r="M147" s="92" t="inlineStr">
        <is>
          <t>1404/12/29</t>
        </is>
      </c>
      <c r="N147" s="92" t="inlineStr">
        <is>
          <t>بله</t>
        </is>
      </c>
      <c r="O147" s="92" t="inlineStr">
        <is>
          <t>کامل ارثی</t>
        </is>
      </c>
      <c r="P147" s="92" t="inlineStr">
        <is>
          <t>تایید جزئی</t>
        </is>
      </c>
      <c r="Q147" s="92" t="inlineStr"/>
      <c r="R147" s="92" t="inlineStr">
        <is>
          <t>بازتولید ممکن نشد</t>
        </is>
      </c>
      <c r="S147" s="92" t="inlineStr">
        <is>
          <t>ارثی از مستر؛ فهرست اسمی دو مقطع در دسترس نیست و بازتولید اسمی ممکن نشد</t>
        </is>
      </c>
      <c r="T147" s="92" t="inlineStr">
        <is>
          <t>Turnover نهایی P18 و Q18</t>
        </is>
      </c>
    </row>
    <row r="148" ht="48" customHeight="1" s="76">
      <c r="A148" s="92" t="inlineStr">
        <is>
          <t>نوری</t>
        </is>
      </c>
      <c r="B148" s="92" t="inlineStr">
        <is>
          <t>ROB_STABILITY</t>
        </is>
      </c>
      <c r="C148" s="92" t="inlineStr">
        <is>
          <t>ثبات کرسی با همان شخص</t>
        </is>
      </c>
      <c r="D148" s="92" t="inlineStr">
        <is>
          <t>قدیمی؛ تعریف حفظ شده</t>
        </is>
      </c>
      <c r="E148" s="92" t="inlineStr">
        <is>
          <t>صورت: کرسی های قابل مقایسه با همان شخص؛ مخرج: کرسی های قابل مقایسه</t>
        </is>
      </c>
      <c r="F148" s="92" t="n">
        <v>1</v>
      </c>
      <c r="G148" s="92" t="n">
        <v>5</v>
      </c>
      <c r="H148" s="92" t="n">
        <v>1</v>
      </c>
      <c r="I148" s="92" t="n">
        <v>5</v>
      </c>
      <c r="J148" s="92">
        <f>IF(AND(ISNUMBER(H148),ISNUMBER(I148),I148&gt;0),H148/I148,"")</f>
        <v>0.2</v>
      </c>
      <c r="K148" s="92" t="inlineStr">
        <is>
          <t>پنجره مشترک</t>
        </is>
      </c>
      <c r="L148" s="92" t="inlineStr">
        <is>
          <t>1403/12/29</t>
        </is>
      </c>
      <c r="M148" s="92" t="inlineStr">
        <is>
          <t>1404/12/29</t>
        </is>
      </c>
      <c r="N148" s="92" t="inlineStr">
        <is>
          <t>بله</t>
        </is>
      </c>
      <c r="O148" s="92" t="inlineStr">
        <is>
          <t>کامل ارثی</t>
        </is>
      </c>
      <c r="P148" s="92" t="inlineStr">
        <is>
          <t>تایید جزئی</t>
        </is>
      </c>
      <c r="Q148" s="92" t="inlineStr"/>
      <c r="R148" s="92" t="inlineStr">
        <is>
          <t>بازتولید ممکن نشد</t>
        </is>
      </c>
      <c r="S148" s="92" t="inlineStr">
        <is>
          <t>ارثی از مستر؛ فهرست اسمی دو مقطع در دسترس نیست و بازتولید اسمی ممکن نشد</t>
        </is>
      </c>
      <c r="T148" s="92" t="inlineStr">
        <is>
          <t>Turnover نهایی S18 و T18</t>
        </is>
      </c>
    </row>
    <row r="149" ht="48" customHeight="1" s="76">
      <c r="A149" s="92" t="inlineStr">
        <is>
          <t>نوری</t>
        </is>
      </c>
      <c r="B149" s="92" t="inlineStr">
        <is>
          <t>CR1A</t>
        </is>
      </c>
      <c r="C149" s="92" t="inlineStr">
        <is>
          <t>تغییر رئیس هیئت مدیره بین دو مقطع</t>
        </is>
      </c>
      <c r="D149" s="92" t="inlineStr">
        <is>
          <t>قدیمی؛ تعریف حفظ شده</t>
        </is>
      </c>
      <c r="E149" s="92" t="inlineStr">
        <is>
          <t>صورت: 1 اگر هویت رئیس در دو مقطع فرق دارد؛ مخرج: 1. جدا از تعداد رویدادهای میانی</t>
        </is>
      </c>
      <c r="F149" s="92" t="n">
        <v>1</v>
      </c>
      <c r="G149" s="92" t="n">
        <v>1</v>
      </c>
      <c r="H149" s="92" t="n">
        <v>1</v>
      </c>
      <c r="I149" s="92" t="n">
        <v>1</v>
      </c>
      <c r="J149" s="92">
        <f>IF(AND(ISNUMBER(H149),ISNUMBER(I149),I149&gt;0),H149/I149,"")</f>
        <v>1.0</v>
      </c>
      <c r="K149" s="92" t="inlineStr">
        <is>
          <t>پنجره مشترک</t>
        </is>
      </c>
      <c r="L149" s="92" t="inlineStr">
        <is>
          <t>1403/12/29</t>
        </is>
      </c>
      <c r="M149" s="92" t="inlineStr">
        <is>
          <t>1404/12/29</t>
        </is>
      </c>
      <c r="N149" s="92" t="inlineStr">
        <is>
          <t>بله</t>
        </is>
      </c>
      <c r="O149" s="92" t="inlineStr">
        <is>
          <t>کامل ارثی</t>
        </is>
      </c>
      <c r="P149" s="92" t="inlineStr">
        <is>
          <t>تایید جزئی</t>
        </is>
      </c>
      <c r="Q149" s="92" t="inlineStr"/>
      <c r="R149" s="92" t="inlineStr">
        <is>
          <t>بازتولید ممکن نشد</t>
        </is>
      </c>
      <c r="S149" s="92" t="inlineStr">
        <is>
          <t>ارثی از CR1A v39 (INHERITED_WITH_LIMITATION)؛ تایید مجدد مستقل همه منابع انجام نشد</t>
        </is>
      </c>
      <c r="T149" s="92" t="inlineStr">
        <is>
          <t>Turnover نهایی V18؛ CR1A v39 ردیف 18</t>
        </is>
      </c>
    </row>
    <row r="150" ht="44" customHeight="1" s="76">
      <c r="A150" s="93" t="inlineStr">
        <is>
          <t>نوری</t>
        </is>
      </c>
      <c r="B150" s="93" t="inlineStr">
        <is>
          <t>UPX1</t>
        </is>
      </c>
      <c r="C150" s="93" t="inlineStr">
        <is>
          <t>نرخ خروج افراد یکتا</t>
        </is>
      </c>
      <c r="D150" s="93" t="inlineStr">
        <is>
          <t>جدید؛ کد غیرمتداخل</t>
        </is>
      </c>
      <c r="E150" s="93" t="inlineStr">
        <is>
          <t>صورت: افراد حاضر در مبنا و غایب در پایان؛ مخرج: اعضای فعال مبنا</t>
        </is>
      </c>
      <c r="F150" s="93" t="inlineStr"/>
      <c r="G150" s="93" t="inlineStr"/>
      <c r="H150" s="93" t="inlineStr"/>
      <c r="I150" s="93" t="inlineStr"/>
      <c r="J150" s="93" t="str">
        <f>IF(AND(ISNUMBER(H150),ISNUMBER(I150),I150&gt;0),H150/I150,"")</f>
        <v/>
      </c>
      <c r="K150" s="93" t="inlineStr">
        <is>
          <t>پنجره مشترک</t>
        </is>
      </c>
      <c r="L150" s="93" t="inlineStr">
        <is>
          <t>1403/12/29</t>
        </is>
      </c>
      <c r="M150" s="93" t="inlineStr">
        <is>
          <t>1404/12/29</t>
        </is>
      </c>
      <c r="N150" s="93" t="inlineStr">
        <is>
          <t>بله</t>
        </is>
      </c>
      <c r="O150" s="93" t="inlineStr">
        <is>
          <t>ناکافی</t>
        </is>
      </c>
      <c r="P150" s="93" t="inlineStr">
        <is>
          <t>منبع در دسترس نبود</t>
        </is>
      </c>
      <c r="Q150" s="93" t="inlineStr"/>
      <c r="R150" s="93" t="inlineStr"/>
      <c r="S150" s="93" t="inlineStr">
        <is>
          <t>فهرست اسمی مبنا در بسته شواهد v41 است که در این جلسه ارائه نشد؛ شمار تجمیعی مستر برای افراد یکتا کافی نیست</t>
        </is>
      </c>
      <c r="T150" s="93" t="inlineStr">
        <is>
          <t>Snapshot Members v42؛ Person Flows v42</t>
        </is>
      </c>
    </row>
    <row r="151" ht="44" customHeight="1" s="76">
      <c r="A151" s="93" t="inlineStr">
        <is>
          <t>نوری</t>
        </is>
      </c>
      <c r="B151" s="93" t="inlineStr">
        <is>
          <t>UPN1</t>
        </is>
      </c>
      <c r="C151" s="93" t="inlineStr">
        <is>
          <t>سهم افراد واردشده</t>
        </is>
      </c>
      <c r="D151" s="93" t="inlineStr">
        <is>
          <t>جدید؛ کد غیرمتداخل</t>
        </is>
      </c>
      <c r="E151" s="93" t="inlineStr">
        <is>
          <t>صورت: افراد حاضر در پایان و غایب در مبنا؛ مخرج: اعضای فعال پایان</t>
        </is>
      </c>
      <c r="F151" s="93" t="inlineStr"/>
      <c r="G151" s="93" t="inlineStr"/>
      <c r="H151" s="93" t="inlineStr"/>
      <c r="I151" s="93" t="inlineStr"/>
      <c r="J151" s="93" t="str">
        <f>IF(AND(ISNUMBER(H151),ISNUMBER(I151),I151&gt;0),H151/I151,"")</f>
        <v/>
      </c>
      <c r="K151" s="93" t="inlineStr">
        <is>
          <t>پنجره مشترک</t>
        </is>
      </c>
      <c r="L151" s="93" t="inlineStr">
        <is>
          <t>1403/12/29</t>
        </is>
      </c>
      <c r="M151" s="93" t="inlineStr">
        <is>
          <t>1404/12/29</t>
        </is>
      </c>
      <c r="N151" s="93" t="inlineStr">
        <is>
          <t>بله</t>
        </is>
      </c>
      <c r="O151" s="93" t="inlineStr">
        <is>
          <t>ناکافی</t>
        </is>
      </c>
      <c r="P151" s="93" t="inlineStr">
        <is>
          <t>منبع در دسترس نبود</t>
        </is>
      </c>
      <c r="Q151" s="93" t="inlineStr"/>
      <c r="R151" s="93" t="inlineStr"/>
      <c r="S151" s="93" t="inlineStr">
        <is>
          <t>فهرست اسمی مبنا در بسته شواهد v41 است که در این جلسه ارائه نشد؛ شمار تجمیعی مستر برای افراد یکتا کافی نیست</t>
        </is>
      </c>
      <c r="T151" s="93" t="inlineStr">
        <is>
          <t>Snapshot Members v42؛ Person Flows v42</t>
        </is>
      </c>
    </row>
    <row r="152" ht="44" customHeight="1" s="76">
      <c r="A152" s="93" t="inlineStr">
        <is>
          <t>نوری</t>
        </is>
      </c>
      <c r="B152" s="93" t="inlineStr">
        <is>
          <t>UPR1</t>
        </is>
      </c>
      <c r="C152" s="93" t="inlineStr">
        <is>
          <t>نرخ ماندگاری افراد یکتا</t>
        </is>
      </c>
      <c r="D152" s="93" t="inlineStr">
        <is>
          <t>جدید؛ کد غیرمتداخل</t>
        </is>
      </c>
      <c r="E152" s="93" t="inlineStr">
        <is>
          <t>صورت: افراد حاضر در هر دو مقطع؛ مخرج: اعضای فعال مبنا</t>
        </is>
      </c>
      <c r="F152" s="93" t="inlineStr"/>
      <c r="G152" s="93" t="inlineStr"/>
      <c r="H152" s="93" t="inlineStr"/>
      <c r="I152" s="93" t="inlineStr"/>
      <c r="J152" s="93" t="str">
        <f>IF(AND(ISNUMBER(H152),ISNUMBER(I152),I152&gt;0),H152/I152,"")</f>
        <v/>
      </c>
      <c r="K152" s="93" t="inlineStr">
        <is>
          <t>پنجره مشترک</t>
        </is>
      </c>
      <c r="L152" s="93" t="inlineStr">
        <is>
          <t>1403/12/29</t>
        </is>
      </c>
      <c r="M152" s="93" t="inlineStr">
        <is>
          <t>1404/12/29</t>
        </is>
      </c>
      <c r="N152" s="93" t="inlineStr">
        <is>
          <t>بله</t>
        </is>
      </c>
      <c r="O152" s="93" t="inlineStr">
        <is>
          <t>ناکافی</t>
        </is>
      </c>
      <c r="P152" s="93" t="inlineStr">
        <is>
          <t>منبع در دسترس نبود</t>
        </is>
      </c>
      <c r="Q152" s="93" t="inlineStr"/>
      <c r="R152" s="93" t="inlineStr"/>
      <c r="S152" s="93" t="inlineStr">
        <is>
          <t>فهرست اسمی مبنا در بسته شواهد v41 است که در این جلسه ارائه نشد؛ شمار تجمیعی مستر برای افراد یکتا کافی نیست</t>
        </is>
      </c>
      <c r="T152" s="93" t="inlineStr">
        <is>
          <t>Snapshot Members v42؛ Person Flows v42</t>
        </is>
      </c>
    </row>
    <row r="153" ht="44" customHeight="1" s="76">
      <c r="A153" s="92" t="inlineStr">
        <is>
          <t>نوری</t>
        </is>
      </c>
      <c r="B153" s="92" t="inlineStr">
        <is>
          <t>UPF1</t>
        </is>
      </c>
      <c r="C153" s="92" t="inlineStr">
        <is>
          <t>افراد یکتا در نمای مالی (FY1403 تا FY1404)</t>
        </is>
      </c>
      <c r="D153" s="92" t="inlineStr">
        <is>
          <t>جدید؛ نمای مالی</t>
        </is>
      </c>
      <c r="E153" s="92" t="inlineStr">
        <is>
          <t>همان سه نسبت UPX1 و UPN1 و UPR1 ولی بین پایان FY1403 و FY1404 هر شرکت؛ فقط با دو فهرست کامل معتبر</t>
        </is>
      </c>
      <c r="F153" s="92" t="inlineStr"/>
      <c r="G153" s="92" t="inlineStr"/>
      <c r="H153" s="92" t="inlineStr"/>
      <c r="I153" s="92" t="inlineStr"/>
      <c r="J153" s="92" t="str">
        <f>IF(AND(ISNUMBER(H153),ISNUMBER(I153),I153&gt;0),H153/I153,"")</f>
        <v/>
      </c>
      <c r="K153" s="92" t="inlineStr">
        <is>
          <t>نمای مالی</t>
        </is>
      </c>
      <c r="L153" s="92" t="inlineStr">
        <is>
          <t>1403/12/30</t>
        </is>
      </c>
      <c r="M153" s="92" t="inlineStr">
        <is>
          <t>1404/12/29</t>
        </is>
      </c>
      <c r="N153" s="92" t="inlineStr">
        <is>
          <t>بله</t>
        </is>
      </c>
      <c r="O153" s="92" t="inlineStr">
        <is>
          <t>ناکافی</t>
        </is>
      </c>
      <c r="P153" s="92" t="inlineStr">
        <is>
          <t>هنوز بررسی نشده</t>
        </is>
      </c>
      <c r="Q153" s="92" t="inlineStr"/>
      <c r="R153" s="92" t="inlineStr"/>
      <c r="S153" s="92" t="inlineStr">
        <is>
          <t>فهرست اسمی پایان FY1403 در فایل نیست؛ نتیجه نمای مالی نامشخص ماند و عدد پنجره مشترک جای آن نیامد</t>
        </is>
      </c>
      <c r="T153" s="92" t="inlineStr">
        <is>
          <t>Scope v42</t>
        </is>
      </c>
    </row>
    <row r="154" ht="48" customHeight="1" s="76">
      <c r="A154" s="92" t="inlineStr">
        <is>
          <t>فولاد</t>
        </is>
      </c>
      <c r="B154" s="92" t="inlineStr">
        <is>
          <t>REF05</t>
        </is>
      </c>
      <c r="C154" s="92" t="inlineStr">
        <is>
          <t>گردش فردی مبتنی بر کرسی</t>
        </is>
      </c>
      <c r="D154" s="92" t="inlineStr">
        <is>
          <t>قدیمی؛ تعریف حفظ شده</t>
        </is>
      </c>
      <c r="E154" s="92" t="inlineStr">
        <is>
          <t>صورت: کرسی های قابل مقایسه که شخص نامبرده در دو مقطع فرق دارد؛ مخرج: کرسی های قابل مقایسه (مبنای نامبرده). کرسی حقیقی مستقیم در سطح فرد</t>
        </is>
      </c>
      <c r="F154" s="92" t="n">
        <v>2</v>
      </c>
      <c r="G154" s="92" t="n">
        <v>5</v>
      </c>
      <c r="H154" s="92" t="n">
        <v>2</v>
      </c>
      <c r="I154" s="92" t="n">
        <v>5</v>
      </c>
      <c r="J154" s="92">
        <f>IF(AND(ISNUMBER(H154),ISNUMBER(I154),I154&gt;0),H154/I154,"")</f>
        <v>0.4</v>
      </c>
      <c r="K154" s="92" t="inlineStr">
        <is>
          <t>پنجره مشترک</t>
        </is>
      </c>
      <c r="L154" s="92" t="inlineStr">
        <is>
          <t>1403/12/29</t>
        </is>
      </c>
      <c r="M154" s="92" t="inlineStr">
        <is>
          <t>1404/12/29</t>
        </is>
      </c>
      <c r="N154" s="92" t="inlineStr">
        <is>
          <t>بله</t>
        </is>
      </c>
      <c r="O154" s="92" t="inlineStr">
        <is>
          <t>کامل ارثی</t>
        </is>
      </c>
      <c r="P154" s="92" t="inlineStr">
        <is>
          <t>تایید جزئی</t>
        </is>
      </c>
      <c r="Q154" s="92" t="inlineStr"/>
      <c r="R154" s="92" t="inlineStr">
        <is>
          <t>بازتولید ممکن نشد</t>
        </is>
      </c>
      <c r="S154" s="92" t="inlineStr">
        <is>
          <t>ارثی از مستر؛ فهرست اسمی دو مقطع در دسترس نیست و بازتولید اسمی ممکن نشد</t>
        </is>
      </c>
      <c r="T154" s="92" t="inlineStr">
        <is>
          <t>Turnover نهایی G19 و H19</t>
        </is>
      </c>
    </row>
    <row r="155" ht="48" customHeight="1" s="76">
      <c r="A155" s="92" t="inlineStr">
        <is>
          <t>فولاد</t>
        </is>
      </c>
      <c r="B155" s="92" t="inlineStr">
        <is>
          <t>REF08</t>
        </is>
      </c>
      <c r="C155" s="92" t="inlineStr">
        <is>
          <t>تغییر نماینده با شخص حقوقی ثابت</t>
        </is>
      </c>
      <c r="D155" s="92" t="inlineStr">
        <is>
          <t>قدیمی؛ تعریف حفظ شده</t>
        </is>
      </c>
      <c r="E155" s="92" t="inlineStr">
        <is>
          <t>صورت: کرسی با همان شخص حقوقی که نماینده فرق دارد؛ مخرج: کرسی های با همان شخص حقوقی و نماینده معلوم در هر دو مقطع</t>
        </is>
      </c>
      <c r="F155" s="92" t="n">
        <v>1</v>
      </c>
      <c r="G155" s="92" t="n">
        <v>4</v>
      </c>
      <c r="H155" s="92" t="n">
        <v>1</v>
      </c>
      <c r="I155" s="92" t="n">
        <v>4</v>
      </c>
      <c r="J155" s="92">
        <f>IF(AND(ISNUMBER(H155),ISNUMBER(I155),I155&gt;0),H155/I155,"")</f>
        <v>0.25</v>
      </c>
      <c r="K155" s="92" t="inlineStr">
        <is>
          <t>پنجره مشترک</t>
        </is>
      </c>
      <c r="L155" s="92" t="inlineStr">
        <is>
          <t>1403/12/29</t>
        </is>
      </c>
      <c r="M155" s="92" t="inlineStr">
        <is>
          <t>1404/12/29</t>
        </is>
      </c>
      <c r="N155" s="92" t="inlineStr">
        <is>
          <t>بله</t>
        </is>
      </c>
      <c r="O155" s="92" t="inlineStr">
        <is>
          <t>کامل ارثی</t>
        </is>
      </c>
      <c r="P155" s="92" t="inlineStr">
        <is>
          <t>تایید جزئی</t>
        </is>
      </c>
      <c r="Q155" s="92" t="inlineStr"/>
      <c r="R155" s="92" t="inlineStr">
        <is>
          <t>بازتولید ممکن نشد</t>
        </is>
      </c>
      <c r="S155" s="92" t="inlineStr">
        <is>
          <t>ارثی از مستر؛ فهرست اسمی دو مقطع در دسترس نیست و بازتولید اسمی ممکن نشد</t>
        </is>
      </c>
      <c r="T155" s="92" t="inlineStr">
        <is>
          <t>Turnover نهایی J19 و K19</t>
        </is>
      </c>
    </row>
    <row r="156" ht="48" customHeight="1" s="76">
      <c r="A156" s="92" t="inlineStr">
        <is>
          <t>فولاد</t>
        </is>
      </c>
      <c r="B156" s="92" t="inlineStr">
        <is>
          <t>ROB_LEGAL</t>
        </is>
      </c>
      <c r="C156" s="92" t="inlineStr">
        <is>
          <t>تغییر شخص حقوقی دارنده کرسی</t>
        </is>
      </c>
      <c r="D156" s="92" t="inlineStr">
        <is>
          <t>قدیمی؛ تعریف حفظ شده</t>
        </is>
      </c>
      <c r="E156" s="92" t="inlineStr">
        <is>
          <t>صورت: کرسی هایی که شخص حقوقی دارنده فرق دارد؛ مخرج: کرسی های موجود در هر دو مقطع</t>
        </is>
      </c>
      <c r="F156" s="92" t="n">
        <v>1</v>
      </c>
      <c r="G156" s="92" t="n">
        <v>5</v>
      </c>
      <c r="H156" s="92" t="n">
        <v>1</v>
      </c>
      <c r="I156" s="92" t="n">
        <v>5</v>
      </c>
      <c r="J156" s="92">
        <f>IF(AND(ISNUMBER(H156),ISNUMBER(I156),I156&gt;0),H156/I156,"")</f>
        <v>0.2</v>
      </c>
      <c r="K156" s="92" t="inlineStr">
        <is>
          <t>پنجره مشترک</t>
        </is>
      </c>
      <c r="L156" s="92" t="inlineStr">
        <is>
          <t>1403/12/29</t>
        </is>
      </c>
      <c r="M156" s="92" t="inlineStr">
        <is>
          <t>1404/12/29</t>
        </is>
      </c>
      <c r="N156" s="92" t="inlineStr">
        <is>
          <t>بله</t>
        </is>
      </c>
      <c r="O156" s="92" t="inlineStr">
        <is>
          <t>کامل ارثی</t>
        </is>
      </c>
      <c r="P156" s="92" t="inlineStr">
        <is>
          <t>تایید جزئی</t>
        </is>
      </c>
      <c r="Q156" s="92" t="inlineStr"/>
      <c r="R156" s="92" t="inlineStr">
        <is>
          <t>بازتولید ممکن نشد</t>
        </is>
      </c>
      <c r="S156" s="92" t="inlineStr">
        <is>
          <t>ارثی از مستر؛ فهرست اسمی دو مقطع در دسترس نیست و بازتولید اسمی ممکن نشد</t>
        </is>
      </c>
      <c r="T156" s="92" t="inlineStr">
        <is>
          <t>Turnover نهایی M19 و N19</t>
        </is>
      </c>
    </row>
    <row r="157" ht="48" customHeight="1" s="76">
      <c r="A157" s="92" t="inlineStr">
        <is>
          <t>فولاد</t>
        </is>
      </c>
      <c r="B157" s="92" t="inlineStr">
        <is>
          <t>ROB_NEW</t>
        </is>
      </c>
      <c r="C157" s="92" t="inlineStr">
        <is>
          <t>سهم اعضای جدید</t>
        </is>
      </c>
      <c r="D157" s="92" t="inlineStr">
        <is>
          <t>قدیمی؛ تعریف حفظ شده</t>
        </is>
      </c>
      <c r="E157" s="92" t="inlineStr">
        <is>
          <t>صورت: افراد پایان که در مبنا نبودند؛ مخرج: افراد پایان</t>
        </is>
      </c>
      <c r="F157" s="92" t="n">
        <v>2</v>
      </c>
      <c r="G157" s="92" t="n">
        <v>5</v>
      </c>
      <c r="H157" s="92" t="n">
        <v>2</v>
      </c>
      <c r="I157" s="92" t="n">
        <v>5</v>
      </c>
      <c r="J157" s="92">
        <f>IF(AND(ISNUMBER(H157),ISNUMBER(I157),I157&gt;0),H157/I157,"")</f>
        <v>0.4</v>
      </c>
      <c r="K157" s="92" t="inlineStr">
        <is>
          <t>پنجره مشترک</t>
        </is>
      </c>
      <c r="L157" s="92" t="inlineStr">
        <is>
          <t>1403/12/29</t>
        </is>
      </c>
      <c r="M157" s="92" t="inlineStr">
        <is>
          <t>1404/12/29</t>
        </is>
      </c>
      <c r="N157" s="92" t="inlineStr">
        <is>
          <t>بله</t>
        </is>
      </c>
      <c r="O157" s="92" t="inlineStr">
        <is>
          <t>کامل ارثی</t>
        </is>
      </c>
      <c r="P157" s="92" t="inlineStr">
        <is>
          <t>تایید جزئی</t>
        </is>
      </c>
      <c r="Q157" s="92" t="inlineStr"/>
      <c r="R157" s="92" t="inlineStr">
        <is>
          <t>بازتولید ممکن نشد</t>
        </is>
      </c>
      <c r="S157" s="92" t="inlineStr">
        <is>
          <t>ارثی از مستر؛ فهرست اسمی دو مقطع در دسترس نیست و بازتولید اسمی ممکن نشد</t>
        </is>
      </c>
      <c r="T157" s="92" t="inlineStr">
        <is>
          <t>Turnover نهایی P19 و Q19</t>
        </is>
      </c>
    </row>
    <row r="158" ht="48" customHeight="1" s="76">
      <c r="A158" s="92" t="inlineStr">
        <is>
          <t>فولاد</t>
        </is>
      </c>
      <c r="B158" s="92" t="inlineStr">
        <is>
          <t>ROB_STABILITY</t>
        </is>
      </c>
      <c r="C158" s="92" t="inlineStr">
        <is>
          <t>ثبات کرسی با همان شخص</t>
        </is>
      </c>
      <c r="D158" s="92" t="inlineStr">
        <is>
          <t>قدیمی؛ تعریف حفظ شده</t>
        </is>
      </c>
      <c r="E158" s="92" t="inlineStr">
        <is>
          <t>صورت: کرسی های قابل مقایسه با همان شخص؛ مخرج: کرسی های قابل مقایسه</t>
        </is>
      </c>
      <c r="F158" s="92" t="n">
        <v>3</v>
      </c>
      <c r="G158" s="92" t="n">
        <v>5</v>
      </c>
      <c r="H158" s="92" t="n">
        <v>3</v>
      </c>
      <c r="I158" s="92" t="n">
        <v>5</v>
      </c>
      <c r="J158" s="92">
        <f>IF(AND(ISNUMBER(H158),ISNUMBER(I158),I158&gt;0),H158/I158,"")</f>
        <v>0.6</v>
      </c>
      <c r="K158" s="92" t="inlineStr">
        <is>
          <t>پنجره مشترک</t>
        </is>
      </c>
      <c r="L158" s="92" t="inlineStr">
        <is>
          <t>1403/12/29</t>
        </is>
      </c>
      <c r="M158" s="92" t="inlineStr">
        <is>
          <t>1404/12/29</t>
        </is>
      </c>
      <c r="N158" s="92" t="inlineStr">
        <is>
          <t>بله</t>
        </is>
      </c>
      <c r="O158" s="92" t="inlineStr">
        <is>
          <t>کامل ارثی</t>
        </is>
      </c>
      <c r="P158" s="92" t="inlineStr">
        <is>
          <t>تایید جزئی</t>
        </is>
      </c>
      <c r="Q158" s="92" t="inlineStr"/>
      <c r="R158" s="92" t="inlineStr">
        <is>
          <t>بازتولید ممکن نشد</t>
        </is>
      </c>
      <c r="S158" s="92" t="inlineStr">
        <is>
          <t>ارثی از مستر؛ فهرست اسمی دو مقطع در دسترس نیست و بازتولید اسمی ممکن نشد</t>
        </is>
      </c>
      <c r="T158" s="92" t="inlineStr">
        <is>
          <t>Turnover نهایی S19 و T19</t>
        </is>
      </c>
    </row>
    <row r="159" ht="48" customHeight="1" s="76">
      <c r="A159" s="92" t="inlineStr">
        <is>
          <t>فولاد</t>
        </is>
      </c>
      <c r="B159" s="92" t="inlineStr">
        <is>
          <t>CR1A</t>
        </is>
      </c>
      <c r="C159" s="92" t="inlineStr">
        <is>
          <t>تغییر رئیس هیئت مدیره بین دو مقطع</t>
        </is>
      </c>
      <c r="D159" s="92" t="inlineStr">
        <is>
          <t>قدیمی؛ تعریف حفظ شده</t>
        </is>
      </c>
      <c r="E159" s="92" t="inlineStr">
        <is>
          <t>صورت: 1 اگر هویت رئیس در دو مقطع فرق دارد؛ مخرج: 1. جدا از تعداد رویدادهای میانی</t>
        </is>
      </c>
      <c r="F159" s="92" t="n">
        <v>1</v>
      </c>
      <c r="G159" s="92" t="n">
        <v>1</v>
      </c>
      <c r="H159" s="92" t="n">
        <v>1</v>
      </c>
      <c r="I159" s="92" t="n">
        <v>1</v>
      </c>
      <c r="J159" s="92">
        <f>IF(AND(ISNUMBER(H159),ISNUMBER(I159),I159&gt;0),H159/I159,"")</f>
        <v>1.0</v>
      </c>
      <c r="K159" s="92" t="inlineStr">
        <is>
          <t>پنجره مشترک</t>
        </is>
      </c>
      <c r="L159" s="92" t="inlineStr">
        <is>
          <t>1403/12/29</t>
        </is>
      </c>
      <c r="M159" s="92" t="inlineStr">
        <is>
          <t>1404/12/29</t>
        </is>
      </c>
      <c r="N159" s="92" t="inlineStr">
        <is>
          <t>بله</t>
        </is>
      </c>
      <c r="O159" s="92" t="inlineStr">
        <is>
          <t>کامل ارثی</t>
        </is>
      </c>
      <c r="P159" s="92" t="inlineStr">
        <is>
          <t>تایید جزئی</t>
        </is>
      </c>
      <c r="Q159" s="92" t="inlineStr"/>
      <c r="R159" s="92" t="inlineStr">
        <is>
          <t>بازتولید ممکن نشد</t>
        </is>
      </c>
      <c r="S159" s="92" t="inlineStr">
        <is>
          <t>ارثی از CR1A v39 (INHERITED_WITH_LIMITATION)؛ تایید مجدد مستقل همه منابع انجام نشد</t>
        </is>
      </c>
      <c r="T159" s="92" t="inlineStr">
        <is>
          <t>Turnover نهایی V19؛ CR1A v39 ردیف 19</t>
        </is>
      </c>
    </row>
    <row r="160" ht="44" customHeight="1" s="76">
      <c r="A160" s="93" t="inlineStr">
        <is>
          <t>فولاد</t>
        </is>
      </c>
      <c r="B160" s="93" t="inlineStr">
        <is>
          <t>UPX1</t>
        </is>
      </c>
      <c r="C160" s="93" t="inlineStr">
        <is>
          <t>نرخ خروج افراد یکتا</t>
        </is>
      </c>
      <c r="D160" s="93" t="inlineStr">
        <is>
          <t>جدید؛ کد غیرمتداخل</t>
        </is>
      </c>
      <c r="E160" s="93" t="inlineStr">
        <is>
          <t>صورت: افراد حاضر در مبنا و غایب در پایان؛ مخرج: اعضای فعال مبنا</t>
        </is>
      </c>
      <c r="F160" s="93" t="inlineStr"/>
      <c r="G160" s="93" t="inlineStr"/>
      <c r="H160" s="93" t="inlineStr"/>
      <c r="I160" s="93" t="inlineStr"/>
      <c r="J160" s="93" t="str">
        <f>IF(AND(ISNUMBER(H160),ISNUMBER(I160),I160&gt;0),H160/I160,"")</f>
        <v/>
      </c>
      <c r="K160" s="93" t="inlineStr">
        <is>
          <t>پنجره مشترک</t>
        </is>
      </c>
      <c r="L160" s="93" t="inlineStr">
        <is>
          <t>1403/12/29</t>
        </is>
      </c>
      <c r="M160" s="93" t="inlineStr">
        <is>
          <t>1404/12/29</t>
        </is>
      </c>
      <c r="N160" s="93" t="inlineStr">
        <is>
          <t>بله</t>
        </is>
      </c>
      <c r="O160" s="93" t="inlineStr">
        <is>
          <t>ناکافی</t>
        </is>
      </c>
      <c r="P160" s="93" t="inlineStr">
        <is>
          <t>منبع در دسترس نبود</t>
        </is>
      </c>
      <c r="Q160" s="93" t="inlineStr"/>
      <c r="R160" s="93" t="inlineStr"/>
      <c r="S160" s="93" t="inlineStr">
        <is>
          <t>فهرست اسمی مبنا در بسته شواهد v41 است که در این جلسه ارائه نشد؛ شمار تجمیعی مستر برای افراد یکتا کافی نیست</t>
        </is>
      </c>
      <c r="T160" s="93" t="inlineStr">
        <is>
          <t>Snapshot Members v42؛ Person Flows v42</t>
        </is>
      </c>
    </row>
    <row r="161" ht="44" customHeight="1" s="76">
      <c r="A161" s="93" t="inlineStr">
        <is>
          <t>فولاد</t>
        </is>
      </c>
      <c r="B161" s="93" t="inlineStr">
        <is>
          <t>UPN1</t>
        </is>
      </c>
      <c r="C161" s="93" t="inlineStr">
        <is>
          <t>سهم افراد واردشده</t>
        </is>
      </c>
      <c r="D161" s="93" t="inlineStr">
        <is>
          <t>جدید؛ کد غیرمتداخل</t>
        </is>
      </c>
      <c r="E161" s="93" t="inlineStr">
        <is>
          <t>صورت: افراد حاضر در پایان و غایب در مبنا؛ مخرج: اعضای فعال پایان</t>
        </is>
      </c>
      <c r="F161" s="93" t="inlineStr"/>
      <c r="G161" s="93" t="inlineStr"/>
      <c r="H161" s="93" t="inlineStr"/>
      <c r="I161" s="93" t="inlineStr"/>
      <c r="J161" s="93" t="str">
        <f>IF(AND(ISNUMBER(H161),ISNUMBER(I161),I161&gt;0),H161/I161,"")</f>
        <v/>
      </c>
      <c r="K161" s="93" t="inlineStr">
        <is>
          <t>پنجره مشترک</t>
        </is>
      </c>
      <c r="L161" s="93" t="inlineStr">
        <is>
          <t>1403/12/29</t>
        </is>
      </c>
      <c r="M161" s="93" t="inlineStr">
        <is>
          <t>1404/12/29</t>
        </is>
      </c>
      <c r="N161" s="93" t="inlineStr">
        <is>
          <t>بله</t>
        </is>
      </c>
      <c r="O161" s="93" t="inlineStr">
        <is>
          <t>ناکافی</t>
        </is>
      </c>
      <c r="P161" s="93" t="inlineStr">
        <is>
          <t>منبع در دسترس نبود</t>
        </is>
      </c>
      <c r="Q161" s="93" t="inlineStr"/>
      <c r="R161" s="93" t="inlineStr"/>
      <c r="S161" s="93" t="inlineStr">
        <is>
          <t>فهرست اسمی مبنا در بسته شواهد v41 است که در این جلسه ارائه نشد؛ شمار تجمیعی مستر برای افراد یکتا کافی نیست</t>
        </is>
      </c>
      <c r="T161" s="93" t="inlineStr">
        <is>
          <t>Snapshot Members v42؛ Person Flows v42</t>
        </is>
      </c>
    </row>
    <row r="162" ht="44" customHeight="1" s="76">
      <c r="A162" s="93" t="inlineStr">
        <is>
          <t>فولاد</t>
        </is>
      </c>
      <c r="B162" s="93" t="inlineStr">
        <is>
          <t>UPR1</t>
        </is>
      </c>
      <c r="C162" s="93" t="inlineStr">
        <is>
          <t>نرخ ماندگاری افراد یکتا</t>
        </is>
      </c>
      <c r="D162" s="93" t="inlineStr">
        <is>
          <t>جدید؛ کد غیرمتداخل</t>
        </is>
      </c>
      <c r="E162" s="93" t="inlineStr">
        <is>
          <t>صورت: افراد حاضر در هر دو مقطع؛ مخرج: اعضای فعال مبنا</t>
        </is>
      </c>
      <c r="F162" s="93" t="inlineStr"/>
      <c r="G162" s="93" t="inlineStr"/>
      <c r="H162" s="93" t="inlineStr"/>
      <c r="I162" s="93" t="inlineStr"/>
      <c r="J162" s="93" t="str">
        <f>IF(AND(ISNUMBER(H162),ISNUMBER(I162),I162&gt;0),H162/I162,"")</f>
        <v/>
      </c>
      <c r="K162" s="93" t="inlineStr">
        <is>
          <t>پنجره مشترک</t>
        </is>
      </c>
      <c r="L162" s="93" t="inlineStr">
        <is>
          <t>1403/12/29</t>
        </is>
      </c>
      <c r="M162" s="93" t="inlineStr">
        <is>
          <t>1404/12/29</t>
        </is>
      </c>
      <c r="N162" s="93" t="inlineStr">
        <is>
          <t>بله</t>
        </is>
      </c>
      <c r="O162" s="93" t="inlineStr">
        <is>
          <t>ناکافی</t>
        </is>
      </c>
      <c r="P162" s="93" t="inlineStr">
        <is>
          <t>منبع در دسترس نبود</t>
        </is>
      </c>
      <c r="Q162" s="93" t="inlineStr"/>
      <c r="R162" s="93" t="inlineStr"/>
      <c r="S162" s="93" t="inlineStr">
        <is>
          <t>فهرست اسمی مبنا در بسته شواهد v41 است که در این جلسه ارائه نشد؛ شمار تجمیعی مستر برای افراد یکتا کافی نیست</t>
        </is>
      </c>
      <c r="T162" s="93" t="inlineStr">
        <is>
          <t>Snapshot Members v42؛ Person Flows v42</t>
        </is>
      </c>
    </row>
    <row r="163" ht="44" customHeight="1" s="76">
      <c r="A163" s="92" t="inlineStr">
        <is>
          <t>فولاد</t>
        </is>
      </c>
      <c r="B163" s="92" t="inlineStr">
        <is>
          <t>UPF1</t>
        </is>
      </c>
      <c r="C163" s="92" t="inlineStr">
        <is>
          <t>افراد یکتا در نمای مالی (FY1403 تا FY1404)</t>
        </is>
      </c>
      <c r="D163" s="92" t="inlineStr">
        <is>
          <t>جدید؛ نمای مالی</t>
        </is>
      </c>
      <c r="E163" s="92" t="inlineStr">
        <is>
          <t>همان سه نسبت UPX1 و UPN1 و UPR1 ولی بین پایان FY1403 و FY1404 هر شرکت؛ فقط با دو فهرست کامل معتبر</t>
        </is>
      </c>
      <c r="F163" s="92" t="inlineStr"/>
      <c r="G163" s="92" t="inlineStr"/>
      <c r="H163" s="92" t="inlineStr"/>
      <c r="I163" s="92" t="inlineStr"/>
      <c r="J163" s="92" t="str">
        <f>IF(AND(ISNUMBER(H163),ISNUMBER(I163),I163&gt;0),H163/I163,"")</f>
        <v/>
      </c>
      <c r="K163" s="92" t="inlineStr">
        <is>
          <t>نمای مالی</t>
        </is>
      </c>
      <c r="L163" s="92" t="inlineStr">
        <is>
          <t>1403/12/30</t>
        </is>
      </c>
      <c r="M163" s="92" t="inlineStr">
        <is>
          <t>1404/12/29</t>
        </is>
      </c>
      <c r="N163" s="92" t="inlineStr">
        <is>
          <t>بله</t>
        </is>
      </c>
      <c r="O163" s="92" t="inlineStr">
        <is>
          <t>ناکافی</t>
        </is>
      </c>
      <c r="P163" s="92" t="inlineStr">
        <is>
          <t>هنوز بررسی نشده</t>
        </is>
      </c>
      <c r="Q163" s="92" t="inlineStr"/>
      <c r="R163" s="92" t="inlineStr"/>
      <c r="S163" s="92" t="inlineStr">
        <is>
          <t>فهرست اسمی پایان FY1403 در فایل نیست؛ نتیجه نمای مالی نامشخص ماند و عدد پنجره مشترک جای آن نیامد</t>
        </is>
      </c>
      <c r="T163" s="92" t="inlineStr">
        <is>
          <t>Scope v42</t>
        </is>
      </c>
    </row>
    <row r="164" ht="48" customHeight="1" s="76">
      <c r="A164" s="92" t="inlineStr">
        <is>
          <t>کچاد</t>
        </is>
      </c>
      <c r="B164" s="92" t="inlineStr">
        <is>
          <t>REF05</t>
        </is>
      </c>
      <c r="C164" s="92" t="inlineStr">
        <is>
          <t>گردش فردی مبتنی بر کرسی</t>
        </is>
      </c>
      <c r="D164" s="92" t="inlineStr">
        <is>
          <t>قدیمی؛ تعریف حفظ شده</t>
        </is>
      </c>
      <c r="E164" s="92" t="inlineStr">
        <is>
          <t>صورت: کرسی های قابل مقایسه که شخص نامبرده در دو مقطع فرق دارد؛ مخرج: کرسی های قابل مقایسه (مبنای نامبرده). کرسی حقیقی مستقیم در سطح فرد</t>
        </is>
      </c>
      <c r="F164" s="92" t="n">
        <v>2</v>
      </c>
      <c r="G164" s="92" t="n">
        <v>4</v>
      </c>
      <c r="H164" s="92" t="n">
        <v>2</v>
      </c>
      <c r="I164" s="92" t="n">
        <v>4</v>
      </c>
      <c r="J164" s="92">
        <f>IF(AND(ISNUMBER(H164),ISNUMBER(I164),I164&gt;0),H164/I164,"")</f>
        <v>0.5</v>
      </c>
      <c r="K164" s="92" t="inlineStr">
        <is>
          <t>پنجره مشترک</t>
        </is>
      </c>
      <c r="L164" s="92" t="inlineStr">
        <is>
          <t>1403/12/29</t>
        </is>
      </c>
      <c r="M164" s="92" t="inlineStr">
        <is>
          <t>1404/12/29</t>
        </is>
      </c>
      <c r="N164" s="92" t="inlineStr">
        <is>
          <t>بله</t>
        </is>
      </c>
      <c r="O164" s="92" t="inlineStr">
        <is>
          <t>کامل</t>
        </is>
      </c>
      <c r="P164" s="92" t="inlineStr">
        <is>
          <t>تایید جزئی</t>
        </is>
      </c>
      <c r="Q164" s="92" t="inlineStr">
        <is>
          <t>2 از 4</t>
        </is>
      </c>
      <c r="R164" s="92" t="inlineStr">
        <is>
          <t>برابر</t>
        </is>
      </c>
      <c r="S164" s="92" t="inlineStr">
        <is>
          <t>بازتولید با تعریف تاریخی از بازسازی سطح کرسی v38؛ سند اصلی در این جلسه بازدریافت نشد</t>
        </is>
      </c>
      <c r="T164" s="92" t="inlineStr">
        <is>
          <t>Turnover نهایی G20 و H20</t>
        </is>
      </c>
    </row>
    <row r="165" ht="48" customHeight="1" s="76">
      <c r="A165" s="92" t="inlineStr">
        <is>
          <t>کچاد</t>
        </is>
      </c>
      <c r="B165" s="92" t="inlineStr">
        <is>
          <t>REF08</t>
        </is>
      </c>
      <c r="C165" s="92" t="inlineStr">
        <is>
          <t>تغییر نماینده با شخص حقوقی ثابت</t>
        </is>
      </c>
      <c r="D165" s="92" t="inlineStr">
        <is>
          <t>قدیمی؛ تعریف حفظ شده</t>
        </is>
      </c>
      <c r="E165" s="92" t="inlineStr">
        <is>
          <t>صورت: کرسی با همان شخص حقوقی که نماینده فرق دارد؛ مخرج: کرسی های با همان شخص حقوقی و نماینده معلوم در هر دو مقطع</t>
        </is>
      </c>
      <c r="F165" s="92" t="n">
        <v>2</v>
      </c>
      <c r="G165" s="92" t="n">
        <v>4</v>
      </c>
      <c r="H165" s="92" t="n">
        <v>2</v>
      </c>
      <c r="I165" s="92" t="n">
        <v>4</v>
      </c>
      <c r="J165" s="92">
        <f>IF(AND(ISNUMBER(H165),ISNUMBER(I165),I165&gt;0),H165/I165,"")</f>
        <v>0.5</v>
      </c>
      <c r="K165" s="92" t="inlineStr">
        <is>
          <t>پنجره مشترک</t>
        </is>
      </c>
      <c r="L165" s="92" t="inlineStr">
        <is>
          <t>1403/12/29</t>
        </is>
      </c>
      <c r="M165" s="92" t="inlineStr">
        <is>
          <t>1404/12/29</t>
        </is>
      </c>
      <c r="N165" s="92" t="inlineStr">
        <is>
          <t>بله</t>
        </is>
      </c>
      <c r="O165" s="92" t="inlineStr">
        <is>
          <t>کامل</t>
        </is>
      </c>
      <c r="P165" s="92" t="inlineStr">
        <is>
          <t>تایید جزئی</t>
        </is>
      </c>
      <c r="Q165" s="92" t="inlineStr">
        <is>
          <t>2 از 4</t>
        </is>
      </c>
      <c r="R165" s="92" t="inlineStr">
        <is>
          <t>برابر</t>
        </is>
      </c>
      <c r="S165" s="92" t="inlineStr">
        <is>
          <t>بازتولید با تعریف تاریخی از بازسازی سطح کرسی v38؛ سند اصلی در این جلسه بازدریافت نشد</t>
        </is>
      </c>
      <c r="T165" s="92" t="inlineStr">
        <is>
          <t>Turnover نهایی J20 و K20</t>
        </is>
      </c>
    </row>
    <row r="166" ht="48" customHeight="1" s="76">
      <c r="A166" s="92" t="inlineStr">
        <is>
          <t>کچاد</t>
        </is>
      </c>
      <c r="B166" s="92" t="inlineStr">
        <is>
          <t>ROB_LEGAL</t>
        </is>
      </c>
      <c r="C166" s="92" t="inlineStr">
        <is>
          <t>تغییر شخص حقوقی دارنده کرسی</t>
        </is>
      </c>
      <c r="D166" s="92" t="inlineStr">
        <is>
          <t>قدیمی؛ تعریف حفظ شده</t>
        </is>
      </c>
      <c r="E166" s="92" t="inlineStr">
        <is>
          <t>صورت: کرسی هایی که شخص حقوقی دارنده فرق دارد؛ مخرج: کرسی های موجود در هر دو مقطع</t>
        </is>
      </c>
      <c r="F166" s="92" t="n">
        <v>0</v>
      </c>
      <c r="G166" s="92" t="n">
        <v>5</v>
      </c>
      <c r="H166" s="92" t="n">
        <v>0</v>
      </c>
      <c r="I166" s="92" t="n">
        <v>5</v>
      </c>
      <c r="J166" s="92">
        <f>IF(AND(ISNUMBER(H166),ISNUMBER(I166),I166&gt;0),H166/I166,"")</f>
        <v>0.0</v>
      </c>
      <c r="K166" s="92" t="inlineStr">
        <is>
          <t>پنجره مشترک</t>
        </is>
      </c>
      <c r="L166" s="92" t="inlineStr">
        <is>
          <t>1403/12/29</t>
        </is>
      </c>
      <c r="M166" s="92" t="inlineStr">
        <is>
          <t>1404/12/29</t>
        </is>
      </c>
      <c r="N166" s="92" t="inlineStr">
        <is>
          <t>بله</t>
        </is>
      </c>
      <c r="O166" s="92" t="inlineStr">
        <is>
          <t>کامل</t>
        </is>
      </c>
      <c r="P166" s="92" t="inlineStr">
        <is>
          <t>تایید جزئی</t>
        </is>
      </c>
      <c r="Q166" s="92" t="inlineStr">
        <is>
          <t>0 از 5</t>
        </is>
      </c>
      <c r="R166" s="92" t="inlineStr">
        <is>
          <t>برابر</t>
        </is>
      </c>
      <c r="S166" s="92" t="inlineStr">
        <is>
          <t>بازتولید با تعریف تاریخی از بازسازی سطح کرسی v38؛ سند اصلی در این جلسه بازدریافت نشد</t>
        </is>
      </c>
      <c r="T166" s="92" t="inlineStr">
        <is>
          <t>Turnover نهایی M20 و N20</t>
        </is>
      </c>
    </row>
    <row r="167" ht="48" customHeight="1" s="76">
      <c r="A167" s="92" t="inlineStr">
        <is>
          <t>کچاد</t>
        </is>
      </c>
      <c r="B167" s="92" t="inlineStr">
        <is>
          <t>ROB_NEW</t>
        </is>
      </c>
      <c r="C167" s="92" t="inlineStr">
        <is>
          <t>سهم اعضای جدید</t>
        </is>
      </c>
      <c r="D167" s="92" t="inlineStr">
        <is>
          <t>قدیمی؛ تعریف حفظ شده</t>
        </is>
      </c>
      <c r="E167" s="92" t="inlineStr">
        <is>
          <t>صورت: افراد پایان که در مبنا نبودند؛ مخرج: افراد پایان</t>
        </is>
      </c>
      <c r="F167" s="92" t="n">
        <v>3</v>
      </c>
      <c r="G167" s="92" t="n">
        <v>5</v>
      </c>
      <c r="H167" s="92" t="n">
        <v>3</v>
      </c>
      <c r="I167" s="92" t="n">
        <v>5</v>
      </c>
      <c r="J167" s="92">
        <f>IF(AND(ISNUMBER(H167),ISNUMBER(I167),I167&gt;0),H167/I167,"")</f>
        <v>0.6</v>
      </c>
      <c r="K167" s="92" t="inlineStr">
        <is>
          <t>پنجره مشترک</t>
        </is>
      </c>
      <c r="L167" s="92" t="inlineStr">
        <is>
          <t>1403/12/29</t>
        </is>
      </c>
      <c r="M167" s="92" t="inlineStr">
        <is>
          <t>1404/12/29</t>
        </is>
      </c>
      <c r="N167" s="92" t="inlineStr">
        <is>
          <t>بله</t>
        </is>
      </c>
      <c r="O167" s="92" t="inlineStr">
        <is>
          <t>کامل</t>
        </is>
      </c>
      <c r="P167" s="92" t="inlineStr">
        <is>
          <t>تایید جزئی</t>
        </is>
      </c>
      <c r="Q167" s="92" t="inlineStr">
        <is>
          <t>3 از 5</t>
        </is>
      </c>
      <c r="R167" s="92" t="inlineStr">
        <is>
          <t>برابر</t>
        </is>
      </c>
      <c r="S167" s="92" t="inlineStr">
        <is>
          <t>بازتولید با تعریف تاریخی از بازسازی سطح کرسی v38؛ سند اصلی در این جلسه بازدریافت نشد</t>
        </is>
      </c>
      <c r="T167" s="92" t="inlineStr">
        <is>
          <t>Turnover نهایی P20 و Q20</t>
        </is>
      </c>
    </row>
    <row r="168" ht="48" customHeight="1" s="76">
      <c r="A168" s="92" t="inlineStr">
        <is>
          <t>کچاد</t>
        </is>
      </c>
      <c r="B168" s="92" t="inlineStr">
        <is>
          <t>ROB_STABILITY</t>
        </is>
      </c>
      <c r="C168" s="92" t="inlineStr">
        <is>
          <t>ثبات کرسی با همان شخص</t>
        </is>
      </c>
      <c r="D168" s="92" t="inlineStr">
        <is>
          <t>قدیمی؛ تعریف حفظ شده</t>
        </is>
      </c>
      <c r="E168" s="92" t="inlineStr">
        <is>
          <t>صورت: کرسی های قابل مقایسه با همان شخص؛ مخرج: کرسی های قابل مقایسه</t>
        </is>
      </c>
      <c r="F168" s="92" t="n">
        <v>2</v>
      </c>
      <c r="G168" s="92" t="n">
        <v>4</v>
      </c>
      <c r="H168" s="92" t="n">
        <v>2</v>
      </c>
      <c r="I168" s="92" t="n">
        <v>4</v>
      </c>
      <c r="J168" s="92">
        <f>IF(AND(ISNUMBER(H168),ISNUMBER(I168),I168&gt;0),H168/I168,"")</f>
        <v>0.5</v>
      </c>
      <c r="K168" s="92" t="inlineStr">
        <is>
          <t>پنجره مشترک</t>
        </is>
      </c>
      <c r="L168" s="92" t="inlineStr">
        <is>
          <t>1403/12/29</t>
        </is>
      </c>
      <c r="M168" s="92" t="inlineStr">
        <is>
          <t>1404/12/29</t>
        </is>
      </c>
      <c r="N168" s="92" t="inlineStr">
        <is>
          <t>بله</t>
        </is>
      </c>
      <c r="O168" s="92" t="inlineStr">
        <is>
          <t>کامل</t>
        </is>
      </c>
      <c r="P168" s="92" t="inlineStr">
        <is>
          <t>تایید جزئی</t>
        </is>
      </c>
      <c r="Q168" s="92" t="inlineStr">
        <is>
          <t>2 از 4</t>
        </is>
      </c>
      <c r="R168" s="92" t="inlineStr">
        <is>
          <t>برابر</t>
        </is>
      </c>
      <c r="S168" s="92" t="inlineStr">
        <is>
          <t>بازتولید با تعریف تاریخی از بازسازی سطح کرسی v38؛ سند اصلی در این جلسه بازدریافت نشد</t>
        </is>
      </c>
      <c r="T168" s="92" t="inlineStr">
        <is>
          <t>Turnover نهایی S20 و T20</t>
        </is>
      </c>
    </row>
    <row r="169" ht="48" customHeight="1" s="76">
      <c r="A169" s="92" t="inlineStr">
        <is>
          <t>کچاد</t>
        </is>
      </c>
      <c r="B169" s="92" t="inlineStr">
        <is>
          <t>CR1A</t>
        </is>
      </c>
      <c r="C169" s="92" t="inlineStr">
        <is>
          <t>تغییر رئیس هیئت مدیره بین دو مقطع</t>
        </is>
      </c>
      <c r="D169" s="92" t="inlineStr">
        <is>
          <t>قدیمی؛ تعریف حفظ شده</t>
        </is>
      </c>
      <c r="E169" s="92" t="inlineStr">
        <is>
          <t>صورت: 1 اگر هویت رئیس در دو مقطع فرق دارد؛ مخرج: 1. جدا از تعداد رویدادهای میانی</t>
        </is>
      </c>
      <c r="F169" s="92" t="n">
        <v>1</v>
      </c>
      <c r="G169" s="92" t="n">
        <v>1</v>
      </c>
      <c r="H169" s="92" t="n">
        <v>1</v>
      </c>
      <c r="I169" s="92" t="n">
        <v>1</v>
      </c>
      <c r="J169" s="92">
        <f>IF(AND(ISNUMBER(H169),ISNUMBER(I169),I169&gt;0),H169/I169,"")</f>
        <v>1.0</v>
      </c>
      <c r="K169" s="92" t="inlineStr">
        <is>
          <t>پنجره مشترک</t>
        </is>
      </c>
      <c r="L169" s="92" t="inlineStr">
        <is>
          <t>1403/12/29</t>
        </is>
      </c>
      <c r="M169" s="92" t="inlineStr">
        <is>
          <t>1404/12/29</t>
        </is>
      </c>
      <c r="N169" s="92" t="inlineStr">
        <is>
          <t>بله</t>
        </is>
      </c>
      <c r="O169" s="92" t="inlineStr">
        <is>
          <t>کامل</t>
        </is>
      </c>
      <c r="P169" s="92" t="inlineStr">
        <is>
          <t>تایید جزئی</t>
        </is>
      </c>
      <c r="Q169" s="92" t="inlineStr">
        <is>
          <t>رئیس مبنا محمود صلاحی؛ رئیس پایان محمدرضا تابش</t>
        </is>
      </c>
      <c r="R169" s="92" t="inlineStr">
        <is>
          <t>برابر</t>
        </is>
      </c>
      <c r="S169" s="92" t="inlineStr">
        <is>
          <t>مقایسه هویت رئیس در دو مقطع از بازسازی سطح کرسی v38؛ تعداد رویدادهای میانی جدا در Turnover Events v42</t>
        </is>
      </c>
      <c r="T169" s="92" t="inlineStr">
        <is>
          <t>Turnover نهایی V20؛ CR1A v39 ردیف 20</t>
        </is>
      </c>
    </row>
    <row r="170" ht="44" customHeight="1" s="76">
      <c r="A170" s="92" t="inlineStr">
        <is>
          <t>کچاد</t>
        </is>
      </c>
      <c r="B170" s="92" t="inlineStr">
        <is>
          <t>UPX1</t>
        </is>
      </c>
      <c r="C170" s="92" t="inlineStr">
        <is>
          <t>نرخ خروج افراد یکتا</t>
        </is>
      </c>
      <c r="D170" s="92" t="inlineStr">
        <is>
          <t>جدید؛ کد غیرمتداخل</t>
        </is>
      </c>
      <c r="E170" s="92" t="inlineStr">
        <is>
          <t>صورت: افراد حاضر در مبنا و غایب در پایان؛ مخرج: اعضای فعال مبنا</t>
        </is>
      </c>
      <c r="F170" s="92" t="inlineStr"/>
      <c r="G170" s="92" t="inlineStr"/>
      <c r="H170" s="92" t="n">
        <v>2</v>
      </c>
      <c r="I170" s="92" t="n">
        <v>4</v>
      </c>
      <c r="J170" s="92">
        <f>IF(AND(ISNUMBER(H170),ISNUMBER(I170),I170&gt;0),H170/I170,"")</f>
        <v>0.5</v>
      </c>
      <c r="K170" s="92" t="inlineStr">
        <is>
          <t>پنجره مشترک</t>
        </is>
      </c>
      <c r="L170" s="92" t="inlineStr">
        <is>
          <t>1403/12/29</t>
        </is>
      </c>
      <c r="M170" s="92" t="inlineStr">
        <is>
          <t>1404/12/29</t>
        </is>
      </c>
      <c r="N170" s="92" t="inlineStr">
        <is>
          <t>بله</t>
        </is>
      </c>
      <c r="O170" s="92" t="inlineStr">
        <is>
          <t>کامل</t>
        </is>
      </c>
      <c r="P170" s="92" t="inlineStr">
        <is>
          <t>تایید جزئی</t>
        </is>
      </c>
      <c r="Q170" s="92" t="inlineStr">
        <is>
          <t>2 از 4</t>
        </is>
      </c>
      <c r="R170" s="92" t="inlineStr"/>
      <c r="S170" s="92" t="inlineStr">
        <is>
          <t>هر دو فهرست اسمی کامل؛ هویت ها با نام یکسان سازی شده در همان شرکت مطابقت داده شد</t>
        </is>
      </c>
      <c r="T170" s="92" t="inlineStr">
        <is>
          <t>Snapshot Members v42؛ Person Flows v42</t>
        </is>
      </c>
    </row>
    <row r="171" ht="44" customHeight="1" s="76">
      <c r="A171" s="92" t="inlineStr">
        <is>
          <t>کچاد</t>
        </is>
      </c>
      <c r="B171" s="92" t="inlineStr">
        <is>
          <t>UPN1</t>
        </is>
      </c>
      <c r="C171" s="92" t="inlineStr">
        <is>
          <t>سهم افراد واردشده</t>
        </is>
      </c>
      <c r="D171" s="92" t="inlineStr">
        <is>
          <t>جدید؛ کد غیرمتداخل</t>
        </is>
      </c>
      <c r="E171" s="92" t="inlineStr">
        <is>
          <t>صورت: افراد حاضر در پایان و غایب در مبنا؛ مخرج: اعضای فعال پایان</t>
        </is>
      </c>
      <c r="F171" s="92" t="inlineStr"/>
      <c r="G171" s="92" t="inlineStr"/>
      <c r="H171" s="92" t="n">
        <v>3</v>
      </c>
      <c r="I171" s="92" t="n">
        <v>5</v>
      </c>
      <c r="J171" s="92">
        <f>IF(AND(ISNUMBER(H171),ISNUMBER(I171),I171&gt;0),H171/I171,"")</f>
        <v>0.6</v>
      </c>
      <c r="K171" s="92" t="inlineStr">
        <is>
          <t>پنجره مشترک</t>
        </is>
      </c>
      <c r="L171" s="92" t="inlineStr">
        <is>
          <t>1403/12/29</t>
        </is>
      </c>
      <c r="M171" s="92" t="inlineStr">
        <is>
          <t>1404/12/29</t>
        </is>
      </c>
      <c r="N171" s="92" t="inlineStr">
        <is>
          <t>بله</t>
        </is>
      </c>
      <c r="O171" s="92" t="inlineStr">
        <is>
          <t>کامل</t>
        </is>
      </c>
      <c r="P171" s="92" t="inlineStr">
        <is>
          <t>تایید جزئی</t>
        </is>
      </c>
      <c r="Q171" s="92" t="inlineStr">
        <is>
          <t>3 از 5</t>
        </is>
      </c>
      <c r="R171" s="92" t="inlineStr"/>
      <c r="S171" s="92" t="inlineStr">
        <is>
          <t>هر دو فهرست اسمی کامل؛ هویت ها با نام یکسان سازی شده در همان شرکت مطابقت داده شد</t>
        </is>
      </c>
      <c r="T171" s="92" t="inlineStr">
        <is>
          <t>Snapshot Members v42؛ Person Flows v42</t>
        </is>
      </c>
    </row>
    <row r="172" ht="44" customHeight="1" s="76">
      <c r="A172" s="92" t="inlineStr">
        <is>
          <t>کچاد</t>
        </is>
      </c>
      <c r="B172" s="92" t="inlineStr">
        <is>
          <t>UPR1</t>
        </is>
      </c>
      <c r="C172" s="92" t="inlineStr">
        <is>
          <t>نرخ ماندگاری افراد یکتا</t>
        </is>
      </c>
      <c r="D172" s="92" t="inlineStr">
        <is>
          <t>جدید؛ کد غیرمتداخل</t>
        </is>
      </c>
      <c r="E172" s="92" t="inlineStr">
        <is>
          <t>صورت: افراد حاضر در هر دو مقطع؛ مخرج: اعضای فعال مبنا</t>
        </is>
      </c>
      <c r="F172" s="92" t="inlineStr"/>
      <c r="G172" s="92" t="inlineStr"/>
      <c r="H172" s="92" t="n">
        <v>2</v>
      </c>
      <c r="I172" s="92" t="n">
        <v>4</v>
      </c>
      <c r="J172" s="92">
        <f>IF(AND(ISNUMBER(H172),ISNUMBER(I172),I172&gt;0),H172/I172,"")</f>
        <v>0.5</v>
      </c>
      <c r="K172" s="92" t="inlineStr">
        <is>
          <t>پنجره مشترک</t>
        </is>
      </c>
      <c r="L172" s="92" t="inlineStr">
        <is>
          <t>1403/12/29</t>
        </is>
      </c>
      <c r="M172" s="92" t="inlineStr">
        <is>
          <t>1404/12/29</t>
        </is>
      </c>
      <c r="N172" s="92" t="inlineStr">
        <is>
          <t>بله</t>
        </is>
      </c>
      <c r="O172" s="92" t="inlineStr">
        <is>
          <t>کامل</t>
        </is>
      </c>
      <c r="P172" s="92" t="inlineStr">
        <is>
          <t>تایید جزئی</t>
        </is>
      </c>
      <c r="Q172" s="92" t="inlineStr">
        <is>
          <t>2 از 4</t>
        </is>
      </c>
      <c r="R172" s="92" t="inlineStr"/>
      <c r="S172" s="92" t="inlineStr">
        <is>
          <t>هر دو فهرست اسمی کامل؛ هویت ها با نام یکسان سازی شده در همان شرکت مطابقت داده شد</t>
        </is>
      </c>
      <c r="T172" s="92" t="inlineStr">
        <is>
          <t>Snapshot Members v42؛ Person Flows v42</t>
        </is>
      </c>
    </row>
    <row r="173" ht="44" customHeight="1" s="76">
      <c r="A173" s="92" t="inlineStr">
        <is>
          <t>کچاد</t>
        </is>
      </c>
      <c r="B173" s="92" t="inlineStr">
        <is>
          <t>UPF1</t>
        </is>
      </c>
      <c r="C173" s="92" t="inlineStr">
        <is>
          <t>افراد یکتا در نمای مالی (FY1403 تا FY1404)</t>
        </is>
      </c>
      <c r="D173" s="92" t="inlineStr">
        <is>
          <t>جدید؛ نمای مالی</t>
        </is>
      </c>
      <c r="E173" s="92" t="inlineStr">
        <is>
          <t>همان سه نسبت UPX1 و UPN1 و UPR1 ولی بین پایان FY1403 و FY1404 هر شرکت؛ فقط با دو فهرست کامل معتبر</t>
        </is>
      </c>
      <c r="F173" s="92" t="inlineStr"/>
      <c r="G173" s="92" t="inlineStr"/>
      <c r="H173" s="92" t="inlineStr"/>
      <c r="I173" s="92" t="inlineStr"/>
      <c r="J173" s="92" t="str">
        <f>IF(AND(ISNUMBER(H173),ISNUMBER(I173),I173&gt;0),H173/I173,"")</f>
        <v/>
      </c>
      <c r="K173" s="92" t="inlineStr">
        <is>
          <t>نمای مالی</t>
        </is>
      </c>
      <c r="L173" s="92" t="inlineStr">
        <is>
          <t>1403/12/30</t>
        </is>
      </c>
      <c r="M173" s="92" t="inlineStr">
        <is>
          <t>1404/09/30</t>
        </is>
      </c>
      <c r="N173" s="92" t="inlineStr">
        <is>
          <t>بله</t>
        </is>
      </c>
      <c r="O173" s="92" t="inlineStr">
        <is>
          <t>ناکافی</t>
        </is>
      </c>
      <c r="P173" s="92" t="inlineStr">
        <is>
          <t>هنوز بررسی نشده</t>
        </is>
      </c>
      <c r="Q173" s="92" t="inlineStr"/>
      <c r="R173" s="92" t="inlineStr"/>
      <c r="S173" s="92" t="inlineStr">
        <is>
          <t>فهرست اسمی پایان FY1403 در فایل نیست؛ نتیجه نمای مالی نامشخص ماند و عدد پنجره مشترک جای آن نیامد</t>
        </is>
      </c>
      <c r="T173" s="92" t="inlineStr">
        <is>
          <t>Scope v42</t>
        </is>
      </c>
    </row>
    <row r="174" ht="48" customHeight="1" s="76">
      <c r="A174" s="92" t="inlineStr">
        <is>
          <t>کگل</t>
        </is>
      </c>
      <c r="B174" s="92" t="inlineStr">
        <is>
          <t>REF05</t>
        </is>
      </c>
      <c r="C174" s="92" t="inlineStr">
        <is>
          <t>گردش فردی مبتنی بر کرسی</t>
        </is>
      </c>
      <c r="D174" s="92" t="inlineStr">
        <is>
          <t>قدیمی؛ تعریف حفظ شده</t>
        </is>
      </c>
      <c r="E174" s="92" t="inlineStr">
        <is>
          <t>صورت: کرسی های قابل مقایسه که شخص نامبرده در دو مقطع فرق دارد؛ مخرج: کرسی های قابل مقایسه (مبنای نامبرده). کرسی حقیقی مستقیم در سطح فرد</t>
        </is>
      </c>
      <c r="F174" s="92" t="n">
        <v>1</v>
      </c>
      <c r="G174" s="92" t="n">
        <v>5</v>
      </c>
      <c r="H174" s="92" t="n">
        <v>1</v>
      </c>
      <c r="I174" s="92" t="n">
        <v>5</v>
      </c>
      <c r="J174" s="92">
        <f>IF(AND(ISNUMBER(H174),ISNUMBER(I174),I174&gt;0),H174/I174,"")</f>
        <v>0.2</v>
      </c>
      <c r="K174" s="92" t="inlineStr">
        <is>
          <t>پنجره مشترک</t>
        </is>
      </c>
      <c r="L174" s="92" t="inlineStr">
        <is>
          <t>1403/12/29</t>
        </is>
      </c>
      <c r="M174" s="92" t="inlineStr">
        <is>
          <t>1404/12/29</t>
        </is>
      </c>
      <c r="N174" s="92" t="inlineStr">
        <is>
          <t>بله</t>
        </is>
      </c>
      <c r="O174" s="92" t="inlineStr">
        <is>
          <t>کامل ارثی</t>
        </is>
      </c>
      <c r="P174" s="92" t="inlineStr">
        <is>
          <t>تایید جزئی</t>
        </is>
      </c>
      <c r="Q174" s="92" t="inlineStr"/>
      <c r="R174" s="92" t="inlineStr">
        <is>
          <t>بازتولید ممکن نشد</t>
        </is>
      </c>
      <c r="S174" s="92" t="inlineStr">
        <is>
          <t>ارثی از مستر؛ فهرست اسمی دو مقطع در دسترس نیست و بازتولید اسمی ممکن نشد</t>
        </is>
      </c>
      <c r="T174" s="92" t="inlineStr">
        <is>
          <t>Turnover نهایی G21 و H21</t>
        </is>
      </c>
    </row>
    <row r="175" ht="48" customHeight="1" s="76">
      <c r="A175" s="92" t="inlineStr">
        <is>
          <t>کگل</t>
        </is>
      </c>
      <c r="B175" s="92" t="inlineStr">
        <is>
          <t>REF08</t>
        </is>
      </c>
      <c r="C175" s="92" t="inlineStr">
        <is>
          <t>تغییر نماینده با شخص حقوقی ثابت</t>
        </is>
      </c>
      <c r="D175" s="92" t="inlineStr">
        <is>
          <t>قدیمی؛ تعریف حفظ شده</t>
        </is>
      </c>
      <c r="E175" s="92" t="inlineStr">
        <is>
          <t>صورت: کرسی با همان شخص حقوقی که نماینده فرق دارد؛ مخرج: کرسی های با همان شخص حقوقی و نماینده معلوم در هر دو مقطع</t>
        </is>
      </c>
      <c r="F175" s="92" t="n">
        <v>1</v>
      </c>
      <c r="G175" s="92" t="n">
        <v>5</v>
      </c>
      <c r="H175" s="92" t="n">
        <v>1</v>
      </c>
      <c r="I175" s="92" t="n">
        <v>5</v>
      </c>
      <c r="J175" s="92">
        <f>IF(AND(ISNUMBER(H175),ISNUMBER(I175),I175&gt;0),H175/I175,"")</f>
        <v>0.2</v>
      </c>
      <c r="K175" s="92" t="inlineStr">
        <is>
          <t>پنجره مشترک</t>
        </is>
      </c>
      <c r="L175" s="92" t="inlineStr">
        <is>
          <t>1403/12/29</t>
        </is>
      </c>
      <c r="M175" s="92" t="inlineStr">
        <is>
          <t>1404/12/29</t>
        </is>
      </c>
      <c r="N175" s="92" t="inlineStr">
        <is>
          <t>بله</t>
        </is>
      </c>
      <c r="O175" s="92" t="inlineStr">
        <is>
          <t>کامل ارثی</t>
        </is>
      </c>
      <c r="P175" s="92" t="inlineStr">
        <is>
          <t>تایید جزئی</t>
        </is>
      </c>
      <c r="Q175" s="92" t="inlineStr"/>
      <c r="R175" s="92" t="inlineStr">
        <is>
          <t>بازتولید ممکن نشد</t>
        </is>
      </c>
      <c r="S175" s="92" t="inlineStr">
        <is>
          <t>ارثی از مستر؛ فهرست اسمی دو مقطع در دسترس نیست و بازتولید اسمی ممکن نشد</t>
        </is>
      </c>
      <c r="T175" s="92" t="inlineStr">
        <is>
          <t>Turnover نهایی J21 و K21</t>
        </is>
      </c>
    </row>
    <row r="176" ht="48" customHeight="1" s="76">
      <c r="A176" s="92" t="inlineStr">
        <is>
          <t>کگل</t>
        </is>
      </c>
      <c r="B176" s="92" t="inlineStr">
        <is>
          <t>ROB_LEGAL</t>
        </is>
      </c>
      <c r="C176" s="92" t="inlineStr">
        <is>
          <t>تغییر شخص حقوقی دارنده کرسی</t>
        </is>
      </c>
      <c r="D176" s="92" t="inlineStr">
        <is>
          <t>قدیمی؛ تعریف حفظ شده</t>
        </is>
      </c>
      <c r="E176" s="92" t="inlineStr">
        <is>
          <t>صورت: کرسی هایی که شخص حقوقی دارنده فرق دارد؛ مخرج: کرسی های موجود در هر دو مقطع</t>
        </is>
      </c>
      <c r="F176" s="92" t="n">
        <v>0</v>
      </c>
      <c r="G176" s="92" t="n">
        <v>5</v>
      </c>
      <c r="H176" s="92" t="n">
        <v>0</v>
      </c>
      <c r="I176" s="92" t="n">
        <v>5</v>
      </c>
      <c r="J176" s="92">
        <f>IF(AND(ISNUMBER(H176),ISNUMBER(I176),I176&gt;0),H176/I176,"")</f>
        <v>0.0</v>
      </c>
      <c r="K176" s="92" t="inlineStr">
        <is>
          <t>پنجره مشترک</t>
        </is>
      </c>
      <c r="L176" s="92" t="inlineStr">
        <is>
          <t>1403/12/29</t>
        </is>
      </c>
      <c r="M176" s="92" t="inlineStr">
        <is>
          <t>1404/12/29</t>
        </is>
      </c>
      <c r="N176" s="92" t="inlineStr">
        <is>
          <t>بله</t>
        </is>
      </c>
      <c r="O176" s="92" t="inlineStr">
        <is>
          <t>کامل ارثی</t>
        </is>
      </c>
      <c r="P176" s="92" t="inlineStr">
        <is>
          <t>تایید جزئی</t>
        </is>
      </c>
      <c r="Q176" s="92" t="inlineStr"/>
      <c r="R176" s="92" t="inlineStr">
        <is>
          <t>بازتولید ممکن نشد</t>
        </is>
      </c>
      <c r="S176" s="92" t="inlineStr">
        <is>
          <t>ارثی از مستر؛ فهرست اسمی دو مقطع در دسترس نیست و بازتولید اسمی ممکن نشد</t>
        </is>
      </c>
      <c r="T176" s="92" t="inlineStr">
        <is>
          <t>Turnover نهایی M21 و N21</t>
        </is>
      </c>
    </row>
    <row r="177" ht="48" customHeight="1" s="76">
      <c r="A177" s="92" t="inlineStr">
        <is>
          <t>کگل</t>
        </is>
      </c>
      <c r="B177" s="92" t="inlineStr">
        <is>
          <t>ROB_NEW</t>
        </is>
      </c>
      <c r="C177" s="92" t="inlineStr">
        <is>
          <t>سهم اعضای جدید</t>
        </is>
      </c>
      <c r="D177" s="92" t="inlineStr">
        <is>
          <t>قدیمی؛ تعریف حفظ شده</t>
        </is>
      </c>
      <c r="E177" s="92" t="inlineStr">
        <is>
          <t>صورت: افراد پایان که در مبنا نبودند؛ مخرج: افراد پایان</t>
        </is>
      </c>
      <c r="F177" s="92" t="n">
        <v>1</v>
      </c>
      <c r="G177" s="92" t="n">
        <v>5</v>
      </c>
      <c r="H177" s="92" t="n">
        <v>1</v>
      </c>
      <c r="I177" s="92" t="n">
        <v>5</v>
      </c>
      <c r="J177" s="92">
        <f>IF(AND(ISNUMBER(H177),ISNUMBER(I177),I177&gt;0),H177/I177,"")</f>
        <v>0.2</v>
      </c>
      <c r="K177" s="92" t="inlineStr">
        <is>
          <t>پنجره مشترک</t>
        </is>
      </c>
      <c r="L177" s="92" t="inlineStr">
        <is>
          <t>1403/12/29</t>
        </is>
      </c>
      <c r="M177" s="92" t="inlineStr">
        <is>
          <t>1404/12/29</t>
        </is>
      </c>
      <c r="N177" s="92" t="inlineStr">
        <is>
          <t>بله</t>
        </is>
      </c>
      <c r="O177" s="92" t="inlineStr">
        <is>
          <t>کامل ارثی</t>
        </is>
      </c>
      <c r="P177" s="92" t="inlineStr">
        <is>
          <t>تایید جزئی</t>
        </is>
      </c>
      <c r="Q177" s="92" t="inlineStr"/>
      <c r="R177" s="92" t="inlineStr">
        <is>
          <t>بازتولید ممکن نشد</t>
        </is>
      </c>
      <c r="S177" s="92" t="inlineStr">
        <is>
          <t>ارثی از مستر؛ فهرست اسمی دو مقطع در دسترس نیست و بازتولید اسمی ممکن نشد</t>
        </is>
      </c>
      <c r="T177" s="92" t="inlineStr">
        <is>
          <t>Turnover نهایی P21 و Q21</t>
        </is>
      </c>
    </row>
    <row r="178" ht="48" customHeight="1" s="76">
      <c r="A178" s="92" t="inlineStr">
        <is>
          <t>کگل</t>
        </is>
      </c>
      <c r="B178" s="92" t="inlineStr">
        <is>
          <t>ROB_STABILITY</t>
        </is>
      </c>
      <c r="C178" s="92" t="inlineStr">
        <is>
          <t>ثبات کرسی با همان شخص</t>
        </is>
      </c>
      <c r="D178" s="92" t="inlineStr">
        <is>
          <t>قدیمی؛ تعریف حفظ شده</t>
        </is>
      </c>
      <c r="E178" s="92" t="inlineStr">
        <is>
          <t>صورت: کرسی های قابل مقایسه با همان شخص؛ مخرج: کرسی های قابل مقایسه</t>
        </is>
      </c>
      <c r="F178" s="92" t="n">
        <v>4</v>
      </c>
      <c r="G178" s="92" t="n">
        <v>5</v>
      </c>
      <c r="H178" s="92" t="n">
        <v>4</v>
      </c>
      <c r="I178" s="92" t="n">
        <v>5</v>
      </c>
      <c r="J178" s="92">
        <f>IF(AND(ISNUMBER(H178),ISNUMBER(I178),I178&gt;0),H178/I178,"")</f>
        <v>0.8</v>
      </c>
      <c r="K178" s="92" t="inlineStr">
        <is>
          <t>پنجره مشترک</t>
        </is>
      </c>
      <c r="L178" s="92" t="inlineStr">
        <is>
          <t>1403/12/29</t>
        </is>
      </c>
      <c r="M178" s="92" t="inlineStr">
        <is>
          <t>1404/12/29</t>
        </is>
      </c>
      <c r="N178" s="92" t="inlineStr">
        <is>
          <t>بله</t>
        </is>
      </c>
      <c r="O178" s="92" t="inlineStr">
        <is>
          <t>کامل ارثی</t>
        </is>
      </c>
      <c r="P178" s="92" t="inlineStr">
        <is>
          <t>تایید جزئی</t>
        </is>
      </c>
      <c r="Q178" s="92" t="inlineStr"/>
      <c r="R178" s="92" t="inlineStr">
        <is>
          <t>بازتولید ممکن نشد</t>
        </is>
      </c>
      <c r="S178" s="92" t="inlineStr">
        <is>
          <t>ارثی از مستر؛ فهرست اسمی دو مقطع در دسترس نیست و بازتولید اسمی ممکن نشد</t>
        </is>
      </c>
      <c r="T178" s="92" t="inlineStr">
        <is>
          <t>Turnover نهایی S21 و T21</t>
        </is>
      </c>
    </row>
    <row r="179" ht="48" customHeight="1" s="76">
      <c r="A179" s="92" t="inlineStr">
        <is>
          <t>کگل</t>
        </is>
      </c>
      <c r="B179" s="92" t="inlineStr">
        <is>
          <t>CR1A</t>
        </is>
      </c>
      <c r="C179" s="92" t="inlineStr">
        <is>
          <t>تغییر رئیس هیئت مدیره بین دو مقطع</t>
        </is>
      </c>
      <c r="D179" s="92" t="inlineStr">
        <is>
          <t>قدیمی؛ تعریف حفظ شده</t>
        </is>
      </c>
      <c r="E179" s="92" t="inlineStr">
        <is>
          <t>صورت: 1 اگر هویت رئیس در دو مقطع فرق دارد؛ مخرج: 1. جدا از تعداد رویدادهای میانی</t>
        </is>
      </c>
      <c r="F179" s="92" t="n">
        <v>1</v>
      </c>
      <c r="G179" s="92" t="n">
        <v>1</v>
      </c>
      <c r="H179" s="92" t="n">
        <v>1</v>
      </c>
      <c r="I179" s="92" t="n">
        <v>1</v>
      </c>
      <c r="J179" s="92">
        <f>IF(AND(ISNUMBER(H179),ISNUMBER(I179),I179&gt;0),H179/I179,"")</f>
        <v>1.0</v>
      </c>
      <c r="K179" s="92" t="inlineStr">
        <is>
          <t>پنجره مشترک</t>
        </is>
      </c>
      <c r="L179" s="92" t="inlineStr">
        <is>
          <t>1403/12/29</t>
        </is>
      </c>
      <c r="M179" s="92" t="inlineStr">
        <is>
          <t>1404/12/29</t>
        </is>
      </c>
      <c r="N179" s="92" t="inlineStr">
        <is>
          <t>بله</t>
        </is>
      </c>
      <c r="O179" s="92" t="inlineStr">
        <is>
          <t>کامل ارثی</t>
        </is>
      </c>
      <c r="P179" s="92" t="inlineStr">
        <is>
          <t>تایید جزئی</t>
        </is>
      </c>
      <c r="Q179" s="92" t="inlineStr"/>
      <c r="R179" s="92" t="inlineStr">
        <is>
          <t>بازتولید ممکن نشد</t>
        </is>
      </c>
      <c r="S179" s="92" t="inlineStr">
        <is>
          <t>ارثی از CR1A v39 (INHERITED_WITH_LIMITATION)؛ تایید مجدد مستقل همه منابع انجام نشد</t>
        </is>
      </c>
      <c r="T179" s="92" t="inlineStr">
        <is>
          <t>Turnover نهایی V21؛ CR1A v39 ردیف 21</t>
        </is>
      </c>
    </row>
    <row r="180" ht="44" customHeight="1" s="76">
      <c r="A180" s="93" t="inlineStr">
        <is>
          <t>کگل</t>
        </is>
      </c>
      <c r="B180" s="93" t="inlineStr">
        <is>
          <t>UPX1</t>
        </is>
      </c>
      <c r="C180" s="93" t="inlineStr">
        <is>
          <t>نرخ خروج افراد یکتا</t>
        </is>
      </c>
      <c r="D180" s="93" t="inlineStr">
        <is>
          <t>جدید؛ کد غیرمتداخل</t>
        </is>
      </c>
      <c r="E180" s="93" t="inlineStr">
        <is>
          <t>صورت: افراد حاضر در مبنا و غایب در پایان؛ مخرج: اعضای فعال مبنا</t>
        </is>
      </c>
      <c r="F180" s="93" t="inlineStr"/>
      <c r="G180" s="93" t="inlineStr"/>
      <c r="H180" s="93" t="inlineStr"/>
      <c r="I180" s="93" t="inlineStr"/>
      <c r="J180" s="93" t="str">
        <f>IF(AND(ISNUMBER(H180),ISNUMBER(I180),I180&gt;0),H180/I180,"")</f>
        <v/>
      </c>
      <c r="K180" s="93" t="inlineStr">
        <is>
          <t>پنجره مشترک</t>
        </is>
      </c>
      <c r="L180" s="93" t="inlineStr">
        <is>
          <t>1403/12/29</t>
        </is>
      </c>
      <c r="M180" s="93" t="inlineStr">
        <is>
          <t>1404/12/29</t>
        </is>
      </c>
      <c r="N180" s="93" t="inlineStr">
        <is>
          <t>بله</t>
        </is>
      </c>
      <c r="O180" s="93" t="inlineStr">
        <is>
          <t>ناکافی</t>
        </is>
      </c>
      <c r="P180" s="93" t="inlineStr">
        <is>
          <t>منبع در دسترس نبود</t>
        </is>
      </c>
      <c r="Q180" s="93" t="inlineStr"/>
      <c r="R180" s="93" t="inlineStr"/>
      <c r="S180" s="93" t="inlineStr">
        <is>
          <t>فهرست اسمی مبنا در بسته شواهد v41 است که در این جلسه ارائه نشد؛ شمار تجمیعی مستر برای افراد یکتا کافی نیست</t>
        </is>
      </c>
      <c r="T180" s="93" t="inlineStr">
        <is>
          <t>Snapshot Members v42؛ Person Flows v42</t>
        </is>
      </c>
    </row>
    <row r="181" ht="44" customHeight="1" s="76">
      <c r="A181" s="93" t="inlineStr">
        <is>
          <t>کگل</t>
        </is>
      </c>
      <c r="B181" s="93" t="inlineStr">
        <is>
          <t>UPN1</t>
        </is>
      </c>
      <c r="C181" s="93" t="inlineStr">
        <is>
          <t>سهم افراد واردشده</t>
        </is>
      </c>
      <c r="D181" s="93" t="inlineStr">
        <is>
          <t>جدید؛ کد غیرمتداخل</t>
        </is>
      </c>
      <c r="E181" s="93" t="inlineStr">
        <is>
          <t>صورت: افراد حاضر در پایان و غایب در مبنا؛ مخرج: اعضای فعال پایان</t>
        </is>
      </c>
      <c r="F181" s="93" t="inlineStr"/>
      <c r="G181" s="93" t="inlineStr"/>
      <c r="H181" s="93" t="inlineStr"/>
      <c r="I181" s="93" t="inlineStr"/>
      <c r="J181" s="93" t="str">
        <f>IF(AND(ISNUMBER(H181),ISNUMBER(I181),I181&gt;0),H181/I181,"")</f>
        <v/>
      </c>
      <c r="K181" s="93" t="inlineStr">
        <is>
          <t>پنجره مشترک</t>
        </is>
      </c>
      <c r="L181" s="93" t="inlineStr">
        <is>
          <t>1403/12/29</t>
        </is>
      </c>
      <c r="M181" s="93" t="inlineStr">
        <is>
          <t>1404/12/29</t>
        </is>
      </c>
      <c r="N181" s="93" t="inlineStr">
        <is>
          <t>بله</t>
        </is>
      </c>
      <c r="O181" s="93" t="inlineStr">
        <is>
          <t>ناکافی</t>
        </is>
      </c>
      <c r="P181" s="93" t="inlineStr">
        <is>
          <t>منبع در دسترس نبود</t>
        </is>
      </c>
      <c r="Q181" s="93" t="inlineStr"/>
      <c r="R181" s="93" t="inlineStr"/>
      <c r="S181" s="93" t="inlineStr">
        <is>
          <t>فهرست اسمی مبنا در بسته شواهد v41 است که در این جلسه ارائه نشد؛ شمار تجمیعی مستر برای افراد یکتا کافی نیست</t>
        </is>
      </c>
      <c r="T181" s="93" t="inlineStr">
        <is>
          <t>Snapshot Members v42؛ Person Flows v42</t>
        </is>
      </c>
    </row>
    <row r="182" ht="44" customHeight="1" s="76">
      <c r="A182" s="93" t="inlineStr">
        <is>
          <t>کگل</t>
        </is>
      </c>
      <c r="B182" s="93" t="inlineStr">
        <is>
          <t>UPR1</t>
        </is>
      </c>
      <c r="C182" s="93" t="inlineStr">
        <is>
          <t>نرخ ماندگاری افراد یکتا</t>
        </is>
      </c>
      <c r="D182" s="93" t="inlineStr">
        <is>
          <t>جدید؛ کد غیرمتداخل</t>
        </is>
      </c>
      <c r="E182" s="93" t="inlineStr">
        <is>
          <t>صورت: افراد حاضر در هر دو مقطع؛ مخرج: اعضای فعال مبنا</t>
        </is>
      </c>
      <c r="F182" s="93" t="inlineStr"/>
      <c r="G182" s="93" t="inlineStr"/>
      <c r="H182" s="93" t="inlineStr"/>
      <c r="I182" s="93" t="inlineStr"/>
      <c r="J182" s="93" t="str">
        <f>IF(AND(ISNUMBER(H182),ISNUMBER(I182),I182&gt;0),H182/I182,"")</f>
        <v/>
      </c>
      <c r="K182" s="93" t="inlineStr">
        <is>
          <t>پنجره مشترک</t>
        </is>
      </c>
      <c r="L182" s="93" t="inlineStr">
        <is>
          <t>1403/12/29</t>
        </is>
      </c>
      <c r="M182" s="93" t="inlineStr">
        <is>
          <t>1404/12/29</t>
        </is>
      </c>
      <c r="N182" s="93" t="inlineStr">
        <is>
          <t>بله</t>
        </is>
      </c>
      <c r="O182" s="93" t="inlineStr">
        <is>
          <t>ناکافی</t>
        </is>
      </c>
      <c r="P182" s="93" t="inlineStr">
        <is>
          <t>منبع در دسترس نبود</t>
        </is>
      </c>
      <c r="Q182" s="93" t="inlineStr"/>
      <c r="R182" s="93" t="inlineStr"/>
      <c r="S182" s="93" t="inlineStr">
        <is>
          <t>فهرست اسمی مبنا در بسته شواهد v41 است که در این جلسه ارائه نشد؛ شمار تجمیعی مستر برای افراد یکتا کافی نیست</t>
        </is>
      </c>
      <c r="T182" s="93" t="inlineStr">
        <is>
          <t>Snapshot Members v42؛ Person Flows v42</t>
        </is>
      </c>
    </row>
    <row r="183" ht="44" customHeight="1" s="76">
      <c r="A183" s="92" t="inlineStr">
        <is>
          <t>کگل</t>
        </is>
      </c>
      <c r="B183" s="92" t="inlineStr">
        <is>
          <t>UPF1</t>
        </is>
      </c>
      <c r="C183" s="92" t="inlineStr">
        <is>
          <t>افراد یکتا در نمای مالی (FY1403 تا FY1404)</t>
        </is>
      </c>
      <c r="D183" s="92" t="inlineStr">
        <is>
          <t>جدید؛ نمای مالی</t>
        </is>
      </c>
      <c r="E183" s="92" t="inlineStr">
        <is>
          <t>همان سه نسبت UPX1 و UPN1 و UPR1 ولی بین پایان FY1403 و FY1404 هر شرکت؛ فقط با دو فهرست کامل معتبر</t>
        </is>
      </c>
      <c r="F183" s="92" t="inlineStr"/>
      <c r="G183" s="92" t="inlineStr"/>
      <c r="H183" s="92" t="inlineStr"/>
      <c r="I183" s="92" t="inlineStr"/>
      <c r="J183" s="92" t="str">
        <f>IF(AND(ISNUMBER(H183),ISNUMBER(I183),I183&gt;0),H183/I183,"")</f>
        <v/>
      </c>
      <c r="K183" s="92" t="inlineStr">
        <is>
          <t>نمای مالی</t>
        </is>
      </c>
      <c r="L183" s="92" t="inlineStr">
        <is>
          <t>1403/12/30</t>
        </is>
      </c>
      <c r="M183" s="92" t="inlineStr">
        <is>
          <t>1404/09/30</t>
        </is>
      </c>
      <c r="N183" s="92" t="inlineStr">
        <is>
          <t>بله</t>
        </is>
      </c>
      <c r="O183" s="92" t="inlineStr">
        <is>
          <t>ناکافی</t>
        </is>
      </c>
      <c r="P183" s="92" t="inlineStr">
        <is>
          <t>هنوز بررسی نشده</t>
        </is>
      </c>
      <c r="Q183" s="92" t="inlineStr"/>
      <c r="R183" s="92" t="inlineStr"/>
      <c r="S183" s="92" t="inlineStr">
        <is>
          <t>فهرست اسمی پایان FY1403 در فایل نیست؛ نتیجه نمای مالی نامشخص ماند و عدد پنجره مشترک جای آن نیامد</t>
        </is>
      </c>
      <c r="T183" s="92" t="inlineStr">
        <is>
          <t>Scope v42</t>
        </is>
      </c>
    </row>
    <row r="184" ht="48" customHeight="1" s="76">
      <c r="A184" s="92" t="inlineStr">
        <is>
          <t>پارسان</t>
        </is>
      </c>
      <c r="B184" s="92" t="inlineStr">
        <is>
          <t>REF05</t>
        </is>
      </c>
      <c r="C184" s="92" t="inlineStr">
        <is>
          <t>گردش فردی مبتنی بر کرسی</t>
        </is>
      </c>
      <c r="D184" s="92" t="inlineStr">
        <is>
          <t>قدیمی؛ تعریف حفظ شده</t>
        </is>
      </c>
      <c r="E184" s="92" t="inlineStr">
        <is>
          <t>صورت: کرسی های قابل مقایسه که شخص نامبرده در دو مقطع فرق دارد؛ مخرج: کرسی های قابل مقایسه (مبنای نامبرده). کرسی حقیقی مستقیم در سطح فرد</t>
        </is>
      </c>
      <c r="F184" s="92" t="n">
        <v>2</v>
      </c>
      <c r="G184" s="92" t="n">
        <v>5</v>
      </c>
      <c r="H184" s="92" t="n">
        <v>2</v>
      </c>
      <c r="I184" s="92" t="n">
        <v>5</v>
      </c>
      <c r="J184" s="92">
        <f>IF(AND(ISNUMBER(H184),ISNUMBER(I184),I184&gt;0),H184/I184,"")</f>
        <v>0.4</v>
      </c>
      <c r="K184" s="92" t="inlineStr">
        <is>
          <t>پنجره مشترک</t>
        </is>
      </c>
      <c r="L184" s="92" t="inlineStr">
        <is>
          <t>1403/12/29</t>
        </is>
      </c>
      <c r="M184" s="92" t="inlineStr">
        <is>
          <t>1404/12/29</t>
        </is>
      </c>
      <c r="N184" s="92" t="inlineStr">
        <is>
          <t>بله</t>
        </is>
      </c>
      <c r="O184" s="92" t="inlineStr">
        <is>
          <t>کامل</t>
        </is>
      </c>
      <c r="P184" s="92" t="inlineStr">
        <is>
          <t>تایید جزئی</t>
        </is>
      </c>
      <c r="Q184" s="92" t="inlineStr">
        <is>
          <t>2 از 5</t>
        </is>
      </c>
      <c r="R184" s="92" t="inlineStr">
        <is>
          <t>برابر</t>
        </is>
      </c>
      <c r="S184" s="92" t="inlineStr">
        <is>
          <t>بازتولید با تعریف تاریخی از بازسازی سطح کرسی v38؛ سند اصلی در این جلسه بازدریافت نشد؛ حساسیت: مجمع ۱۴۰۴/۱۰/۲۳ دو شخص حقوقی را حذف و دو شخص حقوقی تازه وارد کرد؛ v38 آن را تا Cutoff عملیاتی ندانست و نمایندگان تازه فقط در جلسه ۱۴۰۵/۰۲/۰۸</t>
        </is>
      </c>
      <c r="T184" s="92" t="inlineStr">
        <is>
          <t>Turnover نهایی G22 و H22</t>
        </is>
      </c>
    </row>
    <row r="185" ht="48" customHeight="1" s="76">
      <c r="A185" s="92" t="inlineStr">
        <is>
          <t>پارسان</t>
        </is>
      </c>
      <c r="B185" s="92" t="inlineStr">
        <is>
          <t>REF08</t>
        </is>
      </c>
      <c r="C185" s="92" t="inlineStr">
        <is>
          <t>تغییر نماینده با شخص حقوقی ثابت</t>
        </is>
      </c>
      <c r="D185" s="92" t="inlineStr">
        <is>
          <t>قدیمی؛ تعریف حفظ شده</t>
        </is>
      </c>
      <c r="E185" s="92" t="inlineStr">
        <is>
          <t>صورت: کرسی با همان شخص حقوقی که نماینده فرق دارد؛ مخرج: کرسی های با همان شخص حقوقی و نماینده معلوم در هر دو مقطع</t>
        </is>
      </c>
      <c r="F185" s="92" t="n">
        <v>2</v>
      </c>
      <c r="G185" s="92" t="n">
        <v>5</v>
      </c>
      <c r="H185" s="92" t="n">
        <v>2</v>
      </c>
      <c r="I185" s="92" t="n">
        <v>5</v>
      </c>
      <c r="J185" s="92">
        <f>IF(AND(ISNUMBER(H185),ISNUMBER(I185),I185&gt;0),H185/I185,"")</f>
        <v>0.4</v>
      </c>
      <c r="K185" s="92" t="inlineStr">
        <is>
          <t>پنجره مشترک</t>
        </is>
      </c>
      <c r="L185" s="92" t="inlineStr">
        <is>
          <t>1403/12/29</t>
        </is>
      </c>
      <c r="M185" s="92" t="inlineStr">
        <is>
          <t>1404/12/29</t>
        </is>
      </c>
      <c r="N185" s="92" t="inlineStr">
        <is>
          <t>بله</t>
        </is>
      </c>
      <c r="O185" s="92" t="inlineStr">
        <is>
          <t>کامل</t>
        </is>
      </c>
      <c r="P185" s="92" t="inlineStr">
        <is>
          <t>تایید جزئی</t>
        </is>
      </c>
      <c r="Q185" s="92" t="inlineStr">
        <is>
          <t>2 از 5</t>
        </is>
      </c>
      <c r="R185" s="92" t="inlineStr">
        <is>
          <t>برابر</t>
        </is>
      </c>
      <c r="S185" s="92" t="inlineStr">
        <is>
          <t>بازتولید با تعریف تاریخی از بازسازی سطح کرسی v38؛ سند اصلی در این جلسه بازدریافت نشد؛ حساسیت: مجمع ۱۴۰۴/۱۰/۲۳ دو شخص حقوقی را حذف و دو شخص حقوقی تازه وارد کرد؛ v38 آن را تا Cutoff عملیاتی ندانست و نمایندگان تازه فقط در جلسه ۱۴۰۵/۰۲/۰۸</t>
        </is>
      </c>
      <c r="T185" s="92" t="inlineStr">
        <is>
          <t>Turnover نهایی J22 و K22</t>
        </is>
      </c>
    </row>
    <row r="186" ht="48" customHeight="1" s="76">
      <c r="A186" s="92" t="inlineStr">
        <is>
          <t>پارسان</t>
        </is>
      </c>
      <c r="B186" s="92" t="inlineStr">
        <is>
          <t>ROB_LEGAL</t>
        </is>
      </c>
      <c r="C186" s="92" t="inlineStr">
        <is>
          <t>تغییر شخص حقوقی دارنده کرسی</t>
        </is>
      </c>
      <c r="D186" s="92" t="inlineStr">
        <is>
          <t>قدیمی؛ تعریف حفظ شده</t>
        </is>
      </c>
      <c r="E186" s="92" t="inlineStr">
        <is>
          <t>صورت: کرسی هایی که شخص حقوقی دارنده فرق دارد؛ مخرج: کرسی های موجود در هر دو مقطع</t>
        </is>
      </c>
      <c r="F186" s="92" t="n">
        <v>0</v>
      </c>
      <c r="G186" s="92" t="n">
        <v>5</v>
      </c>
      <c r="H186" s="92" t="n">
        <v>0</v>
      </c>
      <c r="I186" s="92" t="n">
        <v>5</v>
      </c>
      <c r="J186" s="92">
        <f>IF(AND(ISNUMBER(H186),ISNUMBER(I186),I186&gt;0),H186/I186,"")</f>
        <v>0.0</v>
      </c>
      <c r="K186" s="92" t="inlineStr">
        <is>
          <t>پنجره مشترک</t>
        </is>
      </c>
      <c r="L186" s="92" t="inlineStr">
        <is>
          <t>1403/12/29</t>
        </is>
      </c>
      <c r="M186" s="92" t="inlineStr">
        <is>
          <t>1404/12/29</t>
        </is>
      </c>
      <c r="N186" s="92" t="inlineStr">
        <is>
          <t>بله</t>
        </is>
      </c>
      <c r="O186" s="92" t="inlineStr">
        <is>
          <t>کامل</t>
        </is>
      </c>
      <c r="P186" s="92" t="inlineStr">
        <is>
          <t>تایید جزئی</t>
        </is>
      </c>
      <c r="Q186" s="92" t="inlineStr">
        <is>
          <t>0 از 5</t>
        </is>
      </c>
      <c r="R186" s="92" t="inlineStr">
        <is>
          <t>برابر</t>
        </is>
      </c>
      <c r="S186" s="92" t="inlineStr">
        <is>
          <t>بازتولید با تعریف تاریخی از بازسازی سطح کرسی v38؛ سند اصلی در این جلسه بازدریافت نشد؛ حساسیت: مجمع ۱۴۰۴/۱۰/۲۳ دو شخص حقوقی را حذف و دو شخص حقوقی تازه وارد کرد؛ v38 آن را تا Cutoff عملیاتی ندانست و نمایندگان تازه فقط در جلسه ۱۴۰۵/۰۲/۰۸</t>
        </is>
      </c>
      <c r="T186" s="92" t="inlineStr">
        <is>
          <t>Turnover نهایی M22 و N22</t>
        </is>
      </c>
    </row>
    <row r="187" ht="48" customHeight="1" s="76">
      <c r="A187" s="92" t="inlineStr">
        <is>
          <t>پارسان</t>
        </is>
      </c>
      <c r="B187" s="92" t="inlineStr">
        <is>
          <t>ROB_NEW</t>
        </is>
      </c>
      <c r="C187" s="92" t="inlineStr">
        <is>
          <t>سهم اعضای جدید</t>
        </is>
      </c>
      <c r="D187" s="92" t="inlineStr">
        <is>
          <t>قدیمی؛ تعریف حفظ شده</t>
        </is>
      </c>
      <c r="E187" s="92" t="inlineStr">
        <is>
          <t>صورت: افراد پایان که در مبنا نبودند؛ مخرج: افراد پایان</t>
        </is>
      </c>
      <c r="F187" s="92" t="n">
        <v>2</v>
      </c>
      <c r="G187" s="92" t="n">
        <v>5</v>
      </c>
      <c r="H187" s="92" t="n">
        <v>2</v>
      </c>
      <c r="I187" s="92" t="n">
        <v>5</v>
      </c>
      <c r="J187" s="92">
        <f>IF(AND(ISNUMBER(H187),ISNUMBER(I187),I187&gt;0),H187/I187,"")</f>
        <v>0.4</v>
      </c>
      <c r="K187" s="92" t="inlineStr">
        <is>
          <t>پنجره مشترک</t>
        </is>
      </c>
      <c r="L187" s="92" t="inlineStr">
        <is>
          <t>1403/12/29</t>
        </is>
      </c>
      <c r="M187" s="92" t="inlineStr">
        <is>
          <t>1404/12/29</t>
        </is>
      </c>
      <c r="N187" s="92" t="inlineStr">
        <is>
          <t>بله</t>
        </is>
      </c>
      <c r="O187" s="92" t="inlineStr">
        <is>
          <t>کامل</t>
        </is>
      </c>
      <c r="P187" s="92" t="inlineStr">
        <is>
          <t>تایید جزئی</t>
        </is>
      </c>
      <c r="Q187" s="92" t="inlineStr">
        <is>
          <t>2 از 5</t>
        </is>
      </c>
      <c r="R187" s="92" t="inlineStr">
        <is>
          <t>برابر</t>
        </is>
      </c>
      <c r="S187" s="92" t="inlineStr">
        <is>
          <t>بازتولید با تعریف تاریخی از بازسازی سطح کرسی v38؛ سند اصلی در این جلسه بازدریافت نشد؛ حساسیت: مجمع ۱۴۰۴/۱۰/۲۳ دو شخص حقوقی را حذف و دو شخص حقوقی تازه وارد کرد؛ v38 آن را تا Cutoff عملیاتی ندانست و نمایندگان تازه فقط در جلسه ۱۴۰۵/۰۲/۰۸</t>
        </is>
      </c>
      <c r="T187" s="92" t="inlineStr">
        <is>
          <t>Turnover نهایی P22 و Q22</t>
        </is>
      </c>
    </row>
    <row r="188" ht="48" customHeight="1" s="76">
      <c r="A188" s="92" t="inlineStr">
        <is>
          <t>پارسان</t>
        </is>
      </c>
      <c r="B188" s="92" t="inlineStr">
        <is>
          <t>ROB_STABILITY</t>
        </is>
      </c>
      <c r="C188" s="92" t="inlineStr">
        <is>
          <t>ثبات کرسی با همان شخص</t>
        </is>
      </c>
      <c r="D188" s="92" t="inlineStr">
        <is>
          <t>قدیمی؛ تعریف حفظ شده</t>
        </is>
      </c>
      <c r="E188" s="92" t="inlineStr">
        <is>
          <t>صورت: کرسی های قابل مقایسه با همان شخص؛ مخرج: کرسی های قابل مقایسه</t>
        </is>
      </c>
      <c r="F188" s="92" t="n">
        <v>3</v>
      </c>
      <c r="G188" s="92" t="n">
        <v>5</v>
      </c>
      <c r="H188" s="92" t="n">
        <v>3</v>
      </c>
      <c r="I188" s="92" t="n">
        <v>5</v>
      </c>
      <c r="J188" s="92">
        <f>IF(AND(ISNUMBER(H188),ISNUMBER(I188),I188&gt;0),H188/I188,"")</f>
        <v>0.6</v>
      </c>
      <c r="K188" s="92" t="inlineStr">
        <is>
          <t>پنجره مشترک</t>
        </is>
      </c>
      <c r="L188" s="92" t="inlineStr">
        <is>
          <t>1403/12/29</t>
        </is>
      </c>
      <c r="M188" s="92" t="inlineStr">
        <is>
          <t>1404/12/29</t>
        </is>
      </c>
      <c r="N188" s="92" t="inlineStr">
        <is>
          <t>بله</t>
        </is>
      </c>
      <c r="O188" s="92" t="inlineStr">
        <is>
          <t>کامل</t>
        </is>
      </c>
      <c r="P188" s="92" t="inlineStr">
        <is>
          <t>تایید جزئی</t>
        </is>
      </c>
      <c r="Q188" s="92" t="inlineStr">
        <is>
          <t>3 از 5</t>
        </is>
      </c>
      <c r="R188" s="92" t="inlineStr">
        <is>
          <t>برابر</t>
        </is>
      </c>
      <c r="S188" s="92" t="inlineStr">
        <is>
          <t>بازتولید با تعریف تاریخی از بازسازی سطح کرسی v38؛ سند اصلی در این جلسه بازدریافت نشد؛ حساسیت: مجمع ۱۴۰۴/۱۰/۲۳ دو شخص حقوقی را حذف و دو شخص حقوقی تازه وارد کرد؛ v38 آن را تا Cutoff عملیاتی ندانست و نمایندگان تازه فقط در جلسه ۱۴۰۵/۰۲/۰۸</t>
        </is>
      </c>
      <c r="T188" s="92" t="inlineStr">
        <is>
          <t>Turnover نهایی S22 و T22</t>
        </is>
      </c>
    </row>
    <row r="189" ht="48" customHeight="1" s="76">
      <c r="A189" s="92" t="inlineStr">
        <is>
          <t>پارسان</t>
        </is>
      </c>
      <c r="B189" s="92" t="inlineStr">
        <is>
          <t>CR1A</t>
        </is>
      </c>
      <c r="C189" s="92" t="inlineStr">
        <is>
          <t>تغییر رئیس هیئت مدیره بین دو مقطع</t>
        </is>
      </c>
      <c r="D189" s="92" t="inlineStr">
        <is>
          <t>قدیمی؛ تعریف حفظ شده</t>
        </is>
      </c>
      <c r="E189" s="92" t="inlineStr">
        <is>
          <t>صورت: 1 اگر هویت رئیس در دو مقطع فرق دارد؛ مخرج: 1. جدا از تعداد رویدادهای میانی</t>
        </is>
      </c>
      <c r="F189" s="92" t="n">
        <v>0</v>
      </c>
      <c r="G189" s="92" t="n">
        <v>1</v>
      </c>
      <c r="H189" s="92" t="n">
        <v>0</v>
      </c>
      <c r="I189" s="92" t="n">
        <v>1</v>
      </c>
      <c r="J189" s="92">
        <f>IF(AND(ISNUMBER(H189),ISNUMBER(I189),I189&gt;0),H189/I189,"")</f>
        <v>0.0</v>
      </c>
      <c r="K189" s="92" t="inlineStr">
        <is>
          <t>پنجره مشترک</t>
        </is>
      </c>
      <c r="L189" s="92" t="inlineStr">
        <is>
          <t>1403/12/29</t>
        </is>
      </c>
      <c r="M189" s="92" t="inlineStr">
        <is>
          <t>1404/12/29</t>
        </is>
      </c>
      <c r="N189" s="92" t="inlineStr">
        <is>
          <t>بله</t>
        </is>
      </c>
      <c r="O189" s="92" t="inlineStr">
        <is>
          <t>کامل</t>
        </is>
      </c>
      <c r="P189" s="92" t="inlineStr">
        <is>
          <t>تایید جزئی</t>
        </is>
      </c>
      <c r="Q189" s="92" t="inlineStr">
        <is>
          <t>رئیس مبنا احد امیری؛ رئیس پایان احد امیری</t>
        </is>
      </c>
      <c r="R189" s="92" t="inlineStr">
        <is>
          <t>برابر</t>
        </is>
      </c>
      <c r="S189" s="92" t="inlineStr">
        <is>
          <t>مقایسه هویت رئیس در دو مقطع از بازسازی سطح کرسی v38؛ تعداد رویدادهای میانی جدا در Turnover Events v42</t>
        </is>
      </c>
      <c r="T189" s="92" t="inlineStr">
        <is>
          <t>Turnover نهایی V22؛ CR1A v39 ردیف 22</t>
        </is>
      </c>
    </row>
    <row r="190" ht="44" customHeight="1" s="76">
      <c r="A190" s="92" t="inlineStr">
        <is>
          <t>پارسان</t>
        </is>
      </c>
      <c r="B190" s="92" t="inlineStr">
        <is>
          <t>UPX1</t>
        </is>
      </c>
      <c r="C190" s="92" t="inlineStr">
        <is>
          <t>نرخ خروج افراد یکتا</t>
        </is>
      </c>
      <c r="D190" s="92" t="inlineStr">
        <is>
          <t>جدید؛ کد غیرمتداخل</t>
        </is>
      </c>
      <c r="E190" s="92" t="inlineStr">
        <is>
          <t>صورت: افراد حاضر در مبنا و غایب در پایان؛ مخرج: اعضای فعال مبنا</t>
        </is>
      </c>
      <c r="F190" s="92" t="inlineStr"/>
      <c r="G190" s="92" t="inlineStr"/>
      <c r="H190" s="92" t="n">
        <v>2</v>
      </c>
      <c r="I190" s="92" t="n">
        <v>5</v>
      </c>
      <c r="J190" s="92">
        <f>IF(AND(ISNUMBER(H190),ISNUMBER(I190),I190&gt;0),H190/I190,"")</f>
        <v>0.4</v>
      </c>
      <c r="K190" s="92" t="inlineStr">
        <is>
          <t>پنجره مشترک</t>
        </is>
      </c>
      <c r="L190" s="92" t="inlineStr">
        <is>
          <t>1403/12/29</t>
        </is>
      </c>
      <c r="M190" s="92" t="inlineStr">
        <is>
          <t>1404/12/29</t>
        </is>
      </c>
      <c r="N190" s="92" t="inlineStr">
        <is>
          <t>بله</t>
        </is>
      </c>
      <c r="O190" s="92" t="inlineStr">
        <is>
          <t>کامل</t>
        </is>
      </c>
      <c r="P190" s="92" t="inlineStr">
        <is>
          <t>تایید جزئی</t>
        </is>
      </c>
      <c r="Q190" s="92" t="inlineStr">
        <is>
          <t>2 از 5</t>
        </is>
      </c>
      <c r="R190" s="92" t="inlineStr"/>
      <c r="S190" s="92" t="inlineStr">
        <is>
          <t>هر دو فهرست اسمی کامل؛ هویت ها با نام یکسان سازی شده در همان شرکت مطابقت داده شد؛ حساسیت ثبت شده در Five Cases و Snapshot Members</t>
        </is>
      </c>
      <c r="T190" s="92" t="inlineStr">
        <is>
          <t>Snapshot Members v42؛ Person Flows v42</t>
        </is>
      </c>
    </row>
    <row r="191" ht="44" customHeight="1" s="76">
      <c r="A191" s="92" t="inlineStr">
        <is>
          <t>پارسان</t>
        </is>
      </c>
      <c r="B191" s="92" t="inlineStr">
        <is>
          <t>UPN1</t>
        </is>
      </c>
      <c r="C191" s="92" t="inlineStr">
        <is>
          <t>سهم افراد واردشده</t>
        </is>
      </c>
      <c r="D191" s="92" t="inlineStr">
        <is>
          <t>جدید؛ کد غیرمتداخل</t>
        </is>
      </c>
      <c r="E191" s="92" t="inlineStr">
        <is>
          <t>صورت: افراد حاضر در پایان و غایب در مبنا؛ مخرج: اعضای فعال پایان</t>
        </is>
      </c>
      <c r="F191" s="92" t="inlineStr"/>
      <c r="G191" s="92" t="inlineStr"/>
      <c r="H191" s="92" t="n">
        <v>2</v>
      </c>
      <c r="I191" s="92" t="n">
        <v>5</v>
      </c>
      <c r="J191" s="92">
        <f>IF(AND(ISNUMBER(H191),ISNUMBER(I191),I191&gt;0),H191/I191,"")</f>
        <v>0.4</v>
      </c>
      <c r="K191" s="92" t="inlineStr">
        <is>
          <t>پنجره مشترک</t>
        </is>
      </c>
      <c r="L191" s="92" t="inlineStr">
        <is>
          <t>1403/12/29</t>
        </is>
      </c>
      <c r="M191" s="92" t="inlineStr">
        <is>
          <t>1404/12/29</t>
        </is>
      </c>
      <c r="N191" s="92" t="inlineStr">
        <is>
          <t>بله</t>
        </is>
      </c>
      <c r="O191" s="92" t="inlineStr">
        <is>
          <t>کامل</t>
        </is>
      </c>
      <c r="P191" s="92" t="inlineStr">
        <is>
          <t>تایید جزئی</t>
        </is>
      </c>
      <c r="Q191" s="92" t="inlineStr">
        <is>
          <t>2 از 5</t>
        </is>
      </c>
      <c r="R191" s="92" t="inlineStr"/>
      <c r="S191" s="92" t="inlineStr">
        <is>
          <t>هر دو فهرست اسمی کامل؛ هویت ها با نام یکسان سازی شده در همان شرکت مطابقت داده شد؛ حساسیت ثبت شده در Five Cases و Snapshot Members</t>
        </is>
      </c>
      <c r="T191" s="92" t="inlineStr">
        <is>
          <t>Snapshot Members v42؛ Person Flows v42</t>
        </is>
      </c>
    </row>
    <row r="192" ht="44" customHeight="1" s="76">
      <c r="A192" s="92" t="inlineStr">
        <is>
          <t>پارسان</t>
        </is>
      </c>
      <c r="B192" s="92" t="inlineStr">
        <is>
          <t>UPR1</t>
        </is>
      </c>
      <c r="C192" s="92" t="inlineStr">
        <is>
          <t>نرخ ماندگاری افراد یکتا</t>
        </is>
      </c>
      <c r="D192" s="92" t="inlineStr">
        <is>
          <t>جدید؛ کد غیرمتداخل</t>
        </is>
      </c>
      <c r="E192" s="92" t="inlineStr">
        <is>
          <t>صورت: افراد حاضر در هر دو مقطع؛ مخرج: اعضای فعال مبنا</t>
        </is>
      </c>
      <c r="F192" s="92" t="inlineStr"/>
      <c r="G192" s="92" t="inlineStr"/>
      <c r="H192" s="92" t="n">
        <v>3</v>
      </c>
      <c r="I192" s="92" t="n">
        <v>5</v>
      </c>
      <c r="J192" s="92">
        <f>IF(AND(ISNUMBER(H192),ISNUMBER(I192),I192&gt;0),H192/I192,"")</f>
        <v>0.6</v>
      </c>
      <c r="K192" s="92" t="inlineStr">
        <is>
          <t>پنجره مشترک</t>
        </is>
      </c>
      <c r="L192" s="92" t="inlineStr">
        <is>
          <t>1403/12/29</t>
        </is>
      </c>
      <c r="M192" s="92" t="inlineStr">
        <is>
          <t>1404/12/29</t>
        </is>
      </c>
      <c r="N192" s="92" t="inlineStr">
        <is>
          <t>بله</t>
        </is>
      </c>
      <c r="O192" s="92" t="inlineStr">
        <is>
          <t>کامل</t>
        </is>
      </c>
      <c r="P192" s="92" t="inlineStr">
        <is>
          <t>تایید جزئی</t>
        </is>
      </c>
      <c r="Q192" s="92" t="inlineStr">
        <is>
          <t>3 از 5</t>
        </is>
      </c>
      <c r="R192" s="92" t="inlineStr"/>
      <c r="S192" s="92" t="inlineStr">
        <is>
          <t>هر دو فهرست اسمی کامل؛ هویت ها با نام یکسان سازی شده در همان شرکت مطابقت داده شد؛ حساسیت ثبت شده در Five Cases و Snapshot Members</t>
        </is>
      </c>
      <c r="T192" s="92" t="inlineStr">
        <is>
          <t>Snapshot Members v42؛ Person Flows v42</t>
        </is>
      </c>
    </row>
    <row r="193" ht="44" customHeight="1" s="76">
      <c r="A193" s="92" t="inlineStr">
        <is>
          <t>پارسان</t>
        </is>
      </c>
      <c r="B193" s="92" t="inlineStr">
        <is>
          <t>UPF1</t>
        </is>
      </c>
      <c r="C193" s="92" t="inlineStr">
        <is>
          <t>افراد یکتا در نمای مالی (FY1403 تا FY1404)</t>
        </is>
      </c>
      <c r="D193" s="92" t="inlineStr">
        <is>
          <t>جدید؛ نمای مالی</t>
        </is>
      </c>
      <c r="E193" s="92" t="inlineStr">
        <is>
          <t>همان سه نسبت UPX1 و UPN1 و UPR1 ولی بین پایان FY1403 و FY1404 هر شرکت؛ فقط با دو فهرست کامل معتبر</t>
        </is>
      </c>
      <c r="F193" s="92" t="inlineStr"/>
      <c r="G193" s="92" t="inlineStr"/>
      <c r="H193" s="92" t="inlineStr"/>
      <c r="I193" s="92" t="inlineStr"/>
      <c r="J193" s="92" t="str">
        <f>IF(AND(ISNUMBER(H193),ISNUMBER(I193),I193&gt;0),H193/I193,"")</f>
        <v/>
      </c>
      <c r="K193" s="92" t="inlineStr">
        <is>
          <t>نمای مالی</t>
        </is>
      </c>
      <c r="L193" s="92" t="inlineStr">
        <is>
          <t>1403/06/31</t>
        </is>
      </c>
      <c r="M193" s="92" t="inlineStr">
        <is>
          <t>1404/06/31</t>
        </is>
      </c>
      <c r="N193" s="92" t="inlineStr">
        <is>
          <t>بله</t>
        </is>
      </c>
      <c r="O193" s="92" t="inlineStr">
        <is>
          <t>ناکافی</t>
        </is>
      </c>
      <c r="P193" s="92" t="inlineStr">
        <is>
          <t>هنوز بررسی نشده</t>
        </is>
      </c>
      <c r="Q193" s="92" t="inlineStr"/>
      <c r="R193" s="92" t="inlineStr"/>
      <c r="S193" s="92" t="inlineStr">
        <is>
          <t>فهرست اسمی پایان FY1403 در فایل نیست؛ نتیجه نمای مالی نامشخص ماند و عدد پنجره مشترک جای آن نیامد</t>
        </is>
      </c>
      <c r="T193" s="92" t="inlineStr">
        <is>
          <t>Scope v42</t>
        </is>
      </c>
    </row>
    <row r="194" ht="48" customHeight="1" s="76">
      <c r="A194" s="92" t="inlineStr">
        <is>
          <t>اخابر</t>
        </is>
      </c>
      <c r="B194" s="92" t="inlineStr">
        <is>
          <t>REF05</t>
        </is>
      </c>
      <c r="C194" s="92" t="inlineStr">
        <is>
          <t>گردش فردی مبتنی بر کرسی</t>
        </is>
      </c>
      <c r="D194" s="92" t="inlineStr">
        <is>
          <t>قدیمی؛ تعریف حفظ شده</t>
        </is>
      </c>
      <c r="E194" s="92" t="inlineStr">
        <is>
          <t>صورت: کرسی های قابل مقایسه که شخص نامبرده در دو مقطع فرق دارد؛ مخرج: کرسی های قابل مقایسه (مبنای نامبرده). کرسی حقیقی مستقیم در سطح فرد</t>
        </is>
      </c>
      <c r="F194" s="92" t="n">
        <v>1</v>
      </c>
      <c r="G194" s="92" t="n">
        <v>5</v>
      </c>
      <c r="H194" s="92" t="n">
        <v>1</v>
      </c>
      <c r="I194" s="92" t="n">
        <v>5</v>
      </c>
      <c r="J194" s="92">
        <f>IF(AND(ISNUMBER(H194),ISNUMBER(I194),I194&gt;0),H194/I194,"")</f>
        <v>0.2</v>
      </c>
      <c r="K194" s="92" t="inlineStr">
        <is>
          <t>پنجره مشترک</t>
        </is>
      </c>
      <c r="L194" s="92" t="inlineStr">
        <is>
          <t>1403/12/29</t>
        </is>
      </c>
      <c r="M194" s="92" t="inlineStr">
        <is>
          <t>1404/12/29</t>
        </is>
      </c>
      <c r="N194" s="92" t="inlineStr">
        <is>
          <t>بله</t>
        </is>
      </c>
      <c r="O194" s="92" t="inlineStr">
        <is>
          <t>کامل ارثی</t>
        </is>
      </c>
      <c r="P194" s="92" t="inlineStr">
        <is>
          <t>تایید جزئی</t>
        </is>
      </c>
      <c r="Q194" s="92" t="inlineStr"/>
      <c r="R194" s="92" t="inlineStr">
        <is>
          <t>بازتولید ممکن نشد</t>
        </is>
      </c>
      <c r="S194" s="92" t="inlineStr">
        <is>
          <t>ارثی از مستر؛ فهرست اسمی دو مقطع در دسترس نیست و بازتولید اسمی ممکن نشد</t>
        </is>
      </c>
      <c r="T194" s="92" t="inlineStr">
        <is>
          <t>Turnover نهایی G23 و H23</t>
        </is>
      </c>
    </row>
    <row r="195" ht="48" customHeight="1" s="76">
      <c r="A195" s="92" t="inlineStr">
        <is>
          <t>اخابر</t>
        </is>
      </c>
      <c r="B195" s="92" t="inlineStr">
        <is>
          <t>REF08</t>
        </is>
      </c>
      <c r="C195" s="92" t="inlineStr">
        <is>
          <t>تغییر نماینده با شخص حقوقی ثابت</t>
        </is>
      </c>
      <c r="D195" s="92" t="inlineStr">
        <is>
          <t>قدیمی؛ تعریف حفظ شده</t>
        </is>
      </c>
      <c r="E195" s="92" t="inlineStr">
        <is>
          <t>صورت: کرسی با همان شخص حقوقی که نماینده فرق دارد؛ مخرج: کرسی های با همان شخص حقوقی و نماینده معلوم در هر دو مقطع</t>
        </is>
      </c>
      <c r="F195" s="92" t="n">
        <v>1</v>
      </c>
      <c r="G195" s="92" t="n">
        <v>3</v>
      </c>
      <c r="H195" s="92" t="n">
        <v>1</v>
      </c>
      <c r="I195" s="92" t="n">
        <v>3</v>
      </c>
      <c r="J195" s="92">
        <f>IF(AND(ISNUMBER(H195),ISNUMBER(I195),I195&gt;0),H195/I195,"")</f>
        <v>0.3333333333333333</v>
      </c>
      <c r="K195" s="92" t="inlineStr">
        <is>
          <t>پنجره مشترک</t>
        </is>
      </c>
      <c r="L195" s="92" t="inlineStr">
        <is>
          <t>1403/12/29</t>
        </is>
      </c>
      <c r="M195" s="92" t="inlineStr">
        <is>
          <t>1404/12/29</t>
        </is>
      </c>
      <c r="N195" s="92" t="inlineStr">
        <is>
          <t>بله</t>
        </is>
      </c>
      <c r="O195" s="92" t="inlineStr">
        <is>
          <t>کامل ارثی</t>
        </is>
      </c>
      <c r="P195" s="92" t="inlineStr">
        <is>
          <t>تایید جزئی</t>
        </is>
      </c>
      <c r="Q195" s="92" t="inlineStr"/>
      <c r="R195" s="92" t="inlineStr">
        <is>
          <t>بازتولید ممکن نشد</t>
        </is>
      </c>
      <c r="S195" s="92" t="inlineStr">
        <is>
          <t>ارثی از مستر؛ فهرست اسمی دو مقطع در دسترس نیست و بازتولید اسمی ممکن نشد</t>
        </is>
      </c>
      <c r="T195" s="92" t="inlineStr">
        <is>
          <t>Turnover نهایی J23 و K23</t>
        </is>
      </c>
    </row>
    <row r="196" ht="48" customHeight="1" s="76">
      <c r="A196" s="92" t="inlineStr">
        <is>
          <t>اخابر</t>
        </is>
      </c>
      <c r="B196" s="92" t="inlineStr">
        <is>
          <t>ROB_LEGAL</t>
        </is>
      </c>
      <c r="C196" s="92" t="inlineStr">
        <is>
          <t>تغییر شخص حقوقی دارنده کرسی</t>
        </is>
      </c>
      <c r="D196" s="92" t="inlineStr">
        <is>
          <t>قدیمی؛ تعریف حفظ شده</t>
        </is>
      </c>
      <c r="E196" s="92" t="inlineStr">
        <is>
          <t>صورت: کرسی هایی که شخص حقوقی دارنده فرق دارد؛ مخرج: کرسی های موجود در هر دو مقطع</t>
        </is>
      </c>
      <c r="F196" s="92" t="n">
        <v>2</v>
      </c>
      <c r="G196" s="92" t="n">
        <v>5</v>
      </c>
      <c r="H196" s="92" t="n">
        <v>2</v>
      </c>
      <c r="I196" s="92" t="n">
        <v>5</v>
      </c>
      <c r="J196" s="92">
        <f>IF(AND(ISNUMBER(H196),ISNUMBER(I196),I196&gt;0),H196/I196,"")</f>
        <v>0.4</v>
      </c>
      <c r="K196" s="92" t="inlineStr">
        <is>
          <t>پنجره مشترک</t>
        </is>
      </c>
      <c r="L196" s="92" t="inlineStr">
        <is>
          <t>1403/12/29</t>
        </is>
      </c>
      <c r="M196" s="92" t="inlineStr">
        <is>
          <t>1404/12/29</t>
        </is>
      </c>
      <c r="N196" s="92" t="inlineStr">
        <is>
          <t>بله</t>
        </is>
      </c>
      <c r="O196" s="92" t="inlineStr">
        <is>
          <t>کامل ارثی</t>
        </is>
      </c>
      <c r="P196" s="92" t="inlineStr">
        <is>
          <t>تایید جزئی</t>
        </is>
      </c>
      <c r="Q196" s="92" t="inlineStr"/>
      <c r="R196" s="92" t="inlineStr">
        <is>
          <t>بازتولید ممکن نشد</t>
        </is>
      </c>
      <c r="S196" s="92" t="inlineStr">
        <is>
          <t>ارثی از مستر؛ فهرست اسمی دو مقطع در دسترس نیست و بازتولید اسمی ممکن نشد</t>
        </is>
      </c>
      <c r="T196" s="92" t="inlineStr">
        <is>
          <t>Turnover نهایی M23 و N23</t>
        </is>
      </c>
    </row>
    <row r="197" ht="48" customHeight="1" s="76">
      <c r="A197" s="92" t="inlineStr">
        <is>
          <t>اخابر</t>
        </is>
      </c>
      <c r="B197" s="92" t="inlineStr">
        <is>
          <t>ROB_NEW</t>
        </is>
      </c>
      <c r="C197" s="92" t="inlineStr">
        <is>
          <t>سهم اعضای جدید</t>
        </is>
      </c>
      <c r="D197" s="92" t="inlineStr">
        <is>
          <t>قدیمی؛ تعریف حفظ شده</t>
        </is>
      </c>
      <c r="E197" s="92" t="inlineStr">
        <is>
          <t>صورت: افراد پایان که در مبنا نبودند؛ مخرج: افراد پایان</t>
        </is>
      </c>
      <c r="F197" s="92" t="n">
        <v>1</v>
      </c>
      <c r="G197" s="92" t="n">
        <v>5</v>
      </c>
      <c r="H197" s="92" t="n">
        <v>1</v>
      </c>
      <c r="I197" s="92" t="n">
        <v>5</v>
      </c>
      <c r="J197" s="92">
        <f>IF(AND(ISNUMBER(H197),ISNUMBER(I197),I197&gt;0),H197/I197,"")</f>
        <v>0.2</v>
      </c>
      <c r="K197" s="92" t="inlineStr">
        <is>
          <t>پنجره مشترک</t>
        </is>
      </c>
      <c r="L197" s="92" t="inlineStr">
        <is>
          <t>1403/12/29</t>
        </is>
      </c>
      <c r="M197" s="92" t="inlineStr">
        <is>
          <t>1404/12/29</t>
        </is>
      </c>
      <c r="N197" s="92" t="inlineStr">
        <is>
          <t>بله</t>
        </is>
      </c>
      <c r="O197" s="92" t="inlineStr">
        <is>
          <t>کامل ارثی</t>
        </is>
      </c>
      <c r="P197" s="92" t="inlineStr">
        <is>
          <t>تایید جزئی</t>
        </is>
      </c>
      <c r="Q197" s="92" t="inlineStr"/>
      <c r="R197" s="92" t="inlineStr">
        <is>
          <t>بازتولید ممکن نشد</t>
        </is>
      </c>
      <c r="S197" s="92" t="inlineStr">
        <is>
          <t>ارثی از مستر؛ فهرست اسمی دو مقطع در دسترس نیست و بازتولید اسمی ممکن نشد</t>
        </is>
      </c>
      <c r="T197" s="92" t="inlineStr">
        <is>
          <t>Turnover نهایی P23 و Q23</t>
        </is>
      </c>
    </row>
    <row r="198" ht="48" customHeight="1" s="76">
      <c r="A198" s="92" t="inlineStr">
        <is>
          <t>اخابر</t>
        </is>
      </c>
      <c r="B198" s="92" t="inlineStr">
        <is>
          <t>ROB_STABILITY</t>
        </is>
      </c>
      <c r="C198" s="92" t="inlineStr">
        <is>
          <t>ثبات کرسی با همان شخص</t>
        </is>
      </c>
      <c r="D198" s="92" t="inlineStr">
        <is>
          <t>قدیمی؛ تعریف حفظ شده</t>
        </is>
      </c>
      <c r="E198" s="92" t="inlineStr">
        <is>
          <t>صورت: کرسی های قابل مقایسه با همان شخص؛ مخرج: کرسی های قابل مقایسه</t>
        </is>
      </c>
      <c r="F198" s="92" t="n">
        <v>4</v>
      </c>
      <c r="G198" s="92" t="n">
        <v>5</v>
      </c>
      <c r="H198" s="92" t="n">
        <v>4</v>
      </c>
      <c r="I198" s="92" t="n">
        <v>5</v>
      </c>
      <c r="J198" s="92">
        <f>IF(AND(ISNUMBER(H198),ISNUMBER(I198),I198&gt;0),H198/I198,"")</f>
        <v>0.8</v>
      </c>
      <c r="K198" s="92" t="inlineStr">
        <is>
          <t>پنجره مشترک</t>
        </is>
      </c>
      <c r="L198" s="92" t="inlineStr">
        <is>
          <t>1403/12/29</t>
        </is>
      </c>
      <c r="M198" s="92" t="inlineStr">
        <is>
          <t>1404/12/29</t>
        </is>
      </c>
      <c r="N198" s="92" t="inlineStr">
        <is>
          <t>بله</t>
        </is>
      </c>
      <c r="O198" s="92" t="inlineStr">
        <is>
          <t>کامل ارثی</t>
        </is>
      </c>
      <c r="P198" s="92" t="inlineStr">
        <is>
          <t>تایید جزئی</t>
        </is>
      </c>
      <c r="Q198" s="92" t="inlineStr"/>
      <c r="R198" s="92" t="inlineStr">
        <is>
          <t>بازتولید ممکن نشد</t>
        </is>
      </c>
      <c r="S198" s="92" t="inlineStr">
        <is>
          <t>ارثی از مستر؛ فهرست اسمی دو مقطع در دسترس نیست و بازتولید اسمی ممکن نشد</t>
        </is>
      </c>
      <c r="T198" s="92" t="inlineStr">
        <is>
          <t>Turnover نهایی S23 و T23</t>
        </is>
      </c>
    </row>
    <row r="199" ht="48" customHeight="1" s="76">
      <c r="A199" s="92" t="inlineStr">
        <is>
          <t>اخابر</t>
        </is>
      </c>
      <c r="B199" s="92" t="inlineStr">
        <is>
          <t>CR1A</t>
        </is>
      </c>
      <c r="C199" s="92" t="inlineStr">
        <is>
          <t>تغییر رئیس هیئت مدیره بین دو مقطع</t>
        </is>
      </c>
      <c r="D199" s="92" t="inlineStr">
        <is>
          <t>قدیمی؛ تعریف حفظ شده</t>
        </is>
      </c>
      <c r="E199" s="92" t="inlineStr">
        <is>
          <t>صورت: 1 اگر هویت رئیس در دو مقطع فرق دارد؛ مخرج: 1. جدا از تعداد رویدادهای میانی</t>
        </is>
      </c>
      <c r="F199" s="92" t="n">
        <v>0</v>
      </c>
      <c r="G199" s="92" t="n">
        <v>1</v>
      </c>
      <c r="H199" s="92" t="n">
        <v>0</v>
      </c>
      <c r="I199" s="92" t="n">
        <v>1</v>
      </c>
      <c r="J199" s="92">
        <f>IF(AND(ISNUMBER(H199),ISNUMBER(I199),I199&gt;0),H199/I199,"")</f>
        <v>0.0</v>
      </c>
      <c r="K199" s="92" t="inlineStr">
        <is>
          <t>پنجره مشترک</t>
        </is>
      </c>
      <c r="L199" s="92" t="inlineStr">
        <is>
          <t>1403/12/29</t>
        </is>
      </c>
      <c r="M199" s="92" t="inlineStr">
        <is>
          <t>1404/12/29</t>
        </is>
      </c>
      <c r="N199" s="92" t="inlineStr">
        <is>
          <t>بله</t>
        </is>
      </c>
      <c r="O199" s="92" t="inlineStr">
        <is>
          <t>کامل ارثی</t>
        </is>
      </c>
      <c r="P199" s="92" t="inlineStr">
        <is>
          <t>تایید جزئی</t>
        </is>
      </c>
      <c r="Q199" s="92" t="inlineStr"/>
      <c r="R199" s="92" t="inlineStr">
        <is>
          <t>بازتولید ممکن نشد</t>
        </is>
      </c>
      <c r="S199" s="92" t="inlineStr">
        <is>
          <t>ارثی از CR1A v39 (INHERITED_WITH_LIMITATION)؛ تایید مجدد مستقل همه منابع انجام نشد</t>
        </is>
      </c>
      <c r="T199" s="92" t="inlineStr">
        <is>
          <t>Turnover نهایی V23؛ CR1A v39 ردیف 23</t>
        </is>
      </c>
    </row>
    <row r="200" ht="44" customHeight="1" s="76">
      <c r="A200" s="93" t="inlineStr">
        <is>
          <t>اخابر</t>
        </is>
      </c>
      <c r="B200" s="93" t="inlineStr">
        <is>
          <t>UPX1</t>
        </is>
      </c>
      <c r="C200" s="93" t="inlineStr">
        <is>
          <t>نرخ خروج افراد یکتا</t>
        </is>
      </c>
      <c r="D200" s="93" t="inlineStr">
        <is>
          <t>جدید؛ کد غیرمتداخل</t>
        </is>
      </c>
      <c r="E200" s="93" t="inlineStr">
        <is>
          <t>صورت: افراد حاضر در مبنا و غایب در پایان؛ مخرج: اعضای فعال مبنا</t>
        </is>
      </c>
      <c r="F200" s="93" t="inlineStr"/>
      <c r="G200" s="93" t="inlineStr"/>
      <c r="H200" s="93" t="inlineStr"/>
      <c r="I200" s="93" t="inlineStr"/>
      <c r="J200" s="93" t="str">
        <f>IF(AND(ISNUMBER(H200),ISNUMBER(I200),I200&gt;0),H200/I200,"")</f>
        <v/>
      </c>
      <c r="K200" s="93" t="inlineStr">
        <is>
          <t>پنجره مشترک</t>
        </is>
      </c>
      <c r="L200" s="93" t="inlineStr">
        <is>
          <t>1403/12/29</t>
        </is>
      </c>
      <c r="M200" s="93" t="inlineStr">
        <is>
          <t>1404/12/29</t>
        </is>
      </c>
      <c r="N200" s="93" t="inlineStr">
        <is>
          <t>بله</t>
        </is>
      </c>
      <c r="O200" s="93" t="inlineStr">
        <is>
          <t>ناکافی</t>
        </is>
      </c>
      <c r="P200" s="93" t="inlineStr">
        <is>
          <t>منبع در دسترس نبود</t>
        </is>
      </c>
      <c r="Q200" s="93" t="inlineStr"/>
      <c r="R200" s="93" t="inlineStr"/>
      <c r="S200" s="93" t="inlineStr">
        <is>
          <t>فهرست اسمی مبنا در بسته شواهد v41 است که در این جلسه ارائه نشد؛ شمار تجمیعی مستر برای افراد یکتا کافی نیست</t>
        </is>
      </c>
      <c r="T200" s="93" t="inlineStr">
        <is>
          <t>Snapshot Members v42؛ Person Flows v42</t>
        </is>
      </c>
    </row>
    <row r="201" ht="44" customHeight="1" s="76">
      <c r="A201" s="93" t="inlineStr">
        <is>
          <t>اخابر</t>
        </is>
      </c>
      <c r="B201" s="93" t="inlineStr">
        <is>
          <t>UPN1</t>
        </is>
      </c>
      <c r="C201" s="93" t="inlineStr">
        <is>
          <t>سهم افراد واردشده</t>
        </is>
      </c>
      <c r="D201" s="93" t="inlineStr">
        <is>
          <t>جدید؛ کد غیرمتداخل</t>
        </is>
      </c>
      <c r="E201" s="93" t="inlineStr">
        <is>
          <t>صورت: افراد حاضر در پایان و غایب در مبنا؛ مخرج: اعضای فعال پایان</t>
        </is>
      </c>
      <c r="F201" s="93" t="inlineStr"/>
      <c r="G201" s="93" t="inlineStr"/>
      <c r="H201" s="93" t="inlineStr"/>
      <c r="I201" s="93" t="inlineStr"/>
      <c r="J201" s="93" t="str">
        <f>IF(AND(ISNUMBER(H201),ISNUMBER(I201),I201&gt;0),H201/I201,"")</f>
        <v/>
      </c>
      <c r="K201" s="93" t="inlineStr">
        <is>
          <t>پنجره مشترک</t>
        </is>
      </c>
      <c r="L201" s="93" t="inlineStr">
        <is>
          <t>1403/12/29</t>
        </is>
      </c>
      <c r="M201" s="93" t="inlineStr">
        <is>
          <t>1404/12/29</t>
        </is>
      </c>
      <c r="N201" s="93" t="inlineStr">
        <is>
          <t>بله</t>
        </is>
      </c>
      <c r="O201" s="93" t="inlineStr">
        <is>
          <t>ناکافی</t>
        </is>
      </c>
      <c r="P201" s="93" t="inlineStr">
        <is>
          <t>منبع در دسترس نبود</t>
        </is>
      </c>
      <c r="Q201" s="93" t="inlineStr"/>
      <c r="R201" s="93" t="inlineStr"/>
      <c r="S201" s="93" t="inlineStr">
        <is>
          <t>فهرست اسمی مبنا در بسته شواهد v41 است که در این جلسه ارائه نشد؛ شمار تجمیعی مستر برای افراد یکتا کافی نیست</t>
        </is>
      </c>
      <c r="T201" s="93" t="inlineStr">
        <is>
          <t>Snapshot Members v42؛ Person Flows v42</t>
        </is>
      </c>
    </row>
    <row r="202" ht="44" customHeight="1" s="76">
      <c r="A202" s="93" t="inlineStr">
        <is>
          <t>اخابر</t>
        </is>
      </c>
      <c r="B202" s="93" t="inlineStr">
        <is>
          <t>UPR1</t>
        </is>
      </c>
      <c r="C202" s="93" t="inlineStr">
        <is>
          <t>نرخ ماندگاری افراد یکتا</t>
        </is>
      </c>
      <c r="D202" s="93" t="inlineStr">
        <is>
          <t>جدید؛ کد غیرمتداخل</t>
        </is>
      </c>
      <c r="E202" s="93" t="inlineStr">
        <is>
          <t>صورت: افراد حاضر در هر دو مقطع؛ مخرج: اعضای فعال مبنا</t>
        </is>
      </c>
      <c r="F202" s="93" t="inlineStr"/>
      <c r="G202" s="93" t="inlineStr"/>
      <c r="H202" s="93" t="inlineStr"/>
      <c r="I202" s="93" t="inlineStr"/>
      <c r="J202" s="93" t="str">
        <f>IF(AND(ISNUMBER(H202),ISNUMBER(I202),I202&gt;0),H202/I202,"")</f>
        <v/>
      </c>
      <c r="K202" s="93" t="inlineStr">
        <is>
          <t>پنجره مشترک</t>
        </is>
      </c>
      <c r="L202" s="93" t="inlineStr">
        <is>
          <t>1403/12/29</t>
        </is>
      </c>
      <c r="M202" s="93" t="inlineStr">
        <is>
          <t>1404/12/29</t>
        </is>
      </c>
      <c r="N202" s="93" t="inlineStr">
        <is>
          <t>بله</t>
        </is>
      </c>
      <c r="O202" s="93" t="inlineStr">
        <is>
          <t>ناکافی</t>
        </is>
      </c>
      <c r="P202" s="93" t="inlineStr">
        <is>
          <t>منبع در دسترس نبود</t>
        </is>
      </c>
      <c r="Q202" s="93" t="inlineStr"/>
      <c r="R202" s="93" t="inlineStr"/>
      <c r="S202" s="93" t="inlineStr">
        <is>
          <t>فهرست اسمی مبنا در بسته شواهد v41 است که در این جلسه ارائه نشد؛ شمار تجمیعی مستر برای افراد یکتا کافی نیست</t>
        </is>
      </c>
      <c r="T202" s="93" t="inlineStr">
        <is>
          <t>Snapshot Members v42؛ Person Flows v42</t>
        </is>
      </c>
    </row>
    <row r="203" ht="44" customHeight="1" s="76">
      <c r="A203" s="92" t="inlineStr">
        <is>
          <t>اخابر</t>
        </is>
      </c>
      <c r="B203" s="92" t="inlineStr">
        <is>
          <t>UPF1</t>
        </is>
      </c>
      <c r="C203" s="92" t="inlineStr">
        <is>
          <t>افراد یکتا در نمای مالی (FY1403 تا FY1404)</t>
        </is>
      </c>
      <c r="D203" s="92" t="inlineStr">
        <is>
          <t>جدید؛ نمای مالی</t>
        </is>
      </c>
      <c r="E203" s="92" t="inlineStr">
        <is>
          <t>همان سه نسبت UPX1 و UPN1 و UPR1 ولی بین پایان FY1403 و FY1404 هر شرکت؛ فقط با دو فهرست کامل معتبر</t>
        </is>
      </c>
      <c r="F203" s="92" t="inlineStr"/>
      <c r="G203" s="92" t="inlineStr"/>
      <c r="H203" s="92" t="inlineStr"/>
      <c r="I203" s="92" t="inlineStr"/>
      <c r="J203" s="92" t="str">
        <f>IF(AND(ISNUMBER(H203),ISNUMBER(I203),I203&gt;0),H203/I203,"")</f>
        <v/>
      </c>
      <c r="K203" s="92" t="inlineStr">
        <is>
          <t>نمای مالی</t>
        </is>
      </c>
      <c r="L203" s="92" t="inlineStr">
        <is>
          <t>1403/12/30</t>
        </is>
      </c>
      <c r="M203" s="92" t="inlineStr">
        <is>
          <t>1404/12/29</t>
        </is>
      </c>
      <c r="N203" s="92" t="inlineStr">
        <is>
          <t>بله</t>
        </is>
      </c>
      <c r="O203" s="92" t="inlineStr">
        <is>
          <t>ناکافی</t>
        </is>
      </c>
      <c r="P203" s="92" t="inlineStr">
        <is>
          <t>هنوز بررسی نشده</t>
        </is>
      </c>
      <c r="Q203" s="92" t="inlineStr"/>
      <c r="R203" s="92" t="inlineStr"/>
      <c r="S203" s="92" t="inlineStr">
        <is>
          <t>فهرست اسمی پایان FY1403 در فایل نیست؛ نتیجه نمای مالی نامشخص ماند و عدد پنجره مشترک جای آن نیامد</t>
        </is>
      </c>
      <c r="T203" s="92" t="inlineStr">
        <is>
          <t>Scope v42</t>
        </is>
      </c>
    </row>
    <row r="204" ht="48" customHeight="1" s="76">
      <c r="A204" s="92" t="inlineStr">
        <is>
          <t>جم</t>
        </is>
      </c>
      <c r="B204" s="92" t="inlineStr">
        <is>
          <t>REF05</t>
        </is>
      </c>
      <c r="C204" s="92" t="inlineStr">
        <is>
          <t>گردش فردی مبتنی بر کرسی</t>
        </is>
      </c>
      <c r="D204" s="92" t="inlineStr">
        <is>
          <t>قدیمی؛ تعریف حفظ شده</t>
        </is>
      </c>
      <c r="E204" s="92" t="inlineStr">
        <is>
          <t>صورت: کرسی های قابل مقایسه که شخص نامبرده در دو مقطع فرق دارد؛ مخرج: کرسی های قابل مقایسه (مبنای نامبرده). کرسی حقیقی مستقیم در سطح فرد</t>
        </is>
      </c>
      <c r="F204" s="92" t="n">
        <v>2</v>
      </c>
      <c r="G204" s="92" t="n">
        <v>5</v>
      </c>
      <c r="H204" s="92" t="n">
        <v>2</v>
      </c>
      <c r="I204" s="92" t="n">
        <v>5</v>
      </c>
      <c r="J204" s="92">
        <f>IF(AND(ISNUMBER(H204),ISNUMBER(I204),I204&gt;0),H204/I204,"")</f>
        <v>0.4</v>
      </c>
      <c r="K204" s="92" t="inlineStr">
        <is>
          <t>پنجره مشترک</t>
        </is>
      </c>
      <c r="L204" s="92" t="inlineStr">
        <is>
          <t>1403/12/29</t>
        </is>
      </c>
      <c r="M204" s="92" t="inlineStr">
        <is>
          <t>1404/12/29</t>
        </is>
      </c>
      <c r="N204" s="92" t="inlineStr">
        <is>
          <t>بله</t>
        </is>
      </c>
      <c r="O204" s="92" t="inlineStr">
        <is>
          <t>کامل</t>
        </is>
      </c>
      <c r="P204" s="92" t="inlineStr">
        <is>
          <t>تایید جزئی</t>
        </is>
      </c>
      <c r="Q204" s="92" t="inlineStr">
        <is>
          <t>2 از 5</t>
        </is>
      </c>
      <c r="R204" s="92" t="inlineStr">
        <is>
          <t>برابر</t>
        </is>
      </c>
      <c r="S204" s="92" t="inlineStr">
        <is>
          <t>بازتولید با تعریف تاریخی از بازسازی سطح کرسی v38؛ سند اصلی در این جلسه بازدریافت نشد؛ حساسیت: فهرست پایان از اطلاعیه ۱۵۲۷۳۸۹ با جلسه موثر ۱۴۰۴/۱۲/۲۵ و انتشار ۱۴۰۵/۰۲/۲۹ (پس از Cutoff)؛ تاریخ موثر صریح است اما با مبنای انتشار معینی و ت</t>
        </is>
      </c>
      <c r="T204" s="92" t="inlineStr">
        <is>
          <t>Turnover نهایی G24 و H24</t>
        </is>
      </c>
    </row>
    <row r="205" ht="48" customHeight="1" s="76">
      <c r="A205" s="92" t="inlineStr">
        <is>
          <t>جم</t>
        </is>
      </c>
      <c r="B205" s="92" t="inlineStr">
        <is>
          <t>REF08</t>
        </is>
      </c>
      <c r="C205" s="92" t="inlineStr">
        <is>
          <t>تغییر نماینده با شخص حقوقی ثابت</t>
        </is>
      </c>
      <c r="D205" s="92" t="inlineStr">
        <is>
          <t>قدیمی؛ تعریف حفظ شده</t>
        </is>
      </c>
      <c r="E205" s="92" t="inlineStr">
        <is>
          <t>صورت: کرسی با همان شخص حقوقی که نماینده فرق دارد؛ مخرج: کرسی های با همان شخص حقوقی و نماینده معلوم در هر دو مقطع</t>
        </is>
      </c>
      <c r="F205" s="92" t="n">
        <v>2</v>
      </c>
      <c r="G205" s="92" t="n">
        <v>4</v>
      </c>
      <c r="H205" s="92" t="n">
        <v>2</v>
      </c>
      <c r="I205" s="92" t="n">
        <v>4</v>
      </c>
      <c r="J205" s="92">
        <f>IF(AND(ISNUMBER(H205),ISNUMBER(I205),I205&gt;0),H205/I205,"")</f>
        <v>0.5</v>
      </c>
      <c r="K205" s="92" t="inlineStr">
        <is>
          <t>پنجره مشترک</t>
        </is>
      </c>
      <c r="L205" s="92" t="inlineStr">
        <is>
          <t>1403/12/29</t>
        </is>
      </c>
      <c r="M205" s="92" t="inlineStr">
        <is>
          <t>1404/12/29</t>
        </is>
      </c>
      <c r="N205" s="92" t="inlineStr">
        <is>
          <t>بله</t>
        </is>
      </c>
      <c r="O205" s="92" t="inlineStr">
        <is>
          <t>کامل</t>
        </is>
      </c>
      <c r="P205" s="92" t="inlineStr">
        <is>
          <t>تایید جزئی</t>
        </is>
      </c>
      <c r="Q205" s="92" t="inlineStr">
        <is>
          <t>2 از 4</t>
        </is>
      </c>
      <c r="R205" s="92" t="inlineStr">
        <is>
          <t>برابر</t>
        </is>
      </c>
      <c r="S205" s="92" t="inlineStr">
        <is>
          <t>بازتولید با تعریف تاریخی از بازسازی سطح کرسی v38؛ سند اصلی در این جلسه بازدریافت نشد؛ حساسیت: فهرست پایان از اطلاعیه ۱۵۲۷۳۸۹ با جلسه موثر ۱۴۰۴/۱۲/۲۵ و انتشار ۱۴۰۵/۰۲/۲۹ (پس از Cutoff)؛ تاریخ موثر صریح است اما با مبنای انتشار معینی و ت</t>
        </is>
      </c>
      <c r="T205" s="92" t="inlineStr">
        <is>
          <t>Turnover نهایی J24 و K24</t>
        </is>
      </c>
    </row>
    <row r="206" ht="48" customHeight="1" s="76">
      <c r="A206" s="92" t="inlineStr">
        <is>
          <t>جم</t>
        </is>
      </c>
      <c r="B206" s="92" t="inlineStr">
        <is>
          <t>ROB_LEGAL</t>
        </is>
      </c>
      <c r="C206" s="92" t="inlineStr">
        <is>
          <t>تغییر شخص حقوقی دارنده کرسی</t>
        </is>
      </c>
      <c r="D206" s="92" t="inlineStr">
        <is>
          <t>قدیمی؛ تعریف حفظ شده</t>
        </is>
      </c>
      <c r="E206" s="92" t="inlineStr">
        <is>
          <t>صورت: کرسی هایی که شخص حقوقی دارنده فرق دارد؛ مخرج: کرسی های موجود در هر دو مقطع</t>
        </is>
      </c>
      <c r="F206" s="92" t="n">
        <v>1</v>
      </c>
      <c r="G206" s="92" t="n">
        <v>5</v>
      </c>
      <c r="H206" s="92" t="n">
        <v>1</v>
      </c>
      <c r="I206" s="92" t="n">
        <v>5</v>
      </c>
      <c r="J206" s="92">
        <f>IF(AND(ISNUMBER(H206),ISNUMBER(I206),I206&gt;0),H206/I206,"")</f>
        <v>0.2</v>
      </c>
      <c r="K206" s="92" t="inlineStr">
        <is>
          <t>پنجره مشترک</t>
        </is>
      </c>
      <c r="L206" s="92" t="inlineStr">
        <is>
          <t>1403/12/29</t>
        </is>
      </c>
      <c r="M206" s="92" t="inlineStr">
        <is>
          <t>1404/12/29</t>
        </is>
      </c>
      <c r="N206" s="92" t="inlineStr">
        <is>
          <t>بله</t>
        </is>
      </c>
      <c r="O206" s="92" t="inlineStr">
        <is>
          <t>کامل</t>
        </is>
      </c>
      <c r="P206" s="92" t="inlineStr">
        <is>
          <t>تایید جزئی</t>
        </is>
      </c>
      <c r="Q206" s="92" t="inlineStr">
        <is>
          <t>1 از 5</t>
        </is>
      </c>
      <c r="R206" s="92" t="inlineStr">
        <is>
          <t>برابر</t>
        </is>
      </c>
      <c r="S206" s="92" t="inlineStr">
        <is>
          <t>بازتولید با تعریف تاریخی از بازسازی سطح کرسی v38؛ سند اصلی در این جلسه بازدریافت نشد؛ حساسیت: فهرست پایان از اطلاعیه ۱۵۲۷۳۸۹ با جلسه موثر ۱۴۰۴/۱۲/۲۵ و انتشار ۱۴۰۵/۰۲/۲۹ (پس از Cutoff)؛ تاریخ موثر صریح است اما با مبنای انتشار معینی و ت</t>
        </is>
      </c>
      <c r="T206" s="92" t="inlineStr">
        <is>
          <t>Turnover نهایی M24 و N24</t>
        </is>
      </c>
    </row>
    <row r="207" ht="48" customHeight="1" s="76">
      <c r="A207" s="92" t="inlineStr">
        <is>
          <t>جم</t>
        </is>
      </c>
      <c r="B207" s="92" t="inlineStr">
        <is>
          <t>ROB_NEW</t>
        </is>
      </c>
      <c r="C207" s="92" t="inlineStr">
        <is>
          <t>سهم اعضای جدید</t>
        </is>
      </c>
      <c r="D207" s="92" t="inlineStr">
        <is>
          <t>قدیمی؛ تعریف حفظ شده</t>
        </is>
      </c>
      <c r="E207" s="92" t="inlineStr">
        <is>
          <t>صورت: افراد پایان که در مبنا نبودند؛ مخرج: افراد پایان</t>
        </is>
      </c>
      <c r="F207" s="92" t="n">
        <v>1</v>
      </c>
      <c r="G207" s="92" t="n">
        <v>5</v>
      </c>
      <c r="H207" s="92" t="n">
        <v>1</v>
      </c>
      <c r="I207" s="92" t="n">
        <v>5</v>
      </c>
      <c r="J207" s="92">
        <f>IF(AND(ISNUMBER(H207),ISNUMBER(I207),I207&gt;0),H207/I207,"")</f>
        <v>0.2</v>
      </c>
      <c r="K207" s="92" t="inlineStr">
        <is>
          <t>پنجره مشترک</t>
        </is>
      </c>
      <c r="L207" s="92" t="inlineStr">
        <is>
          <t>1403/12/29</t>
        </is>
      </c>
      <c r="M207" s="92" t="inlineStr">
        <is>
          <t>1404/12/29</t>
        </is>
      </c>
      <c r="N207" s="92" t="inlineStr">
        <is>
          <t>بله</t>
        </is>
      </c>
      <c r="O207" s="92" t="inlineStr">
        <is>
          <t>کامل</t>
        </is>
      </c>
      <c r="P207" s="92" t="inlineStr">
        <is>
          <t>تایید جزئی</t>
        </is>
      </c>
      <c r="Q207" s="92" t="inlineStr">
        <is>
          <t>1 از 5</t>
        </is>
      </c>
      <c r="R207" s="92" t="inlineStr">
        <is>
          <t>برابر</t>
        </is>
      </c>
      <c r="S207" s="92" t="inlineStr">
        <is>
          <t>بازتولید با تعریف تاریخی از بازسازی سطح کرسی v38؛ سند اصلی در این جلسه بازدریافت نشد؛ حساسیت: فهرست پایان از اطلاعیه ۱۵۲۷۳۸۹ با جلسه موثر ۱۴۰۴/۱۲/۲۵ و انتشار ۱۴۰۵/۰۲/۲۹ (پس از Cutoff)؛ تاریخ موثر صریح است اما با مبنای انتشار معینی و ت</t>
        </is>
      </c>
      <c r="T207" s="92" t="inlineStr">
        <is>
          <t>Turnover نهایی P24 و Q24</t>
        </is>
      </c>
    </row>
    <row r="208" ht="48" customHeight="1" s="76">
      <c r="A208" s="92" t="inlineStr">
        <is>
          <t>جم</t>
        </is>
      </c>
      <c r="B208" s="92" t="inlineStr">
        <is>
          <t>ROB_STABILITY</t>
        </is>
      </c>
      <c r="C208" s="92" t="inlineStr">
        <is>
          <t>ثبات کرسی با همان شخص</t>
        </is>
      </c>
      <c r="D208" s="92" t="inlineStr">
        <is>
          <t>قدیمی؛ تعریف حفظ شده</t>
        </is>
      </c>
      <c r="E208" s="92" t="inlineStr">
        <is>
          <t>صورت: کرسی های قابل مقایسه با همان شخص؛ مخرج: کرسی های قابل مقایسه</t>
        </is>
      </c>
      <c r="F208" s="92" t="n">
        <v>3</v>
      </c>
      <c r="G208" s="92" t="n">
        <v>5</v>
      </c>
      <c r="H208" s="92" t="n">
        <v>3</v>
      </c>
      <c r="I208" s="92" t="n">
        <v>5</v>
      </c>
      <c r="J208" s="92">
        <f>IF(AND(ISNUMBER(H208),ISNUMBER(I208),I208&gt;0),H208/I208,"")</f>
        <v>0.6</v>
      </c>
      <c r="K208" s="92" t="inlineStr">
        <is>
          <t>پنجره مشترک</t>
        </is>
      </c>
      <c r="L208" s="92" t="inlineStr">
        <is>
          <t>1403/12/29</t>
        </is>
      </c>
      <c r="M208" s="92" t="inlineStr">
        <is>
          <t>1404/12/29</t>
        </is>
      </c>
      <c r="N208" s="92" t="inlineStr">
        <is>
          <t>بله</t>
        </is>
      </c>
      <c r="O208" s="92" t="inlineStr">
        <is>
          <t>کامل</t>
        </is>
      </c>
      <c r="P208" s="92" t="inlineStr">
        <is>
          <t>تایید جزئی</t>
        </is>
      </c>
      <c r="Q208" s="92" t="inlineStr">
        <is>
          <t>3 از 5</t>
        </is>
      </c>
      <c r="R208" s="92" t="inlineStr">
        <is>
          <t>برابر</t>
        </is>
      </c>
      <c r="S208" s="92" t="inlineStr">
        <is>
          <t>بازتولید با تعریف تاریخی از بازسازی سطح کرسی v38؛ سند اصلی در این جلسه بازدریافت نشد؛ حساسیت: فهرست پایان از اطلاعیه ۱۵۲۷۳۸۹ با جلسه موثر ۱۴۰۴/۱۲/۲۵ و انتشار ۱۴۰۵/۰۲/۲۹ (پس از Cutoff)؛ تاریخ موثر صریح است اما با مبنای انتشار معینی و ت</t>
        </is>
      </c>
      <c r="T208" s="92" t="inlineStr">
        <is>
          <t>Turnover نهایی S24 و T24</t>
        </is>
      </c>
    </row>
    <row r="209" ht="48" customHeight="1" s="76">
      <c r="A209" s="92" t="inlineStr">
        <is>
          <t>جم</t>
        </is>
      </c>
      <c r="B209" s="92" t="inlineStr">
        <is>
          <t>CR1A</t>
        </is>
      </c>
      <c r="C209" s="92" t="inlineStr">
        <is>
          <t>تغییر رئیس هیئت مدیره بین دو مقطع</t>
        </is>
      </c>
      <c r="D209" s="92" t="inlineStr">
        <is>
          <t>قدیمی؛ تعریف حفظ شده</t>
        </is>
      </c>
      <c r="E209" s="92" t="inlineStr">
        <is>
          <t>صورت: 1 اگر هویت رئیس در دو مقطع فرق دارد؛ مخرج: 1. جدا از تعداد رویدادهای میانی</t>
        </is>
      </c>
      <c r="F209" s="92" t="n">
        <v>1</v>
      </c>
      <c r="G209" s="92" t="n">
        <v>1</v>
      </c>
      <c r="H209" s="92" t="n">
        <v>1</v>
      </c>
      <c r="I209" s="92" t="n">
        <v>1</v>
      </c>
      <c r="J209" s="92">
        <f>IF(AND(ISNUMBER(H209),ISNUMBER(I209),I209&gt;0),H209/I209,"")</f>
        <v>1.0</v>
      </c>
      <c r="K209" s="92" t="inlineStr">
        <is>
          <t>پنجره مشترک</t>
        </is>
      </c>
      <c r="L209" s="92" t="inlineStr">
        <is>
          <t>1403/12/29</t>
        </is>
      </c>
      <c r="M209" s="92" t="inlineStr">
        <is>
          <t>1404/12/29</t>
        </is>
      </c>
      <c r="N209" s="92" t="inlineStr">
        <is>
          <t>بله</t>
        </is>
      </c>
      <c r="O209" s="92" t="inlineStr">
        <is>
          <t>کامل</t>
        </is>
      </c>
      <c r="P209" s="92" t="inlineStr">
        <is>
          <t>تایید جزئی</t>
        </is>
      </c>
      <c r="Q209" s="92" t="inlineStr">
        <is>
          <t>رئیس مبنا متین دیداری؛ رئیس پایان محمدسجاد سیاهکارزاده</t>
        </is>
      </c>
      <c r="R209" s="92" t="inlineStr">
        <is>
          <t>برابر</t>
        </is>
      </c>
      <c r="S209" s="92" t="inlineStr">
        <is>
          <t>مقایسه هویت رئیس در دو مقطع از بازسازی سطح کرسی v38؛ تعداد رویدادهای میانی جدا در Turnover Events v42</t>
        </is>
      </c>
      <c r="T209" s="92" t="inlineStr">
        <is>
          <t>Turnover نهایی V24؛ CR1A v39 ردیف 24</t>
        </is>
      </c>
    </row>
    <row r="210" ht="44" customHeight="1" s="76">
      <c r="A210" s="92" t="inlineStr">
        <is>
          <t>جم</t>
        </is>
      </c>
      <c r="B210" s="92" t="inlineStr">
        <is>
          <t>UPX1</t>
        </is>
      </c>
      <c r="C210" s="92" t="inlineStr">
        <is>
          <t>نرخ خروج افراد یکتا</t>
        </is>
      </c>
      <c r="D210" s="92" t="inlineStr">
        <is>
          <t>جدید؛ کد غیرمتداخل</t>
        </is>
      </c>
      <c r="E210" s="92" t="inlineStr">
        <is>
          <t>صورت: افراد حاضر در مبنا و غایب در پایان؛ مخرج: اعضای فعال مبنا</t>
        </is>
      </c>
      <c r="F210" s="92" t="inlineStr"/>
      <c r="G210" s="92" t="inlineStr"/>
      <c r="H210" s="92" t="n">
        <v>1</v>
      </c>
      <c r="I210" s="92" t="n">
        <v>5</v>
      </c>
      <c r="J210" s="92">
        <f>IF(AND(ISNUMBER(H210),ISNUMBER(I210),I210&gt;0),H210/I210,"")</f>
        <v>0.2</v>
      </c>
      <c r="K210" s="92" t="inlineStr">
        <is>
          <t>پنجره مشترک</t>
        </is>
      </c>
      <c r="L210" s="92" t="inlineStr">
        <is>
          <t>1403/12/29</t>
        </is>
      </c>
      <c r="M210" s="92" t="inlineStr">
        <is>
          <t>1404/12/29</t>
        </is>
      </c>
      <c r="N210" s="92" t="inlineStr">
        <is>
          <t>بله</t>
        </is>
      </c>
      <c r="O210" s="92" t="inlineStr">
        <is>
          <t>کامل</t>
        </is>
      </c>
      <c r="P210" s="92" t="inlineStr">
        <is>
          <t>تایید جزئی</t>
        </is>
      </c>
      <c r="Q210" s="92" t="inlineStr">
        <is>
          <t>1 از 5</t>
        </is>
      </c>
      <c r="R210" s="92" t="inlineStr"/>
      <c r="S210" s="92" t="inlineStr">
        <is>
          <t>هر دو فهرست اسمی کامل؛ هویت ها با نام یکسان سازی شده در همان شرکت مطابقت داده شد؛ حساسیت ثبت شده در Five Cases و Snapshot Members</t>
        </is>
      </c>
      <c r="T210" s="92" t="inlineStr">
        <is>
          <t>Snapshot Members v42؛ Person Flows v42</t>
        </is>
      </c>
    </row>
    <row r="211" ht="44" customHeight="1" s="76">
      <c r="A211" s="92" t="inlineStr">
        <is>
          <t>جم</t>
        </is>
      </c>
      <c r="B211" s="92" t="inlineStr">
        <is>
          <t>UPN1</t>
        </is>
      </c>
      <c r="C211" s="92" t="inlineStr">
        <is>
          <t>سهم افراد واردشده</t>
        </is>
      </c>
      <c r="D211" s="92" t="inlineStr">
        <is>
          <t>جدید؛ کد غیرمتداخل</t>
        </is>
      </c>
      <c r="E211" s="92" t="inlineStr">
        <is>
          <t>صورت: افراد حاضر در پایان و غایب در مبنا؛ مخرج: اعضای فعال پایان</t>
        </is>
      </c>
      <c r="F211" s="92" t="inlineStr"/>
      <c r="G211" s="92" t="inlineStr"/>
      <c r="H211" s="92" t="n">
        <v>1</v>
      </c>
      <c r="I211" s="92" t="n">
        <v>5</v>
      </c>
      <c r="J211" s="92">
        <f>IF(AND(ISNUMBER(H211),ISNUMBER(I211),I211&gt;0),H211/I211,"")</f>
        <v>0.2</v>
      </c>
      <c r="K211" s="92" t="inlineStr">
        <is>
          <t>پنجره مشترک</t>
        </is>
      </c>
      <c r="L211" s="92" t="inlineStr">
        <is>
          <t>1403/12/29</t>
        </is>
      </c>
      <c r="M211" s="92" t="inlineStr">
        <is>
          <t>1404/12/29</t>
        </is>
      </c>
      <c r="N211" s="92" t="inlineStr">
        <is>
          <t>بله</t>
        </is>
      </c>
      <c r="O211" s="92" t="inlineStr">
        <is>
          <t>کامل</t>
        </is>
      </c>
      <c r="P211" s="92" t="inlineStr">
        <is>
          <t>تایید جزئی</t>
        </is>
      </c>
      <c r="Q211" s="92" t="inlineStr">
        <is>
          <t>1 از 5</t>
        </is>
      </c>
      <c r="R211" s="92" t="inlineStr"/>
      <c r="S211" s="92" t="inlineStr">
        <is>
          <t>هر دو فهرست اسمی کامل؛ هویت ها با نام یکسان سازی شده در همان شرکت مطابقت داده شد؛ حساسیت ثبت شده در Five Cases و Snapshot Members</t>
        </is>
      </c>
      <c r="T211" s="92" t="inlineStr">
        <is>
          <t>Snapshot Members v42؛ Person Flows v42</t>
        </is>
      </c>
    </row>
    <row r="212" ht="44" customHeight="1" s="76">
      <c r="A212" s="92" t="inlineStr">
        <is>
          <t>جم</t>
        </is>
      </c>
      <c r="B212" s="92" t="inlineStr">
        <is>
          <t>UPR1</t>
        </is>
      </c>
      <c r="C212" s="92" t="inlineStr">
        <is>
          <t>نرخ ماندگاری افراد یکتا</t>
        </is>
      </c>
      <c r="D212" s="92" t="inlineStr">
        <is>
          <t>جدید؛ کد غیرمتداخل</t>
        </is>
      </c>
      <c r="E212" s="92" t="inlineStr">
        <is>
          <t>صورت: افراد حاضر در هر دو مقطع؛ مخرج: اعضای فعال مبنا</t>
        </is>
      </c>
      <c r="F212" s="92" t="inlineStr"/>
      <c r="G212" s="92" t="inlineStr"/>
      <c r="H212" s="92" t="n">
        <v>4</v>
      </c>
      <c r="I212" s="92" t="n">
        <v>5</v>
      </c>
      <c r="J212" s="92">
        <f>IF(AND(ISNUMBER(H212),ISNUMBER(I212),I212&gt;0),H212/I212,"")</f>
        <v>0.8</v>
      </c>
      <c r="K212" s="92" t="inlineStr">
        <is>
          <t>پنجره مشترک</t>
        </is>
      </c>
      <c r="L212" s="92" t="inlineStr">
        <is>
          <t>1403/12/29</t>
        </is>
      </c>
      <c r="M212" s="92" t="inlineStr">
        <is>
          <t>1404/12/29</t>
        </is>
      </c>
      <c r="N212" s="92" t="inlineStr">
        <is>
          <t>بله</t>
        </is>
      </c>
      <c r="O212" s="92" t="inlineStr">
        <is>
          <t>کامل</t>
        </is>
      </c>
      <c r="P212" s="92" t="inlineStr">
        <is>
          <t>تایید جزئی</t>
        </is>
      </c>
      <c r="Q212" s="92" t="inlineStr">
        <is>
          <t>4 از 5</t>
        </is>
      </c>
      <c r="R212" s="92" t="inlineStr"/>
      <c r="S212" s="92" t="inlineStr">
        <is>
          <t>هر دو فهرست اسمی کامل؛ هویت ها با نام یکسان سازی شده در همان شرکت مطابقت داده شد؛ حساسیت ثبت شده در Five Cases و Snapshot Members</t>
        </is>
      </c>
      <c r="T212" s="92" t="inlineStr">
        <is>
          <t>Snapshot Members v42؛ Person Flows v42</t>
        </is>
      </c>
    </row>
    <row r="213" ht="44" customHeight="1" s="76">
      <c r="A213" s="92" t="inlineStr">
        <is>
          <t>جم</t>
        </is>
      </c>
      <c r="B213" s="92" t="inlineStr">
        <is>
          <t>UPF1</t>
        </is>
      </c>
      <c r="C213" s="92" t="inlineStr">
        <is>
          <t>افراد یکتا در نمای مالی (FY1403 تا FY1404)</t>
        </is>
      </c>
      <c r="D213" s="92" t="inlineStr">
        <is>
          <t>جدید؛ نمای مالی</t>
        </is>
      </c>
      <c r="E213" s="92" t="inlineStr">
        <is>
          <t>همان سه نسبت UPX1 و UPN1 و UPR1 ولی بین پایان FY1403 و FY1404 هر شرکت؛ فقط با دو فهرست کامل معتبر</t>
        </is>
      </c>
      <c r="F213" s="92" t="inlineStr"/>
      <c r="G213" s="92" t="inlineStr"/>
      <c r="H213" s="92" t="inlineStr"/>
      <c r="I213" s="92" t="inlineStr"/>
      <c r="J213" s="92" t="str">
        <f>IF(AND(ISNUMBER(H213),ISNUMBER(I213),I213&gt;0),H213/I213,"")</f>
        <v/>
      </c>
      <c r="K213" s="92" t="inlineStr">
        <is>
          <t>نمای مالی</t>
        </is>
      </c>
      <c r="L213" s="92" t="inlineStr">
        <is>
          <t>1403/12/30</t>
        </is>
      </c>
      <c r="M213" s="92" t="inlineStr">
        <is>
          <t>1404/12/29</t>
        </is>
      </c>
      <c r="N213" s="92" t="inlineStr">
        <is>
          <t>بله</t>
        </is>
      </c>
      <c r="O213" s="92" t="inlineStr">
        <is>
          <t>ناکافی</t>
        </is>
      </c>
      <c r="P213" s="92" t="inlineStr">
        <is>
          <t>هنوز بررسی نشده</t>
        </is>
      </c>
      <c r="Q213" s="92" t="inlineStr"/>
      <c r="R213" s="92" t="inlineStr"/>
      <c r="S213" s="92" t="inlineStr">
        <is>
          <t>فهرست اسمی پایان FY1403 در فایل نیست؛ نتیجه نمای مالی نامشخص ماند و عدد پنجره مشترک جای آن نیامد</t>
        </is>
      </c>
      <c r="T213" s="92" t="inlineStr">
        <is>
          <t>Scope v42</t>
        </is>
      </c>
    </row>
    <row r="214" ht="48" customHeight="1" s="76">
      <c r="A214" s="92" t="inlineStr">
        <is>
          <t>ومعادن</t>
        </is>
      </c>
      <c r="B214" s="92" t="inlineStr">
        <is>
          <t>REF05</t>
        </is>
      </c>
      <c r="C214" s="92" t="inlineStr">
        <is>
          <t>گردش فردی مبتنی بر کرسی</t>
        </is>
      </c>
      <c r="D214" s="92" t="inlineStr">
        <is>
          <t>قدیمی؛ تعریف حفظ شده</t>
        </is>
      </c>
      <c r="E214" s="92" t="inlineStr">
        <is>
          <t>صورت: کرسی های قابل مقایسه که شخص نامبرده در دو مقطع فرق دارد؛ مخرج: کرسی های قابل مقایسه (مبنای نامبرده). کرسی حقیقی مستقیم در سطح فرد</t>
        </is>
      </c>
      <c r="F214" s="92" t="n">
        <v>2</v>
      </c>
      <c r="G214" s="92" t="n">
        <v>5</v>
      </c>
      <c r="H214" s="92" t="n">
        <v>2</v>
      </c>
      <c r="I214" s="92" t="n">
        <v>5</v>
      </c>
      <c r="J214" s="92">
        <f>IF(AND(ISNUMBER(H214),ISNUMBER(I214),I214&gt;0),H214/I214,"")</f>
        <v>0.4</v>
      </c>
      <c r="K214" s="92" t="inlineStr">
        <is>
          <t>پنجره مشترک</t>
        </is>
      </c>
      <c r="L214" s="92" t="inlineStr">
        <is>
          <t>1403/12/29</t>
        </is>
      </c>
      <c r="M214" s="92" t="inlineStr">
        <is>
          <t>1404/12/29</t>
        </is>
      </c>
      <c r="N214" s="92" t="inlineStr">
        <is>
          <t>بله</t>
        </is>
      </c>
      <c r="O214" s="92" t="inlineStr">
        <is>
          <t>کامل ارثی</t>
        </is>
      </c>
      <c r="P214" s="92" t="inlineStr">
        <is>
          <t>تایید جزئی</t>
        </is>
      </c>
      <c r="Q214" s="92" t="inlineStr"/>
      <c r="R214" s="92" t="inlineStr">
        <is>
          <t>بازتولید ممکن نشد</t>
        </is>
      </c>
      <c r="S214" s="92" t="inlineStr">
        <is>
          <t>ارثی از مستر؛ فهرست اسمی دو مقطع در دسترس نیست و بازتولید اسمی ممکن نشد</t>
        </is>
      </c>
      <c r="T214" s="92" t="inlineStr">
        <is>
          <t>Turnover نهایی G25 و H25</t>
        </is>
      </c>
    </row>
    <row r="215" ht="48" customHeight="1" s="76">
      <c r="A215" s="92" t="inlineStr">
        <is>
          <t>ومعادن</t>
        </is>
      </c>
      <c r="B215" s="92" t="inlineStr">
        <is>
          <t>REF08</t>
        </is>
      </c>
      <c r="C215" s="92" t="inlineStr">
        <is>
          <t>تغییر نماینده با شخص حقوقی ثابت</t>
        </is>
      </c>
      <c r="D215" s="92" t="inlineStr">
        <is>
          <t>قدیمی؛ تعریف حفظ شده</t>
        </is>
      </c>
      <c r="E215" s="92" t="inlineStr">
        <is>
          <t>صورت: کرسی با همان شخص حقوقی که نماینده فرق دارد؛ مخرج: کرسی های با همان شخص حقوقی و نماینده معلوم در هر دو مقطع</t>
        </is>
      </c>
      <c r="F215" s="92" t="n">
        <v>2</v>
      </c>
      <c r="G215" s="92" t="n">
        <v>4</v>
      </c>
      <c r="H215" s="92" t="n">
        <v>2</v>
      </c>
      <c r="I215" s="92" t="n">
        <v>4</v>
      </c>
      <c r="J215" s="92">
        <f>IF(AND(ISNUMBER(H215),ISNUMBER(I215),I215&gt;0),H215/I215,"")</f>
        <v>0.5</v>
      </c>
      <c r="K215" s="92" t="inlineStr">
        <is>
          <t>پنجره مشترک</t>
        </is>
      </c>
      <c r="L215" s="92" t="inlineStr">
        <is>
          <t>1403/12/29</t>
        </is>
      </c>
      <c r="M215" s="92" t="inlineStr">
        <is>
          <t>1404/12/29</t>
        </is>
      </c>
      <c r="N215" s="92" t="inlineStr">
        <is>
          <t>بله</t>
        </is>
      </c>
      <c r="O215" s="92" t="inlineStr">
        <is>
          <t>کامل ارثی</t>
        </is>
      </c>
      <c r="P215" s="92" t="inlineStr">
        <is>
          <t>تایید جزئی</t>
        </is>
      </c>
      <c r="Q215" s="92" t="inlineStr"/>
      <c r="R215" s="92" t="inlineStr">
        <is>
          <t>بازتولید ممکن نشد</t>
        </is>
      </c>
      <c r="S215" s="92" t="inlineStr">
        <is>
          <t>ارثی از مستر؛ فهرست اسمی دو مقطع در دسترس نیست و بازتولید اسمی ممکن نشد</t>
        </is>
      </c>
      <c r="T215" s="92" t="inlineStr">
        <is>
          <t>Turnover نهایی J25 و K25</t>
        </is>
      </c>
    </row>
    <row r="216" ht="48" customHeight="1" s="76">
      <c r="A216" s="92" t="inlineStr">
        <is>
          <t>ومعادن</t>
        </is>
      </c>
      <c r="B216" s="92" t="inlineStr">
        <is>
          <t>ROB_LEGAL</t>
        </is>
      </c>
      <c r="C216" s="92" t="inlineStr">
        <is>
          <t>تغییر شخص حقوقی دارنده کرسی</t>
        </is>
      </c>
      <c r="D216" s="92" t="inlineStr">
        <is>
          <t>قدیمی؛ تعریف حفظ شده</t>
        </is>
      </c>
      <c r="E216" s="92" t="inlineStr">
        <is>
          <t>صورت: کرسی هایی که شخص حقوقی دارنده فرق دارد؛ مخرج: کرسی های موجود در هر دو مقطع</t>
        </is>
      </c>
      <c r="F216" s="92" t="n">
        <v>1</v>
      </c>
      <c r="G216" s="92" t="n">
        <v>5</v>
      </c>
      <c r="H216" s="92" t="n">
        <v>1</v>
      </c>
      <c r="I216" s="92" t="n">
        <v>5</v>
      </c>
      <c r="J216" s="92">
        <f>IF(AND(ISNUMBER(H216),ISNUMBER(I216),I216&gt;0),H216/I216,"")</f>
        <v>0.2</v>
      </c>
      <c r="K216" s="92" t="inlineStr">
        <is>
          <t>پنجره مشترک</t>
        </is>
      </c>
      <c r="L216" s="92" t="inlineStr">
        <is>
          <t>1403/12/29</t>
        </is>
      </c>
      <c r="M216" s="92" t="inlineStr">
        <is>
          <t>1404/12/29</t>
        </is>
      </c>
      <c r="N216" s="92" t="inlineStr">
        <is>
          <t>بله</t>
        </is>
      </c>
      <c r="O216" s="92" t="inlineStr">
        <is>
          <t>کامل ارثی</t>
        </is>
      </c>
      <c r="P216" s="92" t="inlineStr">
        <is>
          <t>تایید جزئی</t>
        </is>
      </c>
      <c r="Q216" s="92" t="inlineStr"/>
      <c r="R216" s="92" t="inlineStr">
        <is>
          <t>بازتولید ممکن نشد</t>
        </is>
      </c>
      <c r="S216" s="92" t="inlineStr">
        <is>
          <t>ارثی از مستر؛ فهرست اسمی دو مقطع در دسترس نیست و بازتولید اسمی ممکن نشد</t>
        </is>
      </c>
      <c r="T216" s="92" t="inlineStr">
        <is>
          <t>Turnover نهایی M25 و N25</t>
        </is>
      </c>
    </row>
    <row r="217" ht="48" customHeight="1" s="76">
      <c r="A217" s="92" t="inlineStr">
        <is>
          <t>ومعادن</t>
        </is>
      </c>
      <c r="B217" s="92" t="inlineStr">
        <is>
          <t>ROB_NEW</t>
        </is>
      </c>
      <c r="C217" s="92" t="inlineStr">
        <is>
          <t>سهم اعضای جدید</t>
        </is>
      </c>
      <c r="D217" s="92" t="inlineStr">
        <is>
          <t>قدیمی؛ تعریف حفظ شده</t>
        </is>
      </c>
      <c r="E217" s="92" t="inlineStr">
        <is>
          <t>صورت: افراد پایان که در مبنا نبودند؛ مخرج: افراد پایان</t>
        </is>
      </c>
      <c r="F217" s="92" t="n">
        <v>2</v>
      </c>
      <c r="G217" s="92" t="n">
        <v>5</v>
      </c>
      <c r="H217" s="92" t="n">
        <v>2</v>
      </c>
      <c r="I217" s="92" t="n">
        <v>5</v>
      </c>
      <c r="J217" s="92">
        <f>IF(AND(ISNUMBER(H217),ISNUMBER(I217),I217&gt;0),H217/I217,"")</f>
        <v>0.4</v>
      </c>
      <c r="K217" s="92" t="inlineStr">
        <is>
          <t>پنجره مشترک</t>
        </is>
      </c>
      <c r="L217" s="92" t="inlineStr">
        <is>
          <t>1403/12/29</t>
        </is>
      </c>
      <c r="M217" s="92" t="inlineStr">
        <is>
          <t>1404/12/29</t>
        </is>
      </c>
      <c r="N217" s="92" t="inlineStr">
        <is>
          <t>بله</t>
        </is>
      </c>
      <c r="O217" s="92" t="inlineStr">
        <is>
          <t>کامل ارثی</t>
        </is>
      </c>
      <c r="P217" s="92" t="inlineStr">
        <is>
          <t>تایید جزئی</t>
        </is>
      </c>
      <c r="Q217" s="92" t="inlineStr"/>
      <c r="R217" s="92" t="inlineStr">
        <is>
          <t>بازتولید ممکن نشد</t>
        </is>
      </c>
      <c r="S217" s="92" t="inlineStr">
        <is>
          <t>ارثی از مستر؛ فهرست اسمی دو مقطع در دسترس نیست و بازتولید اسمی ممکن نشد</t>
        </is>
      </c>
      <c r="T217" s="92" t="inlineStr">
        <is>
          <t>Turnover نهایی P25 و Q25</t>
        </is>
      </c>
    </row>
    <row r="218" ht="48" customHeight="1" s="76">
      <c r="A218" s="92" t="inlineStr">
        <is>
          <t>ومعادن</t>
        </is>
      </c>
      <c r="B218" s="92" t="inlineStr">
        <is>
          <t>ROB_STABILITY</t>
        </is>
      </c>
      <c r="C218" s="92" t="inlineStr">
        <is>
          <t>ثبات کرسی با همان شخص</t>
        </is>
      </c>
      <c r="D218" s="92" t="inlineStr">
        <is>
          <t>قدیمی؛ تعریف حفظ شده</t>
        </is>
      </c>
      <c r="E218" s="92" t="inlineStr">
        <is>
          <t>صورت: کرسی های قابل مقایسه با همان شخص؛ مخرج: کرسی های قابل مقایسه</t>
        </is>
      </c>
      <c r="F218" s="92" t="n">
        <v>3</v>
      </c>
      <c r="G218" s="92" t="n">
        <v>5</v>
      </c>
      <c r="H218" s="92" t="n">
        <v>3</v>
      </c>
      <c r="I218" s="92" t="n">
        <v>5</v>
      </c>
      <c r="J218" s="92">
        <f>IF(AND(ISNUMBER(H218),ISNUMBER(I218),I218&gt;0),H218/I218,"")</f>
        <v>0.6</v>
      </c>
      <c r="K218" s="92" t="inlineStr">
        <is>
          <t>پنجره مشترک</t>
        </is>
      </c>
      <c r="L218" s="92" t="inlineStr">
        <is>
          <t>1403/12/29</t>
        </is>
      </c>
      <c r="M218" s="92" t="inlineStr">
        <is>
          <t>1404/12/29</t>
        </is>
      </c>
      <c r="N218" s="92" t="inlineStr">
        <is>
          <t>بله</t>
        </is>
      </c>
      <c r="O218" s="92" t="inlineStr">
        <is>
          <t>کامل ارثی</t>
        </is>
      </c>
      <c r="P218" s="92" t="inlineStr">
        <is>
          <t>تایید جزئی</t>
        </is>
      </c>
      <c r="Q218" s="92" t="inlineStr"/>
      <c r="R218" s="92" t="inlineStr">
        <is>
          <t>بازتولید ممکن نشد</t>
        </is>
      </c>
      <c r="S218" s="92" t="inlineStr">
        <is>
          <t>ارثی از مستر؛ فهرست اسمی دو مقطع در دسترس نیست و بازتولید اسمی ممکن نشد</t>
        </is>
      </c>
      <c r="T218" s="92" t="inlineStr">
        <is>
          <t>Turnover نهایی S25 و T25</t>
        </is>
      </c>
    </row>
    <row r="219" ht="48" customHeight="1" s="76">
      <c r="A219" s="92" t="inlineStr">
        <is>
          <t>ومعادن</t>
        </is>
      </c>
      <c r="B219" s="92" t="inlineStr">
        <is>
          <t>CR1A</t>
        </is>
      </c>
      <c r="C219" s="92" t="inlineStr">
        <is>
          <t>تغییر رئیس هیئت مدیره بین دو مقطع</t>
        </is>
      </c>
      <c r="D219" s="92" t="inlineStr">
        <is>
          <t>قدیمی؛ تعریف حفظ شده</t>
        </is>
      </c>
      <c r="E219" s="92" t="inlineStr">
        <is>
          <t>صورت: 1 اگر هویت رئیس در دو مقطع فرق دارد؛ مخرج: 1. جدا از تعداد رویدادهای میانی</t>
        </is>
      </c>
      <c r="F219" s="92" t="n">
        <v>1</v>
      </c>
      <c r="G219" s="92" t="n">
        <v>1</v>
      </c>
      <c r="H219" s="92" t="n">
        <v>1</v>
      </c>
      <c r="I219" s="92" t="n">
        <v>1</v>
      </c>
      <c r="J219" s="92">
        <f>IF(AND(ISNUMBER(H219),ISNUMBER(I219),I219&gt;0),H219/I219,"")</f>
        <v>1.0</v>
      </c>
      <c r="K219" s="92" t="inlineStr">
        <is>
          <t>پنجره مشترک</t>
        </is>
      </c>
      <c r="L219" s="92" t="inlineStr">
        <is>
          <t>1403/12/29</t>
        </is>
      </c>
      <c r="M219" s="92" t="inlineStr">
        <is>
          <t>1404/12/29</t>
        </is>
      </c>
      <c r="N219" s="92" t="inlineStr">
        <is>
          <t>بله</t>
        </is>
      </c>
      <c r="O219" s="92" t="inlineStr">
        <is>
          <t>کامل ارثی</t>
        </is>
      </c>
      <c r="P219" s="92" t="inlineStr">
        <is>
          <t>تایید جزئی</t>
        </is>
      </c>
      <c r="Q219" s="92" t="inlineStr"/>
      <c r="R219" s="92" t="inlineStr">
        <is>
          <t>بازتولید ممکن نشد</t>
        </is>
      </c>
      <c r="S219" s="92" t="inlineStr">
        <is>
          <t>ارثی از CR1A v39 (INHERITED_WITH_LIMITATION)؛ تایید مجدد مستقل همه منابع انجام نشد</t>
        </is>
      </c>
      <c r="T219" s="92" t="inlineStr">
        <is>
          <t>Turnover نهایی V25؛ CR1A v39 ردیف 25</t>
        </is>
      </c>
    </row>
    <row r="220" ht="44" customHeight="1" s="76">
      <c r="A220" s="93" t="inlineStr">
        <is>
          <t>ومعادن</t>
        </is>
      </c>
      <c r="B220" s="93" t="inlineStr">
        <is>
          <t>UPX1</t>
        </is>
      </c>
      <c r="C220" s="93" t="inlineStr">
        <is>
          <t>نرخ خروج افراد یکتا</t>
        </is>
      </c>
      <c r="D220" s="93" t="inlineStr">
        <is>
          <t>جدید؛ کد غیرمتداخل</t>
        </is>
      </c>
      <c r="E220" s="93" t="inlineStr">
        <is>
          <t>صورت: افراد حاضر در مبنا و غایب در پایان؛ مخرج: اعضای فعال مبنا</t>
        </is>
      </c>
      <c r="F220" s="93" t="inlineStr"/>
      <c r="G220" s="93" t="inlineStr"/>
      <c r="H220" s="93" t="inlineStr"/>
      <c r="I220" s="93" t="inlineStr"/>
      <c r="J220" s="93" t="str">
        <f>IF(AND(ISNUMBER(H220),ISNUMBER(I220),I220&gt;0),H220/I220,"")</f>
        <v/>
      </c>
      <c r="K220" s="93" t="inlineStr">
        <is>
          <t>پنجره مشترک</t>
        </is>
      </c>
      <c r="L220" s="93" t="inlineStr">
        <is>
          <t>1403/12/29</t>
        </is>
      </c>
      <c r="M220" s="93" t="inlineStr">
        <is>
          <t>1404/12/29</t>
        </is>
      </c>
      <c r="N220" s="93" t="inlineStr">
        <is>
          <t>بله</t>
        </is>
      </c>
      <c r="O220" s="93" t="inlineStr">
        <is>
          <t>ناکافی</t>
        </is>
      </c>
      <c r="P220" s="93" t="inlineStr">
        <is>
          <t>منبع در دسترس نبود</t>
        </is>
      </c>
      <c r="Q220" s="93" t="inlineStr"/>
      <c r="R220" s="93" t="inlineStr"/>
      <c r="S220" s="93" t="inlineStr">
        <is>
          <t>فهرست اسمی مبنا در بسته شواهد v41 است که در این جلسه ارائه نشد؛ شمار تجمیعی مستر برای افراد یکتا کافی نیست</t>
        </is>
      </c>
      <c r="T220" s="93" t="inlineStr">
        <is>
          <t>Snapshot Members v42؛ Person Flows v42</t>
        </is>
      </c>
    </row>
    <row r="221" ht="44" customHeight="1" s="76">
      <c r="A221" s="93" t="inlineStr">
        <is>
          <t>ومعادن</t>
        </is>
      </c>
      <c r="B221" s="93" t="inlineStr">
        <is>
          <t>UPN1</t>
        </is>
      </c>
      <c r="C221" s="93" t="inlineStr">
        <is>
          <t>سهم افراد واردشده</t>
        </is>
      </c>
      <c r="D221" s="93" t="inlineStr">
        <is>
          <t>جدید؛ کد غیرمتداخل</t>
        </is>
      </c>
      <c r="E221" s="93" t="inlineStr">
        <is>
          <t>صورت: افراد حاضر در پایان و غایب در مبنا؛ مخرج: اعضای فعال پایان</t>
        </is>
      </c>
      <c r="F221" s="93" t="inlineStr"/>
      <c r="G221" s="93" t="inlineStr"/>
      <c r="H221" s="93" t="inlineStr"/>
      <c r="I221" s="93" t="inlineStr"/>
      <c r="J221" s="93" t="str">
        <f>IF(AND(ISNUMBER(H221),ISNUMBER(I221),I221&gt;0),H221/I221,"")</f>
        <v/>
      </c>
      <c r="K221" s="93" t="inlineStr">
        <is>
          <t>پنجره مشترک</t>
        </is>
      </c>
      <c r="L221" s="93" t="inlineStr">
        <is>
          <t>1403/12/29</t>
        </is>
      </c>
      <c r="M221" s="93" t="inlineStr">
        <is>
          <t>1404/12/29</t>
        </is>
      </c>
      <c r="N221" s="93" t="inlineStr">
        <is>
          <t>بله</t>
        </is>
      </c>
      <c r="O221" s="93" t="inlineStr">
        <is>
          <t>ناکافی</t>
        </is>
      </c>
      <c r="P221" s="93" t="inlineStr">
        <is>
          <t>منبع در دسترس نبود</t>
        </is>
      </c>
      <c r="Q221" s="93" t="inlineStr"/>
      <c r="R221" s="93" t="inlineStr"/>
      <c r="S221" s="93" t="inlineStr">
        <is>
          <t>فهرست اسمی مبنا در بسته شواهد v41 است که در این جلسه ارائه نشد؛ شمار تجمیعی مستر برای افراد یکتا کافی نیست</t>
        </is>
      </c>
      <c r="T221" s="93" t="inlineStr">
        <is>
          <t>Snapshot Members v42؛ Person Flows v42</t>
        </is>
      </c>
    </row>
    <row r="222" ht="44" customHeight="1" s="76">
      <c r="A222" s="93" t="inlineStr">
        <is>
          <t>ومعادن</t>
        </is>
      </c>
      <c r="B222" s="93" t="inlineStr">
        <is>
          <t>UPR1</t>
        </is>
      </c>
      <c r="C222" s="93" t="inlineStr">
        <is>
          <t>نرخ ماندگاری افراد یکتا</t>
        </is>
      </c>
      <c r="D222" s="93" t="inlineStr">
        <is>
          <t>جدید؛ کد غیرمتداخل</t>
        </is>
      </c>
      <c r="E222" s="93" t="inlineStr">
        <is>
          <t>صورت: افراد حاضر در هر دو مقطع؛ مخرج: اعضای فعال مبنا</t>
        </is>
      </c>
      <c r="F222" s="93" t="inlineStr"/>
      <c r="G222" s="93" t="inlineStr"/>
      <c r="H222" s="93" t="inlineStr"/>
      <c r="I222" s="93" t="inlineStr"/>
      <c r="J222" s="93" t="str">
        <f>IF(AND(ISNUMBER(H222),ISNUMBER(I222),I222&gt;0),H222/I222,"")</f>
        <v/>
      </c>
      <c r="K222" s="93" t="inlineStr">
        <is>
          <t>پنجره مشترک</t>
        </is>
      </c>
      <c r="L222" s="93" t="inlineStr">
        <is>
          <t>1403/12/29</t>
        </is>
      </c>
      <c r="M222" s="93" t="inlineStr">
        <is>
          <t>1404/12/29</t>
        </is>
      </c>
      <c r="N222" s="93" t="inlineStr">
        <is>
          <t>بله</t>
        </is>
      </c>
      <c r="O222" s="93" t="inlineStr">
        <is>
          <t>ناکافی</t>
        </is>
      </c>
      <c r="P222" s="93" t="inlineStr">
        <is>
          <t>منبع در دسترس نبود</t>
        </is>
      </c>
      <c r="Q222" s="93" t="inlineStr"/>
      <c r="R222" s="93" t="inlineStr"/>
      <c r="S222" s="93" t="inlineStr">
        <is>
          <t>فهرست اسمی مبنا در بسته شواهد v41 است که در این جلسه ارائه نشد؛ شمار تجمیعی مستر برای افراد یکتا کافی نیست</t>
        </is>
      </c>
      <c r="T222" s="93" t="inlineStr">
        <is>
          <t>Snapshot Members v42؛ Person Flows v42</t>
        </is>
      </c>
    </row>
    <row r="223" ht="44" customHeight="1" s="76">
      <c r="A223" s="92" t="inlineStr">
        <is>
          <t>ومعادن</t>
        </is>
      </c>
      <c r="B223" s="92" t="inlineStr">
        <is>
          <t>UPF1</t>
        </is>
      </c>
      <c r="C223" s="92" t="inlineStr">
        <is>
          <t>افراد یکتا در نمای مالی (FY1403 تا FY1404)</t>
        </is>
      </c>
      <c r="D223" s="92" t="inlineStr">
        <is>
          <t>جدید؛ نمای مالی</t>
        </is>
      </c>
      <c r="E223" s="92" t="inlineStr">
        <is>
          <t>همان سه نسبت UPX1 و UPN1 و UPR1 ولی بین پایان FY1403 و FY1404 هر شرکت؛ فقط با دو فهرست کامل معتبر</t>
        </is>
      </c>
      <c r="F223" s="92" t="inlineStr"/>
      <c r="G223" s="92" t="inlineStr"/>
      <c r="H223" s="92" t="inlineStr"/>
      <c r="I223" s="92" t="inlineStr"/>
      <c r="J223" s="92" t="str">
        <f>IF(AND(ISNUMBER(H223),ISNUMBER(I223),I223&gt;0),H223/I223,"")</f>
        <v/>
      </c>
      <c r="K223" s="92" t="inlineStr">
        <is>
          <t>نمای مالی</t>
        </is>
      </c>
      <c r="L223" s="92" t="inlineStr">
        <is>
          <t>1403/12/30</t>
        </is>
      </c>
      <c r="M223" s="92" t="inlineStr">
        <is>
          <t>1404/12/29</t>
        </is>
      </c>
      <c r="N223" s="92" t="inlineStr">
        <is>
          <t>بله</t>
        </is>
      </c>
      <c r="O223" s="92" t="inlineStr">
        <is>
          <t>ناکافی</t>
        </is>
      </c>
      <c r="P223" s="92" t="inlineStr">
        <is>
          <t>هنوز بررسی نشده</t>
        </is>
      </c>
      <c r="Q223" s="92" t="inlineStr"/>
      <c r="R223" s="92" t="inlineStr"/>
      <c r="S223" s="92" t="inlineStr">
        <is>
          <t>فهرست اسمی پایان FY1403 در فایل نیست؛ نتیجه نمای مالی نامشخص ماند و عدد پنجره مشترک جای آن نیامد</t>
        </is>
      </c>
      <c r="T223" s="92" t="inlineStr">
        <is>
          <t>Scope v42</t>
        </is>
      </c>
    </row>
    <row r="224" ht="48" customHeight="1" s="76">
      <c r="A224" s="92" t="inlineStr">
        <is>
          <t>وامید</t>
        </is>
      </c>
      <c r="B224" s="92" t="inlineStr">
        <is>
          <t>REF05</t>
        </is>
      </c>
      <c r="C224" s="92" t="inlineStr">
        <is>
          <t>گردش فردی مبتنی بر کرسی</t>
        </is>
      </c>
      <c r="D224" s="92" t="inlineStr">
        <is>
          <t>قدیمی؛ تعریف حفظ شده</t>
        </is>
      </c>
      <c r="E224" s="92" t="inlineStr">
        <is>
          <t>صورت: کرسی های قابل مقایسه که شخص نامبرده در دو مقطع فرق دارد؛ مخرج: کرسی های قابل مقایسه (مبنای نامبرده). کرسی حقیقی مستقیم در سطح فرد</t>
        </is>
      </c>
      <c r="F224" s="92" t="n">
        <v>0</v>
      </c>
      <c r="G224" s="92" t="n">
        <v>5</v>
      </c>
      <c r="H224" s="92" t="n">
        <v>0</v>
      </c>
      <c r="I224" s="92" t="n">
        <v>5</v>
      </c>
      <c r="J224" s="92">
        <f>IF(AND(ISNUMBER(H224),ISNUMBER(I224),I224&gt;0),H224/I224,"")</f>
        <v>0.0</v>
      </c>
      <c r="K224" s="92" t="inlineStr">
        <is>
          <t>پنجره مشترک</t>
        </is>
      </c>
      <c r="L224" s="92" t="inlineStr">
        <is>
          <t>1403/12/29</t>
        </is>
      </c>
      <c r="M224" s="92" t="inlineStr">
        <is>
          <t>1404/12/29</t>
        </is>
      </c>
      <c r="N224" s="92" t="inlineStr">
        <is>
          <t>بله</t>
        </is>
      </c>
      <c r="O224" s="92" t="inlineStr">
        <is>
          <t>کامل ارثی</t>
        </is>
      </c>
      <c r="P224" s="92" t="inlineStr">
        <is>
          <t>تایید جزئی</t>
        </is>
      </c>
      <c r="Q224" s="92" t="inlineStr"/>
      <c r="R224" s="92" t="inlineStr">
        <is>
          <t>بازتولید ممکن نشد</t>
        </is>
      </c>
      <c r="S224" s="92" t="inlineStr">
        <is>
          <t>ارثی از مستر؛ فهرست اسمی دو مقطع در دسترس نیست و بازتولید اسمی ممکن نشد</t>
        </is>
      </c>
      <c r="T224" s="92" t="inlineStr">
        <is>
          <t>Turnover نهایی G26 و H26</t>
        </is>
      </c>
    </row>
    <row r="225" ht="48" customHeight="1" s="76">
      <c r="A225" s="92" t="inlineStr">
        <is>
          <t>وامید</t>
        </is>
      </c>
      <c r="B225" s="92" t="inlineStr">
        <is>
          <t>REF08</t>
        </is>
      </c>
      <c r="C225" s="92" t="inlineStr">
        <is>
          <t>تغییر نماینده با شخص حقوقی ثابت</t>
        </is>
      </c>
      <c r="D225" s="92" t="inlineStr">
        <is>
          <t>قدیمی؛ تعریف حفظ شده</t>
        </is>
      </c>
      <c r="E225" s="92" t="inlineStr">
        <is>
          <t>صورت: کرسی با همان شخص حقوقی که نماینده فرق دارد؛ مخرج: کرسی های با همان شخص حقوقی و نماینده معلوم در هر دو مقطع</t>
        </is>
      </c>
      <c r="F225" s="92" t="n">
        <v>0</v>
      </c>
      <c r="G225" s="92" t="n">
        <v>3</v>
      </c>
      <c r="H225" s="92" t="n">
        <v>0</v>
      </c>
      <c r="I225" s="92" t="n">
        <v>3</v>
      </c>
      <c r="J225" s="92">
        <f>IF(AND(ISNUMBER(H225),ISNUMBER(I225),I225&gt;0),H225/I225,"")</f>
        <v>0.0</v>
      </c>
      <c r="K225" s="92" t="inlineStr">
        <is>
          <t>پنجره مشترک</t>
        </is>
      </c>
      <c r="L225" s="92" t="inlineStr">
        <is>
          <t>1403/12/29</t>
        </is>
      </c>
      <c r="M225" s="92" t="inlineStr">
        <is>
          <t>1404/12/29</t>
        </is>
      </c>
      <c r="N225" s="92" t="inlineStr">
        <is>
          <t>بله</t>
        </is>
      </c>
      <c r="O225" s="92" t="inlineStr">
        <is>
          <t>کامل ارثی</t>
        </is>
      </c>
      <c r="P225" s="92" t="inlineStr">
        <is>
          <t>تایید جزئی</t>
        </is>
      </c>
      <c r="Q225" s="92" t="inlineStr"/>
      <c r="R225" s="92" t="inlineStr">
        <is>
          <t>بازتولید ممکن نشد</t>
        </is>
      </c>
      <c r="S225" s="92" t="inlineStr">
        <is>
          <t>ارثی از مستر؛ فهرست اسمی دو مقطع در دسترس نیست و بازتولید اسمی ممکن نشد</t>
        </is>
      </c>
      <c r="T225" s="92" t="inlineStr">
        <is>
          <t>Turnover نهایی J26 و K26</t>
        </is>
      </c>
    </row>
    <row r="226" ht="48" customHeight="1" s="76">
      <c r="A226" s="92" t="inlineStr">
        <is>
          <t>وامید</t>
        </is>
      </c>
      <c r="B226" s="92" t="inlineStr">
        <is>
          <t>ROB_LEGAL</t>
        </is>
      </c>
      <c r="C226" s="92" t="inlineStr">
        <is>
          <t>تغییر شخص حقوقی دارنده کرسی</t>
        </is>
      </c>
      <c r="D226" s="92" t="inlineStr">
        <is>
          <t>قدیمی؛ تعریف حفظ شده</t>
        </is>
      </c>
      <c r="E226" s="92" t="inlineStr">
        <is>
          <t>صورت: کرسی هایی که شخص حقوقی دارنده فرق دارد؛ مخرج: کرسی های موجود در هر دو مقطع</t>
        </is>
      </c>
      <c r="F226" s="92" t="n">
        <v>2</v>
      </c>
      <c r="G226" s="92" t="n">
        <v>5</v>
      </c>
      <c r="H226" s="92" t="n">
        <v>2</v>
      </c>
      <c r="I226" s="92" t="n">
        <v>5</v>
      </c>
      <c r="J226" s="92">
        <f>IF(AND(ISNUMBER(H226),ISNUMBER(I226),I226&gt;0),H226/I226,"")</f>
        <v>0.4</v>
      </c>
      <c r="K226" s="92" t="inlineStr">
        <is>
          <t>پنجره مشترک</t>
        </is>
      </c>
      <c r="L226" s="92" t="inlineStr">
        <is>
          <t>1403/12/29</t>
        </is>
      </c>
      <c r="M226" s="92" t="inlineStr">
        <is>
          <t>1404/12/29</t>
        </is>
      </c>
      <c r="N226" s="92" t="inlineStr">
        <is>
          <t>بله</t>
        </is>
      </c>
      <c r="O226" s="92" t="inlineStr">
        <is>
          <t>کامل ارثی</t>
        </is>
      </c>
      <c r="P226" s="92" t="inlineStr">
        <is>
          <t>تایید جزئی</t>
        </is>
      </c>
      <c r="Q226" s="92" t="inlineStr"/>
      <c r="R226" s="92" t="inlineStr">
        <is>
          <t>بازتولید ممکن نشد</t>
        </is>
      </c>
      <c r="S226" s="92" t="inlineStr">
        <is>
          <t>ارثی از مستر؛ فهرست اسمی دو مقطع در دسترس نیست و بازتولید اسمی ممکن نشد</t>
        </is>
      </c>
      <c r="T226" s="92" t="inlineStr">
        <is>
          <t>Turnover نهایی M26 و N26</t>
        </is>
      </c>
    </row>
    <row r="227" ht="48" customHeight="1" s="76">
      <c r="A227" s="92" t="inlineStr">
        <is>
          <t>وامید</t>
        </is>
      </c>
      <c r="B227" s="92" t="inlineStr">
        <is>
          <t>ROB_NEW</t>
        </is>
      </c>
      <c r="C227" s="92" t="inlineStr">
        <is>
          <t>سهم اعضای جدید</t>
        </is>
      </c>
      <c r="D227" s="92" t="inlineStr">
        <is>
          <t>قدیمی؛ تعریف حفظ شده</t>
        </is>
      </c>
      <c r="E227" s="92" t="inlineStr">
        <is>
          <t>صورت: افراد پایان که در مبنا نبودند؛ مخرج: افراد پایان</t>
        </is>
      </c>
      <c r="F227" s="92" t="n">
        <v>0</v>
      </c>
      <c r="G227" s="92" t="n">
        <v>5</v>
      </c>
      <c r="H227" s="92" t="n">
        <v>0</v>
      </c>
      <c r="I227" s="92" t="n">
        <v>5</v>
      </c>
      <c r="J227" s="92">
        <f>IF(AND(ISNUMBER(H227),ISNUMBER(I227),I227&gt;0),H227/I227,"")</f>
        <v>0.0</v>
      </c>
      <c r="K227" s="92" t="inlineStr">
        <is>
          <t>پنجره مشترک</t>
        </is>
      </c>
      <c r="L227" s="92" t="inlineStr">
        <is>
          <t>1403/12/29</t>
        </is>
      </c>
      <c r="M227" s="92" t="inlineStr">
        <is>
          <t>1404/12/29</t>
        </is>
      </c>
      <c r="N227" s="92" t="inlineStr">
        <is>
          <t>بله</t>
        </is>
      </c>
      <c r="O227" s="92" t="inlineStr">
        <is>
          <t>کامل ارثی</t>
        </is>
      </c>
      <c r="P227" s="92" t="inlineStr">
        <is>
          <t>تایید جزئی</t>
        </is>
      </c>
      <c r="Q227" s="92" t="inlineStr"/>
      <c r="R227" s="92" t="inlineStr">
        <is>
          <t>بازتولید ممکن نشد</t>
        </is>
      </c>
      <c r="S227" s="92" t="inlineStr">
        <is>
          <t>ارثی از مستر؛ فهرست اسمی دو مقطع در دسترس نیست و بازتولید اسمی ممکن نشد</t>
        </is>
      </c>
      <c r="T227" s="92" t="inlineStr">
        <is>
          <t>Turnover نهایی P26 و Q26</t>
        </is>
      </c>
    </row>
    <row r="228" ht="48" customHeight="1" s="76">
      <c r="A228" s="92" t="inlineStr">
        <is>
          <t>وامید</t>
        </is>
      </c>
      <c r="B228" s="92" t="inlineStr">
        <is>
          <t>ROB_STABILITY</t>
        </is>
      </c>
      <c r="C228" s="92" t="inlineStr">
        <is>
          <t>ثبات کرسی با همان شخص</t>
        </is>
      </c>
      <c r="D228" s="92" t="inlineStr">
        <is>
          <t>قدیمی؛ تعریف حفظ شده</t>
        </is>
      </c>
      <c r="E228" s="92" t="inlineStr">
        <is>
          <t>صورت: کرسی های قابل مقایسه با همان شخص؛ مخرج: کرسی های قابل مقایسه</t>
        </is>
      </c>
      <c r="F228" s="92" t="n">
        <v>5</v>
      </c>
      <c r="G228" s="92" t="n">
        <v>5</v>
      </c>
      <c r="H228" s="92" t="n">
        <v>5</v>
      </c>
      <c r="I228" s="92" t="n">
        <v>5</v>
      </c>
      <c r="J228" s="92">
        <f>IF(AND(ISNUMBER(H228),ISNUMBER(I228),I228&gt;0),H228/I228,"")</f>
        <v>1.0</v>
      </c>
      <c r="K228" s="92" t="inlineStr">
        <is>
          <t>پنجره مشترک</t>
        </is>
      </c>
      <c r="L228" s="92" t="inlineStr">
        <is>
          <t>1403/12/29</t>
        </is>
      </c>
      <c r="M228" s="92" t="inlineStr">
        <is>
          <t>1404/12/29</t>
        </is>
      </c>
      <c r="N228" s="92" t="inlineStr">
        <is>
          <t>بله</t>
        </is>
      </c>
      <c r="O228" s="92" t="inlineStr">
        <is>
          <t>کامل ارثی</t>
        </is>
      </c>
      <c r="P228" s="92" t="inlineStr">
        <is>
          <t>تایید جزئی</t>
        </is>
      </c>
      <c r="Q228" s="92" t="inlineStr"/>
      <c r="R228" s="92" t="inlineStr">
        <is>
          <t>بازتولید ممکن نشد</t>
        </is>
      </c>
      <c r="S228" s="92" t="inlineStr">
        <is>
          <t>ارثی از مستر؛ فهرست اسمی دو مقطع در دسترس نیست و بازتولید اسمی ممکن نشد</t>
        </is>
      </c>
      <c r="T228" s="92" t="inlineStr">
        <is>
          <t>Turnover نهایی S26 و T26</t>
        </is>
      </c>
    </row>
    <row r="229" ht="48" customHeight="1" s="76">
      <c r="A229" s="92" t="inlineStr">
        <is>
          <t>وامید</t>
        </is>
      </c>
      <c r="B229" s="92" t="inlineStr">
        <is>
          <t>CR1A</t>
        </is>
      </c>
      <c r="C229" s="92" t="inlineStr">
        <is>
          <t>تغییر رئیس هیئت مدیره بین دو مقطع</t>
        </is>
      </c>
      <c r="D229" s="92" t="inlineStr">
        <is>
          <t>قدیمی؛ تعریف حفظ شده</t>
        </is>
      </c>
      <c r="E229" s="92" t="inlineStr">
        <is>
          <t>صورت: 1 اگر هویت رئیس در دو مقطع فرق دارد؛ مخرج: 1. جدا از تعداد رویدادهای میانی</t>
        </is>
      </c>
      <c r="F229" s="92" t="n">
        <v>0</v>
      </c>
      <c r="G229" s="92" t="n">
        <v>1</v>
      </c>
      <c r="H229" s="92" t="n">
        <v>0</v>
      </c>
      <c r="I229" s="92" t="n">
        <v>1</v>
      </c>
      <c r="J229" s="92">
        <f>IF(AND(ISNUMBER(H229),ISNUMBER(I229),I229&gt;0),H229/I229,"")</f>
        <v>0.0</v>
      </c>
      <c r="K229" s="92" t="inlineStr">
        <is>
          <t>پنجره مشترک</t>
        </is>
      </c>
      <c r="L229" s="92" t="inlineStr">
        <is>
          <t>1403/12/29</t>
        </is>
      </c>
      <c r="M229" s="92" t="inlineStr">
        <is>
          <t>1404/12/29</t>
        </is>
      </c>
      <c r="N229" s="92" t="inlineStr">
        <is>
          <t>بله</t>
        </is>
      </c>
      <c r="O229" s="92" t="inlineStr">
        <is>
          <t>کامل ارثی</t>
        </is>
      </c>
      <c r="P229" s="92" t="inlineStr">
        <is>
          <t>تایید جزئی</t>
        </is>
      </c>
      <c r="Q229" s="92" t="inlineStr"/>
      <c r="R229" s="92" t="inlineStr">
        <is>
          <t>بازتولید ممکن نشد</t>
        </is>
      </c>
      <c r="S229" s="92" t="inlineStr">
        <is>
          <t>ارثی از CR1A v39 (INHERITED_WITH_LIMITATION)؛ تایید مجدد مستقل همه منابع انجام نشد</t>
        </is>
      </c>
      <c r="T229" s="92" t="inlineStr">
        <is>
          <t>Turnover نهایی V26؛ CR1A v39 ردیف 26</t>
        </is>
      </c>
    </row>
    <row r="230" ht="44" customHeight="1" s="76">
      <c r="A230" s="93" t="inlineStr">
        <is>
          <t>وامید</t>
        </is>
      </c>
      <c r="B230" s="93" t="inlineStr">
        <is>
          <t>UPX1</t>
        </is>
      </c>
      <c r="C230" s="93" t="inlineStr">
        <is>
          <t>نرخ خروج افراد یکتا</t>
        </is>
      </c>
      <c r="D230" s="93" t="inlineStr">
        <is>
          <t>جدید؛ کد غیرمتداخل</t>
        </is>
      </c>
      <c r="E230" s="93" t="inlineStr">
        <is>
          <t>صورت: افراد حاضر در مبنا و غایب در پایان؛ مخرج: اعضای فعال مبنا</t>
        </is>
      </c>
      <c r="F230" s="93" t="inlineStr"/>
      <c r="G230" s="93" t="inlineStr"/>
      <c r="H230" s="93" t="inlineStr"/>
      <c r="I230" s="93" t="inlineStr"/>
      <c r="J230" s="93" t="str">
        <f>IF(AND(ISNUMBER(H230),ISNUMBER(I230),I230&gt;0),H230/I230,"")</f>
        <v/>
      </c>
      <c r="K230" s="93" t="inlineStr">
        <is>
          <t>پنجره مشترک</t>
        </is>
      </c>
      <c r="L230" s="93" t="inlineStr">
        <is>
          <t>1403/12/29</t>
        </is>
      </c>
      <c r="M230" s="93" t="inlineStr">
        <is>
          <t>1404/12/29</t>
        </is>
      </c>
      <c r="N230" s="93" t="inlineStr">
        <is>
          <t>بله</t>
        </is>
      </c>
      <c r="O230" s="93" t="inlineStr">
        <is>
          <t>ناکافی</t>
        </is>
      </c>
      <c r="P230" s="93" t="inlineStr">
        <is>
          <t>منبع در دسترس نبود</t>
        </is>
      </c>
      <c r="Q230" s="93" t="inlineStr"/>
      <c r="R230" s="93" t="inlineStr"/>
      <c r="S230" s="93" t="inlineStr">
        <is>
          <t>فهرست اسمی مبنا در بسته شواهد v41 است که در این جلسه ارائه نشد؛ شمار تجمیعی مستر برای افراد یکتا کافی نیست</t>
        </is>
      </c>
      <c r="T230" s="93" t="inlineStr">
        <is>
          <t>Snapshot Members v42؛ Person Flows v42</t>
        </is>
      </c>
    </row>
    <row r="231" ht="44" customHeight="1" s="76">
      <c r="A231" s="93" t="inlineStr">
        <is>
          <t>وامید</t>
        </is>
      </c>
      <c r="B231" s="93" t="inlineStr">
        <is>
          <t>UPN1</t>
        </is>
      </c>
      <c r="C231" s="93" t="inlineStr">
        <is>
          <t>سهم افراد واردشده</t>
        </is>
      </c>
      <c r="D231" s="93" t="inlineStr">
        <is>
          <t>جدید؛ کد غیرمتداخل</t>
        </is>
      </c>
      <c r="E231" s="93" t="inlineStr">
        <is>
          <t>صورت: افراد حاضر در پایان و غایب در مبنا؛ مخرج: اعضای فعال پایان</t>
        </is>
      </c>
      <c r="F231" s="93" t="inlineStr"/>
      <c r="G231" s="93" t="inlineStr"/>
      <c r="H231" s="93" t="inlineStr"/>
      <c r="I231" s="93" t="inlineStr"/>
      <c r="J231" s="93" t="str">
        <f>IF(AND(ISNUMBER(H231),ISNUMBER(I231),I231&gt;0),H231/I231,"")</f>
        <v/>
      </c>
      <c r="K231" s="93" t="inlineStr">
        <is>
          <t>پنجره مشترک</t>
        </is>
      </c>
      <c r="L231" s="93" t="inlineStr">
        <is>
          <t>1403/12/29</t>
        </is>
      </c>
      <c r="M231" s="93" t="inlineStr">
        <is>
          <t>1404/12/29</t>
        </is>
      </c>
      <c r="N231" s="93" t="inlineStr">
        <is>
          <t>بله</t>
        </is>
      </c>
      <c r="O231" s="93" t="inlineStr">
        <is>
          <t>ناکافی</t>
        </is>
      </c>
      <c r="P231" s="93" t="inlineStr">
        <is>
          <t>منبع در دسترس نبود</t>
        </is>
      </c>
      <c r="Q231" s="93" t="inlineStr"/>
      <c r="R231" s="93" t="inlineStr"/>
      <c r="S231" s="93" t="inlineStr">
        <is>
          <t>فهرست اسمی مبنا در بسته شواهد v41 است که در این جلسه ارائه نشد؛ شمار تجمیعی مستر برای افراد یکتا کافی نیست</t>
        </is>
      </c>
      <c r="T231" s="93" t="inlineStr">
        <is>
          <t>Snapshot Members v42؛ Person Flows v42</t>
        </is>
      </c>
    </row>
    <row r="232" ht="44" customHeight="1" s="76">
      <c r="A232" s="93" t="inlineStr">
        <is>
          <t>وامید</t>
        </is>
      </c>
      <c r="B232" s="93" t="inlineStr">
        <is>
          <t>UPR1</t>
        </is>
      </c>
      <c r="C232" s="93" t="inlineStr">
        <is>
          <t>نرخ ماندگاری افراد یکتا</t>
        </is>
      </c>
      <c r="D232" s="93" t="inlineStr">
        <is>
          <t>جدید؛ کد غیرمتداخل</t>
        </is>
      </c>
      <c r="E232" s="93" t="inlineStr">
        <is>
          <t>صورت: افراد حاضر در هر دو مقطع؛ مخرج: اعضای فعال مبنا</t>
        </is>
      </c>
      <c r="F232" s="93" t="inlineStr"/>
      <c r="G232" s="93" t="inlineStr"/>
      <c r="H232" s="93" t="inlineStr"/>
      <c r="I232" s="93" t="inlineStr"/>
      <c r="J232" s="93" t="str">
        <f>IF(AND(ISNUMBER(H232),ISNUMBER(I232),I232&gt;0),H232/I232,"")</f>
        <v/>
      </c>
      <c r="K232" s="93" t="inlineStr">
        <is>
          <t>پنجره مشترک</t>
        </is>
      </c>
      <c r="L232" s="93" t="inlineStr">
        <is>
          <t>1403/12/29</t>
        </is>
      </c>
      <c r="M232" s="93" t="inlineStr">
        <is>
          <t>1404/12/29</t>
        </is>
      </c>
      <c r="N232" s="93" t="inlineStr">
        <is>
          <t>بله</t>
        </is>
      </c>
      <c r="O232" s="93" t="inlineStr">
        <is>
          <t>ناکافی</t>
        </is>
      </c>
      <c r="P232" s="93" t="inlineStr">
        <is>
          <t>منبع در دسترس نبود</t>
        </is>
      </c>
      <c r="Q232" s="93" t="inlineStr"/>
      <c r="R232" s="93" t="inlineStr"/>
      <c r="S232" s="93" t="inlineStr">
        <is>
          <t>فهرست اسمی مبنا در بسته شواهد v41 است که در این جلسه ارائه نشد؛ شمار تجمیعی مستر برای افراد یکتا کافی نیست</t>
        </is>
      </c>
      <c r="T232" s="93" t="inlineStr">
        <is>
          <t>Snapshot Members v42؛ Person Flows v42</t>
        </is>
      </c>
    </row>
    <row r="233" ht="44" customHeight="1" s="76">
      <c r="A233" s="92" t="inlineStr">
        <is>
          <t>وامید</t>
        </is>
      </c>
      <c r="B233" s="92" t="inlineStr">
        <is>
          <t>UPF1</t>
        </is>
      </c>
      <c r="C233" s="92" t="inlineStr">
        <is>
          <t>افراد یکتا در نمای مالی (FY1403 تا FY1404)</t>
        </is>
      </c>
      <c r="D233" s="92" t="inlineStr">
        <is>
          <t>جدید؛ نمای مالی</t>
        </is>
      </c>
      <c r="E233" s="92" t="inlineStr">
        <is>
          <t>همان سه نسبت UPX1 و UPN1 و UPR1 ولی بین پایان FY1403 و FY1404 هر شرکت؛ فقط با دو فهرست کامل معتبر</t>
        </is>
      </c>
      <c r="F233" s="92" t="inlineStr"/>
      <c r="G233" s="92" t="inlineStr"/>
      <c r="H233" s="92" t="inlineStr"/>
      <c r="I233" s="92" t="inlineStr"/>
      <c r="J233" s="92" t="str">
        <f>IF(AND(ISNUMBER(H233),ISNUMBER(I233),I233&gt;0),H233/I233,"")</f>
        <v/>
      </c>
      <c r="K233" s="92" t="inlineStr">
        <is>
          <t>نمای مالی</t>
        </is>
      </c>
      <c r="L233" s="92" t="inlineStr">
        <is>
          <t>1403/10/30</t>
        </is>
      </c>
      <c r="M233" s="92" t="inlineStr">
        <is>
          <t>1404/10/30</t>
        </is>
      </c>
      <c r="N233" s="92" t="inlineStr">
        <is>
          <t>بله</t>
        </is>
      </c>
      <c r="O233" s="92" t="inlineStr">
        <is>
          <t>ناکافی</t>
        </is>
      </c>
      <c r="P233" s="92" t="inlineStr">
        <is>
          <t>هنوز بررسی نشده</t>
        </is>
      </c>
      <c r="Q233" s="92" t="inlineStr"/>
      <c r="R233" s="92" t="inlineStr"/>
      <c r="S233" s="92" t="inlineStr">
        <is>
          <t>فهرست اسمی پایان FY1403 در فایل نیست؛ نتیجه نمای مالی نامشخص ماند و عدد پنجره مشترک جای آن نیامد</t>
        </is>
      </c>
      <c r="T233" s="92" t="inlineStr">
        <is>
          <t>Scope v42</t>
        </is>
      </c>
    </row>
    <row r="234" ht="48" customHeight="1" s="76">
      <c r="A234" s="92" t="inlineStr">
        <is>
          <t>خساپا</t>
        </is>
      </c>
      <c r="B234" s="92" t="inlineStr">
        <is>
          <t>REF05</t>
        </is>
      </c>
      <c r="C234" s="92" t="inlineStr">
        <is>
          <t>گردش فردی مبتنی بر کرسی</t>
        </is>
      </c>
      <c r="D234" s="92" t="inlineStr">
        <is>
          <t>قدیمی؛ تعریف حفظ شده</t>
        </is>
      </c>
      <c r="E234" s="92" t="inlineStr">
        <is>
          <t>صورت: کرسی های قابل مقایسه که شخص نامبرده در دو مقطع فرق دارد؛ مخرج: کرسی های قابل مقایسه (مبنای نامبرده). کرسی حقیقی مستقیم در سطح فرد</t>
        </is>
      </c>
      <c r="F234" s="92" t="n">
        <v>3</v>
      </c>
      <c r="G234" s="92" t="n">
        <v>5</v>
      </c>
      <c r="H234" s="92" t="n">
        <v>3</v>
      </c>
      <c r="I234" s="92" t="n">
        <v>5</v>
      </c>
      <c r="J234" s="92">
        <f>IF(AND(ISNUMBER(H234),ISNUMBER(I234),I234&gt;0),H234/I234,"")</f>
        <v>0.6</v>
      </c>
      <c r="K234" s="92" t="inlineStr">
        <is>
          <t>پنجره مشترک</t>
        </is>
      </c>
      <c r="L234" s="92" t="inlineStr">
        <is>
          <t>1403/12/29</t>
        </is>
      </c>
      <c r="M234" s="92" t="inlineStr">
        <is>
          <t>1404/12/29</t>
        </is>
      </c>
      <c r="N234" s="92" t="inlineStr">
        <is>
          <t>بله</t>
        </is>
      </c>
      <c r="O234" s="92" t="inlineStr">
        <is>
          <t>کامل</t>
        </is>
      </c>
      <c r="P234" s="92" t="inlineStr">
        <is>
          <t>تایید جزئی</t>
        </is>
      </c>
      <c r="Q234" s="92" t="inlineStr">
        <is>
          <t>3 از 5</t>
        </is>
      </c>
      <c r="R234" s="92" t="inlineStr">
        <is>
          <t>برابر</t>
        </is>
      </c>
      <c r="S234" s="92" t="inlineStr">
        <is>
          <t>بازتولید با تعریف تاریخی از بازسازی سطح کرسی v38؛ سند اصلی در این جلسه بازدریافت نشد</t>
        </is>
      </c>
      <c r="T234" s="92" t="inlineStr">
        <is>
          <t>Turnover نهایی G27 و H27</t>
        </is>
      </c>
    </row>
    <row r="235" ht="48" customHeight="1" s="76">
      <c r="A235" s="92" t="inlineStr">
        <is>
          <t>خساپا</t>
        </is>
      </c>
      <c r="B235" s="92" t="inlineStr">
        <is>
          <t>REF08</t>
        </is>
      </c>
      <c r="C235" s="92" t="inlineStr">
        <is>
          <t>تغییر نماینده با شخص حقوقی ثابت</t>
        </is>
      </c>
      <c r="D235" s="92" t="inlineStr">
        <is>
          <t>قدیمی؛ تعریف حفظ شده</t>
        </is>
      </c>
      <c r="E235" s="92" t="inlineStr">
        <is>
          <t>صورت: کرسی با همان شخص حقوقی که نماینده فرق دارد؛ مخرج: کرسی های با همان شخص حقوقی و نماینده معلوم در هر دو مقطع</t>
        </is>
      </c>
      <c r="F235" s="92" t="n">
        <v>3</v>
      </c>
      <c r="G235" s="92" t="n">
        <v>5</v>
      </c>
      <c r="H235" s="92" t="n">
        <v>3</v>
      </c>
      <c r="I235" s="92" t="n">
        <v>5</v>
      </c>
      <c r="J235" s="92">
        <f>IF(AND(ISNUMBER(H235),ISNUMBER(I235),I235&gt;0),H235/I235,"")</f>
        <v>0.6</v>
      </c>
      <c r="K235" s="92" t="inlineStr">
        <is>
          <t>پنجره مشترک</t>
        </is>
      </c>
      <c r="L235" s="92" t="inlineStr">
        <is>
          <t>1403/12/29</t>
        </is>
      </c>
      <c r="M235" s="92" t="inlineStr">
        <is>
          <t>1404/12/29</t>
        </is>
      </c>
      <c r="N235" s="92" t="inlineStr">
        <is>
          <t>بله</t>
        </is>
      </c>
      <c r="O235" s="92" t="inlineStr">
        <is>
          <t>کامل</t>
        </is>
      </c>
      <c r="P235" s="92" t="inlineStr">
        <is>
          <t>تایید جزئی</t>
        </is>
      </c>
      <c r="Q235" s="92" t="inlineStr">
        <is>
          <t>3 از 5</t>
        </is>
      </c>
      <c r="R235" s="92" t="inlineStr">
        <is>
          <t>برابر</t>
        </is>
      </c>
      <c r="S235" s="92" t="inlineStr">
        <is>
          <t>بازتولید با تعریف تاریخی از بازسازی سطح کرسی v38؛ سند اصلی در این جلسه بازدریافت نشد</t>
        </is>
      </c>
      <c r="T235" s="92" t="inlineStr">
        <is>
          <t>Turnover نهایی J27 و K27</t>
        </is>
      </c>
    </row>
    <row r="236" ht="48" customHeight="1" s="76">
      <c r="A236" s="92" t="inlineStr">
        <is>
          <t>خساپا</t>
        </is>
      </c>
      <c r="B236" s="92" t="inlineStr">
        <is>
          <t>ROB_LEGAL</t>
        </is>
      </c>
      <c r="C236" s="92" t="inlineStr">
        <is>
          <t>تغییر شخص حقوقی دارنده کرسی</t>
        </is>
      </c>
      <c r="D236" s="92" t="inlineStr">
        <is>
          <t>قدیمی؛ تعریف حفظ شده</t>
        </is>
      </c>
      <c r="E236" s="92" t="inlineStr">
        <is>
          <t>صورت: کرسی هایی که شخص حقوقی دارنده فرق دارد؛ مخرج: کرسی های موجود در هر دو مقطع</t>
        </is>
      </c>
      <c r="F236" s="92" t="n">
        <v>0</v>
      </c>
      <c r="G236" s="92" t="n">
        <v>5</v>
      </c>
      <c r="H236" s="92" t="n">
        <v>0</v>
      </c>
      <c r="I236" s="92" t="n">
        <v>5</v>
      </c>
      <c r="J236" s="92">
        <f>IF(AND(ISNUMBER(H236),ISNUMBER(I236),I236&gt;0),H236/I236,"")</f>
        <v>0.0</v>
      </c>
      <c r="K236" s="92" t="inlineStr">
        <is>
          <t>پنجره مشترک</t>
        </is>
      </c>
      <c r="L236" s="92" t="inlineStr">
        <is>
          <t>1403/12/29</t>
        </is>
      </c>
      <c r="M236" s="92" t="inlineStr">
        <is>
          <t>1404/12/29</t>
        </is>
      </c>
      <c r="N236" s="92" t="inlineStr">
        <is>
          <t>بله</t>
        </is>
      </c>
      <c r="O236" s="92" t="inlineStr">
        <is>
          <t>کامل</t>
        </is>
      </c>
      <c r="P236" s="92" t="inlineStr">
        <is>
          <t>تایید جزئی</t>
        </is>
      </c>
      <c r="Q236" s="92" t="inlineStr">
        <is>
          <t>0 از 5</t>
        </is>
      </c>
      <c r="R236" s="92" t="inlineStr">
        <is>
          <t>برابر</t>
        </is>
      </c>
      <c r="S236" s="92" t="inlineStr">
        <is>
          <t>بازتولید با تعریف تاریخی از بازسازی سطح کرسی v38؛ سند اصلی در این جلسه بازدریافت نشد</t>
        </is>
      </c>
      <c r="T236" s="92" t="inlineStr">
        <is>
          <t>Turnover نهایی M27 و N27</t>
        </is>
      </c>
    </row>
    <row r="237" ht="48" customHeight="1" s="76">
      <c r="A237" s="92" t="inlineStr">
        <is>
          <t>خساپا</t>
        </is>
      </c>
      <c r="B237" s="92" t="inlineStr">
        <is>
          <t>ROB_NEW</t>
        </is>
      </c>
      <c r="C237" s="92" t="inlineStr">
        <is>
          <t>سهم اعضای جدید</t>
        </is>
      </c>
      <c r="D237" s="92" t="inlineStr">
        <is>
          <t>قدیمی؛ تعریف حفظ شده</t>
        </is>
      </c>
      <c r="E237" s="92" t="inlineStr">
        <is>
          <t>صورت: افراد پایان که در مبنا نبودند؛ مخرج: افراد پایان</t>
        </is>
      </c>
      <c r="F237" s="92" t="n">
        <v>2</v>
      </c>
      <c r="G237" s="92" t="n">
        <v>5</v>
      </c>
      <c r="H237" s="92" t="n">
        <v>2</v>
      </c>
      <c r="I237" s="92" t="n">
        <v>5</v>
      </c>
      <c r="J237" s="92">
        <f>IF(AND(ISNUMBER(H237),ISNUMBER(I237),I237&gt;0),H237/I237,"")</f>
        <v>0.4</v>
      </c>
      <c r="K237" s="92" t="inlineStr">
        <is>
          <t>پنجره مشترک</t>
        </is>
      </c>
      <c r="L237" s="92" t="inlineStr">
        <is>
          <t>1403/12/29</t>
        </is>
      </c>
      <c r="M237" s="92" t="inlineStr">
        <is>
          <t>1404/12/29</t>
        </is>
      </c>
      <c r="N237" s="92" t="inlineStr">
        <is>
          <t>بله</t>
        </is>
      </c>
      <c r="O237" s="92" t="inlineStr">
        <is>
          <t>کامل</t>
        </is>
      </c>
      <c r="P237" s="92" t="inlineStr">
        <is>
          <t>تایید جزئی</t>
        </is>
      </c>
      <c r="Q237" s="92" t="inlineStr">
        <is>
          <t>2 از 5</t>
        </is>
      </c>
      <c r="R237" s="92" t="inlineStr">
        <is>
          <t>برابر</t>
        </is>
      </c>
      <c r="S237" s="92" t="inlineStr">
        <is>
          <t>بازتولید با تعریف تاریخی از بازسازی سطح کرسی v38؛ سند اصلی در این جلسه بازدریافت نشد</t>
        </is>
      </c>
      <c r="T237" s="92" t="inlineStr">
        <is>
          <t>Turnover نهایی P27 و Q27</t>
        </is>
      </c>
    </row>
    <row r="238" ht="48" customHeight="1" s="76">
      <c r="A238" s="92" t="inlineStr">
        <is>
          <t>خساپا</t>
        </is>
      </c>
      <c r="B238" s="92" t="inlineStr">
        <is>
          <t>ROB_STABILITY</t>
        </is>
      </c>
      <c r="C238" s="92" t="inlineStr">
        <is>
          <t>ثبات کرسی با همان شخص</t>
        </is>
      </c>
      <c r="D238" s="92" t="inlineStr">
        <is>
          <t>قدیمی؛ تعریف حفظ شده</t>
        </is>
      </c>
      <c r="E238" s="92" t="inlineStr">
        <is>
          <t>صورت: کرسی های قابل مقایسه با همان شخص؛ مخرج: کرسی های قابل مقایسه</t>
        </is>
      </c>
      <c r="F238" s="92" t="n">
        <v>2</v>
      </c>
      <c r="G238" s="92" t="n">
        <v>5</v>
      </c>
      <c r="H238" s="92" t="n">
        <v>2</v>
      </c>
      <c r="I238" s="92" t="n">
        <v>5</v>
      </c>
      <c r="J238" s="92">
        <f>IF(AND(ISNUMBER(H238),ISNUMBER(I238),I238&gt;0),H238/I238,"")</f>
        <v>0.4</v>
      </c>
      <c r="K238" s="92" t="inlineStr">
        <is>
          <t>پنجره مشترک</t>
        </is>
      </c>
      <c r="L238" s="92" t="inlineStr">
        <is>
          <t>1403/12/29</t>
        </is>
      </c>
      <c r="M238" s="92" t="inlineStr">
        <is>
          <t>1404/12/29</t>
        </is>
      </c>
      <c r="N238" s="92" t="inlineStr">
        <is>
          <t>بله</t>
        </is>
      </c>
      <c r="O238" s="92" t="inlineStr">
        <is>
          <t>کامل</t>
        </is>
      </c>
      <c r="P238" s="92" t="inlineStr">
        <is>
          <t>تایید جزئی</t>
        </is>
      </c>
      <c r="Q238" s="92" t="inlineStr">
        <is>
          <t>2 از 5</t>
        </is>
      </c>
      <c r="R238" s="92" t="inlineStr">
        <is>
          <t>برابر</t>
        </is>
      </c>
      <c r="S238" s="92" t="inlineStr">
        <is>
          <t>بازتولید با تعریف تاریخی از بازسازی سطح کرسی v38؛ سند اصلی در این جلسه بازدریافت نشد</t>
        </is>
      </c>
      <c r="T238" s="92" t="inlineStr">
        <is>
          <t>Turnover نهایی S27 و T27</t>
        </is>
      </c>
    </row>
    <row r="239" ht="48" customHeight="1" s="76">
      <c r="A239" s="92" t="inlineStr">
        <is>
          <t>خساپا</t>
        </is>
      </c>
      <c r="B239" s="92" t="inlineStr">
        <is>
          <t>CR1A</t>
        </is>
      </c>
      <c r="C239" s="92" t="inlineStr">
        <is>
          <t>تغییر رئیس هیئت مدیره بین دو مقطع</t>
        </is>
      </c>
      <c r="D239" s="92" t="inlineStr">
        <is>
          <t>قدیمی؛ تعریف حفظ شده</t>
        </is>
      </c>
      <c r="E239" s="92" t="inlineStr">
        <is>
          <t>صورت: 1 اگر هویت رئیس در دو مقطع فرق دارد؛ مخرج: 1. جدا از تعداد رویدادهای میانی</t>
        </is>
      </c>
      <c r="F239" s="92" t="n">
        <v>0</v>
      </c>
      <c r="G239" s="92" t="n">
        <v>1</v>
      </c>
      <c r="H239" s="92" t="n">
        <v>0</v>
      </c>
      <c r="I239" s="92" t="n">
        <v>1</v>
      </c>
      <c r="J239" s="92">
        <f>IF(AND(ISNUMBER(H239),ISNUMBER(I239),I239&gt;0),H239/I239,"")</f>
        <v>0.0</v>
      </c>
      <c r="K239" s="92" t="inlineStr">
        <is>
          <t>پنجره مشترک</t>
        </is>
      </c>
      <c r="L239" s="92" t="inlineStr">
        <is>
          <t>1403/12/29</t>
        </is>
      </c>
      <c r="M239" s="92" t="inlineStr">
        <is>
          <t>1404/12/29</t>
        </is>
      </c>
      <c r="N239" s="92" t="inlineStr">
        <is>
          <t>بله</t>
        </is>
      </c>
      <c r="O239" s="92" t="inlineStr">
        <is>
          <t>کامل</t>
        </is>
      </c>
      <c r="P239" s="92" t="inlineStr">
        <is>
          <t>تایید جزئی</t>
        </is>
      </c>
      <c r="Q239" s="92" t="inlineStr">
        <is>
          <t>رئیس مبنا کورش پرویزیان؛ رئیس پایان کورش پرویزیان</t>
        </is>
      </c>
      <c r="R239" s="92" t="inlineStr">
        <is>
          <t>برابر</t>
        </is>
      </c>
      <c r="S239" s="92" t="inlineStr">
        <is>
          <t>مقایسه هویت رئیس در دو مقطع از بازسازی سطح کرسی v38؛ تعداد رویدادهای میانی جدا در Turnover Events v42</t>
        </is>
      </c>
      <c r="T239" s="92" t="inlineStr">
        <is>
          <t>Turnover نهایی V27؛ CR1A v39 ردیف 27</t>
        </is>
      </c>
    </row>
    <row r="240" ht="44" customHeight="1" s="76">
      <c r="A240" s="92" t="inlineStr">
        <is>
          <t>خساپا</t>
        </is>
      </c>
      <c r="B240" s="92" t="inlineStr">
        <is>
          <t>UPX1</t>
        </is>
      </c>
      <c r="C240" s="92" t="inlineStr">
        <is>
          <t>نرخ خروج افراد یکتا</t>
        </is>
      </c>
      <c r="D240" s="92" t="inlineStr">
        <is>
          <t>جدید؛ کد غیرمتداخل</t>
        </is>
      </c>
      <c r="E240" s="92" t="inlineStr">
        <is>
          <t>صورت: افراد حاضر در مبنا و غایب در پایان؛ مخرج: اعضای فعال مبنا</t>
        </is>
      </c>
      <c r="F240" s="92" t="inlineStr"/>
      <c r="G240" s="92" t="inlineStr"/>
      <c r="H240" s="92" t="n">
        <v>2</v>
      </c>
      <c r="I240" s="92" t="n">
        <v>5</v>
      </c>
      <c r="J240" s="92">
        <f>IF(AND(ISNUMBER(H240),ISNUMBER(I240),I240&gt;0),H240/I240,"")</f>
        <v>0.4</v>
      </c>
      <c r="K240" s="92" t="inlineStr">
        <is>
          <t>پنجره مشترک</t>
        </is>
      </c>
      <c r="L240" s="92" t="inlineStr">
        <is>
          <t>1403/12/29</t>
        </is>
      </c>
      <c r="M240" s="92" t="inlineStr">
        <is>
          <t>1404/12/29</t>
        </is>
      </c>
      <c r="N240" s="92" t="inlineStr">
        <is>
          <t>بله</t>
        </is>
      </c>
      <c r="O240" s="92" t="inlineStr">
        <is>
          <t>کامل</t>
        </is>
      </c>
      <c r="P240" s="92" t="inlineStr">
        <is>
          <t>تایید جزئی</t>
        </is>
      </c>
      <c r="Q240" s="92" t="inlineStr">
        <is>
          <t>2 از 5</t>
        </is>
      </c>
      <c r="R240" s="92" t="inlineStr"/>
      <c r="S240" s="92" t="inlineStr">
        <is>
          <t>هر دو فهرست اسمی کامل؛ هویت ها با نام یکسان سازی شده در همان شرکت مطابقت داده شد</t>
        </is>
      </c>
      <c r="T240" s="92" t="inlineStr">
        <is>
          <t>Snapshot Members v42؛ Person Flows v42</t>
        </is>
      </c>
    </row>
    <row r="241" ht="44" customHeight="1" s="76">
      <c r="A241" s="92" t="inlineStr">
        <is>
          <t>خساپا</t>
        </is>
      </c>
      <c r="B241" s="92" t="inlineStr">
        <is>
          <t>UPN1</t>
        </is>
      </c>
      <c r="C241" s="92" t="inlineStr">
        <is>
          <t>سهم افراد واردشده</t>
        </is>
      </c>
      <c r="D241" s="92" t="inlineStr">
        <is>
          <t>جدید؛ کد غیرمتداخل</t>
        </is>
      </c>
      <c r="E241" s="92" t="inlineStr">
        <is>
          <t>صورت: افراد حاضر در پایان و غایب در مبنا؛ مخرج: اعضای فعال پایان</t>
        </is>
      </c>
      <c r="F241" s="92" t="inlineStr"/>
      <c r="G241" s="92" t="inlineStr"/>
      <c r="H241" s="92" t="n">
        <v>2</v>
      </c>
      <c r="I241" s="92" t="n">
        <v>5</v>
      </c>
      <c r="J241" s="92">
        <f>IF(AND(ISNUMBER(H241),ISNUMBER(I241),I241&gt;0),H241/I241,"")</f>
        <v>0.4</v>
      </c>
      <c r="K241" s="92" t="inlineStr">
        <is>
          <t>پنجره مشترک</t>
        </is>
      </c>
      <c r="L241" s="92" t="inlineStr">
        <is>
          <t>1403/12/29</t>
        </is>
      </c>
      <c r="M241" s="92" t="inlineStr">
        <is>
          <t>1404/12/29</t>
        </is>
      </c>
      <c r="N241" s="92" t="inlineStr">
        <is>
          <t>بله</t>
        </is>
      </c>
      <c r="O241" s="92" t="inlineStr">
        <is>
          <t>کامل</t>
        </is>
      </c>
      <c r="P241" s="92" t="inlineStr">
        <is>
          <t>تایید جزئی</t>
        </is>
      </c>
      <c r="Q241" s="92" t="inlineStr">
        <is>
          <t>2 از 5</t>
        </is>
      </c>
      <c r="R241" s="92" t="inlineStr"/>
      <c r="S241" s="92" t="inlineStr">
        <is>
          <t>هر دو فهرست اسمی کامل؛ هویت ها با نام یکسان سازی شده در همان شرکت مطابقت داده شد</t>
        </is>
      </c>
      <c r="T241" s="92" t="inlineStr">
        <is>
          <t>Snapshot Members v42؛ Person Flows v42</t>
        </is>
      </c>
    </row>
    <row r="242" ht="44" customHeight="1" s="76">
      <c r="A242" s="92" t="inlineStr">
        <is>
          <t>خساپا</t>
        </is>
      </c>
      <c r="B242" s="92" t="inlineStr">
        <is>
          <t>UPR1</t>
        </is>
      </c>
      <c r="C242" s="92" t="inlineStr">
        <is>
          <t>نرخ ماندگاری افراد یکتا</t>
        </is>
      </c>
      <c r="D242" s="92" t="inlineStr">
        <is>
          <t>جدید؛ کد غیرمتداخل</t>
        </is>
      </c>
      <c r="E242" s="92" t="inlineStr">
        <is>
          <t>صورت: افراد حاضر در هر دو مقطع؛ مخرج: اعضای فعال مبنا</t>
        </is>
      </c>
      <c r="F242" s="92" t="inlineStr"/>
      <c r="G242" s="92" t="inlineStr"/>
      <c r="H242" s="92" t="n">
        <v>3</v>
      </c>
      <c r="I242" s="92" t="n">
        <v>5</v>
      </c>
      <c r="J242" s="92">
        <f>IF(AND(ISNUMBER(H242),ISNUMBER(I242),I242&gt;0),H242/I242,"")</f>
        <v>0.6</v>
      </c>
      <c r="K242" s="92" t="inlineStr">
        <is>
          <t>پنجره مشترک</t>
        </is>
      </c>
      <c r="L242" s="92" t="inlineStr">
        <is>
          <t>1403/12/29</t>
        </is>
      </c>
      <c r="M242" s="92" t="inlineStr">
        <is>
          <t>1404/12/29</t>
        </is>
      </c>
      <c r="N242" s="92" t="inlineStr">
        <is>
          <t>بله</t>
        </is>
      </c>
      <c r="O242" s="92" t="inlineStr">
        <is>
          <t>کامل</t>
        </is>
      </c>
      <c r="P242" s="92" t="inlineStr">
        <is>
          <t>تایید جزئی</t>
        </is>
      </c>
      <c r="Q242" s="92" t="inlineStr">
        <is>
          <t>3 از 5</t>
        </is>
      </c>
      <c r="R242" s="92" t="inlineStr"/>
      <c r="S242" s="92" t="inlineStr">
        <is>
          <t>هر دو فهرست اسمی کامل؛ هویت ها با نام یکسان سازی شده در همان شرکت مطابقت داده شد</t>
        </is>
      </c>
      <c r="T242" s="92" t="inlineStr">
        <is>
          <t>Snapshot Members v42؛ Person Flows v42</t>
        </is>
      </c>
    </row>
    <row r="243" ht="44" customHeight="1" s="76">
      <c r="A243" s="92" t="inlineStr">
        <is>
          <t>خساپا</t>
        </is>
      </c>
      <c r="B243" s="92" t="inlineStr">
        <is>
          <t>UPF1</t>
        </is>
      </c>
      <c r="C243" s="92" t="inlineStr">
        <is>
          <t>افراد یکتا در نمای مالی (FY1403 تا FY1404)</t>
        </is>
      </c>
      <c r="D243" s="92" t="inlineStr">
        <is>
          <t>جدید؛ نمای مالی</t>
        </is>
      </c>
      <c r="E243" s="92" t="inlineStr">
        <is>
          <t>همان سه نسبت UPX1 و UPN1 و UPR1 ولی بین پایان FY1403 و FY1404 هر شرکت؛ فقط با دو فهرست کامل معتبر</t>
        </is>
      </c>
      <c r="F243" s="92" t="inlineStr"/>
      <c r="G243" s="92" t="inlineStr"/>
      <c r="H243" s="92" t="inlineStr"/>
      <c r="I243" s="92" t="inlineStr"/>
      <c r="J243" s="92" t="str">
        <f>IF(AND(ISNUMBER(H243),ISNUMBER(I243),I243&gt;0),H243/I243,"")</f>
        <v/>
      </c>
      <c r="K243" s="92" t="inlineStr">
        <is>
          <t>نمای مالی</t>
        </is>
      </c>
      <c r="L243" s="92" t="inlineStr">
        <is>
          <t>1403/12/30</t>
        </is>
      </c>
      <c r="M243" s="92" t="inlineStr">
        <is>
          <t>1404/12/29</t>
        </is>
      </c>
      <c r="N243" s="92" t="inlineStr">
        <is>
          <t>بله</t>
        </is>
      </c>
      <c r="O243" s="92" t="inlineStr">
        <is>
          <t>ناکافی</t>
        </is>
      </c>
      <c r="P243" s="92" t="inlineStr">
        <is>
          <t>هنوز بررسی نشده</t>
        </is>
      </c>
      <c r="Q243" s="92" t="inlineStr"/>
      <c r="R243" s="92" t="inlineStr"/>
      <c r="S243" s="92" t="inlineStr">
        <is>
          <t>فهرست اسمی پایان FY1403 در فایل نیست؛ نتیجه نمای مالی نامشخص ماند و عدد پنجره مشترک جای آن نیامد</t>
        </is>
      </c>
      <c r="T243" s="92" t="inlineStr">
        <is>
          <t>Scope v42</t>
        </is>
      </c>
    </row>
    <row r="244" ht="48" customHeight="1" s="76">
      <c r="A244" s="92" t="inlineStr">
        <is>
          <t>همراه</t>
        </is>
      </c>
      <c r="B244" s="92" t="inlineStr">
        <is>
          <t>REF05</t>
        </is>
      </c>
      <c r="C244" s="92" t="inlineStr">
        <is>
          <t>گردش فردی مبتنی بر کرسی</t>
        </is>
      </c>
      <c r="D244" s="92" t="inlineStr">
        <is>
          <t>قدیمی؛ تعریف حفظ شده</t>
        </is>
      </c>
      <c r="E244" s="92" t="inlineStr">
        <is>
          <t>صورت: کرسی های قابل مقایسه که شخص نامبرده در دو مقطع فرق دارد؛ مخرج: کرسی های قابل مقایسه (مبنای نامبرده). کرسی حقیقی مستقیم در سطح فرد</t>
        </is>
      </c>
      <c r="F244" s="92" t="n">
        <v>0</v>
      </c>
      <c r="G244" s="92" t="n">
        <v>5</v>
      </c>
      <c r="H244" s="92" t="n">
        <v>0</v>
      </c>
      <c r="I244" s="92" t="n">
        <v>5</v>
      </c>
      <c r="J244" s="92">
        <f>IF(AND(ISNUMBER(H244),ISNUMBER(I244),I244&gt;0),H244/I244,"")</f>
        <v>0.0</v>
      </c>
      <c r="K244" s="92" t="inlineStr">
        <is>
          <t>پنجره مشترک</t>
        </is>
      </c>
      <c r="L244" s="92" t="inlineStr">
        <is>
          <t>1403/12/29</t>
        </is>
      </c>
      <c r="M244" s="92" t="inlineStr">
        <is>
          <t>1404/12/29</t>
        </is>
      </c>
      <c r="N244" s="92" t="inlineStr">
        <is>
          <t>بله</t>
        </is>
      </c>
      <c r="O244" s="92" t="inlineStr">
        <is>
          <t>کامل ارثی</t>
        </is>
      </c>
      <c r="P244" s="92" t="inlineStr">
        <is>
          <t>تایید جزئی</t>
        </is>
      </c>
      <c r="Q244" s="92" t="inlineStr"/>
      <c r="R244" s="92" t="inlineStr">
        <is>
          <t>بازتولید ممکن نشد</t>
        </is>
      </c>
      <c r="S244" s="92" t="inlineStr">
        <is>
          <t>ارثی از مستر؛ فهرست اسمی دو مقطع در دسترس نیست و بازتولید اسمی ممکن نشد</t>
        </is>
      </c>
      <c r="T244" s="92" t="inlineStr">
        <is>
          <t>Turnover نهایی G28 و H28</t>
        </is>
      </c>
    </row>
    <row r="245" ht="48" customHeight="1" s="76">
      <c r="A245" s="92" t="inlineStr">
        <is>
          <t>همراه</t>
        </is>
      </c>
      <c r="B245" s="92" t="inlineStr">
        <is>
          <t>REF08</t>
        </is>
      </c>
      <c r="C245" s="92" t="inlineStr">
        <is>
          <t>تغییر نماینده با شخص حقوقی ثابت</t>
        </is>
      </c>
      <c r="D245" s="92" t="inlineStr">
        <is>
          <t>قدیمی؛ تعریف حفظ شده</t>
        </is>
      </c>
      <c r="E245" s="92" t="inlineStr">
        <is>
          <t>صورت: کرسی با همان شخص حقوقی که نماینده فرق دارد؛ مخرج: کرسی های با همان شخص حقوقی و نماینده معلوم در هر دو مقطع</t>
        </is>
      </c>
      <c r="F245" s="92" t="n">
        <v>0</v>
      </c>
      <c r="G245" s="92" t="n">
        <v>5</v>
      </c>
      <c r="H245" s="92" t="n">
        <v>0</v>
      </c>
      <c r="I245" s="92" t="n">
        <v>5</v>
      </c>
      <c r="J245" s="92">
        <f>IF(AND(ISNUMBER(H245),ISNUMBER(I245),I245&gt;0),H245/I245,"")</f>
        <v>0.0</v>
      </c>
      <c r="K245" s="92" t="inlineStr">
        <is>
          <t>پنجره مشترک</t>
        </is>
      </c>
      <c r="L245" s="92" t="inlineStr">
        <is>
          <t>1403/12/29</t>
        </is>
      </c>
      <c r="M245" s="92" t="inlineStr">
        <is>
          <t>1404/12/29</t>
        </is>
      </c>
      <c r="N245" s="92" t="inlineStr">
        <is>
          <t>بله</t>
        </is>
      </c>
      <c r="O245" s="92" t="inlineStr">
        <is>
          <t>کامل ارثی</t>
        </is>
      </c>
      <c r="P245" s="92" t="inlineStr">
        <is>
          <t>تایید جزئی</t>
        </is>
      </c>
      <c r="Q245" s="92" t="inlineStr"/>
      <c r="R245" s="92" t="inlineStr">
        <is>
          <t>بازتولید ممکن نشد</t>
        </is>
      </c>
      <c r="S245" s="92" t="inlineStr">
        <is>
          <t>ارثی از مستر؛ فهرست اسمی دو مقطع در دسترس نیست و بازتولید اسمی ممکن نشد</t>
        </is>
      </c>
      <c r="T245" s="92" t="inlineStr">
        <is>
          <t>Turnover نهایی J28 و K28</t>
        </is>
      </c>
    </row>
    <row r="246" ht="48" customHeight="1" s="76">
      <c r="A246" s="92" t="inlineStr">
        <is>
          <t>همراه</t>
        </is>
      </c>
      <c r="B246" s="92" t="inlineStr">
        <is>
          <t>ROB_LEGAL</t>
        </is>
      </c>
      <c r="C246" s="92" t="inlineStr">
        <is>
          <t>تغییر شخص حقوقی دارنده کرسی</t>
        </is>
      </c>
      <c r="D246" s="92" t="inlineStr">
        <is>
          <t>قدیمی؛ تعریف حفظ شده</t>
        </is>
      </c>
      <c r="E246" s="92" t="inlineStr">
        <is>
          <t>صورت: کرسی هایی که شخص حقوقی دارنده فرق دارد؛ مخرج: کرسی های موجود در هر دو مقطع</t>
        </is>
      </c>
      <c r="F246" s="92" t="n">
        <v>0</v>
      </c>
      <c r="G246" s="92" t="n">
        <v>5</v>
      </c>
      <c r="H246" s="92" t="n">
        <v>0</v>
      </c>
      <c r="I246" s="92" t="n">
        <v>5</v>
      </c>
      <c r="J246" s="92">
        <f>IF(AND(ISNUMBER(H246),ISNUMBER(I246),I246&gt;0),H246/I246,"")</f>
        <v>0.0</v>
      </c>
      <c r="K246" s="92" t="inlineStr">
        <is>
          <t>پنجره مشترک</t>
        </is>
      </c>
      <c r="L246" s="92" t="inlineStr">
        <is>
          <t>1403/12/29</t>
        </is>
      </c>
      <c r="M246" s="92" t="inlineStr">
        <is>
          <t>1404/12/29</t>
        </is>
      </c>
      <c r="N246" s="92" t="inlineStr">
        <is>
          <t>بله</t>
        </is>
      </c>
      <c r="O246" s="92" t="inlineStr">
        <is>
          <t>کامل ارثی</t>
        </is>
      </c>
      <c r="P246" s="92" t="inlineStr">
        <is>
          <t>تایید جزئی</t>
        </is>
      </c>
      <c r="Q246" s="92" t="inlineStr"/>
      <c r="R246" s="92" t="inlineStr">
        <is>
          <t>بازتولید ممکن نشد</t>
        </is>
      </c>
      <c r="S246" s="92" t="inlineStr">
        <is>
          <t>ارثی از مستر؛ فهرست اسمی دو مقطع در دسترس نیست و بازتولید اسمی ممکن نشد</t>
        </is>
      </c>
      <c r="T246" s="92" t="inlineStr">
        <is>
          <t>Turnover نهایی M28 و N28</t>
        </is>
      </c>
    </row>
    <row r="247" ht="48" customHeight="1" s="76">
      <c r="A247" s="92" t="inlineStr">
        <is>
          <t>همراه</t>
        </is>
      </c>
      <c r="B247" s="92" t="inlineStr">
        <is>
          <t>ROB_NEW</t>
        </is>
      </c>
      <c r="C247" s="92" t="inlineStr">
        <is>
          <t>سهم اعضای جدید</t>
        </is>
      </c>
      <c r="D247" s="92" t="inlineStr">
        <is>
          <t>قدیمی؛ تعریف حفظ شده</t>
        </is>
      </c>
      <c r="E247" s="92" t="inlineStr">
        <is>
          <t>صورت: افراد پایان که در مبنا نبودند؛ مخرج: افراد پایان</t>
        </is>
      </c>
      <c r="F247" s="92" t="n">
        <v>0</v>
      </c>
      <c r="G247" s="92" t="n">
        <v>5</v>
      </c>
      <c r="H247" s="92" t="n">
        <v>0</v>
      </c>
      <c r="I247" s="92" t="n">
        <v>5</v>
      </c>
      <c r="J247" s="92">
        <f>IF(AND(ISNUMBER(H247),ISNUMBER(I247),I247&gt;0),H247/I247,"")</f>
        <v>0.0</v>
      </c>
      <c r="K247" s="92" t="inlineStr">
        <is>
          <t>پنجره مشترک</t>
        </is>
      </c>
      <c r="L247" s="92" t="inlineStr">
        <is>
          <t>1403/12/29</t>
        </is>
      </c>
      <c r="M247" s="92" t="inlineStr">
        <is>
          <t>1404/12/29</t>
        </is>
      </c>
      <c r="N247" s="92" t="inlineStr">
        <is>
          <t>بله</t>
        </is>
      </c>
      <c r="O247" s="92" t="inlineStr">
        <is>
          <t>کامل ارثی</t>
        </is>
      </c>
      <c r="P247" s="92" t="inlineStr">
        <is>
          <t>تایید جزئی</t>
        </is>
      </c>
      <c r="Q247" s="92" t="inlineStr"/>
      <c r="R247" s="92" t="inlineStr">
        <is>
          <t>بازتولید ممکن نشد</t>
        </is>
      </c>
      <c r="S247" s="92" t="inlineStr">
        <is>
          <t>ارثی از مستر؛ فهرست اسمی دو مقطع در دسترس نیست و بازتولید اسمی ممکن نشد</t>
        </is>
      </c>
      <c r="T247" s="92" t="inlineStr">
        <is>
          <t>Turnover نهایی P28 و Q28</t>
        </is>
      </c>
    </row>
    <row r="248" ht="48" customHeight="1" s="76">
      <c r="A248" s="92" t="inlineStr">
        <is>
          <t>همراه</t>
        </is>
      </c>
      <c r="B248" s="92" t="inlineStr">
        <is>
          <t>ROB_STABILITY</t>
        </is>
      </c>
      <c r="C248" s="92" t="inlineStr">
        <is>
          <t>ثبات کرسی با همان شخص</t>
        </is>
      </c>
      <c r="D248" s="92" t="inlineStr">
        <is>
          <t>قدیمی؛ تعریف حفظ شده</t>
        </is>
      </c>
      <c r="E248" s="92" t="inlineStr">
        <is>
          <t>صورت: کرسی های قابل مقایسه با همان شخص؛ مخرج: کرسی های قابل مقایسه</t>
        </is>
      </c>
      <c r="F248" s="92" t="n">
        <v>5</v>
      </c>
      <c r="G248" s="92" t="n">
        <v>5</v>
      </c>
      <c r="H248" s="92" t="n">
        <v>5</v>
      </c>
      <c r="I248" s="92" t="n">
        <v>5</v>
      </c>
      <c r="J248" s="92">
        <f>IF(AND(ISNUMBER(H248),ISNUMBER(I248),I248&gt;0),H248/I248,"")</f>
        <v>1.0</v>
      </c>
      <c r="K248" s="92" t="inlineStr">
        <is>
          <t>پنجره مشترک</t>
        </is>
      </c>
      <c r="L248" s="92" t="inlineStr">
        <is>
          <t>1403/12/29</t>
        </is>
      </c>
      <c r="M248" s="92" t="inlineStr">
        <is>
          <t>1404/12/29</t>
        </is>
      </c>
      <c r="N248" s="92" t="inlineStr">
        <is>
          <t>بله</t>
        </is>
      </c>
      <c r="O248" s="92" t="inlineStr">
        <is>
          <t>کامل ارثی</t>
        </is>
      </c>
      <c r="P248" s="92" t="inlineStr">
        <is>
          <t>تایید جزئی</t>
        </is>
      </c>
      <c r="Q248" s="92" t="inlineStr"/>
      <c r="R248" s="92" t="inlineStr">
        <is>
          <t>بازتولید ممکن نشد</t>
        </is>
      </c>
      <c r="S248" s="92" t="inlineStr">
        <is>
          <t>ارثی از مستر؛ فهرست اسمی دو مقطع در دسترس نیست و بازتولید اسمی ممکن نشد</t>
        </is>
      </c>
      <c r="T248" s="92" t="inlineStr">
        <is>
          <t>Turnover نهایی S28 و T28</t>
        </is>
      </c>
    </row>
    <row r="249" ht="48" customHeight="1" s="76">
      <c r="A249" s="92" t="inlineStr">
        <is>
          <t>همراه</t>
        </is>
      </c>
      <c r="B249" s="92" t="inlineStr">
        <is>
          <t>CR1A</t>
        </is>
      </c>
      <c r="C249" s="92" t="inlineStr">
        <is>
          <t>تغییر رئیس هیئت مدیره بین دو مقطع</t>
        </is>
      </c>
      <c r="D249" s="92" t="inlineStr">
        <is>
          <t>قدیمی؛ تعریف حفظ شده</t>
        </is>
      </c>
      <c r="E249" s="92" t="inlineStr">
        <is>
          <t>صورت: 1 اگر هویت رئیس در دو مقطع فرق دارد؛ مخرج: 1. جدا از تعداد رویدادهای میانی</t>
        </is>
      </c>
      <c r="F249" s="92" t="n">
        <v>0</v>
      </c>
      <c r="G249" s="92" t="n">
        <v>1</v>
      </c>
      <c r="H249" s="92" t="n">
        <v>0</v>
      </c>
      <c r="I249" s="92" t="n">
        <v>1</v>
      </c>
      <c r="J249" s="92">
        <f>IF(AND(ISNUMBER(H249),ISNUMBER(I249),I249&gt;0),H249/I249,"")</f>
        <v>0.0</v>
      </c>
      <c r="K249" s="92" t="inlineStr">
        <is>
          <t>پنجره مشترک</t>
        </is>
      </c>
      <c r="L249" s="92" t="inlineStr">
        <is>
          <t>1403/12/29</t>
        </is>
      </c>
      <c r="M249" s="92" t="inlineStr">
        <is>
          <t>1404/12/29</t>
        </is>
      </c>
      <c r="N249" s="92" t="inlineStr">
        <is>
          <t>بله</t>
        </is>
      </c>
      <c r="O249" s="92" t="inlineStr">
        <is>
          <t>کامل ارثی</t>
        </is>
      </c>
      <c r="P249" s="92" t="inlineStr">
        <is>
          <t>تایید جزئی</t>
        </is>
      </c>
      <c r="Q249" s="92" t="inlineStr"/>
      <c r="R249" s="92" t="inlineStr">
        <is>
          <t>بازتولید ممکن نشد</t>
        </is>
      </c>
      <c r="S249" s="92" t="inlineStr">
        <is>
          <t>ارثی از CR1A v39 (INHERITED_WITH_LIMITATION)؛ تایید مجدد مستقل همه منابع انجام نشد</t>
        </is>
      </c>
      <c r="T249" s="92" t="inlineStr">
        <is>
          <t>Turnover نهایی V28؛ CR1A v39 ردیف 28</t>
        </is>
      </c>
    </row>
    <row r="250" ht="44" customHeight="1" s="76">
      <c r="A250" s="93" t="inlineStr">
        <is>
          <t>همراه</t>
        </is>
      </c>
      <c r="B250" s="93" t="inlineStr">
        <is>
          <t>UPX1</t>
        </is>
      </c>
      <c r="C250" s="93" t="inlineStr">
        <is>
          <t>نرخ خروج افراد یکتا</t>
        </is>
      </c>
      <c r="D250" s="93" t="inlineStr">
        <is>
          <t>جدید؛ کد غیرمتداخل</t>
        </is>
      </c>
      <c r="E250" s="93" t="inlineStr">
        <is>
          <t>صورت: افراد حاضر در مبنا و غایب در پایان؛ مخرج: اعضای فعال مبنا</t>
        </is>
      </c>
      <c r="F250" s="93" t="inlineStr"/>
      <c r="G250" s="93" t="inlineStr"/>
      <c r="H250" s="93" t="inlineStr"/>
      <c r="I250" s="93" t="inlineStr"/>
      <c r="J250" s="93" t="str">
        <f>IF(AND(ISNUMBER(H250),ISNUMBER(I250),I250&gt;0),H250/I250,"")</f>
        <v/>
      </c>
      <c r="K250" s="93" t="inlineStr">
        <is>
          <t>پنجره مشترک</t>
        </is>
      </c>
      <c r="L250" s="93" t="inlineStr">
        <is>
          <t>1403/12/29</t>
        </is>
      </c>
      <c r="M250" s="93" t="inlineStr">
        <is>
          <t>1404/12/29</t>
        </is>
      </c>
      <c r="N250" s="93" t="inlineStr">
        <is>
          <t>بله</t>
        </is>
      </c>
      <c r="O250" s="93" t="inlineStr">
        <is>
          <t>ناکافی</t>
        </is>
      </c>
      <c r="P250" s="93" t="inlineStr">
        <is>
          <t>منبع در دسترس نبود</t>
        </is>
      </c>
      <c r="Q250" s="93" t="inlineStr"/>
      <c r="R250" s="93" t="inlineStr"/>
      <c r="S250" s="93" t="inlineStr">
        <is>
          <t>فهرست اسمی مبنا در بسته شواهد v41 است که در این جلسه ارائه نشد؛ شمار تجمیعی مستر برای افراد یکتا کافی نیست</t>
        </is>
      </c>
      <c r="T250" s="93" t="inlineStr">
        <is>
          <t>Snapshot Members v42؛ Person Flows v42</t>
        </is>
      </c>
    </row>
    <row r="251" ht="44" customHeight="1" s="76">
      <c r="A251" s="93" t="inlineStr">
        <is>
          <t>همراه</t>
        </is>
      </c>
      <c r="B251" s="93" t="inlineStr">
        <is>
          <t>UPN1</t>
        </is>
      </c>
      <c r="C251" s="93" t="inlineStr">
        <is>
          <t>سهم افراد واردشده</t>
        </is>
      </c>
      <c r="D251" s="93" t="inlineStr">
        <is>
          <t>جدید؛ کد غیرمتداخل</t>
        </is>
      </c>
      <c r="E251" s="93" t="inlineStr">
        <is>
          <t>صورت: افراد حاضر در پایان و غایب در مبنا؛ مخرج: اعضای فعال پایان</t>
        </is>
      </c>
      <c r="F251" s="93" t="inlineStr"/>
      <c r="G251" s="93" t="inlineStr"/>
      <c r="H251" s="93" t="inlineStr"/>
      <c r="I251" s="93" t="inlineStr"/>
      <c r="J251" s="93" t="str">
        <f>IF(AND(ISNUMBER(H251),ISNUMBER(I251),I251&gt;0),H251/I251,"")</f>
        <v/>
      </c>
      <c r="K251" s="93" t="inlineStr">
        <is>
          <t>پنجره مشترک</t>
        </is>
      </c>
      <c r="L251" s="93" t="inlineStr">
        <is>
          <t>1403/12/29</t>
        </is>
      </c>
      <c r="M251" s="93" t="inlineStr">
        <is>
          <t>1404/12/29</t>
        </is>
      </c>
      <c r="N251" s="93" t="inlineStr">
        <is>
          <t>بله</t>
        </is>
      </c>
      <c r="O251" s="93" t="inlineStr">
        <is>
          <t>ناکافی</t>
        </is>
      </c>
      <c r="P251" s="93" t="inlineStr">
        <is>
          <t>منبع در دسترس نبود</t>
        </is>
      </c>
      <c r="Q251" s="93" t="inlineStr"/>
      <c r="R251" s="93" t="inlineStr"/>
      <c r="S251" s="93" t="inlineStr">
        <is>
          <t>فهرست اسمی مبنا در بسته شواهد v41 است که در این جلسه ارائه نشد؛ شمار تجمیعی مستر برای افراد یکتا کافی نیست</t>
        </is>
      </c>
      <c r="T251" s="93" t="inlineStr">
        <is>
          <t>Snapshot Members v42؛ Person Flows v42</t>
        </is>
      </c>
    </row>
    <row r="252" ht="44" customHeight="1" s="76">
      <c r="A252" s="93" t="inlineStr">
        <is>
          <t>همراه</t>
        </is>
      </c>
      <c r="B252" s="93" t="inlineStr">
        <is>
          <t>UPR1</t>
        </is>
      </c>
      <c r="C252" s="93" t="inlineStr">
        <is>
          <t>نرخ ماندگاری افراد یکتا</t>
        </is>
      </c>
      <c r="D252" s="93" t="inlineStr">
        <is>
          <t>جدید؛ کد غیرمتداخل</t>
        </is>
      </c>
      <c r="E252" s="93" t="inlineStr">
        <is>
          <t>صورت: افراد حاضر در هر دو مقطع؛ مخرج: اعضای فعال مبنا</t>
        </is>
      </c>
      <c r="F252" s="93" t="inlineStr"/>
      <c r="G252" s="93" t="inlineStr"/>
      <c r="H252" s="93" t="inlineStr"/>
      <c r="I252" s="93" t="inlineStr"/>
      <c r="J252" s="93" t="str">
        <f>IF(AND(ISNUMBER(H252),ISNUMBER(I252),I252&gt;0),H252/I252,"")</f>
        <v/>
      </c>
      <c r="K252" s="93" t="inlineStr">
        <is>
          <t>پنجره مشترک</t>
        </is>
      </c>
      <c r="L252" s="93" t="inlineStr">
        <is>
          <t>1403/12/29</t>
        </is>
      </c>
      <c r="M252" s="93" t="inlineStr">
        <is>
          <t>1404/12/29</t>
        </is>
      </c>
      <c r="N252" s="93" t="inlineStr">
        <is>
          <t>بله</t>
        </is>
      </c>
      <c r="O252" s="93" t="inlineStr">
        <is>
          <t>ناکافی</t>
        </is>
      </c>
      <c r="P252" s="93" t="inlineStr">
        <is>
          <t>منبع در دسترس نبود</t>
        </is>
      </c>
      <c r="Q252" s="93" t="inlineStr"/>
      <c r="R252" s="93" t="inlineStr"/>
      <c r="S252" s="93" t="inlineStr">
        <is>
          <t>فهرست اسمی مبنا در بسته شواهد v41 است که در این جلسه ارائه نشد؛ شمار تجمیعی مستر برای افراد یکتا کافی نیست</t>
        </is>
      </c>
      <c r="T252" s="93" t="inlineStr">
        <is>
          <t>Snapshot Members v42؛ Person Flows v42</t>
        </is>
      </c>
    </row>
    <row r="253" ht="44" customHeight="1" s="76">
      <c r="A253" s="92" t="inlineStr">
        <is>
          <t>همراه</t>
        </is>
      </c>
      <c r="B253" s="92" t="inlineStr">
        <is>
          <t>UPF1</t>
        </is>
      </c>
      <c r="C253" s="92" t="inlineStr">
        <is>
          <t>افراد یکتا در نمای مالی (FY1403 تا FY1404)</t>
        </is>
      </c>
      <c r="D253" s="92" t="inlineStr">
        <is>
          <t>جدید؛ نمای مالی</t>
        </is>
      </c>
      <c r="E253" s="92" t="inlineStr">
        <is>
          <t>همان سه نسبت UPX1 و UPN1 و UPR1 ولی بین پایان FY1403 و FY1404 هر شرکت؛ فقط با دو فهرست کامل معتبر</t>
        </is>
      </c>
      <c r="F253" s="92" t="inlineStr"/>
      <c r="G253" s="92" t="inlineStr"/>
      <c r="H253" s="92" t="inlineStr"/>
      <c r="I253" s="92" t="inlineStr"/>
      <c r="J253" s="92" t="str">
        <f>IF(AND(ISNUMBER(H253),ISNUMBER(I253),I253&gt;0),H253/I253,"")</f>
        <v/>
      </c>
      <c r="K253" s="92" t="inlineStr">
        <is>
          <t>نمای مالی</t>
        </is>
      </c>
      <c r="L253" s="92" t="inlineStr">
        <is>
          <t>1403/12/30</t>
        </is>
      </c>
      <c r="M253" s="92" t="inlineStr">
        <is>
          <t>1404/12/29</t>
        </is>
      </c>
      <c r="N253" s="92" t="inlineStr">
        <is>
          <t>بله</t>
        </is>
      </c>
      <c r="O253" s="92" t="inlineStr">
        <is>
          <t>ناکافی</t>
        </is>
      </c>
      <c r="P253" s="92" t="inlineStr">
        <is>
          <t>هنوز بررسی نشده</t>
        </is>
      </c>
      <c r="Q253" s="92" t="inlineStr"/>
      <c r="R253" s="92" t="inlineStr"/>
      <c r="S253" s="92" t="inlineStr">
        <is>
          <t>فهرست اسمی پایان FY1403 در فایل نیست؛ نتیجه نمای مالی نامشخص ماند و عدد پنجره مشترک جای آن نیامد</t>
        </is>
      </c>
      <c r="T253" s="92" t="inlineStr">
        <is>
          <t>Scope v42</t>
        </is>
      </c>
    </row>
    <row r="254" ht="48" customHeight="1" s="76">
      <c r="A254" s="92" t="inlineStr">
        <is>
          <t>وبملت</t>
        </is>
      </c>
      <c r="B254" s="92" t="inlineStr">
        <is>
          <t>REF05</t>
        </is>
      </c>
      <c r="C254" s="92" t="inlineStr">
        <is>
          <t>گردش فردی مبتنی بر کرسی</t>
        </is>
      </c>
      <c r="D254" s="92" t="inlineStr">
        <is>
          <t>قدیمی؛ تعریف حفظ شده</t>
        </is>
      </c>
      <c r="E254" s="92" t="inlineStr">
        <is>
          <t>صورت: کرسی های قابل مقایسه که شخص نامبرده در دو مقطع فرق دارد؛ مخرج: کرسی های قابل مقایسه (مبنای نامبرده). کرسی حقیقی مستقیم در سطح فرد</t>
        </is>
      </c>
      <c r="F254" s="92" t="n">
        <v>0</v>
      </c>
      <c r="G254" s="92" t="n">
        <v>5</v>
      </c>
      <c r="H254" s="92" t="n">
        <v>0</v>
      </c>
      <c r="I254" s="92" t="n">
        <v>5</v>
      </c>
      <c r="J254" s="92">
        <f>IF(AND(ISNUMBER(H254),ISNUMBER(I254),I254&gt;0),H254/I254,"")</f>
        <v>0.0</v>
      </c>
      <c r="K254" s="92" t="inlineStr">
        <is>
          <t>پنجره مشترک</t>
        </is>
      </c>
      <c r="L254" s="92" t="inlineStr">
        <is>
          <t>1403/12/29</t>
        </is>
      </c>
      <c r="M254" s="92" t="inlineStr">
        <is>
          <t>1404/12/29</t>
        </is>
      </c>
      <c r="N254" s="92" t="inlineStr">
        <is>
          <t>بله</t>
        </is>
      </c>
      <c r="O254" s="92" t="inlineStr">
        <is>
          <t>کامل ارثی</t>
        </is>
      </c>
      <c r="P254" s="92" t="inlineStr">
        <is>
          <t>تایید جزئی</t>
        </is>
      </c>
      <c r="Q254" s="92" t="inlineStr"/>
      <c r="R254" s="92" t="inlineStr">
        <is>
          <t>بازتولید ممکن نشد</t>
        </is>
      </c>
      <c r="S254" s="92" t="inlineStr">
        <is>
          <t>ارثی از مستر؛ فهرست اسمی دو مقطع در دسترس نیست و بازتولید اسمی ممکن نشد</t>
        </is>
      </c>
      <c r="T254" s="92" t="inlineStr">
        <is>
          <t>Turnover نهایی G29 و H29</t>
        </is>
      </c>
    </row>
    <row r="255" ht="48" customHeight="1" s="76">
      <c r="A255" s="92" t="inlineStr">
        <is>
          <t>وبملت</t>
        </is>
      </c>
      <c r="B255" s="92" t="inlineStr">
        <is>
          <t>REF08</t>
        </is>
      </c>
      <c r="C255" s="92" t="inlineStr">
        <is>
          <t>تغییر نماینده با شخص حقوقی ثابت</t>
        </is>
      </c>
      <c r="D255" s="92" t="inlineStr">
        <is>
          <t>قدیمی؛ تعریف حفظ شده</t>
        </is>
      </c>
      <c r="E255" s="92" t="inlineStr">
        <is>
          <t>صورت: کرسی با همان شخص حقوقی که نماینده فرق دارد؛ مخرج: کرسی های با همان شخص حقوقی و نماینده معلوم در هر دو مقطع</t>
        </is>
      </c>
      <c r="F255" s="92" t="inlineStr"/>
      <c r="G255" s="92" t="inlineStr"/>
      <c r="H255" s="92" t="inlineStr"/>
      <c r="I255" s="92" t="inlineStr"/>
      <c r="J255" s="92" t="str">
        <f>IF(AND(ISNUMBER(H255),ISNUMBER(I255),I255&gt;0),H255/I255,"")</f>
        <v/>
      </c>
      <c r="K255" s="92" t="inlineStr">
        <is>
          <t>پنجره مشترک</t>
        </is>
      </c>
      <c r="L255" s="92" t="inlineStr">
        <is>
          <t>1403/12/29</t>
        </is>
      </c>
      <c r="M255" s="92" t="inlineStr">
        <is>
          <t>1404/12/29</t>
        </is>
      </c>
      <c r="N255" s="92" t="inlineStr">
        <is>
          <t>خیر: غیرقابل اعمال</t>
        </is>
      </c>
      <c r="O255" s="92" t="inlineStr">
        <is>
          <t>غیرقابل اعمال</t>
        </is>
      </c>
      <c r="P255" s="92" t="inlineStr">
        <is>
          <t>از نظر تعریف قابل اعمال نیست</t>
        </is>
      </c>
      <c r="Q255" s="92" t="inlineStr"/>
      <c r="R255" s="92" t="inlineStr"/>
      <c r="S255" s="92" t="inlineStr">
        <is>
          <t>کرسی ها عضو حقیقی مستقیم اند؛ شخص حقوقی دارنده وجود ندارد</t>
        </is>
      </c>
      <c r="T255" s="92" t="inlineStr">
        <is>
          <t>Turnover نهایی J29 و K29</t>
        </is>
      </c>
    </row>
    <row r="256" ht="48" customHeight="1" s="76">
      <c r="A256" s="92" t="inlineStr">
        <is>
          <t>وبملت</t>
        </is>
      </c>
      <c r="B256" s="92" t="inlineStr">
        <is>
          <t>ROB_LEGAL</t>
        </is>
      </c>
      <c r="C256" s="92" t="inlineStr">
        <is>
          <t>تغییر شخص حقوقی دارنده کرسی</t>
        </is>
      </c>
      <c r="D256" s="92" t="inlineStr">
        <is>
          <t>قدیمی؛ تعریف حفظ شده</t>
        </is>
      </c>
      <c r="E256" s="92" t="inlineStr">
        <is>
          <t>صورت: کرسی هایی که شخص حقوقی دارنده فرق دارد؛ مخرج: کرسی های موجود در هر دو مقطع</t>
        </is>
      </c>
      <c r="F256" s="92" t="inlineStr"/>
      <c r="G256" s="92" t="inlineStr"/>
      <c r="H256" s="92" t="inlineStr"/>
      <c r="I256" s="92" t="inlineStr"/>
      <c r="J256" s="92" t="str">
        <f>IF(AND(ISNUMBER(H256),ISNUMBER(I256),I256&gt;0),H256/I256,"")</f>
        <v/>
      </c>
      <c r="K256" s="92" t="inlineStr">
        <is>
          <t>پنجره مشترک</t>
        </is>
      </c>
      <c r="L256" s="92" t="inlineStr">
        <is>
          <t>1403/12/29</t>
        </is>
      </c>
      <c r="M256" s="92" t="inlineStr">
        <is>
          <t>1404/12/29</t>
        </is>
      </c>
      <c r="N256" s="92" t="inlineStr">
        <is>
          <t>خیر: غیرقابل اعمال</t>
        </is>
      </c>
      <c r="O256" s="92" t="inlineStr">
        <is>
          <t>غیرقابل اعمال</t>
        </is>
      </c>
      <c r="P256" s="92" t="inlineStr">
        <is>
          <t>از نظر تعریف قابل اعمال نیست</t>
        </is>
      </c>
      <c r="Q256" s="92" t="inlineStr"/>
      <c r="R256" s="92" t="inlineStr"/>
      <c r="S256" s="92" t="inlineStr">
        <is>
          <t>کرسی ها عضو حقیقی مستقیم اند؛ شخص حقوقی دارنده وجود ندارد</t>
        </is>
      </c>
      <c r="T256" s="92" t="inlineStr">
        <is>
          <t>Turnover نهایی M29 و N29</t>
        </is>
      </c>
    </row>
    <row r="257" ht="48" customHeight="1" s="76">
      <c r="A257" s="92" t="inlineStr">
        <is>
          <t>وبملت</t>
        </is>
      </c>
      <c r="B257" s="92" t="inlineStr">
        <is>
          <t>ROB_NEW</t>
        </is>
      </c>
      <c r="C257" s="92" t="inlineStr">
        <is>
          <t>سهم اعضای جدید</t>
        </is>
      </c>
      <c r="D257" s="92" t="inlineStr">
        <is>
          <t>قدیمی؛ تعریف حفظ شده</t>
        </is>
      </c>
      <c r="E257" s="92" t="inlineStr">
        <is>
          <t>صورت: افراد پایان که در مبنا نبودند؛ مخرج: افراد پایان</t>
        </is>
      </c>
      <c r="F257" s="92" t="n">
        <v>0</v>
      </c>
      <c r="G257" s="92" t="n">
        <v>5</v>
      </c>
      <c r="H257" s="92" t="n">
        <v>0</v>
      </c>
      <c r="I257" s="92" t="n">
        <v>5</v>
      </c>
      <c r="J257" s="92">
        <f>IF(AND(ISNUMBER(H257),ISNUMBER(I257),I257&gt;0),H257/I257,"")</f>
        <v>0.0</v>
      </c>
      <c r="K257" s="92" t="inlineStr">
        <is>
          <t>پنجره مشترک</t>
        </is>
      </c>
      <c r="L257" s="92" t="inlineStr">
        <is>
          <t>1403/12/29</t>
        </is>
      </c>
      <c r="M257" s="92" t="inlineStr">
        <is>
          <t>1404/12/29</t>
        </is>
      </c>
      <c r="N257" s="92" t="inlineStr">
        <is>
          <t>بله</t>
        </is>
      </c>
      <c r="O257" s="92" t="inlineStr">
        <is>
          <t>کامل ارثی</t>
        </is>
      </c>
      <c r="P257" s="92" t="inlineStr">
        <is>
          <t>تایید جزئی</t>
        </is>
      </c>
      <c r="Q257" s="92" t="inlineStr"/>
      <c r="R257" s="92" t="inlineStr">
        <is>
          <t>بازتولید ممکن نشد</t>
        </is>
      </c>
      <c r="S257" s="92" t="inlineStr">
        <is>
          <t>ارثی از مستر؛ فهرست اسمی دو مقطع در دسترس نیست و بازتولید اسمی ممکن نشد</t>
        </is>
      </c>
      <c r="T257" s="92" t="inlineStr">
        <is>
          <t>Turnover نهایی P29 و Q29</t>
        </is>
      </c>
    </row>
    <row r="258" ht="48" customHeight="1" s="76">
      <c r="A258" s="92" t="inlineStr">
        <is>
          <t>وبملت</t>
        </is>
      </c>
      <c r="B258" s="92" t="inlineStr">
        <is>
          <t>ROB_STABILITY</t>
        </is>
      </c>
      <c r="C258" s="92" t="inlineStr">
        <is>
          <t>ثبات کرسی با همان شخص</t>
        </is>
      </c>
      <c r="D258" s="92" t="inlineStr">
        <is>
          <t>قدیمی؛ تعریف حفظ شده</t>
        </is>
      </c>
      <c r="E258" s="92" t="inlineStr">
        <is>
          <t>صورت: کرسی های قابل مقایسه با همان شخص؛ مخرج: کرسی های قابل مقایسه</t>
        </is>
      </c>
      <c r="F258" s="92" t="n">
        <v>5</v>
      </c>
      <c r="G258" s="92" t="n">
        <v>5</v>
      </c>
      <c r="H258" s="92" t="n">
        <v>5</v>
      </c>
      <c r="I258" s="92" t="n">
        <v>5</v>
      </c>
      <c r="J258" s="92">
        <f>IF(AND(ISNUMBER(H258),ISNUMBER(I258),I258&gt;0),H258/I258,"")</f>
        <v>1.0</v>
      </c>
      <c r="K258" s="92" t="inlineStr">
        <is>
          <t>پنجره مشترک</t>
        </is>
      </c>
      <c r="L258" s="92" t="inlineStr">
        <is>
          <t>1403/12/29</t>
        </is>
      </c>
      <c r="M258" s="92" t="inlineStr">
        <is>
          <t>1404/12/29</t>
        </is>
      </c>
      <c r="N258" s="92" t="inlineStr">
        <is>
          <t>بله</t>
        </is>
      </c>
      <c r="O258" s="92" t="inlineStr">
        <is>
          <t>کامل ارثی</t>
        </is>
      </c>
      <c r="P258" s="92" t="inlineStr">
        <is>
          <t>تایید جزئی</t>
        </is>
      </c>
      <c r="Q258" s="92" t="inlineStr"/>
      <c r="R258" s="92" t="inlineStr">
        <is>
          <t>بازتولید ممکن نشد</t>
        </is>
      </c>
      <c r="S258" s="92" t="inlineStr">
        <is>
          <t>ارثی از مستر؛ فهرست اسمی دو مقطع در دسترس نیست و بازتولید اسمی ممکن نشد</t>
        </is>
      </c>
      <c r="T258" s="92" t="inlineStr">
        <is>
          <t>Turnover نهایی S29 و T29</t>
        </is>
      </c>
    </row>
    <row r="259" ht="48" customHeight="1" s="76">
      <c r="A259" s="92" t="inlineStr">
        <is>
          <t>وبملت</t>
        </is>
      </c>
      <c r="B259" s="92" t="inlineStr">
        <is>
          <t>CR1A</t>
        </is>
      </c>
      <c r="C259" s="92" t="inlineStr">
        <is>
          <t>تغییر رئیس هیئت مدیره بین دو مقطع</t>
        </is>
      </c>
      <c r="D259" s="92" t="inlineStr">
        <is>
          <t>قدیمی؛ تعریف حفظ شده</t>
        </is>
      </c>
      <c r="E259" s="92" t="inlineStr">
        <is>
          <t>صورت: 1 اگر هویت رئیس در دو مقطع فرق دارد؛ مخرج: 1. جدا از تعداد رویدادهای میانی</t>
        </is>
      </c>
      <c r="F259" s="92" t="n">
        <v>0</v>
      </c>
      <c r="G259" s="92" t="n">
        <v>1</v>
      </c>
      <c r="H259" s="92" t="n">
        <v>0</v>
      </c>
      <c r="I259" s="92" t="n">
        <v>1</v>
      </c>
      <c r="J259" s="92">
        <f>IF(AND(ISNUMBER(H259),ISNUMBER(I259),I259&gt;0),H259/I259,"")</f>
        <v>0.0</v>
      </c>
      <c r="K259" s="92" t="inlineStr">
        <is>
          <t>پنجره مشترک</t>
        </is>
      </c>
      <c r="L259" s="92" t="inlineStr">
        <is>
          <t>1403/12/29</t>
        </is>
      </c>
      <c r="M259" s="92" t="inlineStr">
        <is>
          <t>1404/12/29</t>
        </is>
      </c>
      <c r="N259" s="92" t="inlineStr">
        <is>
          <t>بله</t>
        </is>
      </c>
      <c r="O259" s="92" t="inlineStr">
        <is>
          <t>کامل ارثی</t>
        </is>
      </c>
      <c r="P259" s="92" t="inlineStr">
        <is>
          <t>تایید جزئی</t>
        </is>
      </c>
      <c r="Q259" s="92" t="inlineStr"/>
      <c r="R259" s="92" t="inlineStr">
        <is>
          <t>بازتولید ممکن نشد</t>
        </is>
      </c>
      <c r="S259" s="92" t="inlineStr">
        <is>
          <t>ارثی از CR1A v39 (INHERITED_WITH_LIMITATION)؛ تایید مجدد مستقل همه منابع انجام نشد</t>
        </is>
      </c>
      <c r="T259" s="92" t="inlineStr">
        <is>
          <t>Turnover نهایی V29؛ CR1A v39 ردیف 29</t>
        </is>
      </c>
    </row>
    <row r="260" ht="44" customHeight="1" s="76">
      <c r="A260" s="93" t="inlineStr">
        <is>
          <t>وبملت</t>
        </is>
      </c>
      <c r="B260" s="93" t="inlineStr">
        <is>
          <t>UPX1</t>
        </is>
      </c>
      <c r="C260" s="93" t="inlineStr">
        <is>
          <t>نرخ خروج افراد یکتا</t>
        </is>
      </c>
      <c r="D260" s="93" t="inlineStr">
        <is>
          <t>جدید؛ کد غیرمتداخل</t>
        </is>
      </c>
      <c r="E260" s="93" t="inlineStr">
        <is>
          <t>صورت: افراد حاضر در مبنا و غایب در پایان؛ مخرج: اعضای فعال مبنا</t>
        </is>
      </c>
      <c r="F260" s="93" t="inlineStr"/>
      <c r="G260" s="93" t="inlineStr"/>
      <c r="H260" s="93" t="inlineStr"/>
      <c r="I260" s="93" t="inlineStr"/>
      <c r="J260" s="93" t="str">
        <f>IF(AND(ISNUMBER(H260),ISNUMBER(I260),I260&gt;0),H260/I260,"")</f>
        <v/>
      </c>
      <c r="K260" s="93" t="inlineStr">
        <is>
          <t>پنجره مشترک</t>
        </is>
      </c>
      <c r="L260" s="93" t="inlineStr">
        <is>
          <t>1403/12/29</t>
        </is>
      </c>
      <c r="M260" s="93" t="inlineStr">
        <is>
          <t>1404/12/29</t>
        </is>
      </c>
      <c r="N260" s="93" t="inlineStr">
        <is>
          <t>بله</t>
        </is>
      </c>
      <c r="O260" s="93" t="inlineStr">
        <is>
          <t>ناکافی</t>
        </is>
      </c>
      <c r="P260" s="93" t="inlineStr">
        <is>
          <t>منبع در دسترس نبود</t>
        </is>
      </c>
      <c r="Q260" s="93" t="inlineStr"/>
      <c r="R260" s="93" t="inlineStr"/>
      <c r="S260" s="93" t="inlineStr">
        <is>
          <t>فهرست اسمی مبنا در بسته شواهد v41 است که در این جلسه ارائه نشد؛ شمار تجمیعی مستر برای افراد یکتا کافی نیست</t>
        </is>
      </c>
      <c r="T260" s="93" t="inlineStr">
        <is>
          <t>Snapshot Members v42؛ Person Flows v42</t>
        </is>
      </c>
    </row>
    <row r="261" ht="44" customHeight="1" s="76">
      <c r="A261" s="93" t="inlineStr">
        <is>
          <t>وبملت</t>
        </is>
      </c>
      <c r="B261" s="93" t="inlineStr">
        <is>
          <t>UPN1</t>
        </is>
      </c>
      <c r="C261" s="93" t="inlineStr">
        <is>
          <t>سهم افراد واردشده</t>
        </is>
      </c>
      <c r="D261" s="93" t="inlineStr">
        <is>
          <t>جدید؛ کد غیرمتداخل</t>
        </is>
      </c>
      <c r="E261" s="93" t="inlineStr">
        <is>
          <t>صورت: افراد حاضر در پایان و غایب در مبنا؛ مخرج: اعضای فعال پایان</t>
        </is>
      </c>
      <c r="F261" s="93" t="inlineStr"/>
      <c r="G261" s="93" t="inlineStr"/>
      <c r="H261" s="93" t="inlineStr"/>
      <c r="I261" s="93" t="inlineStr"/>
      <c r="J261" s="93" t="str">
        <f>IF(AND(ISNUMBER(H261),ISNUMBER(I261),I261&gt;0),H261/I261,"")</f>
        <v/>
      </c>
      <c r="K261" s="93" t="inlineStr">
        <is>
          <t>پنجره مشترک</t>
        </is>
      </c>
      <c r="L261" s="93" t="inlineStr">
        <is>
          <t>1403/12/29</t>
        </is>
      </c>
      <c r="M261" s="93" t="inlineStr">
        <is>
          <t>1404/12/29</t>
        </is>
      </c>
      <c r="N261" s="93" t="inlineStr">
        <is>
          <t>بله</t>
        </is>
      </c>
      <c r="O261" s="93" t="inlineStr">
        <is>
          <t>ناکافی</t>
        </is>
      </c>
      <c r="P261" s="93" t="inlineStr">
        <is>
          <t>منبع در دسترس نبود</t>
        </is>
      </c>
      <c r="Q261" s="93" t="inlineStr"/>
      <c r="R261" s="93" t="inlineStr"/>
      <c r="S261" s="93" t="inlineStr">
        <is>
          <t>فهرست اسمی مبنا در بسته شواهد v41 است که در این جلسه ارائه نشد؛ شمار تجمیعی مستر برای افراد یکتا کافی نیست</t>
        </is>
      </c>
      <c r="T261" s="93" t="inlineStr">
        <is>
          <t>Snapshot Members v42؛ Person Flows v42</t>
        </is>
      </c>
    </row>
    <row r="262" ht="44" customHeight="1" s="76">
      <c r="A262" s="93" t="inlineStr">
        <is>
          <t>وبملت</t>
        </is>
      </c>
      <c r="B262" s="93" t="inlineStr">
        <is>
          <t>UPR1</t>
        </is>
      </c>
      <c r="C262" s="93" t="inlineStr">
        <is>
          <t>نرخ ماندگاری افراد یکتا</t>
        </is>
      </c>
      <c r="D262" s="93" t="inlineStr">
        <is>
          <t>جدید؛ کد غیرمتداخل</t>
        </is>
      </c>
      <c r="E262" s="93" t="inlineStr">
        <is>
          <t>صورت: افراد حاضر در هر دو مقطع؛ مخرج: اعضای فعال مبنا</t>
        </is>
      </c>
      <c r="F262" s="93" t="inlineStr"/>
      <c r="G262" s="93" t="inlineStr"/>
      <c r="H262" s="93" t="inlineStr"/>
      <c r="I262" s="93" t="inlineStr"/>
      <c r="J262" s="93" t="str">
        <f>IF(AND(ISNUMBER(H262),ISNUMBER(I262),I262&gt;0),H262/I262,"")</f>
        <v/>
      </c>
      <c r="K262" s="93" t="inlineStr">
        <is>
          <t>پنجره مشترک</t>
        </is>
      </c>
      <c r="L262" s="93" t="inlineStr">
        <is>
          <t>1403/12/29</t>
        </is>
      </c>
      <c r="M262" s="93" t="inlineStr">
        <is>
          <t>1404/12/29</t>
        </is>
      </c>
      <c r="N262" s="93" t="inlineStr">
        <is>
          <t>بله</t>
        </is>
      </c>
      <c r="O262" s="93" t="inlineStr">
        <is>
          <t>ناکافی</t>
        </is>
      </c>
      <c r="P262" s="93" t="inlineStr">
        <is>
          <t>منبع در دسترس نبود</t>
        </is>
      </c>
      <c r="Q262" s="93" t="inlineStr"/>
      <c r="R262" s="93" t="inlineStr"/>
      <c r="S262" s="93" t="inlineStr">
        <is>
          <t>فهرست اسمی مبنا در بسته شواهد v41 است که در این جلسه ارائه نشد؛ شمار تجمیعی مستر برای افراد یکتا کافی نیست</t>
        </is>
      </c>
      <c r="T262" s="93" t="inlineStr">
        <is>
          <t>Snapshot Members v42؛ Person Flows v42</t>
        </is>
      </c>
    </row>
    <row r="263" ht="44" customHeight="1" s="76">
      <c r="A263" s="92" t="inlineStr">
        <is>
          <t>وبملت</t>
        </is>
      </c>
      <c r="B263" s="92" t="inlineStr">
        <is>
          <t>UPF1</t>
        </is>
      </c>
      <c r="C263" s="92" t="inlineStr">
        <is>
          <t>افراد یکتا در نمای مالی (FY1403 تا FY1404)</t>
        </is>
      </c>
      <c r="D263" s="92" t="inlineStr">
        <is>
          <t>جدید؛ نمای مالی</t>
        </is>
      </c>
      <c r="E263" s="92" t="inlineStr">
        <is>
          <t>همان سه نسبت UPX1 و UPN1 و UPR1 ولی بین پایان FY1403 و FY1404 هر شرکت؛ فقط با دو فهرست کامل معتبر</t>
        </is>
      </c>
      <c r="F263" s="92" t="inlineStr"/>
      <c r="G263" s="92" t="inlineStr"/>
      <c r="H263" s="92" t="inlineStr"/>
      <c r="I263" s="92" t="inlineStr"/>
      <c r="J263" s="92" t="str">
        <f>IF(AND(ISNUMBER(H263),ISNUMBER(I263),I263&gt;0),H263/I263,"")</f>
        <v/>
      </c>
      <c r="K263" s="92" t="inlineStr">
        <is>
          <t>نمای مالی</t>
        </is>
      </c>
      <c r="L263" s="92" t="inlineStr">
        <is>
          <t>1403/12/30</t>
        </is>
      </c>
      <c r="M263" s="92" t="inlineStr">
        <is>
          <t>1404/12/29</t>
        </is>
      </c>
      <c r="N263" s="92" t="inlineStr">
        <is>
          <t>بله</t>
        </is>
      </c>
      <c r="O263" s="92" t="inlineStr">
        <is>
          <t>ناکافی</t>
        </is>
      </c>
      <c r="P263" s="92" t="inlineStr">
        <is>
          <t>هنوز بررسی نشده</t>
        </is>
      </c>
      <c r="Q263" s="92" t="inlineStr"/>
      <c r="R263" s="92" t="inlineStr"/>
      <c r="S263" s="92" t="inlineStr">
        <is>
          <t>فهرست اسمی پایان FY1403 در فایل نیست؛ نتیجه نمای مالی نامشخص ماند و عدد پنجره مشترک جای آن نیامد</t>
        </is>
      </c>
      <c r="T263" s="92" t="inlineStr">
        <is>
          <t>Scope v42</t>
        </is>
      </c>
    </row>
    <row r="264" ht="48" customHeight="1" s="76">
      <c r="A264" s="92" t="inlineStr">
        <is>
          <t>وبصادر</t>
        </is>
      </c>
      <c r="B264" s="92" t="inlineStr">
        <is>
          <t>REF05</t>
        </is>
      </c>
      <c r="C264" s="92" t="inlineStr">
        <is>
          <t>گردش فردی مبتنی بر کرسی</t>
        </is>
      </c>
      <c r="D264" s="92" t="inlineStr">
        <is>
          <t>قدیمی؛ تعریف حفظ شده</t>
        </is>
      </c>
      <c r="E264" s="92" t="inlineStr">
        <is>
          <t>صورت: کرسی های قابل مقایسه که شخص نامبرده در دو مقطع فرق دارد؛ مخرج: کرسی های قابل مقایسه (مبنای نامبرده). کرسی حقیقی مستقیم در سطح فرد</t>
        </is>
      </c>
      <c r="F264" s="92" t="n">
        <v>0</v>
      </c>
      <c r="G264" s="92" t="n">
        <v>5</v>
      </c>
      <c r="H264" s="92" t="n">
        <v>0</v>
      </c>
      <c r="I264" s="92" t="n">
        <v>5</v>
      </c>
      <c r="J264" s="92">
        <f>IF(AND(ISNUMBER(H264),ISNUMBER(I264),I264&gt;0),H264/I264,"")</f>
        <v>0.0</v>
      </c>
      <c r="K264" s="92" t="inlineStr">
        <is>
          <t>پنجره مشترک</t>
        </is>
      </c>
      <c r="L264" s="92" t="inlineStr">
        <is>
          <t>1403/12/29</t>
        </is>
      </c>
      <c r="M264" s="92" t="inlineStr">
        <is>
          <t>1404/12/29</t>
        </is>
      </c>
      <c r="N264" s="92" t="inlineStr">
        <is>
          <t>بله</t>
        </is>
      </c>
      <c r="O264" s="92" t="inlineStr">
        <is>
          <t>کامل ارثی</t>
        </is>
      </c>
      <c r="P264" s="92" t="inlineStr">
        <is>
          <t>تایید جزئی</t>
        </is>
      </c>
      <c r="Q264" s="92" t="inlineStr"/>
      <c r="R264" s="92" t="inlineStr">
        <is>
          <t>بازتولید ممکن نشد</t>
        </is>
      </c>
      <c r="S264" s="92" t="inlineStr">
        <is>
          <t>ارثی از مستر؛ فهرست اسمی دو مقطع در دسترس نیست و بازتولید اسمی ممکن نشد</t>
        </is>
      </c>
      <c r="T264" s="92" t="inlineStr">
        <is>
          <t>Turnover نهایی G30 و H30</t>
        </is>
      </c>
    </row>
    <row r="265" ht="48" customHeight="1" s="76">
      <c r="A265" s="92" t="inlineStr">
        <is>
          <t>وبصادر</t>
        </is>
      </c>
      <c r="B265" s="92" t="inlineStr">
        <is>
          <t>REF08</t>
        </is>
      </c>
      <c r="C265" s="92" t="inlineStr">
        <is>
          <t>تغییر نماینده با شخص حقوقی ثابت</t>
        </is>
      </c>
      <c r="D265" s="92" t="inlineStr">
        <is>
          <t>قدیمی؛ تعریف حفظ شده</t>
        </is>
      </c>
      <c r="E265" s="92" t="inlineStr">
        <is>
          <t>صورت: کرسی با همان شخص حقوقی که نماینده فرق دارد؛ مخرج: کرسی های با همان شخص حقوقی و نماینده معلوم در هر دو مقطع</t>
        </is>
      </c>
      <c r="F265" s="92" t="inlineStr"/>
      <c r="G265" s="92" t="inlineStr"/>
      <c r="H265" s="92" t="inlineStr"/>
      <c r="I265" s="92" t="inlineStr"/>
      <c r="J265" s="92" t="str">
        <f>IF(AND(ISNUMBER(H265),ISNUMBER(I265),I265&gt;0),H265/I265,"")</f>
        <v/>
      </c>
      <c r="K265" s="92" t="inlineStr">
        <is>
          <t>پنجره مشترک</t>
        </is>
      </c>
      <c r="L265" s="92" t="inlineStr">
        <is>
          <t>1403/12/29</t>
        </is>
      </c>
      <c r="M265" s="92" t="inlineStr">
        <is>
          <t>1404/12/29</t>
        </is>
      </c>
      <c r="N265" s="92" t="inlineStr">
        <is>
          <t>خیر: غیرقابل اعمال</t>
        </is>
      </c>
      <c r="O265" s="92" t="inlineStr">
        <is>
          <t>غیرقابل اعمال</t>
        </is>
      </c>
      <c r="P265" s="92" t="inlineStr">
        <is>
          <t>از نظر تعریف قابل اعمال نیست</t>
        </is>
      </c>
      <c r="Q265" s="92" t="inlineStr"/>
      <c r="R265" s="92" t="inlineStr"/>
      <c r="S265" s="92" t="inlineStr">
        <is>
          <t>کرسی ها عضو حقیقی مستقیم اند؛ شخص حقوقی دارنده وجود ندارد</t>
        </is>
      </c>
      <c r="T265" s="92" t="inlineStr">
        <is>
          <t>Turnover نهایی J30 و K30</t>
        </is>
      </c>
    </row>
    <row r="266" ht="48" customHeight="1" s="76">
      <c r="A266" s="92" t="inlineStr">
        <is>
          <t>وبصادر</t>
        </is>
      </c>
      <c r="B266" s="92" t="inlineStr">
        <is>
          <t>ROB_LEGAL</t>
        </is>
      </c>
      <c r="C266" s="92" t="inlineStr">
        <is>
          <t>تغییر شخص حقوقی دارنده کرسی</t>
        </is>
      </c>
      <c r="D266" s="92" t="inlineStr">
        <is>
          <t>قدیمی؛ تعریف حفظ شده</t>
        </is>
      </c>
      <c r="E266" s="92" t="inlineStr">
        <is>
          <t>صورت: کرسی هایی که شخص حقوقی دارنده فرق دارد؛ مخرج: کرسی های موجود در هر دو مقطع</t>
        </is>
      </c>
      <c r="F266" s="92" t="inlineStr"/>
      <c r="G266" s="92" t="inlineStr"/>
      <c r="H266" s="92" t="inlineStr"/>
      <c r="I266" s="92" t="inlineStr"/>
      <c r="J266" s="92" t="str">
        <f>IF(AND(ISNUMBER(H266),ISNUMBER(I266),I266&gt;0),H266/I266,"")</f>
        <v/>
      </c>
      <c r="K266" s="92" t="inlineStr">
        <is>
          <t>پنجره مشترک</t>
        </is>
      </c>
      <c r="L266" s="92" t="inlineStr">
        <is>
          <t>1403/12/29</t>
        </is>
      </c>
      <c r="M266" s="92" t="inlineStr">
        <is>
          <t>1404/12/29</t>
        </is>
      </c>
      <c r="N266" s="92" t="inlineStr">
        <is>
          <t>خیر: غیرقابل اعمال</t>
        </is>
      </c>
      <c r="O266" s="92" t="inlineStr">
        <is>
          <t>غیرقابل اعمال</t>
        </is>
      </c>
      <c r="P266" s="92" t="inlineStr">
        <is>
          <t>از نظر تعریف قابل اعمال نیست</t>
        </is>
      </c>
      <c r="Q266" s="92" t="inlineStr"/>
      <c r="R266" s="92" t="inlineStr"/>
      <c r="S266" s="92" t="inlineStr">
        <is>
          <t>کرسی ها عضو حقیقی مستقیم اند؛ شخص حقوقی دارنده وجود ندارد</t>
        </is>
      </c>
      <c r="T266" s="92" t="inlineStr">
        <is>
          <t>Turnover نهایی M30 و N30</t>
        </is>
      </c>
    </row>
    <row r="267" ht="48" customHeight="1" s="76">
      <c r="A267" s="92" t="inlineStr">
        <is>
          <t>وبصادر</t>
        </is>
      </c>
      <c r="B267" s="92" t="inlineStr">
        <is>
          <t>ROB_NEW</t>
        </is>
      </c>
      <c r="C267" s="92" t="inlineStr">
        <is>
          <t>سهم اعضای جدید</t>
        </is>
      </c>
      <c r="D267" s="92" t="inlineStr">
        <is>
          <t>قدیمی؛ تعریف حفظ شده</t>
        </is>
      </c>
      <c r="E267" s="92" t="inlineStr">
        <is>
          <t>صورت: افراد پایان که در مبنا نبودند؛ مخرج: افراد پایان</t>
        </is>
      </c>
      <c r="F267" s="92" t="n">
        <v>0</v>
      </c>
      <c r="G267" s="92" t="n">
        <v>5</v>
      </c>
      <c r="H267" s="92" t="n">
        <v>0</v>
      </c>
      <c r="I267" s="92" t="n">
        <v>5</v>
      </c>
      <c r="J267" s="92">
        <f>IF(AND(ISNUMBER(H267),ISNUMBER(I267),I267&gt;0),H267/I267,"")</f>
        <v>0.0</v>
      </c>
      <c r="K267" s="92" t="inlineStr">
        <is>
          <t>پنجره مشترک</t>
        </is>
      </c>
      <c r="L267" s="92" t="inlineStr">
        <is>
          <t>1403/12/29</t>
        </is>
      </c>
      <c r="M267" s="92" t="inlineStr">
        <is>
          <t>1404/12/29</t>
        </is>
      </c>
      <c r="N267" s="92" t="inlineStr">
        <is>
          <t>بله</t>
        </is>
      </c>
      <c r="O267" s="92" t="inlineStr">
        <is>
          <t>کامل ارثی</t>
        </is>
      </c>
      <c r="P267" s="92" t="inlineStr">
        <is>
          <t>تایید جزئی</t>
        </is>
      </c>
      <c r="Q267" s="92" t="inlineStr"/>
      <c r="R267" s="92" t="inlineStr">
        <is>
          <t>بازتولید ممکن نشد</t>
        </is>
      </c>
      <c r="S267" s="92" t="inlineStr">
        <is>
          <t>ارثی از مستر؛ فهرست اسمی دو مقطع در دسترس نیست و بازتولید اسمی ممکن نشد</t>
        </is>
      </c>
      <c r="T267" s="92" t="inlineStr">
        <is>
          <t>Turnover نهایی P30 و Q30</t>
        </is>
      </c>
    </row>
    <row r="268" ht="48" customHeight="1" s="76">
      <c r="A268" s="92" t="inlineStr">
        <is>
          <t>وبصادر</t>
        </is>
      </c>
      <c r="B268" s="92" t="inlineStr">
        <is>
          <t>ROB_STABILITY</t>
        </is>
      </c>
      <c r="C268" s="92" t="inlineStr">
        <is>
          <t>ثبات کرسی با همان شخص</t>
        </is>
      </c>
      <c r="D268" s="92" t="inlineStr">
        <is>
          <t>قدیمی؛ تعریف حفظ شده</t>
        </is>
      </c>
      <c r="E268" s="92" t="inlineStr">
        <is>
          <t>صورت: کرسی های قابل مقایسه با همان شخص؛ مخرج: کرسی های قابل مقایسه</t>
        </is>
      </c>
      <c r="F268" s="92" t="n">
        <v>5</v>
      </c>
      <c r="G268" s="92" t="n">
        <v>5</v>
      </c>
      <c r="H268" s="92" t="n">
        <v>5</v>
      </c>
      <c r="I268" s="92" t="n">
        <v>5</v>
      </c>
      <c r="J268" s="92">
        <f>IF(AND(ISNUMBER(H268),ISNUMBER(I268),I268&gt;0),H268/I268,"")</f>
        <v>1.0</v>
      </c>
      <c r="K268" s="92" t="inlineStr">
        <is>
          <t>پنجره مشترک</t>
        </is>
      </c>
      <c r="L268" s="92" t="inlineStr">
        <is>
          <t>1403/12/29</t>
        </is>
      </c>
      <c r="M268" s="92" t="inlineStr">
        <is>
          <t>1404/12/29</t>
        </is>
      </c>
      <c r="N268" s="92" t="inlineStr">
        <is>
          <t>بله</t>
        </is>
      </c>
      <c r="O268" s="92" t="inlineStr">
        <is>
          <t>کامل ارثی</t>
        </is>
      </c>
      <c r="P268" s="92" t="inlineStr">
        <is>
          <t>تایید جزئی</t>
        </is>
      </c>
      <c r="Q268" s="92" t="inlineStr"/>
      <c r="R268" s="92" t="inlineStr">
        <is>
          <t>بازتولید ممکن نشد</t>
        </is>
      </c>
      <c r="S268" s="92" t="inlineStr">
        <is>
          <t>ارثی از مستر؛ فهرست اسمی دو مقطع در دسترس نیست و بازتولید اسمی ممکن نشد</t>
        </is>
      </c>
      <c r="T268" s="92" t="inlineStr">
        <is>
          <t>Turnover نهایی S30 و T30</t>
        </is>
      </c>
    </row>
    <row r="269" ht="48" customHeight="1" s="76">
      <c r="A269" s="92" t="inlineStr">
        <is>
          <t>وبصادر</t>
        </is>
      </c>
      <c r="B269" s="92" t="inlineStr">
        <is>
          <t>CR1A</t>
        </is>
      </c>
      <c r="C269" s="92" t="inlineStr">
        <is>
          <t>تغییر رئیس هیئت مدیره بین دو مقطع</t>
        </is>
      </c>
      <c r="D269" s="92" t="inlineStr">
        <is>
          <t>قدیمی؛ تعریف حفظ شده</t>
        </is>
      </c>
      <c r="E269" s="92" t="inlineStr">
        <is>
          <t>صورت: 1 اگر هویت رئیس در دو مقطع فرق دارد؛ مخرج: 1. جدا از تعداد رویدادهای میانی</t>
        </is>
      </c>
      <c r="F269" s="92" t="n">
        <v>0</v>
      </c>
      <c r="G269" s="92" t="n">
        <v>1</v>
      </c>
      <c r="H269" s="92" t="n">
        <v>0</v>
      </c>
      <c r="I269" s="92" t="n">
        <v>1</v>
      </c>
      <c r="J269" s="92">
        <f>IF(AND(ISNUMBER(H269),ISNUMBER(I269),I269&gt;0),H269/I269,"")</f>
        <v>0.0</v>
      </c>
      <c r="K269" s="92" t="inlineStr">
        <is>
          <t>پنجره مشترک</t>
        </is>
      </c>
      <c r="L269" s="92" t="inlineStr">
        <is>
          <t>1403/12/29</t>
        </is>
      </c>
      <c r="M269" s="92" t="inlineStr">
        <is>
          <t>1404/12/29</t>
        </is>
      </c>
      <c r="N269" s="92" t="inlineStr">
        <is>
          <t>بله</t>
        </is>
      </c>
      <c r="O269" s="92" t="inlineStr">
        <is>
          <t>کامل ارثی</t>
        </is>
      </c>
      <c r="P269" s="92" t="inlineStr">
        <is>
          <t>تایید جزئی</t>
        </is>
      </c>
      <c r="Q269" s="92" t="inlineStr"/>
      <c r="R269" s="92" t="inlineStr">
        <is>
          <t>بازتولید ممکن نشد</t>
        </is>
      </c>
      <c r="S269" s="92" t="inlineStr">
        <is>
          <t>ارثی از CR1A v39 (INHERITED_WITH_LIMITATION)؛ تایید مجدد مستقل همه منابع انجام نشد</t>
        </is>
      </c>
      <c r="T269" s="92" t="inlineStr">
        <is>
          <t>Turnover نهایی V30؛ CR1A v39 ردیف 30</t>
        </is>
      </c>
    </row>
    <row r="270" ht="44" customHeight="1" s="76">
      <c r="A270" s="93" t="inlineStr">
        <is>
          <t>وبصادر</t>
        </is>
      </c>
      <c r="B270" s="93" t="inlineStr">
        <is>
          <t>UPX1</t>
        </is>
      </c>
      <c r="C270" s="93" t="inlineStr">
        <is>
          <t>نرخ خروج افراد یکتا</t>
        </is>
      </c>
      <c r="D270" s="93" t="inlineStr">
        <is>
          <t>جدید؛ کد غیرمتداخل</t>
        </is>
      </c>
      <c r="E270" s="93" t="inlineStr">
        <is>
          <t>صورت: افراد حاضر در مبنا و غایب در پایان؛ مخرج: اعضای فعال مبنا</t>
        </is>
      </c>
      <c r="F270" s="93" t="inlineStr"/>
      <c r="G270" s="93" t="inlineStr"/>
      <c r="H270" s="93" t="inlineStr"/>
      <c r="I270" s="93" t="inlineStr"/>
      <c r="J270" s="93" t="str">
        <f>IF(AND(ISNUMBER(H270),ISNUMBER(I270),I270&gt;0),H270/I270,"")</f>
        <v/>
      </c>
      <c r="K270" s="93" t="inlineStr">
        <is>
          <t>پنجره مشترک</t>
        </is>
      </c>
      <c r="L270" s="93" t="inlineStr">
        <is>
          <t>1403/12/29</t>
        </is>
      </c>
      <c r="M270" s="93" t="inlineStr">
        <is>
          <t>1404/12/29</t>
        </is>
      </c>
      <c r="N270" s="93" t="inlineStr">
        <is>
          <t>بله</t>
        </is>
      </c>
      <c r="O270" s="93" t="inlineStr">
        <is>
          <t>ناکافی</t>
        </is>
      </c>
      <c r="P270" s="93" t="inlineStr">
        <is>
          <t>منبع در دسترس نبود</t>
        </is>
      </c>
      <c r="Q270" s="93" t="inlineStr"/>
      <c r="R270" s="93" t="inlineStr"/>
      <c r="S270" s="93" t="inlineStr">
        <is>
          <t>فهرست اسمی مبنا در بسته شواهد v41 است که در این جلسه ارائه نشد؛ شمار تجمیعی مستر برای افراد یکتا کافی نیست</t>
        </is>
      </c>
      <c r="T270" s="93" t="inlineStr">
        <is>
          <t>Snapshot Members v42؛ Person Flows v42</t>
        </is>
      </c>
    </row>
    <row r="271" ht="44" customHeight="1" s="76">
      <c r="A271" s="93" t="inlineStr">
        <is>
          <t>وبصادر</t>
        </is>
      </c>
      <c r="B271" s="93" t="inlineStr">
        <is>
          <t>UPN1</t>
        </is>
      </c>
      <c r="C271" s="93" t="inlineStr">
        <is>
          <t>سهم افراد واردشده</t>
        </is>
      </c>
      <c r="D271" s="93" t="inlineStr">
        <is>
          <t>جدید؛ کد غیرمتداخل</t>
        </is>
      </c>
      <c r="E271" s="93" t="inlineStr">
        <is>
          <t>صورت: افراد حاضر در پایان و غایب در مبنا؛ مخرج: اعضای فعال پایان</t>
        </is>
      </c>
      <c r="F271" s="93" t="inlineStr"/>
      <c r="G271" s="93" t="inlineStr"/>
      <c r="H271" s="93" t="inlineStr"/>
      <c r="I271" s="93" t="inlineStr"/>
      <c r="J271" s="93" t="str">
        <f>IF(AND(ISNUMBER(H271),ISNUMBER(I271),I271&gt;0),H271/I271,"")</f>
        <v/>
      </c>
      <c r="K271" s="93" t="inlineStr">
        <is>
          <t>پنجره مشترک</t>
        </is>
      </c>
      <c r="L271" s="93" t="inlineStr">
        <is>
          <t>1403/12/29</t>
        </is>
      </c>
      <c r="M271" s="93" t="inlineStr">
        <is>
          <t>1404/12/29</t>
        </is>
      </c>
      <c r="N271" s="93" t="inlineStr">
        <is>
          <t>بله</t>
        </is>
      </c>
      <c r="O271" s="93" t="inlineStr">
        <is>
          <t>ناکافی</t>
        </is>
      </c>
      <c r="P271" s="93" t="inlineStr">
        <is>
          <t>منبع در دسترس نبود</t>
        </is>
      </c>
      <c r="Q271" s="93" t="inlineStr"/>
      <c r="R271" s="93" t="inlineStr"/>
      <c r="S271" s="93" t="inlineStr">
        <is>
          <t>فهرست اسمی مبنا در بسته شواهد v41 است که در این جلسه ارائه نشد؛ شمار تجمیعی مستر برای افراد یکتا کافی نیست</t>
        </is>
      </c>
      <c r="T271" s="93" t="inlineStr">
        <is>
          <t>Snapshot Members v42؛ Person Flows v42</t>
        </is>
      </c>
    </row>
    <row r="272" ht="44" customHeight="1" s="76">
      <c r="A272" s="93" t="inlineStr">
        <is>
          <t>وبصادر</t>
        </is>
      </c>
      <c r="B272" s="93" t="inlineStr">
        <is>
          <t>UPR1</t>
        </is>
      </c>
      <c r="C272" s="93" t="inlineStr">
        <is>
          <t>نرخ ماندگاری افراد یکتا</t>
        </is>
      </c>
      <c r="D272" s="93" t="inlineStr">
        <is>
          <t>جدید؛ کد غیرمتداخل</t>
        </is>
      </c>
      <c r="E272" s="93" t="inlineStr">
        <is>
          <t>صورت: افراد حاضر در هر دو مقطع؛ مخرج: اعضای فعال مبنا</t>
        </is>
      </c>
      <c r="F272" s="93" t="inlineStr"/>
      <c r="G272" s="93" t="inlineStr"/>
      <c r="H272" s="93" t="inlineStr"/>
      <c r="I272" s="93" t="inlineStr"/>
      <c r="J272" s="93" t="str">
        <f>IF(AND(ISNUMBER(H272),ISNUMBER(I272),I272&gt;0),H272/I272,"")</f>
        <v/>
      </c>
      <c r="K272" s="93" t="inlineStr">
        <is>
          <t>پنجره مشترک</t>
        </is>
      </c>
      <c r="L272" s="93" t="inlineStr">
        <is>
          <t>1403/12/29</t>
        </is>
      </c>
      <c r="M272" s="93" t="inlineStr">
        <is>
          <t>1404/12/29</t>
        </is>
      </c>
      <c r="N272" s="93" t="inlineStr">
        <is>
          <t>بله</t>
        </is>
      </c>
      <c r="O272" s="93" t="inlineStr">
        <is>
          <t>ناکافی</t>
        </is>
      </c>
      <c r="P272" s="93" t="inlineStr">
        <is>
          <t>منبع در دسترس نبود</t>
        </is>
      </c>
      <c r="Q272" s="93" t="inlineStr"/>
      <c r="R272" s="93" t="inlineStr"/>
      <c r="S272" s="93" t="inlineStr">
        <is>
          <t>فهرست اسمی مبنا در بسته شواهد v41 است که در این جلسه ارائه نشد؛ شمار تجمیعی مستر برای افراد یکتا کافی نیست</t>
        </is>
      </c>
      <c r="T272" s="93" t="inlineStr">
        <is>
          <t>Snapshot Members v42؛ Person Flows v42</t>
        </is>
      </c>
    </row>
    <row r="273" ht="44" customHeight="1" s="76">
      <c r="A273" s="92" t="inlineStr">
        <is>
          <t>وبصادر</t>
        </is>
      </c>
      <c r="B273" s="92" t="inlineStr">
        <is>
          <t>UPF1</t>
        </is>
      </c>
      <c r="C273" s="92" t="inlineStr">
        <is>
          <t>افراد یکتا در نمای مالی (FY1403 تا FY1404)</t>
        </is>
      </c>
      <c r="D273" s="92" t="inlineStr">
        <is>
          <t>جدید؛ نمای مالی</t>
        </is>
      </c>
      <c r="E273" s="92" t="inlineStr">
        <is>
          <t>همان سه نسبت UPX1 و UPN1 و UPR1 ولی بین پایان FY1403 و FY1404 هر شرکت؛ فقط با دو فهرست کامل معتبر</t>
        </is>
      </c>
      <c r="F273" s="92" t="inlineStr"/>
      <c r="G273" s="92" t="inlineStr"/>
      <c r="H273" s="92" t="inlineStr"/>
      <c r="I273" s="92" t="inlineStr"/>
      <c r="J273" s="92" t="str">
        <f>IF(AND(ISNUMBER(H273),ISNUMBER(I273),I273&gt;0),H273/I273,"")</f>
        <v/>
      </c>
      <c r="K273" s="92" t="inlineStr">
        <is>
          <t>نمای مالی</t>
        </is>
      </c>
      <c r="L273" s="92" t="inlineStr">
        <is>
          <t>1403/12/30</t>
        </is>
      </c>
      <c r="M273" s="92" t="inlineStr">
        <is>
          <t>1404/12/29</t>
        </is>
      </c>
      <c r="N273" s="92" t="inlineStr">
        <is>
          <t>بله</t>
        </is>
      </c>
      <c r="O273" s="92" t="inlineStr">
        <is>
          <t>ناکافی</t>
        </is>
      </c>
      <c r="P273" s="92" t="inlineStr">
        <is>
          <t>هنوز بررسی نشده</t>
        </is>
      </c>
      <c r="Q273" s="92" t="inlineStr"/>
      <c r="R273" s="92" t="inlineStr"/>
      <c r="S273" s="92" t="inlineStr">
        <is>
          <t>فهرست اسمی پایان FY1403 در فایل نیست؛ نتیجه نمای مالی نامشخص ماند و عدد پنجره مشترک جای آن نیامد</t>
        </is>
      </c>
      <c r="T273" s="92" t="inlineStr">
        <is>
          <t>Scope v42</t>
        </is>
      </c>
    </row>
    <row r="274" ht="48" customHeight="1" s="76">
      <c r="A274" s="93" t="inlineStr">
        <is>
          <t>وپاسار</t>
        </is>
      </c>
      <c r="B274" s="93" t="inlineStr">
        <is>
          <t>REF05</t>
        </is>
      </c>
      <c r="C274" s="93" t="inlineStr">
        <is>
          <t>گردش فردی مبتنی بر کرسی</t>
        </is>
      </c>
      <c r="D274" s="93" t="inlineStr">
        <is>
          <t>قدیمی؛ تعریف حفظ شده</t>
        </is>
      </c>
      <c r="E274" s="93" t="inlineStr">
        <is>
          <t>صورت: کرسی های قابل مقایسه که شخص نامبرده در دو مقطع فرق دارد؛ مخرج: کرسی های قابل مقایسه (مبنای نامبرده). کرسی حقیقی مستقیم در سطح فرد</t>
        </is>
      </c>
      <c r="F274" s="93" t="inlineStr"/>
      <c r="G274" s="93" t="inlineStr"/>
      <c r="H274" s="93" t="inlineStr"/>
      <c r="I274" s="93" t="inlineStr"/>
      <c r="J274" s="93" t="str">
        <f>IF(AND(ISNUMBER(H274),ISNUMBER(I274),I274&gt;0),H274/I274,"")</f>
        <v/>
      </c>
      <c r="K274" s="93" t="inlineStr">
        <is>
          <t>پنجره مشترک</t>
        </is>
      </c>
      <c r="L274" s="93" t="inlineStr">
        <is>
          <t>1403/12/29</t>
        </is>
      </c>
      <c r="M274" s="93" t="inlineStr">
        <is>
          <t>1404/12/29</t>
        </is>
      </c>
      <c r="N274" s="93" t="inlineStr">
        <is>
          <t>بله</t>
        </is>
      </c>
      <c r="O274" s="93" t="inlineStr">
        <is>
          <t>ناکافی</t>
        </is>
      </c>
      <c r="P274" s="93" t="inlineStr">
        <is>
          <t>داده کافی پیدا نشد</t>
        </is>
      </c>
      <c r="Q274" s="93" t="inlineStr"/>
      <c r="R274" s="93" t="inlineStr"/>
      <c r="S274" s="93" t="inlineStr">
        <is>
          <t>در منابع بررسی شده فهرست مبنا و پایان قابل اتکا دریافت نشد</t>
        </is>
      </c>
      <c r="T274" s="93" t="inlineStr">
        <is>
          <t>Turnover نهایی G31 و H31</t>
        </is>
      </c>
    </row>
    <row r="275" ht="48" customHeight="1" s="76">
      <c r="A275" s="93" t="inlineStr">
        <is>
          <t>وپاسار</t>
        </is>
      </c>
      <c r="B275" s="93" t="inlineStr">
        <is>
          <t>REF08</t>
        </is>
      </c>
      <c r="C275" s="93" t="inlineStr">
        <is>
          <t>تغییر نماینده با شخص حقوقی ثابت</t>
        </is>
      </c>
      <c r="D275" s="93" t="inlineStr">
        <is>
          <t>قدیمی؛ تعریف حفظ شده</t>
        </is>
      </c>
      <c r="E275" s="93" t="inlineStr">
        <is>
          <t>صورت: کرسی با همان شخص حقوقی که نماینده فرق دارد؛ مخرج: کرسی های با همان شخص حقوقی و نماینده معلوم در هر دو مقطع</t>
        </is>
      </c>
      <c r="F275" s="93" t="inlineStr"/>
      <c r="G275" s="93" t="inlineStr"/>
      <c r="H275" s="93" t="inlineStr"/>
      <c r="I275" s="93" t="inlineStr"/>
      <c r="J275" s="93" t="str">
        <f>IF(AND(ISNUMBER(H275),ISNUMBER(I275),I275&gt;0),H275/I275,"")</f>
        <v/>
      </c>
      <c r="K275" s="93" t="inlineStr">
        <is>
          <t>پنجره مشترک</t>
        </is>
      </c>
      <c r="L275" s="93" t="inlineStr">
        <is>
          <t>1403/12/29</t>
        </is>
      </c>
      <c r="M275" s="93" t="inlineStr">
        <is>
          <t>1404/12/29</t>
        </is>
      </c>
      <c r="N275" s="93" t="inlineStr">
        <is>
          <t>نامشخص</t>
        </is>
      </c>
      <c r="O275" s="93" t="inlineStr">
        <is>
          <t>ناکافی</t>
        </is>
      </c>
      <c r="P275" s="93" t="inlineStr">
        <is>
          <t>داده کافی پیدا نشد</t>
        </is>
      </c>
      <c r="Q275" s="93" t="inlineStr"/>
      <c r="R275" s="93" t="inlineStr"/>
      <c r="S275" s="93" t="inlineStr">
        <is>
          <t>در منابع بررسی شده فهرست مبنا و پایان قابل اتکا دریافت نشد</t>
        </is>
      </c>
      <c r="T275" s="93" t="inlineStr">
        <is>
          <t>Turnover نهایی J31 و K31</t>
        </is>
      </c>
    </row>
    <row r="276" ht="48" customHeight="1" s="76">
      <c r="A276" s="93" t="inlineStr">
        <is>
          <t>وپاسار</t>
        </is>
      </c>
      <c r="B276" s="93" t="inlineStr">
        <is>
          <t>ROB_LEGAL</t>
        </is>
      </c>
      <c r="C276" s="93" t="inlineStr">
        <is>
          <t>تغییر شخص حقوقی دارنده کرسی</t>
        </is>
      </c>
      <c r="D276" s="93" t="inlineStr">
        <is>
          <t>قدیمی؛ تعریف حفظ شده</t>
        </is>
      </c>
      <c r="E276" s="93" t="inlineStr">
        <is>
          <t>صورت: کرسی هایی که شخص حقوقی دارنده فرق دارد؛ مخرج: کرسی های موجود در هر دو مقطع</t>
        </is>
      </c>
      <c r="F276" s="93" t="inlineStr"/>
      <c r="G276" s="93" t="inlineStr"/>
      <c r="H276" s="93" t="inlineStr"/>
      <c r="I276" s="93" t="inlineStr"/>
      <c r="J276" s="93" t="str">
        <f>IF(AND(ISNUMBER(H276),ISNUMBER(I276),I276&gt;0),H276/I276,"")</f>
        <v/>
      </c>
      <c r="K276" s="93" t="inlineStr">
        <is>
          <t>پنجره مشترک</t>
        </is>
      </c>
      <c r="L276" s="93" t="inlineStr">
        <is>
          <t>1403/12/29</t>
        </is>
      </c>
      <c r="M276" s="93" t="inlineStr">
        <is>
          <t>1404/12/29</t>
        </is>
      </c>
      <c r="N276" s="93" t="inlineStr">
        <is>
          <t>نامشخص</t>
        </is>
      </c>
      <c r="O276" s="93" t="inlineStr">
        <is>
          <t>ناکافی</t>
        </is>
      </c>
      <c r="P276" s="93" t="inlineStr">
        <is>
          <t>داده کافی پیدا نشد</t>
        </is>
      </c>
      <c r="Q276" s="93" t="inlineStr"/>
      <c r="R276" s="93" t="inlineStr"/>
      <c r="S276" s="93" t="inlineStr">
        <is>
          <t>در منابع بررسی شده فهرست مبنا و پایان قابل اتکا دریافت نشد</t>
        </is>
      </c>
      <c r="T276" s="93" t="inlineStr">
        <is>
          <t>Turnover نهایی M31 و N31</t>
        </is>
      </c>
    </row>
    <row r="277" ht="48" customHeight="1" s="76">
      <c r="A277" s="93" t="inlineStr">
        <is>
          <t>وپاسار</t>
        </is>
      </c>
      <c r="B277" s="93" t="inlineStr">
        <is>
          <t>ROB_NEW</t>
        </is>
      </c>
      <c r="C277" s="93" t="inlineStr">
        <is>
          <t>سهم اعضای جدید</t>
        </is>
      </c>
      <c r="D277" s="93" t="inlineStr">
        <is>
          <t>قدیمی؛ تعریف حفظ شده</t>
        </is>
      </c>
      <c r="E277" s="93" t="inlineStr">
        <is>
          <t>صورت: افراد پایان که در مبنا نبودند؛ مخرج: افراد پایان</t>
        </is>
      </c>
      <c r="F277" s="93" t="inlineStr"/>
      <c r="G277" s="93" t="inlineStr"/>
      <c r="H277" s="93" t="inlineStr"/>
      <c r="I277" s="93" t="inlineStr"/>
      <c r="J277" s="93" t="str">
        <f>IF(AND(ISNUMBER(H277),ISNUMBER(I277),I277&gt;0),H277/I277,"")</f>
        <v/>
      </c>
      <c r="K277" s="93" t="inlineStr">
        <is>
          <t>پنجره مشترک</t>
        </is>
      </c>
      <c r="L277" s="93" t="inlineStr">
        <is>
          <t>1403/12/29</t>
        </is>
      </c>
      <c r="M277" s="93" t="inlineStr">
        <is>
          <t>1404/12/29</t>
        </is>
      </c>
      <c r="N277" s="93" t="inlineStr">
        <is>
          <t>بله</t>
        </is>
      </c>
      <c r="O277" s="93" t="inlineStr">
        <is>
          <t>ناکافی</t>
        </is>
      </c>
      <c r="P277" s="93" t="inlineStr">
        <is>
          <t>داده کافی پیدا نشد</t>
        </is>
      </c>
      <c r="Q277" s="93" t="inlineStr"/>
      <c r="R277" s="93" t="inlineStr"/>
      <c r="S277" s="93" t="inlineStr">
        <is>
          <t>در منابع بررسی شده فهرست مبنا و پایان قابل اتکا دریافت نشد</t>
        </is>
      </c>
      <c r="T277" s="93" t="inlineStr">
        <is>
          <t>Turnover نهایی P31 و Q31</t>
        </is>
      </c>
    </row>
    <row r="278" ht="48" customHeight="1" s="76">
      <c r="A278" s="93" t="inlineStr">
        <is>
          <t>وپاسار</t>
        </is>
      </c>
      <c r="B278" s="93" t="inlineStr">
        <is>
          <t>ROB_STABILITY</t>
        </is>
      </c>
      <c r="C278" s="93" t="inlineStr">
        <is>
          <t>ثبات کرسی با همان شخص</t>
        </is>
      </c>
      <c r="D278" s="93" t="inlineStr">
        <is>
          <t>قدیمی؛ تعریف حفظ شده</t>
        </is>
      </c>
      <c r="E278" s="93" t="inlineStr">
        <is>
          <t>صورت: کرسی های قابل مقایسه با همان شخص؛ مخرج: کرسی های قابل مقایسه</t>
        </is>
      </c>
      <c r="F278" s="93" t="inlineStr"/>
      <c r="G278" s="93" t="inlineStr"/>
      <c r="H278" s="93" t="inlineStr"/>
      <c r="I278" s="93" t="inlineStr"/>
      <c r="J278" s="93" t="str">
        <f>IF(AND(ISNUMBER(H278),ISNUMBER(I278),I278&gt;0),H278/I278,"")</f>
        <v/>
      </c>
      <c r="K278" s="93" t="inlineStr">
        <is>
          <t>پنجره مشترک</t>
        </is>
      </c>
      <c r="L278" s="93" t="inlineStr">
        <is>
          <t>1403/12/29</t>
        </is>
      </c>
      <c r="M278" s="93" t="inlineStr">
        <is>
          <t>1404/12/29</t>
        </is>
      </c>
      <c r="N278" s="93" t="inlineStr">
        <is>
          <t>بله</t>
        </is>
      </c>
      <c r="O278" s="93" t="inlineStr">
        <is>
          <t>ناکافی</t>
        </is>
      </c>
      <c r="P278" s="93" t="inlineStr">
        <is>
          <t>داده کافی پیدا نشد</t>
        </is>
      </c>
      <c r="Q278" s="93" t="inlineStr"/>
      <c r="R278" s="93" t="inlineStr"/>
      <c r="S278" s="93" t="inlineStr">
        <is>
          <t>در منابع بررسی شده فهرست مبنا و پایان قابل اتکا دریافت نشد</t>
        </is>
      </c>
      <c r="T278" s="93" t="inlineStr">
        <is>
          <t>Turnover نهایی S31 و T31</t>
        </is>
      </c>
    </row>
    <row r="279" ht="48" customHeight="1" s="76">
      <c r="A279" s="93" t="inlineStr">
        <is>
          <t>وپاسار</t>
        </is>
      </c>
      <c r="B279" s="93" t="inlineStr">
        <is>
          <t>CR1A</t>
        </is>
      </c>
      <c r="C279" s="93" t="inlineStr">
        <is>
          <t>تغییر رئیس هیئت مدیره بین دو مقطع</t>
        </is>
      </c>
      <c r="D279" s="93" t="inlineStr">
        <is>
          <t>قدیمی؛ تعریف حفظ شده</t>
        </is>
      </c>
      <c r="E279" s="93" t="inlineStr">
        <is>
          <t>صورت: 1 اگر هویت رئیس در دو مقطع فرق دارد؛ مخرج: 1. جدا از تعداد رویدادهای میانی</t>
        </is>
      </c>
      <c r="F279" s="93" t="inlineStr"/>
      <c r="G279" s="93" t="inlineStr"/>
      <c r="H279" s="93" t="inlineStr"/>
      <c r="I279" s="93" t="inlineStr"/>
      <c r="J279" s="93" t="str">
        <f>IF(AND(ISNUMBER(H279),ISNUMBER(I279),I279&gt;0),H279/I279,"")</f>
        <v/>
      </c>
      <c r="K279" s="93" t="inlineStr">
        <is>
          <t>پنجره مشترک</t>
        </is>
      </c>
      <c r="L279" s="93" t="inlineStr">
        <is>
          <t>1403/12/29</t>
        </is>
      </c>
      <c r="M279" s="93" t="inlineStr">
        <is>
          <t>1404/12/29</t>
        </is>
      </c>
      <c r="N279" s="93" t="inlineStr">
        <is>
          <t>بله</t>
        </is>
      </c>
      <c r="O279" s="93" t="inlineStr">
        <is>
          <t>ناکافی</t>
        </is>
      </c>
      <c r="P279" s="93" t="inlineStr">
        <is>
          <t>داده کافی پیدا نشد</t>
        </is>
      </c>
      <c r="Q279" s="93" t="inlineStr"/>
      <c r="R279" s="93" t="inlineStr"/>
      <c r="S279" s="93" t="inlineStr">
        <is>
          <t>هویت رئیس در دو مقطع معلوم نیست</t>
        </is>
      </c>
      <c r="T279" s="93" t="inlineStr">
        <is>
          <t>Turnover نهایی V31؛ CR1A v39 ردیف 31</t>
        </is>
      </c>
    </row>
    <row r="280" ht="44" customHeight="1" s="76">
      <c r="A280" s="93" t="inlineStr">
        <is>
          <t>وپاسار</t>
        </is>
      </c>
      <c r="B280" s="93" t="inlineStr">
        <is>
          <t>UPX1</t>
        </is>
      </c>
      <c r="C280" s="93" t="inlineStr">
        <is>
          <t>نرخ خروج افراد یکتا</t>
        </is>
      </c>
      <c r="D280" s="93" t="inlineStr">
        <is>
          <t>جدید؛ کد غیرمتداخل</t>
        </is>
      </c>
      <c r="E280" s="93" t="inlineStr">
        <is>
          <t>صورت: افراد حاضر در مبنا و غایب در پایان؛ مخرج: اعضای فعال مبنا</t>
        </is>
      </c>
      <c r="F280" s="93" t="inlineStr"/>
      <c r="G280" s="93" t="inlineStr"/>
      <c r="H280" s="93" t="inlineStr"/>
      <c r="I280" s="93" t="inlineStr"/>
      <c r="J280" s="93" t="str">
        <f>IF(AND(ISNUMBER(H280),ISNUMBER(I280),I280&gt;0),H280/I280,"")</f>
        <v/>
      </c>
      <c r="K280" s="93" t="inlineStr">
        <is>
          <t>پنجره مشترک</t>
        </is>
      </c>
      <c r="L280" s="93" t="inlineStr">
        <is>
          <t>1403/12/29</t>
        </is>
      </c>
      <c r="M280" s="93" t="inlineStr">
        <is>
          <t>1404/12/29</t>
        </is>
      </c>
      <c r="N280" s="93" t="inlineStr">
        <is>
          <t>بله</t>
        </is>
      </c>
      <c r="O280" s="93" t="inlineStr">
        <is>
          <t>ناکافی</t>
        </is>
      </c>
      <c r="P280" s="93" t="inlineStr">
        <is>
          <t>داده کافی پیدا نشد</t>
        </is>
      </c>
      <c r="Q280" s="93" t="inlineStr"/>
      <c r="R280" s="93" t="inlineStr"/>
      <c r="S280" s="93" t="inlineStr">
        <is>
          <t>در منابع بررسی شده فهرست قابل اتکا دریافت نشد</t>
        </is>
      </c>
      <c r="T280" s="93" t="inlineStr">
        <is>
          <t>Snapshot Members v42؛ Person Flows v42</t>
        </is>
      </c>
    </row>
    <row r="281" ht="44" customHeight="1" s="76">
      <c r="A281" s="93" t="inlineStr">
        <is>
          <t>وپاسار</t>
        </is>
      </c>
      <c r="B281" s="93" t="inlineStr">
        <is>
          <t>UPN1</t>
        </is>
      </c>
      <c r="C281" s="93" t="inlineStr">
        <is>
          <t>سهم افراد واردشده</t>
        </is>
      </c>
      <c r="D281" s="93" t="inlineStr">
        <is>
          <t>جدید؛ کد غیرمتداخل</t>
        </is>
      </c>
      <c r="E281" s="93" t="inlineStr">
        <is>
          <t>صورت: افراد حاضر در پایان و غایب در مبنا؛ مخرج: اعضای فعال پایان</t>
        </is>
      </c>
      <c r="F281" s="93" t="inlineStr"/>
      <c r="G281" s="93" t="inlineStr"/>
      <c r="H281" s="93" t="inlineStr"/>
      <c r="I281" s="93" t="inlineStr"/>
      <c r="J281" s="93" t="str">
        <f>IF(AND(ISNUMBER(H281),ISNUMBER(I281),I281&gt;0),H281/I281,"")</f>
        <v/>
      </c>
      <c r="K281" s="93" t="inlineStr">
        <is>
          <t>پنجره مشترک</t>
        </is>
      </c>
      <c r="L281" s="93" t="inlineStr">
        <is>
          <t>1403/12/29</t>
        </is>
      </c>
      <c r="M281" s="93" t="inlineStr">
        <is>
          <t>1404/12/29</t>
        </is>
      </c>
      <c r="N281" s="93" t="inlineStr">
        <is>
          <t>بله</t>
        </is>
      </c>
      <c r="O281" s="93" t="inlineStr">
        <is>
          <t>ناکافی</t>
        </is>
      </c>
      <c r="P281" s="93" t="inlineStr">
        <is>
          <t>داده کافی پیدا نشد</t>
        </is>
      </c>
      <c r="Q281" s="93" t="inlineStr"/>
      <c r="R281" s="93" t="inlineStr"/>
      <c r="S281" s="93" t="inlineStr">
        <is>
          <t>در منابع بررسی شده فهرست قابل اتکا دریافت نشد</t>
        </is>
      </c>
      <c r="T281" s="93" t="inlineStr">
        <is>
          <t>Snapshot Members v42؛ Person Flows v42</t>
        </is>
      </c>
    </row>
    <row r="282" ht="44" customHeight="1" s="76">
      <c r="A282" s="93" t="inlineStr">
        <is>
          <t>وپاسار</t>
        </is>
      </c>
      <c r="B282" s="93" t="inlineStr">
        <is>
          <t>UPR1</t>
        </is>
      </c>
      <c r="C282" s="93" t="inlineStr">
        <is>
          <t>نرخ ماندگاری افراد یکتا</t>
        </is>
      </c>
      <c r="D282" s="93" t="inlineStr">
        <is>
          <t>جدید؛ کد غیرمتداخل</t>
        </is>
      </c>
      <c r="E282" s="93" t="inlineStr">
        <is>
          <t>صورت: افراد حاضر در هر دو مقطع؛ مخرج: اعضای فعال مبنا</t>
        </is>
      </c>
      <c r="F282" s="93" t="inlineStr"/>
      <c r="G282" s="93" t="inlineStr"/>
      <c r="H282" s="93" t="inlineStr"/>
      <c r="I282" s="93" t="inlineStr"/>
      <c r="J282" s="93" t="str">
        <f>IF(AND(ISNUMBER(H282),ISNUMBER(I282),I282&gt;0),H282/I282,"")</f>
        <v/>
      </c>
      <c r="K282" s="93" t="inlineStr">
        <is>
          <t>پنجره مشترک</t>
        </is>
      </c>
      <c r="L282" s="93" t="inlineStr">
        <is>
          <t>1403/12/29</t>
        </is>
      </c>
      <c r="M282" s="93" t="inlineStr">
        <is>
          <t>1404/12/29</t>
        </is>
      </c>
      <c r="N282" s="93" t="inlineStr">
        <is>
          <t>بله</t>
        </is>
      </c>
      <c r="O282" s="93" t="inlineStr">
        <is>
          <t>ناکافی</t>
        </is>
      </c>
      <c r="P282" s="93" t="inlineStr">
        <is>
          <t>داده کافی پیدا نشد</t>
        </is>
      </c>
      <c r="Q282" s="93" t="inlineStr"/>
      <c r="R282" s="93" t="inlineStr"/>
      <c r="S282" s="93" t="inlineStr">
        <is>
          <t>در منابع بررسی شده فهرست قابل اتکا دریافت نشد</t>
        </is>
      </c>
      <c r="T282" s="93" t="inlineStr">
        <is>
          <t>Snapshot Members v42؛ Person Flows v42</t>
        </is>
      </c>
    </row>
    <row r="283" ht="44" customHeight="1" s="76">
      <c r="A283" s="92" t="inlineStr">
        <is>
          <t>وپاسار</t>
        </is>
      </c>
      <c r="B283" s="92" t="inlineStr">
        <is>
          <t>UPF1</t>
        </is>
      </c>
      <c r="C283" s="92" t="inlineStr">
        <is>
          <t>افراد یکتا در نمای مالی (FY1403 تا FY1404)</t>
        </is>
      </c>
      <c r="D283" s="92" t="inlineStr">
        <is>
          <t>جدید؛ نمای مالی</t>
        </is>
      </c>
      <c r="E283" s="92" t="inlineStr">
        <is>
          <t>همان سه نسبت UPX1 و UPN1 و UPR1 ولی بین پایان FY1403 و FY1404 هر شرکت؛ فقط با دو فهرست کامل معتبر</t>
        </is>
      </c>
      <c r="F283" s="92" t="inlineStr"/>
      <c r="G283" s="92" t="inlineStr"/>
      <c r="H283" s="92" t="inlineStr"/>
      <c r="I283" s="92" t="inlineStr"/>
      <c r="J283" s="92" t="str">
        <f>IF(AND(ISNUMBER(H283),ISNUMBER(I283),I283&gt;0),H283/I283,"")</f>
        <v/>
      </c>
      <c r="K283" s="92" t="inlineStr">
        <is>
          <t>نمای مالی</t>
        </is>
      </c>
      <c r="L283" s="92" t="inlineStr">
        <is>
          <t>1403/12/30</t>
        </is>
      </c>
      <c r="M283" s="92" t="inlineStr">
        <is>
          <t>1404/12/29</t>
        </is>
      </c>
      <c r="N283" s="92" t="inlineStr">
        <is>
          <t>بله</t>
        </is>
      </c>
      <c r="O283" s="92" t="inlineStr">
        <is>
          <t>ناکافی</t>
        </is>
      </c>
      <c r="P283" s="92" t="inlineStr">
        <is>
          <t>هنوز بررسی نشده</t>
        </is>
      </c>
      <c r="Q283" s="92" t="inlineStr"/>
      <c r="R283" s="92" t="inlineStr"/>
      <c r="S283" s="92" t="inlineStr">
        <is>
          <t>فهرست اسمی پایان FY1403 در فایل نیست؛ نتیجه نمای مالی نامشخص ماند و عدد پنجره مشترک جای آن نیامد</t>
        </is>
      </c>
      <c r="T283" s="92" t="inlineStr">
        <is>
          <t>Scope v42</t>
        </is>
      </c>
    </row>
    <row r="284" ht="48" customHeight="1" s="76">
      <c r="A284" s="93" t="inlineStr">
        <is>
          <t>حکشتی</t>
        </is>
      </c>
      <c r="B284" s="93" t="inlineStr">
        <is>
          <t>REF05</t>
        </is>
      </c>
      <c r="C284" s="93" t="inlineStr">
        <is>
          <t>گردش فردی مبتنی بر کرسی</t>
        </is>
      </c>
      <c r="D284" s="93" t="inlineStr">
        <is>
          <t>قدیمی؛ تعریف حفظ شده</t>
        </is>
      </c>
      <c r="E284" s="93" t="inlineStr">
        <is>
          <t>صورت: کرسی های قابل مقایسه که شخص نامبرده در دو مقطع فرق دارد؛ مخرج: کرسی های قابل مقایسه (مبنای نامبرده). کرسی حقیقی مستقیم در سطح فرد</t>
        </is>
      </c>
      <c r="F284" s="93" t="inlineStr"/>
      <c r="G284" s="93" t="inlineStr"/>
      <c r="H284" s="93" t="inlineStr"/>
      <c r="I284" s="93" t="inlineStr"/>
      <c r="J284" s="93" t="str">
        <f>IF(AND(ISNUMBER(H284),ISNUMBER(I284),I284&gt;0),H284/I284,"")</f>
        <v/>
      </c>
      <c r="K284" s="93" t="inlineStr">
        <is>
          <t>پنجره مشترک</t>
        </is>
      </c>
      <c r="L284" s="93" t="inlineStr">
        <is>
          <t>1403/12/29</t>
        </is>
      </c>
      <c r="M284" s="93" t="inlineStr">
        <is>
          <t>1404/12/29</t>
        </is>
      </c>
      <c r="N284" s="93" t="inlineStr">
        <is>
          <t>بله</t>
        </is>
      </c>
      <c r="O284" s="93" t="inlineStr">
        <is>
          <t>ناکافی</t>
        </is>
      </c>
      <c r="P284" s="93" t="inlineStr">
        <is>
          <t>داده کافی پیدا نشد</t>
        </is>
      </c>
      <c r="Q284" s="93" t="inlineStr"/>
      <c r="R284" s="93" t="inlineStr"/>
      <c r="S284" s="93" t="inlineStr">
        <is>
          <t>نماینده ها در اسناد فاقد نماینده اند؛ این کمبود داده است نه غیرقابل اعمال</t>
        </is>
      </c>
      <c r="T284" s="93" t="inlineStr">
        <is>
          <t>Turnover نهایی G32 و H32</t>
        </is>
      </c>
    </row>
    <row r="285" ht="48" customHeight="1" s="76">
      <c r="A285" s="93" t="inlineStr">
        <is>
          <t>حکشتی</t>
        </is>
      </c>
      <c r="B285" s="93" t="inlineStr">
        <is>
          <t>REF08</t>
        </is>
      </c>
      <c r="C285" s="93" t="inlineStr">
        <is>
          <t>تغییر نماینده با شخص حقوقی ثابت</t>
        </is>
      </c>
      <c r="D285" s="93" t="inlineStr">
        <is>
          <t>قدیمی؛ تعریف حفظ شده</t>
        </is>
      </c>
      <c r="E285" s="93" t="inlineStr">
        <is>
          <t>صورت: کرسی با همان شخص حقوقی که نماینده فرق دارد؛ مخرج: کرسی های با همان شخص حقوقی و نماینده معلوم در هر دو مقطع</t>
        </is>
      </c>
      <c r="F285" s="93" t="inlineStr"/>
      <c r="G285" s="93" t="inlineStr"/>
      <c r="H285" s="93" t="inlineStr"/>
      <c r="I285" s="93" t="inlineStr"/>
      <c r="J285" s="93" t="str">
        <f>IF(AND(ISNUMBER(H285),ISNUMBER(I285),I285&gt;0),H285/I285,"")</f>
        <v/>
      </c>
      <c r="K285" s="93" t="inlineStr">
        <is>
          <t>پنجره مشترک</t>
        </is>
      </c>
      <c r="L285" s="93" t="inlineStr">
        <is>
          <t>1403/12/29</t>
        </is>
      </c>
      <c r="M285" s="93" t="inlineStr">
        <is>
          <t>1404/12/29</t>
        </is>
      </c>
      <c r="N285" s="93" t="inlineStr">
        <is>
          <t>بله (دو کرسی حقوقی ثابت)</t>
        </is>
      </c>
      <c r="O285" s="93" t="inlineStr">
        <is>
          <t>ناکافی</t>
        </is>
      </c>
      <c r="P285" s="93" t="inlineStr">
        <is>
          <t>داده کافی پیدا نشد</t>
        </is>
      </c>
      <c r="Q285" s="93" t="inlineStr"/>
      <c r="R285" s="93" t="inlineStr"/>
      <c r="S285" s="93" t="inlineStr">
        <is>
          <t>نماینده ها در اسناد فاقد نماینده اند؛ این کمبود داده است نه غیرقابل اعمال</t>
        </is>
      </c>
      <c r="T285" s="93" t="inlineStr">
        <is>
          <t>Turnover نهایی J32 و K32</t>
        </is>
      </c>
    </row>
    <row r="286" ht="48" customHeight="1" s="76">
      <c r="A286" s="93" t="inlineStr">
        <is>
          <t>حکشتی</t>
        </is>
      </c>
      <c r="B286" s="93" t="inlineStr">
        <is>
          <t>ROB_LEGAL</t>
        </is>
      </c>
      <c r="C286" s="93" t="inlineStr">
        <is>
          <t>تغییر شخص حقوقی دارنده کرسی</t>
        </is>
      </c>
      <c r="D286" s="93" t="inlineStr">
        <is>
          <t>قدیمی؛ تعریف حفظ شده</t>
        </is>
      </c>
      <c r="E286" s="93" t="inlineStr">
        <is>
          <t>صورت: کرسی هایی که شخص حقوقی دارنده فرق دارد؛ مخرج: کرسی های موجود در هر دو مقطع</t>
        </is>
      </c>
      <c r="F286" s="93" t="inlineStr"/>
      <c r="G286" s="93" t="inlineStr"/>
      <c r="H286" s="93" t="n">
        <v>3</v>
      </c>
      <c r="I286" s="93" t="n">
        <v>5</v>
      </c>
      <c r="J286" s="93">
        <f>IF(AND(ISNUMBER(H286),ISNUMBER(I286),I286&gt;0),H286/I286,"")</f>
        <v>0.6</v>
      </c>
      <c r="K286" s="93" t="inlineStr">
        <is>
          <t>پنجره مشترک</t>
        </is>
      </c>
      <c r="L286" s="93" t="inlineStr">
        <is>
          <t>1403/12/29</t>
        </is>
      </c>
      <c r="M286" s="93" t="inlineStr">
        <is>
          <t>1404/12/29</t>
        </is>
      </c>
      <c r="N286" s="93" t="inlineStr">
        <is>
          <t>بله</t>
        </is>
      </c>
      <c r="O286" s="93" t="inlineStr">
        <is>
          <t>مشروط</t>
        </is>
      </c>
      <c r="P286" s="93" t="inlineStr">
        <is>
          <t>تایید جزئی</t>
        </is>
      </c>
      <c r="Q286" s="93" t="inlineStr">
        <is>
          <t>3 از 5 (سطح دارنده)</t>
        </is>
      </c>
      <c r="R286" s="93" t="inlineStr"/>
      <c r="S286" s="93" t="inlineStr">
        <is>
          <t>سه دارنده تغییر کرده؛ جفت شدن کرسی ها طبق خوانش v38؛ مقدار مستر نداشت</t>
        </is>
      </c>
      <c r="T286" s="93" t="inlineStr">
        <is>
          <t>Turnover نهایی M32 و N32</t>
        </is>
      </c>
    </row>
    <row r="287" ht="48" customHeight="1" s="76">
      <c r="A287" s="93" t="inlineStr">
        <is>
          <t>حکشتی</t>
        </is>
      </c>
      <c r="B287" s="93" t="inlineStr">
        <is>
          <t>ROB_NEW</t>
        </is>
      </c>
      <c r="C287" s="93" t="inlineStr">
        <is>
          <t>سهم اعضای جدید</t>
        </is>
      </c>
      <c r="D287" s="93" t="inlineStr">
        <is>
          <t>قدیمی؛ تعریف حفظ شده</t>
        </is>
      </c>
      <c r="E287" s="93" t="inlineStr">
        <is>
          <t>صورت: افراد پایان که در مبنا نبودند؛ مخرج: افراد پایان</t>
        </is>
      </c>
      <c r="F287" s="93" t="inlineStr"/>
      <c r="G287" s="93" t="inlineStr"/>
      <c r="H287" s="93" t="inlineStr"/>
      <c r="I287" s="93" t="inlineStr"/>
      <c r="J287" s="93" t="str">
        <f>IF(AND(ISNUMBER(H287),ISNUMBER(I287),I287&gt;0),H287/I287,"")</f>
        <v/>
      </c>
      <c r="K287" s="93" t="inlineStr">
        <is>
          <t>پنجره مشترک</t>
        </is>
      </c>
      <c r="L287" s="93" t="inlineStr">
        <is>
          <t>1403/12/29</t>
        </is>
      </c>
      <c r="M287" s="93" t="inlineStr">
        <is>
          <t>1404/12/29</t>
        </is>
      </c>
      <c r="N287" s="93" t="inlineStr">
        <is>
          <t>بله</t>
        </is>
      </c>
      <c r="O287" s="93" t="inlineStr">
        <is>
          <t>ناکافی</t>
        </is>
      </c>
      <c r="P287" s="93" t="inlineStr">
        <is>
          <t>داده کافی پیدا نشد</t>
        </is>
      </c>
      <c r="Q287" s="93" t="inlineStr"/>
      <c r="R287" s="93" t="inlineStr"/>
      <c r="S287" s="93" t="inlineStr">
        <is>
          <t>نماینده ها در اسناد فاقد نماینده اند؛ این کمبود داده است نه غیرقابل اعمال</t>
        </is>
      </c>
      <c r="T287" s="93" t="inlineStr">
        <is>
          <t>Turnover نهایی P32 و Q32</t>
        </is>
      </c>
    </row>
    <row r="288" ht="48" customHeight="1" s="76">
      <c r="A288" s="93" t="inlineStr">
        <is>
          <t>حکشتی</t>
        </is>
      </c>
      <c r="B288" s="93" t="inlineStr">
        <is>
          <t>ROB_STABILITY</t>
        </is>
      </c>
      <c r="C288" s="93" t="inlineStr">
        <is>
          <t>ثبات کرسی با همان شخص</t>
        </is>
      </c>
      <c r="D288" s="93" t="inlineStr">
        <is>
          <t>قدیمی؛ تعریف حفظ شده</t>
        </is>
      </c>
      <c r="E288" s="93" t="inlineStr">
        <is>
          <t>صورت: کرسی های قابل مقایسه با همان شخص؛ مخرج: کرسی های قابل مقایسه</t>
        </is>
      </c>
      <c r="F288" s="93" t="inlineStr"/>
      <c r="G288" s="93" t="inlineStr"/>
      <c r="H288" s="93" t="inlineStr"/>
      <c r="I288" s="93" t="inlineStr"/>
      <c r="J288" s="93" t="str">
        <f>IF(AND(ISNUMBER(H288),ISNUMBER(I288),I288&gt;0),H288/I288,"")</f>
        <v/>
      </c>
      <c r="K288" s="93" t="inlineStr">
        <is>
          <t>پنجره مشترک</t>
        </is>
      </c>
      <c r="L288" s="93" t="inlineStr">
        <is>
          <t>1403/12/29</t>
        </is>
      </c>
      <c r="M288" s="93" t="inlineStr">
        <is>
          <t>1404/12/29</t>
        </is>
      </c>
      <c r="N288" s="93" t="inlineStr">
        <is>
          <t>بله</t>
        </is>
      </c>
      <c r="O288" s="93" t="inlineStr">
        <is>
          <t>ناکافی</t>
        </is>
      </c>
      <c r="P288" s="93" t="inlineStr">
        <is>
          <t>داده کافی پیدا نشد</t>
        </is>
      </c>
      <c r="Q288" s="93" t="inlineStr"/>
      <c r="R288" s="93" t="inlineStr"/>
      <c r="S288" s="93" t="inlineStr">
        <is>
          <t>نماینده ها در اسناد فاقد نماینده اند؛ این کمبود داده است نه غیرقابل اعمال</t>
        </is>
      </c>
      <c r="T288" s="93" t="inlineStr">
        <is>
          <t>Turnover نهایی S32 و T32</t>
        </is>
      </c>
    </row>
    <row r="289" ht="48" customHeight="1" s="76">
      <c r="A289" s="93" t="inlineStr">
        <is>
          <t>حکشتی</t>
        </is>
      </c>
      <c r="B289" s="93" t="inlineStr">
        <is>
          <t>CR1A</t>
        </is>
      </c>
      <c r="C289" s="93" t="inlineStr">
        <is>
          <t>تغییر رئیس هیئت مدیره بین دو مقطع</t>
        </is>
      </c>
      <c r="D289" s="93" t="inlineStr">
        <is>
          <t>قدیمی؛ تعریف حفظ شده</t>
        </is>
      </c>
      <c r="E289" s="93" t="inlineStr">
        <is>
          <t>صورت: 1 اگر هویت رئیس در دو مقطع فرق دارد؛ مخرج: 1. جدا از تعداد رویدادهای میانی</t>
        </is>
      </c>
      <c r="F289" s="93" t="inlineStr"/>
      <c r="G289" s="93" t="inlineStr"/>
      <c r="H289" s="93" t="inlineStr"/>
      <c r="I289" s="93" t="inlineStr"/>
      <c r="J289" s="93" t="str">
        <f>IF(AND(ISNUMBER(H289),ISNUMBER(I289),I289&gt;0),H289/I289,"")</f>
        <v/>
      </c>
      <c r="K289" s="93" t="inlineStr">
        <is>
          <t>پنجره مشترک</t>
        </is>
      </c>
      <c r="L289" s="93" t="inlineStr">
        <is>
          <t>1403/12/29</t>
        </is>
      </c>
      <c r="M289" s="93" t="inlineStr">
        <is>
          <t>1404/12/29</t>
        </is>
      </c>
      <c r="N289" s="93" t="inlineStr">
        <is>
          <t>بله</t>
        </is>
      </c>
      <c r="O289" s="93" t="inlineStr">
        <is>
          <t>ناکافی</t>
        </is>
      </c>
      <c r="P289" s="93" t="inlineStr">
        <is>
          <t>داده کافی پیدا نشد</t>
        </is>
      </c>
      <c r="Q289" s="93" t="inlineStr"/>
      <c r="R289" s="93" t="inlineStr"/>
      <c r="S289" s="93" t="inlineStr">
        <is>
          <t>هویت رئیس در دو مقطع معلوم نیست</t>
        </is>
      </c>
      <c r="T289" s="93" t="inlineStr">
        <is>
          <t>Turnover نهایی V32؛ CR1A v39 ردیف 32</t>
        </is>
      </c>
    </row>
    <row r="290" ht="44" customHeight="1" s="76">
      <c r="A290" s="93" t="inlineStr">
        <is>
          <t>حکشتی</t>
        </is>
      </c>
      <c r="B290" s="93" t="inlineStr">
        <is>
          <t>UPX1</t>
        </is>
      </c>
      <c r="C290" s="93" t="inlineStr">
        <is>
          <t>نرخ خروج افراد یکتا</t>
        </is>
      </c>
      <c r="D290" s="93" t="inlineStr">
        <is>
          <t>جدید؛ کد غیرمتداخل</t>
        </is>
      </c>
      <c r="E290" s="93" t="inlineStr">
        <is>
          <t>صورت: افراد حاضر در مبنا و غایب در پایان؛ مخرج: اعضای فعال مبنا</t>
        </is>
      </c>
      <c r="F290" s="93" t="inlineStr"/>
      <c r="G290" s="93" t="inlineStr"/>
      <c r="H290" s="93" t="inlineStr"/>
      <c r="I290" s="93" t="inlineStr"/>
      <c r="J290" s="93" t="str">
        <f>IF(AND(ISNUMBER(H290),ISNUMBER(I290),I290&gt;0),H290/I290,"")</f>
        <v/>
      </c>
      <c r="K290" s="93" t="inlineStr">
        <is>
          <t>پنجره مشترک</t>
        </is>
      </c>
      <c r="L290" s="93" t="inlineStr">
        <is>
          <t>1403/12/29</t>
        </is>
      </c>
      <c r="M290" s="93" t="inlineStr">
        <is>
          <t>1404/12/29</t>
        </is>
      </c>
      <c r="N290" s="93" t="inlineStr">
        <is>
          <t>بله</t>
        </is>
      </c>
      <c r="O290" s="93" t="inlineStr">
        <is>
          <t>ناکافی</t>
        </is>
      </c>
      <c r="P290" s="93" t="inlineStr">
        <is>
          <t>داده کافی پیدا نشد</t>
        </is>
      </c>
      <c r="Q290" s="93" t="inlineStr"/>
      <c r="R290" s="93" t="inlineStr"/>
      <c r="S290" s="93" t="inlineStr">
        <is>
          <t>نماینده ها نامشخص؛ بدون فهرست اسمی نرخی ساخته نشد</t>
        </is>
      </c>
      <c r="T290" s="93" t="inlineStr">
        <is>
          <t>Snapshot Members v42؛ Person Flows v42</t>
        </is>
      </c>
    </row>
    <row r="291" ht="44" customHeight="1" s="76">
      <c r="A291" s="93" t="inlineStr">
        <is>
          <t>حکشتی</t>
        </is>
      </c>
      <c r="B291" s="93" t="inlineStr">
        <is>
          <t>UPN1</t>
        </is>
      </c>
      <c r="C291" s="93" t="inlineStr">
        <is>
          <t>سهم افراد واردشده</t>
        </is>
      </c>
      <c r="D291" s="93" t="inlineStr">
        <is>
          <t>جدید؛ کد غیرمتداخل</t>
        </is>
      </c>
      <c r="E291" s="93" t="inlineStr">
        <is>
          <t>صورت: افراد حاضر در پایان و غایب در مبنا؛ مخرج: اعضای فعال پایان</t>
        </is>
      </c>
      <c r="F291" s="93" t="inlineStr"/>
      <c r="G291" s="93" t="inlineStr"/>
      <c r="H291" s="93" t="inlineStr"/>
      <c r="I291" s="93" t="inlineStr"/>
      <c r="J291" s="93" t="str">
        <f>IF(AND(ISNUMBER(H291),ISNUMBER(I291),I291&gt;0),H291/I291,"")</f>
        <v/>
      </c>
      <c r="K291" s="93" t="inlineStr">
        <is>
          <t>پنجره مشترک</t>
        </is>
      </c>
      <c r="L291" s="93" t="inlineStr">
        <is>
          <t>1403/12/29</t>
        </is>
      </c>
      <c r="M291" s="93" t="inlineStr">
        <is>
          <t>1404/12/29</t>
        </is>
      </c>
      <c r="N291" s="93" t="inlineStr">
        <is>
          <t>بله</t>
        </is>
      </c>
      <c r="O291" s="93" t="inlineStr">
        <is>
          <t>ناکافی</t>
        </is>
      </c>
      <c r="P291" s="93" t="inlineStr">
        <is>
          <t>داده کافی پیدا نشد</t>
        </is>
      </c>
      <c r="Q291" s="93" t="inlineStr"/>
      <c r="R291" s="93" t="inlineStr"/>
      <c r="S291" s="93" t="inlineStr">
        <is>
          <t>نماینده ها نامشخص؛ بدون فهرست اسمی نرخی ساخته نشد</t>
        </is>
      </c>
      <c r="T291" s="93" t="inlineStr">
        <is>
          <t>Snapshot Members v42؛ Person Flows v42</t>
        </is>
      </c>
    </row>
    <row r="292" ht="44" customHeight="1" s="76">
      <c r="A292" s="93" t="inlineStr">
        <is>
          <t>حکشتی</t>
        </is>
      </c>
      <c r="B292" s="93" t="inlineStr">
        <is>
          <t>UPR1</t>
        </is>
      </c>
      <c r="C292" s="93" t="inlineStr">
        <is>
          <t>نرخ ماندگاری افراد یکتا</t>
        </is>
      </c>
      <c r="D292" s="93" t="inlineStr">
        <is>
          <t>جدید؛ کد غیرمتداخل</t>
        </is>
      </c>
      <c r="E292" s="93" t="inlineStr">
        <is>
          <t>صورت: افراد حاضر در هر دو مقطع؛ مخرج: اعضای فعال مبنا</t>
        </is>
      </c>
      <c r="F292" s="93" t="inlineStr"/>
      <c r="G292" s="93" t="inlineStr"/>
      <c r="H292" s="93" t="inlineStr"/>
      <c r="I292" s="93" t="inlineStr"/>
      <c r="J292" s="93" t="str">
        <f>IF(AND(ISNUMBER(H292),ISNUMBER(I292),I292&gt;0),H292/I292,"")</f>
        <v/>
      </c>
      <c r="K292" s="93" t="inlineStr">
        <is>
          <t>پنجره مشترک</t>
        </is>
      </c>
      <c r="L292" s="93" t="inlineStr">
        <is>
          <t>1403/12/29</t>
        </is>
      </c>
      <c r="M292" s="93" t="inlineStr">
        <is>
          <t>1404/12/29</t>
        </is>
      </c>
      <c r="N292" s="93" t="inlineStr">
        <is>
          <t>بله</t>
        </is>
      </c>
      <c r="O292" s="93" t="inlineStr">
        <is>
          <t>ناکافی</t>
        </is>
      </c>
      <c r="P292" s="93" t="inlineStr">
        <is>
          <t>داده کافی پیدا نشد</t>
        </is>
      </c>
      <c r="Q292" s="93" t="inlineStr"/>
      <c r="R292" s="93" t="inlineStr"/>
      <c r="S292" s="93" t="inlineStr">
        <is>
          <t>نماینده ها نامشخص؛ بدون فهرست اسمی نرخی ساخته نشد</t>
        </is>
      </c>
      <c r="T292" s="93" t="inlineStr">
        <is>
          <t>Snapshot Members v42؛ Person Flows v42</t>
        </is>
      </c>
    </row>
    <row r="293" ht="44" customHeight="1" s="76">
      <c r="A293" s="92" t="inlineStr">
        <is>
          <t>حکشتی</t>
        </is>
      </c>
      <c r="B293" s="92" t="inlineStr">
        <is>
          <t>UPF1</t>
        </is>
      </c>
      <c r="C293" s="92" t="inlineStr">
        <is>
          <t>افراد یکتا در نمای مالی (FY1403 تا FY1404)</t>
        </is>
      </c>
      <c r="D293" s="92" t="inlineStr">
        <is>
          <t>جدید؛ نمای مالی</t>
        </is>
      </c>
      <c r="E293" s="92" t="inlineStr">
        <is>
          <t>همان سه نسبت UPX1 و UPN1 و UPR1 ولی بین پایان FY1403 و FY1404 هر شرکت؛ فقط با دو فهرست کامل معتبر</t>
        </is>
      </c>
      <c r="F293" s="92" t="inlineStr"/>
      <c r="G293" s="92" t="inlineStr"/>
      <c r="H293" s="92" t="inlineStr"/>
      <c r="I293" s="92" t="inlineStr"/>
      <c r="J293" s="92" t="str">
        <f>IF(AND(ISNUMBER(H293),ISNUMBER(I293),I293&gt;0),H293/I293,"")</f>
        <v/>
      </c>
      <c r="K293" s="92" t="inlineStr">
        <is>
          <t>نمای مالی</t>
        </is>
      </c>
      <c r="L293" s="92" t="inlineStr">
        <is>
          <t>1403/03/31</t>
        </is>
      </c>
      <c r="M293" s="92" t="inlineStr">
        <is>
          <t>1404/03/31</t>
        </is>
      </c>
      <c r="N293" s="92" t="inlineStr">
        <is>
          <t>بله</t>
        </is>
      </c>
      <c r="O293" s="92" t="inlineStr">
        <is>
          <t>ناکافی</t>
        </is>
      </c>
      <c r="P293" s="92" t="inlineStr">
        <is>
          <t>هنوز بررسی نشده</t>
        </is>
      </c>
      <c r="Q293" s="92" t="inlineStr"/>
      <c r="R293" s="92" t="inlineStr"/>
      <c r="S293" s="92" t="inlineStr">
        <is>
          <t>فهرست اسمی پایان FY1403 در فایل نیست؛ نتیجه نمای مالی نامشخص ماند و عدد پنجره مشترک جای آن نیامد</t>
        </is>
      </c>
      <c r="T293" s="92" t="inlineStr">
        <is>
          <t>Scope v42</t>
        </is>
      </c>
    </row>
    <row r="294" ht="48" customHeight="1" s="76">
      <c r="A294" s="92" t="inlineStr">
        <is>
          <t>شپدیس</t>
        </is>
      </c>
      <c r="B294" s="92" t="inlineStr">
        <is>
          <t>REF05</t>
        </is>
      </c>
      <c r="C294" s="92" t="inlineStr">
        <is>
          <t>گردش فردی مبتنی بر کرسی</t>
        </is>
      </c>
      <c r="D294" s="92" t="inlineStr">
        <is>
          <t>قدیمی؛ تعریف حفظ شده</t>
        </is>
      </c>
      <c r="E294" s="92" t="inlineStr">
        <is>
          <t>صورت: کرسی های قابل مقایسه که شخص نامبرده در دو مقطع فرق دارد؛ مخرج: کرسی های قابل مقایسه (مبنای نامبرده). کرسی حقیقی مستقیم در سطح فرد</t>
        </is>
      </c>
      <c r="F294" s="92" t="n">
        <v>1</v>
      </c>
      <c r="G294" s="92" t="n">
        <v>4</v>
      </c>
      <c r="H294" s="92" t="n">
        <v>1</v>
      </c>
      <c r="I294" s="92" t="n">
        <v>4</v>
      </c>
      <c r="J294" s="92">
        <f>IF(AND(ISNUMBER(H294),ISNUMBER(I294),I294&gt;0),H294/I294,"")</f>
        <v>0.25</v>
      </c>
      <c r="K294" s="92" t="inlineStr">
        <is>
          <t>پنجره مشترک</t>
        </is>
      </c>
      <c r="L294" s="92" t="inlineStr">
        <is>
          <t>1403/12/29</t>
        </is>
      </c>
      <c r="M294" s="92" t="inlineStr">
        <is>
          <t>1404/12/29</t>
        </is>
      </c>
      <c r="N294" s="92" t="inlineStr">
        <is>
          <t>بله</t>
        </is>
      </c>
      <c r="O294" s="92" t="inlineStr">
        <is>
          <t>کامل</t>
        </is>
      </c>
      <c r="P294" s="92" t="inlineStr">
        <is>
          <t>تایید جزئی</t>
        </is>
      </c>
      <c r="Q294" s="92" t="inlineStr">
        <is>
          <t>1 از 4</t>
        </is>
      </c>
      <c r="R294" s="92" t="inlineStr">
        <is>
          <t>برابر</t>
        </is>
      </c>
      <c r="S294" s="92" t="inlineStr">
        <is>
          <t>بازتولید با تعریف تاریخی از بازسازی سطح کرسی v38؛ سند اصلی در این جلسه بازدریافت نشد</t>
        </is>
      </c>
      <c r="T294" s="92" t="inlineStr">
        <is>
          <t>Turnover نهایی G33 و H33</t>
        </is>
      </c>
    </row>
    <row r="295" ht="48" customHeight="1" s="76">
      <c r="A295" s="92" t="inlineStr">
        <is>
          <t>شپدیس</t>
        </is>
      </c>
      <c r="B295" s="92" t="inlineStr">
        <is>
          <t>REF08</t>
        </is>
      </c>
      <c r="C295" s="92" t="inlineStr">
        <is>
          <t>تغییر نماینده با شخص حقوقی ثابت</t>
        </is>
      </c>
      <c r="D295" s="92" t="inlineStr">
        <is>
          <t>قدیمی؛ تعریف حفظ شده</t>
        </is>
      </c>
      <c r="E295" s="92" t="inlineStr">
        <is>
          <t>صورت: کرسی با همان شخص حقوقی که نماینده فرق دارد؛ مخرج: کرسی های با همان شخص حقوقی و نماینده معلوم در هر دو مقطع</t>
        </is>
      </c>
      <c r="F295" s="92" t="n">
        <v>1</v>
      </c>
      <c r="G295" s="92" t="n">
        <v>4</v>
      </c>
      <c r="H295" s="92" t="n">
        <v>1</v>
      </c>
      <c r="I295" s="92" t="n">
        <v>4</v>
      </c>
      <c r="J295" s="92">
        <f>IF(AND(ISNUMBER(H295),ISNUMBER(I295),I295&gt;0),H295/I295,"")</f>
        <v>0.25</v>
      </c>
      <c r="K295" s="92" t="inlineStr">
        <is>
          <t>پنجره مشترک</t>
        </is>
      </c>
      <c r="L295" s="92" t="inlineStr">
        <is>
          <t>1403/12/29</t>
        </is>
      </c>
      <c r="M295" s="92" t="inlineStr">
        <is>
          <t>1404/12/29</t>
        </is>
      </c>
      <c r="N295" s="92" t="inlineStr">
        <is>
          <t>بله</t>
        </is>
      </c>
      <c r="O295" s="92" t="inlineStr">
        <is>
          <t>کامل</t>
        </is>
      </c>
      <c r="P295" s="92" t="inlineStr">
        <is>
          <t>تایید جزئی</t>
        </is>
      </c>
      <c r="Q295" s="92" t="inlineStr">
        <is>
          <t>1 از 4</t>
        </is>
      </c>
      <c r="R295" s="92" t="inlineStr">
        <is>
          <t>برابر</t>
        </is>
      </c>
      <c r="S295" s="92" t="inlineStr">
        <is>
          <t>بازتولید با تعریف تاریخی از بازسازی سطح کرسی v38؛ سند اصلی در این جلسه بازدریافت نشد</t>
        </is>
      </c>
      <c r="T295" s="92" t="inlineStr">
        <is>
          <t>Turnover نهایی J33 و K33</t>
        </is>
      </c>
    </row>
    <row r="296" ht="48" customHeight="1" s="76">
      <c r="A296" s="92" t="inlineStr">
        <is>
          <t>شپدیس</t>
        </is>
      </c>
      <c r="B296" s="92" t="inlineStr">
        <is>
          <t>ROB_LEGAL</t>
        </is>
      </c>
      <c r="C296" s="92" t="inlineStr">
        <is>
          <t>تغییر شخص حقوقی دارنده کرسی</t>
        </is>
      </c>
      <c r="D296" s="92" t="inlineStr">
        <is>
          <t>قدیمی؛ تعریف حفظ شده</t>
        </is>
      </c>
      <c r="E296" s="92" t="inlineStr">
        <is>
          <t>صورت: کرسی هایی که شخص حقوقی دارنده فرق دارد؛ مخرج: کرسی های موجود در هر دو مقطع</t>
        </is>
      </c>
      <c r="F296" s="92" t="n">
        <v>0</v>
      </c>
      <c r="G296" s="92" t="n">
        <v>5</v>
      </c>
      <c r="H296" s="92" t="n">
        <v>0</v>
      </c>
      <c r="I296" s="92" t="n">
        <v>5</v>
      </c>
      <c r="J296" s="92">
        <f>IF(AND(ISNUMBER(H296),ISNUMBER(I296),I296&gt;0),H296/I296,"")</f>
        <v>0.0</v>
      </c>
      <c r="K296" s="92" t="inlineStr">
        <is>
          <t>پنجره مشترک</t>
        </is>
      </c>
      <c r="L296" s="92" t="inlineStr">
        <is>
          <t>1403/12/29</t>
        </is>
      </c>
      <c r="M296" s="92" t="inlineStr">
        <is>
          <t>1404/12/29</t>
        </is>
      </c>
      <c r="N296" s="92" t="inlineStr">
        <is>
          <t>بله</t>
        </is>
      </c>
      <c r="O296" s="92" t="inlineStr">
        <is>
          <t>کامل</t>
        </is>
      </c>
      <c r="P296" s="92" t="inlineStr">
        <is>
          <t>تایید جزئی</t>
        </is>
      </c>
      <c r="Q296" s="92" t="inlineStr">
        <is>
          <t>0 از 5</t>
        </is>
      </c>
      <c r="R296" s="92" t="inlineStr">
        <is>
          <t>برابر</t>
        </is>
      </c>
      <c r="S296" s="92" t="inlineStr">
        <is>
          <t>بازتولید با تعریف تاریخی از بازسازی سطح کرسی v38؛ سند اصلی در این جلسه بازدریافت نشد</t>
        </is>
      </c>
      <c r="T296" s="92" t="inlineStr">
        <is>
          <t>Turnover نهایی M33 و N33</t>
        </is>
      </c>
    </row>
    <row r="297" ht="48" customHeight="1" s="76">
      <c r="A297" s="92" t="inlineStr">
        <is>
          <t>شپدیس</t>
        </is>
      </c>
      <c r="B297" s="92" t="inlineStr">
        <is>
          <t>ROB_NEW</t>
        </is>
      </c>
      <c r="C297" s="92" t="inlineStr">
        <is>
          <t>سهم اعضای جدید</t>
        </is>
      </c>
      <c r="D297" s="92" t="inlineStr">
        <is>
          <t>قدیمی؛ تعریف حفظ شده</t>
        </is>
      </c>
      <c r="E297" s="92" t="inlineStr">
        <is>
          <t>صورت: افراد پایان که در مبنا نبودند؛ مخرج: افراد پایان</t>
        </is>
      </c>
      <c r="F297" s="92" t="n">
        <v>2</v>
      </c>
      <c r="G297" s="92" t="n">
        <v>5</v>
      </c>
      <c r="H297" s="92" t="n">
        <v>2</v>
      </c>
      <c r="I297" s="92" t="n">
        <v>5</v>
      </c>
      <c r="J297" s="92">
        <f>IF(AND(ISNUMBER(H297),ISNUMBER(I297),I297&gt;0),H297/I297,"")</f>
        <v>0.4</v>
      </c>
      <c r="K297" s="92" t="inlineStr">
        <is>
          <t>پنجره مشترک</t>
        </is>
      </c>
      <c r="L297" s="92" t="inlineStr">
        <is>
          <t>1403/12/29</t>
        </is>
      </c>
      <c r="M297" s="92" t="inlineStr">
        <is>
          <t>1404/12/29</t>
        </is>
      </c>
      <c r="N297" s="92" t="inlineStr">
        <is>
          <t>بله</t>
        </is>
      </c>
      <c r="O297" s="92" t="inlineStr">
        <is>
          <t>کامل</t>
        </is>
      </c>
      <c r="P297" s="92" t="inlineStr">
        <is>
          <t>تایید جزئی</t>
        </is>
      </c>
      <c r="Q297" s="92" t="inlineStr">
        <is>
          <t>2 از 5</t>
        </is>
      </c>
      <c r="R297" s="92" t="inlineStr">
        <is>
          <t>برابر</t>
        </is>
      </c>
      <c r="S297" s="92" t="inlineStr">
        <is>
          <t>بازتولید با تعریف تاریخی از بازسازی سطح کرسی v38؛ سند اصلی در این جلسه بازدریافت نشد</t>
        </is>
      </c>
      <c r="T297" s="92" t="inlineStr">
        <is>
          <t>Turnover نهایی P33 و Q33</t>
        </is>
      </c>
    </row>
    <row r="298" ht="48" customHeight="1" s="76">
      <c r="A298" s="92" t="inlineStr">
        <is>
          <t>شپدیس</t>
        </is>
      </c>
      <c r="B298" s="92" t="inlineStr">
        <is>
          <t>ROB_STABILITY</t>
        </is>
      </c>
      <c r="C298" s="92" t="inlineStr">
        <is>
          <t>ثبات کرسی با همان شخص</t>
        </is>
      </c>
      <c r="D298" s="92" t="inlineStr">
        <is>
          <t>قدیمی؛ تعریف حفظ شده</t>
        </is>
      </c>
      <c r="E298" s="92" t="inlineStr">
        <is>
          <t>صورت: کرسی های قابل مقایسه با همان شخص؛ مخرج: کرسی های قابل مقایسه</t>
        </is>
      </c>
      <c r="F298" s="92" t="n">
        <v>3</v>
      </c>
      <c r="G298" s="92" t="n">
        <v>4</v>
      </c>
      <c r="H298" s="92" t="n">
        <v>3</v>
      </c>
      <c r="I298" s="92" t="n">
        <v>4</v>
      </c>
      <c r="J298" s="92">
        <f>IF(AND(ISNUMBER(H298),ISNUMBER(I298),I298&gt;0),H298/I298,"")</f>
        <v>0.75</v>
      </c>
      <c r="K298" s="92" t="inlineStr">
        <is>
          <t>پنجره مشترک</t>
        </is>
      </c>
      <c r="L298" s="92" t="inlineStr">
        <is>
          <t>1403/12/29</t>
        </is>
      </c>
      <c r="M298" s="92" t="inlineStr">
        <is>
          <t>1404/12/29</t>
        </is>
      </c>
      <c r="N298" s="92" t="inlineStr">
        <is>
          <t>بله</t>
        </is>
      </c>
      <c r="O298" s="92" t="inlineStr">
        <is>
          <t>کامل</t>
        </is>
      </c>
      <c r="P298" s="92" t="inlineStr">
        <is>
          <t>تایید جزئی</t>
        </is>
      </c>
      <c r="Q298" s="92" t="inlineStr">
        <is>
          <t>3 از 4</t>
        </is>
      </c>
      <c r="R298" s="92" t="inlineStr">
        <is>
          <t>برابر</t>
        </is>
      </c>
      <c r="S298" s="92" t="inlineStr">
        <is>
          <t>بازتولید با تعریف تاریخی از بازسازی سطح کرسی v38؛ سند اصلی در این جلسه بازدریافت نشد</t>
        </is>
      </c>
      <c r="T298" s="92" t="inlineStr">
        <is>
          <t>Turnover نهایی S33 و T33</t>
        </is>
      </c>
    </row>
    <row r="299" ht="48" customHeight="1" s="76">
      <c r="A299" s="92" t="inlineStr">
        <is>
          <t>شپدیس</t>
        </is>
      </c>
      <c r="B299" s="92" t="inlineStr">
        <is>
          <t>CR1A</t>
        </is>
      </c>
      <c r="C299" s="92" t="inlineStr">
        <is>
          <t>تغییر رئیس هیئت مدیره بین دو مقطع</t>
        </is>
      </c>
      <c r="D299" s="92" t="inlineStr">
        <is>
          <t>قدیمی؛ تعریف حفظ شده</t>
        </is>
      </c>
      <c r="E299" s="92" t="inlineStr">
        <is>
          <t>صورت: 1 اگر هویت رئیس در دو مقطع فرق دارد؛ مخرج: 1. جدا از تعداد رویدادهای میانی</t>
        </is>
      </c>
      <c r="F299" s="92" t="n">
        <v>1</v>
      </c>
      <c r="G299" s="92" t="n">
        <v>1</v>
      </c>
      <c r="H299" s="92" t="n">
        <v>1</v>
      </c>
      <c r="I299" s="92" t="n">
        <v>1</v>
      </c>
      <c r="J299" s="92">
        <f>IF(AND(ISNUMBER(H299),ISNUMBER(I299),I299&gt;0),H299/I299,"")</f>
        <v>1.0</v>
      </c>
      <c r="K299" s="92" t="inlineStr">
        <is>
          <t>پنجره مشترک</t>
        </is>
      </c>
      <c r="L299" s="92" t="inlineStr">
        <is>
          <t>1403/12/29</t>
        </is>
      </c>
      <c r="M299" s="92" t="inlineStr">
        <is>
          <t>1404/12/29</t>
        </is>
      </c>
      <c r="N299" s="92" t="inlineStr">
        <is>
          <t>بله</t>
        </is>
      </c>
      <c r="O299" s="92" t="inlineStr">
        <is>
          <t>کامل</t>
        </is>
      </c>
      <c r="P299" s="92" t="inlineStr">
        <is>
          <t>تایید جزئی</t>
        </is>
      </c>
      <c r="Q299" s="92" t="inlineStr">
        <is>
          <t>رئیس مبنا هوشنگ گودرزی؛ رئیس پایان حسن شاه ولدی</t>
        </is>
      </c>
      <c r="R299" s="92" t="inlineStr">
        <is>
          <t>برابر</t>
        </is>
      </c>
      <c r="S299" s="92" t="inlineStr">
        <is>
          <t>مقایسه هویت رئیس در دو مقطع از بازسازی سطح کرسی v38؛ تعداد رویدادهای میانی جدا در Turnover Events v42</t>
        </is>
      </c>
      <c r="T299" s="92" t="inlineStr">
        <is>
          <t>Turnover نهایی V33؛ CR1A v39 ردیف 33</t>
        </is>
      </c>
    </row>
    <row r="300" ht="44" customHeight="1" s="76">
      <c r="A300" s="92" t="inlineStr">
        <is>
          <t>شپدیس</t>
        </is>
      </c>
      <c r="B300" s="92" t="inlineStr">
        <is>
          <t>UPX1</t>
        </is>
      </c>
      <c r="C300" s="92" t="inlineStr">
        <is>
          <t>نرخ خروج افراد یکتا</t>
        </is>
      </c>
      <c r="D300" s="92" t="inlineStr">
        <is>
          <t>جدید؛ کد غیرمتداخل</t>
        </is>
      </c>
      <c r="E300" s="92" t="inlineStr">
        <is>
          <t>صورت: افراد حاضر در مبنا و غایب در پایان؛ مخرج: اعضای فعال مبنا</t>
        </is>
      </c>
      <c r="F300" s="92" t="inlineStr"/>
      <c r="G300" s="92" t="inlineStr"/>
      <c r="H300" s="92" t="n">
        <v>1</v>
      </c>
      <c r="I300" s="92" t="n">
        <v>4</v>
      </c>
      <c r="J300" s="92">
        <f>IF(AND(ISNUMBER(H300),ISNUMBER(I300),I300&gt;0),H300/I300,"")</f>
        <v>0.25</v>
      </c>
      <c r="K300" s="92" t="inlineStr">
        <is>
          <t>پنجره مشترک</t>
        </is>
      </c>
      <c r="L300" s="92" t="inlineStr">
        <is>
          <t>1403/12/29</t>
        </is>
      </c>
      <c r="M300" s="92" t="inlineStr">
        <is>
          <t>1404/12/29</t>
        </is>
      </c>
      <c r="N300" s="92" t="inlineStr">
        <is>
          <t>بله</t>
        </is>
      </c>
      <c r="O300" s="92" t="inlineStr">
        <is>
          <t>کامل</t>
        </is>
      </c>
      <c r="P300" s="92" t="inlineStr">
        <is>
          <t>تایید جزئی</t>
        </is>
      </c>
      <c r="Q300" s="92" t="inlineStr">
        <is>
          <t>1 از 4</t>
        </is>
      </c>
      <c r="R300" s="92" t="inlineStr"/>
      <c r="S300" s="92" t="inlineStr">
        <is>
          <t>هر دو فهرست اسمی کامل؛ هویت ها با نام یکسان سازی شده در همان شرکت مطابقت داده شد</t>
        </is>
      </c>
      <c r="T300" s="92" t="inlineStr">
        <is>
          <t>Snapshot Members v42؛ Person Flows v42</t>
        </is>
      </c>
    </row>
    <row r="301" ht="44" customHeight="1" s="76">
      <c r="A301" s="92" t="inlineStr">
        <is>
          <t>شپدیس</t>
        </is>
      </c>
      <c r="B301" s="92" t="inlineStr">
        <is>
          <t>UPN1</t>
        </is>
      </c>
      <c r="C301" s="92" t="inlineStr">
        <is>
          <t>سهم افراد واردشده</t>
        </is>
      </c>
      <c r="D301" s="92" t="inlineStr">
        <is>
          <t>جدید؛ کد غیرمتداخل</t>
        </is>
      </c>
      <c r="E301" s="92" t="inlineStr">
        <is>
          <t>صورت: افراد حاضر در پایان و غایب در مبنا؛ مخرج: اعضای فعال پایان</t>
        </is>
      </c>
      <c r="F301" s="92" t="inlineStr"/>
      <c r="G301" s="92" t="inlineStr"/>
      <c r="H301" s="92" t="n">
        <v>2</v>
      </c>
      <c r="I301" s="92" t="n">
        <v>5</v>
      </c>
      <c r="J301" s="92">
        <f>IF(AND(ISNUMBER(H301),ISNUMBER(I301),I301&gt;0),H301/I301,"")</f>
        <v>0.4</v>
      </c>
      <c r="K301" s="92" t="inlineStr">
        <is>
          <t>پنجره مشترک</t>
        </is>
      </c>
      <c r="L301" s="92" t="inlineStr">
        <is>
          <t>1403/12/29</t>
        </is>
      </c>
      <c r="M301" s="92" t="inlineStr">
        <is>
          <t>1404/12/29</t>
        </is>
      </c>
      <c r="N301" s="92" t="inlineStr">
        <is>
          <t>بله</t>
        </is>
      </c>
      <c r="O301" s="92" t="inlineStr">
        <is>
          <t>کامل</t>
        </is>
      </c>
      <c r="P301" s="92" t="inlineStr">
        <is>
          <t>تایید جزئی</t>
        </is>
      </c>
      <c r="Q301" s="92" t="inlineStr">
        <is>
          <t>2 از 5</t>
        </is>
      </c>
      <c r="R301" s="92" t="inlineStr"/>
      <c r="S301" s="92" t="inlineStr">
        <is>
          <t>هر دو فهرست اسمی کامل؛ هویت ها با نام یکسان سازی شده در همان شرکت مطابقت داده شد</t>
        </is>
      </c>
      <c r="T301" s="92" t="inlineStr">
        <is>
          <t>Snapshot Members v42؛ Person Flows v42</t>
        </is>
      </c>
    </row>
    <row r="302" ht="44" customHeight="1" s="76">
      <c r="A302" s="92" t="inlineStr">
        <is>
          <t>شپدیس</t>
        </is>
      </c>
      <c r="B302" s="92" t="inlineStr">
        <is>
          <t>UPR1</t>
        </is>
      </c>
      <c r="C302" s="92" t="inlineStr">
        <is>
          <t>نرخ ماندگاری افراد یکتا</t>
        </is>
      </c>
      <c r="D302" s="92" t="inlineStr">
        <is>
          <t>جدید؛ کد غیرمتداخل</t>
        </is>
      </c>
      <c r="E302" s="92" t="inlineStr">
        <is>
          <t>صورت: افراد حاضر در هر دو مقطع؛ مخرج: اعضای فعال مبنا</t>
        </is>
      </c>
      <c r="F302" s="92" t="inlineStr"/>
      <c r="G302" s="92" t="inlineStr"/>
      <c r="H302" s="92" t="n">
        <v>3</v>
      </c>
      <c r="I302" s="92" t="n">
        <v>4</v>
      </c>
      <c r="J302" s="92">
        <f>IF(AND(ISNUMBER(H302),ISNUMBER(I302),I302&gt;0),H302/I302,"")</f>
        <v>0.75</v>
      </c>
      <c r="K302" s="92" t="inlineStr">
        <is>
          <t>پنجره مشترک</t>
        </is>
      </c>
      <c r="L302" s="92" t="inlineStr">
        <is>
          <t>1403/12/29</t>
        </is>
      </c>
      <c r="M302" s="92" t="inlineStr">
        <is>
          <t>1404/12/29</t>
        </is>
      </c>
      <c r="N302" s="92" t="inlineStr">
        <is>
          <t>بله</t>
        </is>
      </c>
      <c r="O302" s="92" t="inlineStr">
        <is>
          <t>کامل</t>
        </is>
      </c>
      <c r="P302" s="92" t="inlineStr">
        <is>
          <t>تایید جزئی</t>
        </is>
      </c>
      <c r="Q302" s="92" t="inlineStr">
        <is>
          <t>3 از 4</t>
        </is>
      </c>
      <c r="R302" s="92" t="inlineStr"/>
      <c r="S302" s="92" t="inlineStr">
        <is>
          <t>هر دو فهرست اسمی کامل؛ هویت ها با نام یکسان سازی شده در همان شرکت مطابقت داده شد</t>
        </is>
      </c>
      <c r="T302" s="92" t="inlineStr">
        <is>
          <t>Snapshot Members v42؛ Person Flows v42</t>
        </is>
      </c>
    </row>
    <row r="303" ht="44" customHeight="1" s="76">
      <c r="A303" s="92" t="inlineStr">
        <is>
          <t>شپدیس</t>
        </is>
      </c>
      <c r="B303" s="92" t="inlineStr">
        <is>
          <t>UPF1</t>
        </is>
      </c>
      <c r="C303" s="92" t="inlineStr">
        <is>
          <t>افراد یکتا در نمای مالی (FY1403 تا FY1404)</t>
        </is>
      </c>
      <c r="D303" s="92" t="inlineStr">
        <is>
          <t>جدید؛ نمای مالی</t>
        </is>
      </c>
      <c r="E303" s="92" t="inlineStr">
        <is>
          <t>همان سه نسبت UPX1 و UPN1 و UPR1 ولی بین پایان FY1403 و FY1404 هر شرکت؛ فقط با دو فهرست کامل معتبر</t>
        </is>
      </c>
      <c r="F303" s="92" t="inlineStr"/>
      <c r="G303" s="92" t="inlineStr"/>
      <c r="H303" s="92" t="inlineStr"/>
      <c r="I303" s="92" t="inlineStr"/>
      <c r="J303" s="92" t="str">
        <f>IF(AND(ISNUMBER(H303),ISNUMBER(I303),I303&gt;0),H303/I303,"")</f>
        <v/>
      </c>
      <c r="K303" s="92" t="inlineStr">
        <is>
          <t>نمای مالی</t>
        </is>
      </c>
      <c r="L303" s="92" t="inlineStr">
        <is>
          <t>1403/06/31</t>
        </is>
      </c>
      <c r="M303" s="92" t="inlineStr">
        <is>
          <t>1404/06/31</t>
        </is>
      </c>
      <c r="N303" s="92" t="inlineStr">
        <is>
          <t>بله</t>
        </is>
      </c>
      <c r="O303" s="92" t="inlineStr">
        <is>
          <t>ناکافی</t>
        </is>
      </c>
      <c r="P303" s="92" t="inlineStr">
        <is>
          <t>هنوز بررسی نشده</t>
        </is>
      </c>
      <c r="Q303" s="92" t="inlineStr"/>
      <c r="R303" s="92" t="inlineStr"/>
      <c r="S303" s="92" t="inlineStr">
        <is>
          <t>فهرست اسمی پایان FY1403 در فایل نیست؛ نتیجه نمای مالی نامشخص ماند و عدد پنجره مشترک جای آن نیامد</t>
        </is>
      </c>
      <c r="T303" s="92" t="inlineStr">
        <is>
          <t>Scope v42</t>
        </is>
      </c>
    </row>
  </sheetData>
  <autoFilter ref="A3:T303"/>
  <mergeCells count="2">
    <mergeCell ref="A1:T1"/>
    <mergeCell ref="A2:T2"/>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19"/>
  <sheetViews>
    <sheetView rightToLeft="1" workbookViewId="0">
      <pane xSplit="3" ySplit="3" topLeftCell="D4" activePane="bottomRight" state="frozen"/>
      <selection pane="topRight"/>
      <selection pane="bottomLeft"/>
      <selection pane="bottomRight" activeCell="A1" sqref="A1"/>
    </sheetView>
  </sheetViews>
  <sheetFormatPr baseColWidth="8" defaultRowHeight="15"/>
  <cols>
    <col width="34" customWidth="1" style="76" min="1" max="1"/>
    <col width="12" customWidth="1" style="76" min="2" max="2"/>
    <col width="18" customWidth="1" style="76" min="3" max="3"/>
    <col width="16" customWidth="1" style="76" min="4" max="4"/>
    <col width="16" customWidth="1" style="76" min="5" max="5"/>
    <col width="16" customWidth="1" style="76" min="6" max="6"/>
    <col width="16" customWidth="1" style="76" min="7" max="7"/>
    <col width="16" customWidth="1" style="76" min="8" max="8"/>
    <col width="16" customWidth="1" style="76" min="9" max="9"/>
    <col width="16" customWidth="1" style="76" min="10" max="10"/>
    <col width="16" customWidth="1" style="76" min="11" max="11"/>
    <col width="16" customWidth="1" style="76" min="12" max="12"/>
    <col width="60" customWidth="1" style="76" min="13" max="13"/>
  </cols>
  <sheetData>
    <row r="1" ht="26" customHeight="1" s="76">
      <c r="A1" s="89" t="inlineStr">
        <is>
          <t>پوشش به تفکیک تعریف، مبنای زمانی و کفایت داده</t>
        </is>
      </c>
    </row>
    <row r="2" ht="44" customHeight="1" s="76">
      <c r="A2" s="90" t="inlineStr">
        <is>
          <t>برای هر سنجه سه شمارش آمده است: کل 30 شرکت، واجد شرایط بر پایه تعریف و ساختار، و دارای داده کافی. شمارش ها با فرمول از Measures v42 گرفته شده اند. پنجره مشترک و نمای مالی در هم جمع نشده اند. کامل ارثی یعنی عدد مستر بدون بازتولید اسمی.</t>
        </is>
      </c>
    </row>
    <row r="3" ht="42" customHeight="1" s="76">
      <c r="A3" s="91" t="inlineStr">
        <is>
          <t>معیار</t>
        </is>
      </c>
      <c r="B3" s="91" t="inlineStr">
        <is>
          <t>کد</t>
        </is>
      </c>
      <c r="C3" s="91" t="inlineStr">
        <is>
          <t>مبنای زمانی</t>
        </is>
      </c>
      <c r="D3" s="91" t="inlineStr">
        <is>
          <t>کل شرکت ها</t>
        </is>
      </c>
      <c r="E3" s="91" t="inlineStr">
        <is>
          <t>واجد شرایط بر پایه تعریف و ساختار</t>
        </is>
      </c>
      <c r="F3" s="91" t="inlineStr">
        <is>
          <t>دارای داده کافی کامل</t>
        </is>
      </c>
      <c r="G3" s="91" t="inlineStr">
        <is>
          <t>کامل ارثی</t>
        </is>
      </c>
      <c r="H3" s="91" t="inlineStr">
        <is>
          <t>مشروط</t>
        </is>
      </c>
      <c r="I3" s="91" t="inlineStr">
        <is>
          <t>پشتیبانی غیرمستقیم</t>
        </is>
      </c>
      <c r="J3" s="91" t="inlineStr">
        <is>
          <t>نیازمند بررسی</t>
        </is>
      </c>
      <c r="K3" s="91" t="inlineStr">
        <is>
          <t>ناکافی</t>
        </is>
      </c>
      <c r="L3" s="91" t="inlineStr">
        <is>
          <t>غیرقابل اعمال</t>
        </is>
      </c>
      <c r="M3" s="91" t="inlineStr">
        <is>
          <t>یادداشت</t>
        </is>
      </c>
    </row>
    <row r="4" ht="40" customHeight="1" s="76">
      <c r="A4" s="92" t="inlineStr">
        <is>
          <t>REF05 گردش فردی مبتنی بر کرسی</t>
        </is>
      </c>
      <c r="B4" s="92" t="inlineStr">
        <is>
          <t>REF05</t>
        </is>
      </c>
      <c r="C4" s="92" t="inlineStr">
        <is>
          <t>پنجره مشترک</t>
        </is>
      </c>
      <c r="D4" s="92">
        <f>COUNTIF('Measures v42'!$B$4:$B$2000,"REF05")</f>
        <v>30</v>
      </c>
      <c r="E4" s="92">
        <f>COUNTIFS('Measures v42'!$B$4:$B$2000,"REF05",'Measures v42'!$N$4:$N$2000,"بله*")</f>
        <v>30</v>
      </c>
      <c r="F4" s="92">
        <f>COUNTIFS('Measures v42'!$B$4:$B$2000,"REF05",'Measures v42'!$O$4:$O$2000,"کامل")</f>
        <v>7</v>
      </c>
      <c r="G4" s="92">
        <f>COUNTIFS('Measures v42'!$B$4:$B$2000,"REF05",'Measures v42'!$O$4:$O$2000,"کامل ارثی")</f>
        <v>19</v>
      </c>
      <c r="H4" s="92">
        <f>COUNTIFS('Measures v42'!$B$4:$B$2000,"REF05",'Measures v42'!$O$4:$O$2000,"مشروط")</f>
        <v>1</v>
      </c>
      <c r="I4" s="92">
        <f>COUNTIFS('Measures v42'!$B$4:$B$2000,"REF05",'Measures v42'!$O$4:$O$2000,"پشتیبانی غیرمستقیم")</f>
        <v>0</v>
      </c>
      <c r="J4" s="92">
        <f>COUNTIFS('Measures v42'!$B$4:$B$2000,"REF05",'Measures v42'!$O$4:$O$2000,"نیازمند بررسی")</f>
        <v>1</v>
      </c>
      <c r="K4" s="92">
        <f>COUNTIFS('Measures v42'!$B$4:$B$2000,"REF05",'Measures v42'!$O$4:$O$2000,"ناکافی")</f>
        <v>2</v>
      </c>
      <c r="L4" s="92">
        <f>COUNTIFS('Measures v42'!$B$4:$B$2000,"REF05",'Measures v42'!$O$4:$O$2000,"غیرقابل اعمال")</f>
        <v>0</v>
      </c>
      <c r="M4" s="92" t="inlineStr">
        <is>
          <t>فملی نیازمند بررسی؛ وپاسار و حکشتی بدون مقدار؛ وتجارت مشروط</t>
        </is>
      </c>
    </row>
    <row r="5" ht="40" customHeight="1" s="76">
      <c r="A5" s="92" t="inlineStr">
        <is>
          <t>REF08 تغییر نماینده با شخص حقوقی ثابت</t>
        </is>
      </c>
      <c r="B5" s="92" t="inlineStr">
        <is>
          <t>REF08</t>
        </is>
      </c>
      <c r="C5" s="92" t="inlineStr">
        <is>
          <t>پنجره مشترک</t>
        </is>
      </c>
      <c r="D5" s="92">
        <f>COUNTIF('Measures v42'!$B$4:$B$2000,"REF08")</f>
        <v>30</v>
      </c>
      <c r="E5" s="92">
        <f>COUNTIFS('Measures v42'!$B$4:$B$2000,"REF08",'Measures v42'!$N$4:$N$2000,"بله*")</f>
        <v>26</v>
      </c>
      <c r="F5" s="92">
        <f>COUNTIFS('Measures v42'!$B$4:$B$2000,"REF08",'Measures v42'!$O$4:$O$2000,"کامل")</f>
        <v>7</v>
      </c>
      <c r="G5" s="92">
        <f>COUNTIFS('Measures v42'!$B$4:$B$2000,"REF08",'Measures v42'!$O$4:$O$2000,"کامل ارثی")</f>
        <v>17</v>
      </c>
      <c r="H5" s="92">
        <f>COUNTIFS('Measures v42'!$B$4:$B$2000,"REF08",'Measures v42'!$O$4:$O$2000,"مشروط")</f>
        <v>0</v>
      </c>
      <c r="I5" s="92">
        <f>COUNTIFS('Measures v42'!$B$4:$B$2000,"REF08",'Measures v42'!$O$4:$O$2000,"پشتیبانی غیرمستقیم")</f>
        <v>0</v>
      </c>
      <c r="J5" s="92">
        <f>COUNTIFS('Measures v42'!$B$4:$B$2000,"REF08",'Measures v42'!$O$4:$O$2000,"نیازمند بررسی")</f>
        <v>1</v>
      </c>
      <c r="K5" s="92">
        <f>COUNTIFS('Measures v42'!$B$4:$B$2000,"REF08",'Measures v42'!$O$4:$O$2000,"ناکافی")</f>
        <v>2</v>
      </c>
      <c r="L5" s="92">
        <f>COUNTIFS('Measures v42'!$B$4:$B$2000,"REF08",'Measures v42'!$O$4:$O$2000,"غیرقابل اعمال")</f>
        <v>3</v>
      </c>
      <c r="M5" s="92" t="inlineStr">
        <is>
          <t>سه شرکت با عضو حقیقی مستقیم غیرقابل اعمال؛ وپاسار نامشخص؛ حکشتی واجد شرایط است و کمبود داده دارد (مستر آن را اشتباه خیر نوشته)</t>
        </is>
      </c>
    </row>
    <row r="6" ht="40" customHeight="1" s="76">
      <c r="A6" s="92" t="inlineStr">
        <is>
          <t>ROB_LEGAL تغییر شخص حقوقی</t>
        </is>
      </c>
      <c r="B6" s="92" t="inlineStr">
        <is>
          <t>ROB_LEGAL</t>
        </is>
      </c>
      <c r="C6" s="92" t="inlineStr">
        <is>
          <t>پنجره مشترک</t>
        </is>
      </c>
      <c r="D6" s="92">
        <f>COUNTIF('Measures v42'!$B$4:$B$2000,"ROB_LEGAL")</f>
        <v>30</v>
      </c>
      <c r="E6" s="92">
        <f>COUNTIFS('Measures v42'!$B$4:$B$2000,"ROB_LEGAL",'Measures v42'!$N$4:$N$2000,"بله*")</f>
        <v>26</v>
      </c>
      <c r="F6" s="92">
        <f>COUNTIFS('Measures v42'!$B$4:$B$2000,"ROB_LEGAL",'Measures v42'!$O$4:$O$2000,"کامل")</f>
        <v>7</v>
      </c>
      <c r="G6" s="92">
        <f>COUNTIFS('Measures v42'!$B$4:$B$2000,"ROB_LEGAL",'Measures v42'!$O$4:$O$2000,"کامل ارثی")</f>
        <v>17</v>
      </c>
      <c r="H6" s="92">
        <f>COUNTIFS('Measures v42'!$B$4:$B$2000,"ROB_LEGAL",'Measures v42'!$O$4:$O$2000,"مشروط")</f>
        <v>1</v>
      </c>
      <c r="I6" s="92">
        <f>COUNTIFS('Measures v42'!$B$4:$B$2000,"ROB_LEGAL",'Measures v42'!$O$4:$O$2000,"پشتیبانی غیرمستقیم")</f>
        <v>0</v>
      </c>
      <c r="J6" s="92">
        <f>COUNTIFS('Measures v42'!$B$4:$B$2000,"ROB_LEGAL",'Measures v42'!$O$4:$O$2000,"نیازمند بررسی")</f>
        <v>1</v>
      </c>
      <c r="K6" s="92">
        <f>COUNTIFS('Measures v42'!$B$4:$B$2000,"ROB_LEGAL",'Measures v42'!$O$4:$O$2000,"ناکافی")</f>
        <v>1</v>
      </c>
      <c r="L6" s="92">
        <f>COUNTIFS('Measures v42'!$B$4:$B$2000,"ROB_LEGAL",'Measures v42'!$O$4:$O$2000,"غیرقابل اعمال")</f>
        <v>3</v>
      </c>
      <c r="M6" s="92" t="inlineStr">
        <is>
          <t>حکشتی در سطح دارنده 3 از 5 مشروط است</t>
        </is>
      </c>
    </row>
    <row r="7" ht="40" customHeight="1" s="76">
      <c r="A7" s="92" t="inlineStr">
        <is>
          <t>ROB_NEW سهم اعضای جدید</t>
        </is>
      </c>
      <c r="B7" s="92" t="inlineStr">
        <is>
          <t>ROB_NEW</t>
        </is>
      </c>
      <c r="C7" s="92" t="inlineStr">
        <is>
          <t>پنجره مشترک</t>
        </is>
      </c>
      <c r="D7" s="92">
        <f>COUNTIF('Measures v42'!$B$4:$B$2000,"ROB_NEW")</f>
        <v>30</v>
      </c>
      <c r="E7" s="92">
        <f>COUNTIFS('Measures v42'!$B$4:$B$2000,"ROB_NEW",'Measures v42'!$N$4:$N$2000,"بله*")</f>
        <v>30</v>
      </c>
      <c r="F7" s="92">
        <f>COUNTIFS('Measures v42'!$B$4:$B$2000,"ROB_NEW",'Measures v42'!$O$4:$O$2000,"کامل")</f>
        <v>7</v>
      </c>
      <c r="G7" s="92">
        <f>COUNTIFS('Measures v42'!$B$4:$B$2000,"ROB_NEW",'Measures v42'!$O$4:$O$2000,"کامل ارثی")</f>
        <v>19</v>
      </c>
      <c r="H7" s="92">
        <f>COUNTIFS('Measures v42'!$B$4:$B$2000,"ROB_NEW",'Measures v42'!$O$4:$O$2000,"مشروط")</f>
        <v>1</v>
      </c>
      <c r="I7" s="92">
        <f>COUNTIFS('Measures v42'!$B$4:$B$2000,"ROB_NEW",'Measures v42'!$O$4:$O$2000,"پشتیبانی غیرمستقیم")</f>
        <v>0</v>
      </c>
      <c r="J7" s="92">
        <f>COUNTIFS('Measures v42'!$B$4:$B$2000,"ROB_NEW",'Measures v42'!$O$4:$O$2000,"نیازمند بررسی")</f>
        <v>1</v>
      </c>
      <c r="K7" s="92">
        <f>COUNTIFS('Measures v42'!$B$4:$B$2000,"ROB_NEW",'Measures v42'!$O$4:$O$2000,"ناکافی")</f>
        <v>2</v>
      </c>
      <c r="L7" s="92">
        <f>COUNTIFS('Measures v42'!$B$4:$B$2000,"ROB_NEW",'Measures v42'!$O$4:$O$2000,"غیرقابل اعمال")</f>
        <v>0</v>
      </c>
      <c r="M7" s="92" t="inlineStr"/>
    </row>
    <row r="8" ht="40" customHeight="1" s="76">
      <c r="A8" s="92" t="inlineStr">
        <is>
          <t>ROB_STABILITY ثبات</t>
        </is>
      </c>
      <c r="B8" s="92" t="inlineStr">
        <is>
          <t>ROB_STABILITY</t>
        </is>
      </c>
      <c r="C8" s="92" t="inlineStr">
        <is>
          <t>پنجره مشترک</t>
        </is>
      </c>
      <c r="D8" s="92">
        <f>COUNTIF('Measures v42'!$B$4:$B$2000,"ROB_STABILITY")</f>
        <v>30</v>
      </c>
      <c r="E8" s="92">
        <f>COUNTIFS('Measures v42'!$B$4:$B$2000,"ROB_STABILITY",'Measures v42'!$N$4:$N$2000,"بله*")</f>
        <v>30</v>
      </c>
      <c r="F8" s="92">
        <f>COUNTIFS('Measures v42'!$B$4:$B$2000,"ROB_STABILITY",'Measures v42'!$O$4:$O$2000,"کامل")</f>
        <v>7</v>
      </c>
      <c r="G8" s="92">
        <f>COUNTIFS('Measures v42'!$B$4:$B$2000,"ROB_STABILITY",'Measures v42'!$O$4:$O$2000,"کامل ارثی")</f>
        <v>19</v>
      </c>
      <c r="H8" s="92">
        <f>COUNTIFS('Measures v42'!$B$4:$B$2000,"ROB_STABILITY",'Measures v42'!$O$4:$O$2000,"مشروط")</f>
        <v>1</v>
      </c>
      <c r="I8" s="92">
        <f>COUNTIFS('Measures v42'!$B$4:$B$2000,"ROB_STABILITY",'Measures v42'!$O$4:$O$2000,"پشتیبانی غیرمستقیم")</f>
        <v>0</v>
      </c>
      <c r="J8" s="92">
        <f>COUNTIFS('Measures v42'!$B$4:$B$2000,"ROB_STABILITY",'Measures v42'!$O$4:$O$2000,"نیازمند بررسی")</f>
        <v>1</v>
      </c>
      <c r="K8" s="92">
        <f>COUNTIFS('Measures v42'!$B$4:$B$2000,"ROB_STABILITY",'Measures v42'!$O$4:$O$2000,"ناکافی")</f>
        <v>2</v>
      </c>
      <c r="L8" s="92">
        <f>COUNTIFS('Measures v42'!$B$4:$B$2000,"ROB_STABILITY",'Measures v42'!$O$4:$O$2000,"غیرقابل اعمال")</f>
        <v>0</v>
      </c>
      <c r="M8" s="92" t="inlineStr"/>
    </row>
    <row r="9" ht="40" customHeight="1" s="76">
      <c r="A9" s="92" t="inlineStr">
        <is>
          <t>CR1A تغییر رئیس (پوشش ارثی و بازتولیدشده)</t>
        </is>
      </c>
      <c r="B9" s="92" t="inlineStr">
        <is>
          <t>CR1A</t>
        </is>
      </c>
      <c r="C9" s="92" t="inlineStr">
        <is>
          <t>پنجره مشترک</t>
        </is>
      </c>
      <c r="D9" s="92">
        <f>COUNTIF('Measures v42'!$B$4:$B$2000,"CR1A")</f>
        <v>30</v>
      </c>
      <c r="E9" s="92">
        <f>COUNTIFS('Measures v42'!$B$4:$B$2000,"CR1A",'Measures v42'!$N$4:$N$2000,"بله*")</f>
        <v>30</v>
      </c>
      <c r="F9" s="92">
        <f>COUNTIFS('Measures v42'!$B$4:$B$2000,"CR1A",'Measures v42'!$O$4:$O$2000,"کامل")</f>
        <v>7</v>
      </c>
      <c r="G9" s="92">
        <f>COUNTIFS('Measures v42'!$B$4:$B$2000,"CR1A",'Measures v42'!$O$4:$O$2000,"کامل ارثی")</f>
        <v>18</v>
      </c>
      <c r="H9" s="92">
        <f>COUNTIFS('Measures v42'!$B$4:$B$2000,"CR1A",'Measures v42'!$O$4:$O$2000,"مشروط")</f>
        <v>1</v>
      </c>
      <c r="I9" s="92">
        <f>COUNTIFS('Measures v42'!$B$4:$B$2000,"CR1A",'Measures v42'!$O$4:$O$2000,"پشتیبانی غیرمستقیم")</f>
        <v>1</v>
      </c>
      <c r="J9" s="92">
        <f>COUNTIFS('Measures v42'!$B$4:$B$2000,"CR1A",'Measures v42'!$O$4:$O$2000,"نیازمند بررسی")</f>
        <v>1</v>
      </c>
      <c r="K9" s="92">
        <f>COUNTIFS('Measures v42'!$B$4:$B$2000,"CR1A",'Measures v42'!$O$4:$O$2000,"ناکافی")</f>
        <v>2</v>
      </c>
      <c r="L9" s="92">
        <f>COUNTIFS('Measures v42'!$B$4:$B$2000,"CR1A",'Measures v42'!$O$4:$O$2000,"غیرقابل اعمال")</f>
        <v>0</v>
      </c>
      <c r="M9" s="92" t="inlineStr">
        <is>
          <t>پوشش محافظه کارانه v39 دست نخورد: 26 از 30. فملی و رمپنا شواهد غیرمستقیم دارند و وارد آن نشدند</t>
        </is>
      </c>
    </row>
    <row r="10" ht="40" customHeight="1" s="76">
      <c r="A10" s="92" t="inlineStr">
        <is>
          <t>UPX1 نرخ خروج افراد یکتا</t>
        </is>
      </c>
      <c r="B10" s="92" t="inlineStr">
        <is>
          <t>UPX1</t>
        </is>
      </c>
      <c r="C10" s="92" t="inlineStr">
        <is>
          <t>پنجره مشترک</t>
        </is>
      </c>
      <c r="D10" s="92">
        <f>COUNTIF('Measures v42'!$B$4:$B$2000,"UPX1")</f>
        <v>30</v>
      </c>
      <c r="E10" s="92">
        <f>COUNTIFS('Measures v42'!$B$4:$B$2000,"UPX1",'Measures v42'!$N$4:$N$2000,"بله*")</f>
        <v>30</v>
      </c>
      <c r="F10" s="92">
        <f>COUNTIFS('Measures v42'!$B$4:$B$2000,"UPX1",'Measures v42'!$O$4:$O$2000,"کامل")</f>
        <v>7</v>
      </c>
      <c r="G10" s="92">
        <f>COUNTIFS('Measures v42'!$B$4:$B$2000,"UPX1",'Measures v42'!$O$4:$O$2000,"کامل ارثی")</f>
        <v>0</v>
      </c>
      <c r="H10" s="92">
        <f>COUNTIFS('Measures v42'!$B$4:$B$2000,"UPX1",'Measures v42'!$O$4:$O$2000,"مشروط")</f>
        <v>1</v>
      </c>
      <c r="I10" s="92">
        <f>COUNTIFS('Measures v42'!$B$4:$B$2000,"UPX1",'Measures v42'!$O$4:$O$2000,"پشتیبانی غیرمستقیم")</f>
        <v>0</v>
      </c>
      <c r="J10" s="92">
        <f>COUNTIFS('Measures v42'!$B$4:$B$2000,"UPX1",'Measures v42'!$O$4:$O$2000,"نیازمند بررسی")</f>
        <v>0</v>
      </c>
      <c r="K10" s="92">
        <f>COUNTIFS('Measures v42'!$B$4:$B$2000,"UPX1",'Measures v42'!$O$4:$O$2000,"ناکافی")</f>
        <v>22</v>
      </c>
      <c r="L10" s="92">
        <f>COUNTIFS('Measures v42'!$B$4:$B$2000,"UPX1",'Measures v42'!$O$4:$O$2000,"غیرقابل اعمال")</f>
        <v>0</v>
      </c>
      <c r="M10" s="92" t="inlineStr">
        <is>
          <t>فقط هشت شرکت فهرست اسمی دو مقطع دارند؛ یک شرکت مشروط است</t>
        </is>
      </c>
    </row>
    <row r="11" ht="40" customHeight="1" s="76">
      <c r="A11" s="92" t="inlineStr">
        <is>
          <t>UPN1 سهم افراد واردشده</t>
        </is>
      </c>
      <c r="B11" s="92" t="inlineStr">
        <is>
          <t>UPN1</t>
        </is>
      </c>
      <c r="C11" s="92" t="inlineStr">
        <is>
          <t>پنجره مشترک</t>
        </is>
      </c>
      <c r="D11" s="92">
        <f>COUNTIF('Measures v42'!$B$4:$B$2000,"UPN1")</f>
        <v>30</v>
      </c>
      <c r="E11" s="92">
        <f>COUNTIFS('Measures v42'!$B$4:$B$2000,"UPN1",'Measures v42'!$N$4:$N$2000,"بله*")</f>
        <v>30</v>
      </c>
      <c r="F11" s="92">
        <f>COUNTIFS('Measures v42'!$B$4:$B$2000,"UPN1",'Measures v42'!$O$4:$O$2000,"کامل")</f>
        <v>7</v>
      </c>
      <c r="G11" s="92">
        <f>COUNTIFS('Measures v42'!$B$4:$B$2000,"UPN1",'Measures v42'!$O$4:$O$2000,"کامل ارثی")</f>
        <v>0</v>
      </c>
      <c r="H11" s="92">
        <f>COUNTIFS('Measures v42'!$B$4:$B$2000,"UPN1",'Measures v42'!$O$4:$O$2000,"مشروط")</f>
        <v>1</v>
      </c>
      <c r="I11" s="92">
        <f>COUNTIFS('Measures v42'!$B$4:$B$2000,"UPN1",'Measures v42'!$O$4:$O$2000,"پشتیبانی غیرمستقیم")</f>
        <v>0</v>
      </c>
      <c r="J11" s="92">
        <f>COUNTIFS('Measures v42'!$B$4:$B$2000,"UPN1",'Measures v42'!$O$4:$O$2000,"نیازمند بررسی")</f>
        <v>0</v>
      </c>
      <c r="K11" s="92">
        <f>COUNTIFS('Measures v42'!$B$4:$B$2000,"UPN1",'Measures v42'!$O$4:$O$2000,"ناکافی")</f>
        <v>22</v>
      </c>
      <c r="L11" s="92">
        <f>COUNTIFS('Measures v42'!$B$4:$B$2000,"UPN1",'Measures v42'!$O$4:$O$2000,"غیرقابل اعمال")</f>
        <v>0</v>
      </c>
      <c r="M11" s="92" t="inlineStr"/>
    </row>
    <row r="12" ht="40" customHeight="1" s="76">
      <c r="A12" s="92" t="inlineStr">
        <is>
          <t>UPR1 نرخ ماندگاری افراد یکتا</t>
        </is>
      </c>
      <c r="B12" s="92" t="inlineStr">
        <is>
          <t>UPR1</t>
        </is>
      </c>
      <c r="C12" s="92" t="inlineStr">
        <is>
          <t>پنجره مشترک</t>
        </is>
      </c>
      <c r="D12" s="92">
        <f>COUNTIF('Measures v42'!$B$4:$B$2000,"UPR1")</f>
        <v>30</v>
      </c>
      <c r="E12" s="92">
        <f>COUNTIFS('Measures v42'!$B$4:$B$2000,"UPR1",'Measures v42'!$N$4:$N$2000,"بله*")</f>
        <v>30</v>
      </c>
      <c r="F12" s="92">
        <f>COUNTIFS('Measures v42'!$B$4:$B$2000,"UPR1",'Measures v42'!$O$4:$O$2000,"کامل")</f>
        <v>7</v>
      </c>
      <c r="G12" s="92">
        <f>COUNTIFS('Measures v42'!$B$4:$B$2000,"UPR1",'Measures v42'!$O$4:$O$2000,"کامل ارثی")</f>
        <v>0</v>
      </c>
      <c r="H12" s="92">
        <f>COUNTIFS('Measures v42'!$B$4:$B$2000,"UPR1",'Measures v42'!$O$4:$O$2000,"مشروط")</f>
        <v>1</v>
      </c>
      <c r="I12" s="92">
        <f>COUNTIFS('Measures v42'!$B$4:$B$2000,"UPR1",'Measures v42'!$O$4:$O$2000,"پشتیبانی غیرمستقیم")</f>
        <v>0</v>
      </c>
      <c r="J12" s="92">
        <f>COUNTIFS('Measures v42'!$B$4:$B$2000,"UPR1",'Measures v42'!$O$4:$O$2000,"نیازمند بررسی")</f>
        <v>0</v>
      </c>
      <c r="K12" s="92">
        <f>COUNTIFS('Measures v42'!$B$4:$B$2000,"UPR1",'Measures v42'!$O$4:$O$2000,"ناکافی")</f>
        <v>22</v>
      </c>
      <c r="L12" s="92">
        <f>COUNTIFS('Measures v42'!$B$4:$B$2000,"UPR1",'Measures v42'!$O$4:$O$2000,"غیرقابل اعمال")</f>
        <v>0</v>
      </c>
      <c r="M12" s="92" t="inlineStr"/>
    </row>
    <row r="13" ht="40" customHeight="1" s="76">
      <c r="A13" s="92" t="inlineStr">
        <is>
          <t>UPF1 نمای مالی افراد یکتا</t>
        </is>
      </c>
      <c r="B13" s="92" t="inlineStr">
        <is>
          <t>UPF1</t>
        </is>
      </c>
      <c r="C13" s="92" t="inlineStr">
        <is>
          <t>نمای مالی</t>
        </is>
      </c>
      <c r="D13" s="92">
        <f>COUNTIF('Measures v42'!$B$4:$B$2000,"UPF1")</f>
        <v>30</v>
      </c>
      <c r="E13" s="92">
        <f>COUNTIFS('Measures v42'!$B$4:$B$2000,"UPF1",'Measures v42'!$N$4:$N$2000,"بله*")</f>
        <v>30</v>
      </c>
      <c r="F13" s="92">
        <f>COUNTIFS('Measures v42'!$B$4:$B$2000,"UPF1",'Measures v42'!$O$4:$O$2000,"کامل")</f>
        <v>0</v>
      </c>
      <c r="G13" s="92">
        <f>COUNTIFS('Measures v42'!$B$4:$B$2000,"UPF1",'Measures v42'!$O$4:$O$2000,"کامل ارثی")</f>
        <v>0</v>
      </c>
      <c r="H13" s="92">
        <f>COUNTIFS('Measures v42'!$B$4:$B$2000,"UPF1",'Measures v42'!$O$4:$O$2000,"مشروط")</f>
        <v>0</v>
      </c>
      <c r="I13" s="92">
        <f>COUNTIFS('Measures v42'!$B$4:$B$2000,"UPF1",'Measures v42'!$O$4:$O$2000,"پشتیبانی غیرمستقیم")</f>
        <v>0</v>
      </c>
      <c r="J13" s="92">
        <f>COUNTIFS('Measures v42'!$B$4:$B$2000,"UPF1",'Measures v42'!$O$4:$O$2000,"نیازمند بررسی")</f>
        <v>0</v>
      </c>
      <c r="K13" s="92">
        <f>COUNTIFS('Measures v42'!$B$4:$B$2000,"UPF1",'Measures v42'!$O$4:$O$2000,"ناکافی")</f>
        <v>30</v>
      </c>
      <c r="L13" s="92">
        <f>COUNTIFS('Measures v42'!$B$4:$B$2000,"UPF1",'Measures v42'!$O$4:$O$2000,"غیرقابل اعمال")</f>
        <v>0</v>
      </c>
      <c r="M13" s="92" t="inlineStr">
        <is>
          <t>نمای مالی برای هیچ شرکتی محاسبه نشد چون فهرست FY1403 در فایل نیست</t>
        </is>
      </c>
    </row>
    <row r="14">
      <c r="A14" s="92" t="inlineStr"/>
      <c r="B14" s="92" t="inlineStr"/>
      <c r="C14" s="92" t="inlineStr"/>
      <c r="D14" s="92" t="inlineStr"/>
      <c r="E14" s="92" t="inlineStr"/>
      <c r="F14" s="92" t="inlineStr"/>
      <c r="G14" s="92" t="inlineStr"/>
      <c r="H14" s="92" t="inlineStr"/>
      <c r="I14" s="92" t="inlineStr"/>
      <c r="J14" s="92" t="inlineStr"/>
      <c r="K14" s="92" t="inlineStr"/>
      <c r="L14" s="92" t="inlineStr"/>
      <c r="M14" s="92" t="inlineStr"/>
    </row>
    <row r="15" ht="40" customHeight="1" s="76">
      <c r="A15" s="92" t="inlineStr">
        <is>
          <t>شرکت های دارای دو فهرست اسمی کامل: پنجره مشترک، کل</t>
        </is>
      </c>
      <c r="B15" s="92" t="inlineStr">
        <is>
          <t>LISTS2</t>
        </is>
      </c>
      <c r="C15" s="92" t="inlineStr">
        <is>
          <t>پنجره مشترک</t>
        </is>
      </c>
      <c r="D15" s="92" t="n">
        <v>30</v>
      </c>
      <c r="E15" s="92">
        <f>COUNTIFS('Measures v42'!$B$4:$B$2000,"UPX1",'Measures v42'!$O$4:$O$2000,"کامل")</f>
        <v>7</v>
      </c>
      <c r="F15" s="92" t="n">
        <v>7</v>
      </c>
      <c r="G15" s="92" t="inlineStr"/>
      <c r="H15" s="92" t="n">
        <v>1</v>
      </c>
      <c r="I15" s="92" t="inlineStr"/>
      <c r="J15" s="92" t="inlineStr"/>
      <c r="K15" s="92" t="inlineStr"/>
      <c r="L15" s="92" t="inlineStr"/>
      <c r="M15" s="92" t="inlineStr">
        <is>
          <t>پنج شرکت بدون حساسیت و دو شرکت (جم و پارسان) با حساسیت ثبت شده؛ وتجارت مشروط</t>
        </is>
      </c>
    </row>
    <row r="16" ht="40" customHeight="1" s="76">
      <c r="A16" s="92" t="inlineStr">
        <is>
          <t>به تفکیک رابطه مبنای زمانی: پایان و مبنا متفاوت</t>
        </is>
      </c>
      <c r="B16" s="92" t="inlineStr">
        <is>
          <t>LISTS2_BY_BASIS</t>
        </is>
      </c>
      <c r="C16" s="92" t="inlineStr">
        <is>
          <t>پنجره مشترک</t>
        </is>
      </c>
      <c r="D16" s="92" t="n">
        <v>10</v>
      </c>
      <c r="E16" s="92" t="inlineStr"/>
      <c r="F16" s="92" t="n">
        <v>4</v>
      </c>
      <c r="G16" s="92" t="inlineStr"/>
      <c r="H16" s="92" t="n">
        <v>0</v>
      </c>
      <c r="I16" s="92" t="inlineStr"/>
      <c r="J16" s="92" t="inlineStr"/>
      <c r="K16" s="92" t="inlineStr"/>
      <c r="L16" s="92" t="inlineStr"/>
      <c r="M16" s="92" t="inlineStr">
        <is>
          <t>شرکت های کامل: تاپیکو، کچاد، پارسان، شپدیس</t>
        </is>
      </c>
    </row>
    <row r="17" ht="40" customHeight="1" s="76">
      <c r="A17" s="92" t="inlineStr">
        <is>
          <t>به تفکیک رابطه مبنای زمانی: پایان یکسان؛ مبنا با یک روز اختلاف (1403/12/29 در برابر 1403/12/30)</t>
        </is>
      </c>
      <c r="B17" s="92" t="inlineStr">
        <is>
          <t>LISTS2_BY_BASIS</t>
        </is>
      </c>
      <c r="C17" s="92" t="inlineStr">
        <is>
          <t>پنجره مشترک</t>
        </is>
      </c>
      <c r="D17" s="92" t="n">
        <v>20</v>
      </c>
      <c r="E17" s="92" t="inlineStr"/>
      <c r="F17" s="92" t="n">
        <v>3</v>
      </c>
      <c r="G17" s="92" t="inlineStr"/>
      <c r="H17" s="92" t="n">
        <v>1</v>
      </c>
      <c r="I17" s="92" t="inlineStr"/>
      <c r="J17" s="92" t="inlineStr"/>
      <c r="K17" s="92" t="inlineStr"/>
      <c r="L17" s="92" t="inlineStr"/>
      <c r="M17" s="92" t="inlineStr">
        <is>
          <t>شرکت های کامل: خودرو، جم، خساپا</t>
        </is>
      </c>
    </row>
    <row r="18" ht="40" customHeight="1" s="76">
      <c r="A18" s="92" t="inlineStr">
        <is>
          <t>شرکت های دارای دو فهرست اسمی کامل: نمای مالی FY1403 تا FY1404</t>
        </is>
      </c>
      <c r="B18" s="92" t="inlineStr">
        <is>
          <t>LISTS2_FISCAL</t>
        </is>
      </c>
      <c r="C18" s="92" t="inlineStr">
        <is>
          <t>نمای مالی</t>
        </is>
      </c>
      <c r="D18" s="92" t="n">
        <v>30</v>
      </c>
      <c r="E18" s="92" t="inlineStr"/>
      <c r="F18" s="92" t="n">
        <v>0</v>
      </c>
      <c r="G18" s="92" t="inlineStr"/>
      <c r="H18" s="92" t="n">
        <v>0</v>
      </c>
      <c r="I18" s="92" t="inlineStr"/>
      <c r="J18" s="92" t="inlineStr"/>
      <c r="K18" s="92" t="n">
        <v>30</v>
      </c>
      <c r="L18" s="92" t="inlineStr"/>
      <c r="M18" s="92" t="inlineStr">
        <is>
          <t>فهرست اسمی FY1403 در فایل نیست</t>
        </is>
      </c>
    </row>
    <row r="19" ht="40" customHeight="1" s="76">
      <c r="A19" s="92" t="inlineStr">
        <is>
          <t>CR1A پوشش محافظه کارانه (تعریف v39)</t>
        </is>
      </c>
      <c r="B19" s="92" t="inlineStr">
        <is>
          <t>CR1A_CONS</t>
        </is>
      </c>
      <c r="C19" s="92" t="inlineStr">
        <is>
          <t>پنجره مشترک</t>
        </is>
      </c>
      <c r="D19" s="92" t="n">
        <v>30</v>
      </c>
      <c r="E19" s="92" t="n">
        <v>30</v>
      </c>
      <c r="F19" s="92" t="n">
        <v>26</v>
      </c>
      <c r="G19" s="92" t="inlineStr"/>
      <c r="H19" s="92" t="inlineStr"/>
      <c r="I19" s="92" t="n">
        <v>2</v>
      </c>
      <c r="J19" s="92" t="inlineStr"/>
      <c r="K19" s="92" t="n">
        <v>2</v>
      </c>
      <c r="L19" s="92" t="inlineStr"/>
      <c r="M19" s="92" t="inlineStr">
        <is>
          <t>بله فملی و رمپنا غیرمستقیم؛ وپاسار و حکشتی بدون کد</t>
        </is>
      </c>
    </row>
  </sheetData>
  <autoFilter ref="A3:M19"/>
  <mergeCells count="2">
    <mergeCell ref="A2:M2"/>
    <mergeCell ref="A1:M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O75"/>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20" customWidth="1" style="76" min="1" max="1"/>
    <col width="9" customWidth="1" style="76" min="2" max="2"/>
    <col width="22" customWidth="1" style="76" min="3" max="3"/>
    <col width="36" customWidth="1" style="76" min="4" max="4"/>
    <col width="10" customWidth="1" style="76" min="5" max="5"/>
    <col width="22" customWidth="1" style="76" min="6" max="6"/>
    <col width="12" customWidth="1" style="76" min="7" max="7"/>
    <col width="14" customWidth="1" style="76" min="8" max="8"/>
    <col width="30" customWidth="1" style="76" min="9" max="9"/>
    <col width="30" customWidth="1" style="76" min="10" max="10"/>
    <col width="14" customWidth="1" style="76" min="11" max="11"/>
    <col width="22" customWidth="1" style="76" min="12" max="12"/>
    <col width="30" customWidth="1" style="76" min="13" max="13"/>
    <col width="50" customWidth="1" style="76" min="14" max="14"/>
    <col width="26" customWidth="1" style="76" min="15" max="15"/>
  </cols>
  <sheetData>
    <row r="1" ht="26" customHeight="1" s="76">
      <c r="A1" s="89" t="inlineStr">
        <is>
          <t>رجیستری منابع و مسیر شواهد</t>
        </is>
      </c>
    </row>
    <row r="2" ht="44" customHeight="1" s="76">
      <c r="A2" s="90" t="inlineStr">
        <is>
          <t>هر شماره ردیابی که در بازتولید یا پنج پرونده به کار رفته یک ردیف دارد. اطلاعات از BR Sources v41 و از متن بازسازی v38 گرفته شده؛ متن اسناد در این جلسه باز نشد. جدول های حساس و اصلاحیه ها باید با صفحه اصلی کنترل شوند؛ استخراج متن به تنهایی برای رفع ابهام جدول کافی نیست.</t>
        </is>
      </c>
    </row>
    <row r="3" ht="42" customHeight="1" s="76">
      <c r="A3" s="91" t="inlineStr">
        <is>
          <t>شناسه منبع</t>
        </is>
      </c>
      <c r="B3" s="91" t="inlineStr">
        <is>
          <t>نماد</t>
        </is>
      </c>
      <c r="C3" s="91" t="inlineStr">
        <is>
          <t>موضوع</t>
        </is>
      </c>
      <c r="D3" s="91" t="inlineStr">
        <is>
          <t>عنوان سند</t>
        </is>
      </c>
      <c r="E3" s="91" t="inlineStr">
        <is>
          <t>شماره ردیابی</t>
        </is>
      </c>
      <c r="F3" s="91" t="inlineStr">
        <is>
          <t>دوره یا مقطع مربوط</t>
        </is>
      </c>
      <c r="G3" s="91" t="inlineStr">
        <is>
          <t>تاریخ انتشار</t>
        </is>
      </c>
      <c r="H3" s="91" t="inlineStr">
        <is>
          <t>صفحه فایل و شماره چاپی</t>
        </is>
      </c>
      <c r="I3" s="91" t="inlineStr">
        <is>
          <t>نشانی منبع</t>
        </is>
      </c>
      <c r="J3" s="91" t="inlineStr">
        <is>
          <t>مسیر نسخه محلی (در بسته v41)</t>
        </is>
      </c>
      <c r="K3" s="91" t="inlineStr">
        <is>
          <t>sha256 ثبت شده در رجیستری v41</t>
        </is>
      </c>
      <c r="L3" s="91" t="inlineStr">
        <is>
          <t>وضعیت در رجیستری v41</t>
        </is>
      </c>
      <c r="M3" s="91" t="inlineStr">
        <is>
          <t>دسترسی در این جلسه</t>
        </is>
      </c>
      <c r="N3" s="91" t="inlineStr">
        <is>
          <t>خلاصه ادعایی که سند پشتیبانی می کند</t>
        </is>
      </c>
      <c r="O3" s="91" t="inlineStr">
        <is>
          <t>ادعاها یا برگه های استفاده کننده</t>
        </is>
      </c>
    </row>
    <row r="4" ht="44" customHeight="1" s="76">
      <c r="A4" s="92" t="inlineStr">
        <is>
          <t>T19_1311653</t>
        </is>
      </c>
      <c r="B4" s="92" t="inlineStr">
        <is>
          <t>تاپیکو</t>
        </is>
      </c>
      <c r="C4" s="92" t="inlineStr">
        <is>
          <t>بازسازی کرسی</t>
        </is>
      </c>
      <c r="D4" s="92" t="inlineStr">
        <is>
          <t>معرفی /تغییر در ترکیب اعضای هیئت مدیره/مدیر عامل</t>
        </is>
      </c>
      <c r="E4" s="92" t="n">
        <v>1311653</v>
      </c>
      <c r="F4" s="92" t="inlineStr">
        <is>
          <t>Cutoff 1403/12/29</t>
        </is>
      </c>
      <c r="G4" s="92" t="inlineStr">
        <is>
          <t>1403/12/04</t>
        </is>
      </c>
      <c r="H4" s="92" t="inlineStr"/>
      <c r="I4" s="92" t="inlineStr">
        <is>
          <t>https://www.codal.ir/Reports/Decision.aspx?LetterSerial=QijK3OnJnjtoOOObOOOYV1GqeqyQ%3d%3d&amp;rt=2&amp;let=19&amp;ct=0&amp;ft=-1</t>
        </is>
      </c>
      <c r="J4" s="92" t="inlineStr">
        <is>
          <t>sources/codal/تاپیکو/v38_type19/T1311653.html</t>
        </is>
      </c>
      <c r="K4" s="92" t="inlineStr">
        <is>
          <t>69d23a766f83d35419942a90e7125f10fe773cf2e7d0aa31762ca95f5300c6c9</t>
        </is>
      </c>
      <c r="L4" s="92" t="inlineStr">
        <is>
          <t>در رجیستری v41</t>
        </is>
      </c>
      <c r="M4" s="92" t="inlineStr">
        <is>
          <t>بسته شواهد v41 ارائه نشد و کدال در این جلسه پاسخ 503 یا قطع اتصال داد؛ متن سند باز نشد</t>
        </is>
      </c>
      <c r="N4" s="92" t="inlineStr">
        <is>
          <t>فهرست 1403/12/29</t>
        </is>
      </c>
      <c r="O4" s="92" t="inlineStr">
        <is>
          <t>Snapshot Members v42</t>
        </is>
      </c>
    </row>
    <row r="5" ht="44" customHeight="1" s="76">
      <c r="A5" s="92" t="inlineStr">
        <is>
          <t>T19_1333972</t>
        </is>
      </c>
      <c r="B5" s="92" t="inlineStr">
        <is>
          <t>تاپیکو</t>
        </is>
      </c>
      <c r="C5" s="92" t="inlineStr">
        <is>
          <t>رویداد</t>
        </is>
      </c>
      <c r="D5" s="92" t="inlineStr">
        <is>
          <t>معرفی /تغییر در ترکیب اعضای هیئت مدیره/مدیر عامل</t>
        </is>
      </c>
      <c r="E5" s="92" t="n">
        <v>1333972</v>
      </c>
      <c r="F5" s="92" t="inlineStr"/>
      <c r="G5" s="92" t="inlineStr">
        <is>
          <t>1404/02/02</t>
        </is>
      </c>
      <c r="H5" s="92" t="inlineStr"/>
      <c r="I5" s="92" t="inlineStr">
        <is>
          <t>https://www.codal.ir/Reports/Decision.aspx?LetterSerial=14wq1hhv9CaZOHj4KQQQaQQQWEXQ%3d%3d&amp;rt=2&amp;let=19&amp;ct=0&amp;ft=-1</t>
        </is>
      </c>
      <c r="J5" s="92" t="inlineStr">
        <is>
          <t>sources/codal/تاپیکو/v38_type19/T1333972.html</t>
        </is>
      </c>
      <c r="K5" s="92" t="inlineStr">
        <is>
          <t>e403335e17c71d3d055d071d860ff5b74e404ed63b17228b2423979d2a4e25f8</t>
        </is>
      </c>
      <c r="L5" s="92" t="inlineStr">
        <is>
          <t>در رجیستری v41</t>
        </is>
      </c>
      <c r="M5" s="92" t="inlineStr">
        <is>
          <t>بسته شواهد v41 ارائه نشد و کدال در این جلسه پاسخ 503 یا قطع اتصال داد؛ متن سند باز نشد</t>
        </is>
      </c>
      <c r="N5" s="92" t="inlineStr">
        <is>
          <t>عبدالکریم پهلوانی</t>
        </is>
      </c>
      <c r="O5" s="92" t="inlineStr">
        <is>
          <t>Turnover Events v42</t>
        </is>
      </c>
    </row>
    <row r="6" ht="44" customHeight="1" s="76">
      <c r="A6" s="92" t="inlineStr">
        <is>
          <t>T19_1379918</t>
        </is>
      </c>
      <c r="B6" s="92" t="inlineStr">
        <is>
          <t>تاپیکو</t>
        </is>
      </c>
      <c r="C6" s="92" t="inlineStr">
        <is>
          <t>رویداد؛ رویداد کرسی</t>
        </is>
      </c>
      <c r="D6" s="92" t="inlineStr">
        <is>
          <t>معرفی /تغییر در ترکیب اعضای هیئت مدیره/مدیر عامل</t>
        </is>
      </c>
      <c r="E6" s="92" t="n">
        <v>1379918</v>
      </c>
      <c r="F6" s="92" t="inlineStr">
        <is>
          <t>۱۴۰۳→۱۴۰۴ (Cutoff 1403/12/29 → 1404/12/29)</t>
        </is>
      </c>
      <c r="G6" s="92" t="inlineStr">
        <is>
          <t>1404/05/04</t>
        </is>
      </c>
      <c r="H6" s="92" t="inlineStr"/>
      <c r="I6" s="92" t="inlineStr">
        <is>
          <t>https://www.codal.ir/Reports/Decision.aspx?LetterSerial=gXBd7BQ0zRHOwYIn4yd4zg%3d%3d&amp;rt=2&amp;let=19&amp;ct=0&amp;ft=-1</t>
        </is>
      </c>
      <c r="J6" s="92" t="inlineStr">
        <is>
          <t>sources/codal/تاپیکو/v38_type19/T1379918.html</t>
        </is>
      </c>
      <c r="K6" s="92" t="inlineStr">
        <is>
          <t>52c8742dcf6e230dfb5cea56550e79f0dd032088a26d4ac06952aa317c155bfd</t>
        </is>
      </c>
      <c r="L6" s="92" t="inlineStr">
        <is>
          <t>در رجیستری v41</t>
        </is>
      </c>
      <c r="M6" s="92" t="inlineStr">
        <is>
          <t>بسته شواهد v41 ارائه نشد و کدال در این جلسه پاسخ 503 یا قطع اتصال داد؛ متن سند باز نشد</t>
        </is>
      </c>
      <c r="N6" s="92" t="inlineStr">
        <is>
          <t>اکبر محققی تا کمیل پورضیائی؛ تغییر نماینده حقیقی با شخص حقوقی ثابت</t>
        </is>
      </c>
      <c r="O6" s="92" t="inlineStr">
        <is>
          <t>Turnover Events v42</t>
        </is>
      </c>
    </row>
    <row r="7" ht="44" customHeight="1" s="76">
      <c r="A7" s="92" t="inlineStr">
        <is>
          <t>T19_1408462</t>
        </is>
      </c>
      <c r="B7" s="92" t="inlineStr">
        <is>
          <t>تاپیکو</t>
        </is>
      </c>
      <c r="C7" s="92" t="inlineStr">
        <is>
          <t>رویداد؛ رویداد کرسی</t>
        </is>
      </c>
      <c r="D7" s="92" t="inlineStr">
        <is>
          <t>معرفی /تغییر در ترکیب اعضای هیئت مدیره/مدیر عامل</t>
        </is>
      </c>
      <c r="E7" s="92" t="n">
        <v>1408462</v>
      </c>
      <c r="F7" s="92" t="inlineStr">
        <is>
          <t>۱۴۰۳→۱۴۰۴ (Cutoff 1403/12/29 → 1404/12/29)</t>
        </is>
      </c>
      <c r="G7" s="92" t="inlineStr">
        <is>
          <t>1404/07/01</t>
        </is>
      </c>
      <c r="H7" s="92" t="inlineStr"/>
      <c r="I7" s="92" t="inlineStr">
        <is>
          <t>https://www.codal.ir/Reports/Decision.aspx?LetterSerial=9W5KqOFDkv3BoGKhfVCF0w%3d%3d&amp;rt=2&amp;let=19&amp;ct=0&amp;ft=-1</t>
        </is>
      </c>
      <c r="J7" s="92" t="inlineStr">
        <is>
          <t>sources/codal/تاپیکو/v38_type19/T1408462.html</t>
        </is>
      </c>
      <c r="K7" s="92" t="inlineStr">
        <is>
          <t>b55bda57c7fa2ee1ddfce15fa06997ec5ed0e3d592535c568f6a7a25f33fa011</t>
        </is>
      </c>
      <c r="L7" s="92" t="inlineStr">
        <is>
          <t>در رجیستری v41</t>
        </is>
      </c>
      <c r="M7" s="92" t="inlineStr">
        <is>
          <t>بسته شواهد v41 ارائه نشد و کدال در این جلسه پاسخ 503 یا قطع اتصال داد؛ متن سند باز نشد</t>
        </is>
      </c>
      <c r="N7" s="92" t="inlineStr">
        <is>
          <t>تغییر سمت فقط (Turnover نیست)؛ تغییر نماینده حقیقی با شخص حقوقی ثابت؛ جعفر ربیعی تا محمدحسین صابر؛ جعفر ربیعی تا محمدمهدی رحمتی؛ روح اله شهیدی پور</t>
        </is>
      </c>
      <c r="O7" s="92" t="inlineStr">
        <is>
          <t>Turnover Events v42</t>
        </is>
      </c>
    </row>
    <row r="8" ht="44" customHeight="1" s="76">
      <c r="A8" s="92" t="inlineStr">
        <is>
          <t>T19_1477918</t>
        </is>
      </c>
      <c r="B8" s="92" t="inlineStr">
        <is>
          <t>تاپیکو</t>
        </is>
      </c>
      <c r="C8" s="92" t="inlineStr">
        <is>
          <t>بازسازی کرسی؛ رویداد کرسی</t>
        </is>
      </c>
      <c r="D8" s="92" t="inlineStr">
        <is>
          <t>معرفی /تغییر در ترکیب اعضای هیئت مدیره/مدیر عامل(اصلاحیه)</t>
        </is>
      </c>
      <c r="E8" s="92" t="n">
        <v>1477918</v>
      </c>
      <c r="F8" s="92" t="inlineStr">
        <is>
          <t>Cutoff 1404/12/29</t>
        </is>
      </c>
      <c r="G8" s="92" t="inlineStr">
        <is>
          <t>1404/11/06</t>
        </is>
      </c>
      <c r="H8" s="92" t="inlineStr"/>
      <c r="I8" s="92" t="inlineStr">
        <is>
          <t>https://www.codal.ir/Reports/Decision.aspx?LetterSerial=Exef5qCkFaU4GYSKSR3wjg%3d%3d&amp;rt=2&amp;let=19&amp;ct=0&amp;ft=-1</t>
        </is>
      </c>
      <c r="J8" s="92" t="inlineStr">
        <is>
          <t>sources/codal/تاپیکو/v38_type19/T1477918.html</t>
        </is>
      </c>
      <c r="K8" s="92" t="inlineStr">
        <is>
          <t>297a7ad471dbbcb9e69041dc334f93ceb7389c2f4706fda47e7f4b76483aba9c</t>
        </is>
      </c>
      <c r="L8" s="92" t="inlineStr">
        <is>
          <t>در رجیستری v41</t>
        </is>
      </c>
      <c r="M8" s="92" t="inlineStr">
        <is>
          <t>بسته شواهد v41 ارائه نشد و کدال در این جلسه پاسخ 503 یا قطع اتصال داد؛ متن سند باز نشد</t>
        </is>
      </c>
      <c r="N8" s="92" t="inlineStr">
        <is>
          <t>بدون تغییر؛ فهرست 1404/12/29</t>
        </is>
      </c>
      <c r="O8" s="92" t="inlineStr">
        <is>
          <t>Snapshot Members v42؛ Turnover Events v42</t>
        </is>
      </c>
    </row>
    <row r="9" ht="44" customHeight="1" s="76">
      <c r="A9" s="92" t="inlineStr">
        <is>
          <t>T19_1171265</t>
        </is>
      </c>
      <c r="B9" s="92" t="inlineStr">
        <is>
          <t>جم</t>
        </is>
      </c>
      <c r="C9" s="92" t="inlineStr">
        <is>
          <t>بازسازی کرسی</t>
        </is>
      </c>
      <c r="D9" s="92" t="inlineStr">
        <is>
          <t>معرفی /تغییر در ترکیب اعضای هیئت مدیره/مدیر عامل</t>
        </is>
      </c>
      <c r="E9" s="92" t="n">
        <v>1171265</v>
      </c>
      <c r="F9" s="92" t="inlineStr">
        <is>
          <t>Cutoff 1403/12/29</t>
        </is>
      </c>
      <c r="G9" s="92" t="inlineStr">
        <is>
          <t>1402/12/28</t>
        </is>
      </c>
      <c r="H9" s="92" t="inlineStr"/>
      <c r="I9" s="92" t="inlineStr">
        <is>
          <t>https://www.codal.ir/Reports/Decision.aspx?LetterSerial=SZoueUaBHVA%2bs%2bgcP%2bwj4A%3d%3d&amp;rt=0&amp;let=19&amp;ct=0&amp;ft=-1</t>
        </is>
      </c>
      <c r="J9" s="92" t="inlineStr">
        <is>
          <t>sources/codal/جم/v38_type19/T1171265.html</t>
        </is>
      </c>
      <c r="K9" s="92" t="inlineStr">
        <is>
          <t>507537ac1b92d9d67091ff68af1f13359e1162a9d141974db27fbf69618bf863</t>
        </is>
      </c>
      <c r="L9" s="92" t="inlineStr">
        <is>
          <t>در رجیستری v41</t>
        </is>
      </c>
      <c r="M9" s="92" t="inlineStr">
        <is>
          <t>بسته شواهد v41 ارائه نشد و کدال در این جلسه پاسخ 503 یا قطع اتصال داد؛ متن سند باز نشد</t>
        </is>
      </c>
      <c r="N9" s="92" t="inlineStr">
        <is>
          <t>فهرست 1403/12/29</t>
        </is>
      </c>
      <c r="O9" s="92" t="inlineStr">
        <is>
          <t>Snapshot Members v42</t>
        </is>
      </c>
    </row>
    <row r="10" ht="44" customHeight="1" s="76">
      <c r="A10" s="92" t="inlineStr">
        <is>
          <t>T19_1398534</t>
        </is>
      </c>
      <c r="B10" s="92" t="inlineStr">
        <is>
          <t>جم</t>
        </is>
      </c>
      <c r="C10" s="92" t="inlineStr">
        <is>
          <t>رویداد؛ رویداد کرسی</t>
        </is>
      </c>
      <c r="D10" s="92" t="inlineStr">
        <is>
          <t>معرفی /تغییر در ترکیب اعضای هیئت مدیره/مدیر عامل</t>
        </is>
      </c>
      <c r="E10" s="92" t="n">
        <v>1398534</v>
      </c>
      <c r="F10" s="92" t="inlineStr">
        <is>
          <t>۱۴۰۳→۱۴۰۴ (Cutoff 1403/12/29 → 1404/12/29)</t>
        </is>
      </c>
      <c r="G10" s="92" t="inlineStr">
        <is>
          <t>1404/06/05</t>
        </is>
      </c>
      <c r="H10" s="92" t="inlineStr"/>
      <c r="I10" s="92" t="inlineStr">
        <is>
          <t>https://www.codal.ir/Reports/Decision.aspx?LetterSerial=BpLLXiooiLziZroLI2hLPQ%3d%3d&amp;rt=0&amp;let=19&amp;ct=0&amp;ft=-1</t>
        </is>
      </c>
      <c r="J10" s="92" t="inlineStr">
        <is>
          <t>sources/codal/جم/v38_type19/T1398534.html</t>
        </is>
      </c>
      <c r="K10" s="92" t="inlineStr">
        <is>
          <t>ba284b4d8c2b8d47198022851357a9a5007efc2910fb3055c9d62460f344d789</t>
        </is>
      </c>
      <c r="L10" s="92" t="inlineStr">
        <is>
          <t>در رجیستری v41</t>
        </is>
      </c>
      <c r="M10" s="92" t="inlineStr">
        <is>
          <t>بسته شواهد v41 ارائه نشد و کدال در این جلسه پاسخ 503 یا قطع اتصال داد؛ متن سند باز نشد</t>
        </is>
      </c>
      <c r="N10" s="92" t="inlineStr">
        <is>
          <t>تغییر شخص حقوقی (نماینده ثابت)؛ تغییر نماینده حقیقی با شخص حقوقی ثابت؛ متین دیداری؛ محمدهاشم نجفی اردکانی و امیر اکبری</t>
        </is>
      </c>
      <c r="O10" s="92" t="inlineStr">
        <is>
          <t>Turnover Events v42</t>
        </is>
      </c>
    </row>
    <row r="11" ht="44" customHeight="1" s="76">
      <c r="A11" s="92" t="inlineStr">
        <is>
          <t>T19_1527389</t>
        </is>
      </c>
      <c r="B11" s="92" t="inlineStr">
        <is>
          <t>جم</t>
        </is>
      </c>
      <c r="C11" s="92" t="inlineStr">
        <is>
          <t>بازسازی کرسی؛ رویداد؛ رویداد کرسی</t>
        </is>
      </c>
      <c r="D11" s="92" t="inlineStr">
        <is>
          <t>معرفی /تغییر در ترکیب اعضای هیئت مدیره/مدیر عامل</t>
        </is>
      </c>
      <c r="E11" s="92" t="n">
        <v>1527389</v>
      </c>
      <c r="F11" s="92" t="inlineStr">
        <is>
          <t>Cutoff 1404/12/29</t>
        </is>
      </c>
      <c r="G11" s="92" t="inlineStr">
        <is>
          <t>1405/02/29</t>
        </is>
      </c>
      <c r="H11" s="92" t="inlineStr"/>
      <c r="I11" s="92" t="inlineStr">
        <is>
          <t>https://www.codal.ir/Reports/Decision.aspx?LetterSerial=QQQaQQQtpQVpIOOObOOOPhcgQQQaQQQA5ahYjCjA%3d%3d&amp;rt=0&amp;let=19&amp;ct=0&amp;ft=-1</t>
        </is>
      </c>
      <c r="J11" s="92" t="inlineStr">
        <is>
          <t>sources/codal/جم/v38_type19/T1527389.html</t>
        </is>
      </c>
      <c r="K11" s="92" t="inlineStr">
        <is>
          <t>90c0962ce8680c8714c00223e4870a4e56e20125f3b721b3616e48234c299ea4</t>
        </is>
      </c>
      <c r="L11" s="92" t="inlineStr">
        <is>
          <t>در رجیستری v41</t>
        </is>
      </c>
      <c r="M11" s="92" t="inlineStr">
        <is>
          <t>بسته شواهد v41 ارائه نشد و کدال در این جلسه پاسخ 503 یا قطع اتصال داد؛ متن سند باز نشد</t>
        </is>
      </c>
      <c r="N11" s="92" t="inlineStr">
        <is>
          <t>بدون تغییر؛ تغییر سمت فقط (Turnover نیست)؛ تغییر نماینده حقیقی با شخص حقوقی ثابت؛ حسن معینی؛ فهرست 1404/12/29؛ متین دیداری تا محمدسجاد سیاهکارزاده؛ محمدهاشم نجفی اردکانی</t>
        </is>
      </c>
      <c r="O11" s="92" t="inlineStr">
        <is>
          <t>Snapshot Members v42؛ Turnover Events v42</t>
        </is>
      </c>
    </row>
    <row r="12" ht="44" customHeight="1" s="76">
      <c r="A12" s="92" t="inlineStr">
        <is>
          <t>T19_1433770</t>
        </is>
      </c>
      <c r="B12" s="92" t="inlineStr">
        <is>
          <t>حکشتی</t>
        </is>
      </c>
      <c r="C12" s="92" t="inlineStr">
        <is>
          <t>رویداد کرسی؛ پرونده</t>
        </is>
      </c>
      <c r="D12" s="92" t="inlineStr">
        <is>
          <t>معرفی /تغییر در ترکیب اعضای هیئت مدیره/مدیر عامل</t>
        </is>
      </c>
      <c r="E12" s="92" t="n">
        <v>1433770</v>
      </c>
      <c r="F12" s="92" t="inlineStr">
        <is>
          <t>۱۴۰۴</t>
        </is>
      </c>
      <c r="G12" s="92" t="inlineStr">
        <is>
          <t>1404/08/18</t>
        </is>
      </c>
      <c r="H12" s="92" t="inlineStr"/>
      <c r="I12" s="92" t="inlineStr">
        <is>
          <t>https://www.codal.ir/Reports/Decision.aspx?LetterSerial=ag9Rd4I5seaRFhQQQaQQQiZlm5lQ%3d%3d&amp;rt=2&amp;let=19&amp;ct=0&amp;ft=-1</t>
        </is>
      </c>
      <c r="J12" s="92" t="inlineStr">
        <is>
          <t>sources/codal/حکشتی/v38_type19/T1433770.html</t>
        </is>
      </c>
      <c r="K12" s="92" t="inlineStr">
        <is>
          <t>00b19f96e5792fb1eb9d3fdb19ecf43a8b3f97857c78c95730661aaf099d4bff</t>
        </is>
      </c>
      <c r="L12" s="92" t="inlineStr">
        <is>
          <t>در رجیستری v41</t>
        </is>
      </c>
      <c r="M12" s="92" t="inlineStr">
        <is>
          <t>بسته شواهد v41 ارائه نشد و کدال در این جلسه پاسخ 503 یا قطع اتصال داد؛ متن سند باز نشد</t>
        </is>
      </c>
      <c r="N12" s="92" t="inlineStr">
        <is>
          <t>H01؛ تغییر ۳ شخص حقوقی در جلسه ۱۴۰۴/۰۸/۱۲ (مجمع ۱۴۰۴/۰۷/۱۵)</t>
        </is>
      </c>
      <c r="O12" s="92" t="inlineStr">
        <is>
          <t>Five Cases v42؛ Turnover Events v42</t>
        </is>
      </c>
    </row>
    <row r="13" ht="44" customHeight="1" s="76">
      <c r="A13" s="92" t="inlineStr">
        <is>
          <t>T19_1295938</t>
        </is>
      </c>
      <c r="B13" s="92" t="inlineStr">
        <is>
          <t>خساپا</t>
        </is>
      </c>
      <c r="C13" s="92" t="inlineStr">
        <is>
          <t>بازسازی کرسی</t>
        </is>
      </c>
      <c r="D13" s="92" t="inlineStr">
        <is>
          <t>معرفی /تغییر در ترکیب اعضای هیئت مدیره/مدیر عامل</t>
        </is>
      </c>
      <c r="E13" s="92" t="n">
        <v>1295938</v>
      </c>
      <c r="F13" s="92" t="inlineStr">
        <is>
          <t>Cutoff 1403/12/29</t>
        </is>
      </c>
      <c r="G13" s="92" t="inlineStr">
        <is>
          <t>1403/11/03</t>
        </is>
      </c>
      <c r="H13" s="92" t="inlineStr"/>
      <c r="I13" s="92" t="inlineStr">
        <is>
          <t>https://www.codal.ir/Reports/Decision.aspx?LetterSerial=0rlsOOObOOOEFaa9IMoCD90IUbxA%3d%3d&amp;rt=0&amp;let=19&amp;ct=0&amp;ft=-1</t>
        </is>
      </c>
      <c r="J13" s="92" t="inlineStr">
        <is>
          <t>sources/codal/خساپا/v38_type19/T1295938.html</t>
        </is>
      </c>
      <c r="K13" s="92" t="inlineStr">
        <is>
          <t>538fc688caf84820002f02e236046d638bf0800bc3813d60054f96203f95cbed</t>
        </is>
      </c>
      <c r="L13" s="92" t="inlineStr">
        <is>
          <t>در رجیستری v41</t>
        </is>
      </c>
      <c r="M13" s="92" t="inlineStr">
        <is>
          <t>بسته شواهد v41 ارائه نشد و کدال در این جلسه پاسخ 503 یا قطع اتصال داد؛ متن سند باز نشد</t>
        </is>
      </c>
      <c r="N13" s="92" t="inlineStr">
        <is>
          <t>فهرست 1403/12/29</t>
        </is>
      </c>
      <c r="O13" s="92" t="inlineStr">
        <is>
          <t>Snapshot Members v42</t>
        </is>
      </c>
    </row>
    <row r="14" ht="44" customHeight="1" s="76">
      <c r="A14" s="92" t="inlineStr">
        <is>
          <t>T19_1336974</t>
        </is>
      </c>
      <c r="B14" s="92" t="inlineStr">
        <is>
          <t>خساپا</t>
        </is>
      </c>
      <c r="C14" s="92" t="inlineStr">
        <is>
          <t>رویداد؛ رویداد کرسی</t>
        </is>
      </c>
      <c r="D14" s="92" t="inlineStr">
        <is>
          <t>معرفی /تغییر در ترکیب اعضای هیئت مدیره/مدیر عامل</t>
        </is>
      </c>
      <c r="E14" s="92" t="n">
        <v>1336974</v>
      </c>
      <c r="F14" s="92" t="inlineStr">
        <is>
          <t>۱۴۰۳→۱۴۰۴ (Cutoff 1403/12/29 → 1404/12/29)</t>
        </is>
      </c>
      <c r="G14" s="92" t="inlineStr">
        <is>
          <t>1404/02/09</t>
        </is>
      </c>
      <c r="H14" s="92" t="inlineStr"/>
      <c r="I14" s="92" t="inlineStr">
        <is>
          <t>https://www.codal.ir/Reports/Decision.aspx?LetterSerial=A9EKEshXRCjahGZMnLLylQ%3d%3d&amp;rt=0&amp;let=19&amp;ct=0&amp;ft=-1</t>
        </is>
      </c>
      <c r="J14" s="92" t="inlineStr">
        <is>
          <t>sources/codal/خساپا/v38_type19/T1336974.html</t>
        </is>
      </c>
      <c r="K14" s="92" t="inlineStr">
        <is>
          <t>9b68affa22416d9cfd388ec3b50a1b814c94eba98db7895ac9923b9d8fefea18</t>
        </is>
      </c>
      <c r="L14" s="92" t="inlineStr">
        <is>
          <t>در رجیستری v41</t>
        </is>
      </c>
      <c r="M14" s="92" t="inlineStr">
        <is>
          <t>بسته شواهد v41 ارائه نشد و کدال در این جلسه پاسخ 503 یا قطع اتصال داد؛ متن سند باز نشد</t>
        </is>
      </c>
      <c r="N14" s="92" t="inlineStr">
        <is>
          <t>تغییر سمت فقط (Turnover نیست)؛ تغییر نماینده حقیقی با شخص حقوقی ثابت؛ علی شیخ زاده؛ علی شیدائی نرمیقی تا مهدی رادمنش؛ محمدرضا شیخ عطار تا کورش پرویزیان؛ کورش پرویزیان تا رحیم علیشاهی</t>
        </is>
      </c>
      <c r="O14" s="92" t="inlineStr">
        <is>
          <t>Turnover Events v42</t>
        </is>
      </c>
    </row>
    <row r="15" ht="44" customHeight="1" s="76">
      <c r="A15" s="92" t="inlineStr">
        <is>
          <t>T19_1386511</t>
        </is>
      </c>
      <c r="B15" s="92" t="inlineStr">
        <is>
          <t>خساپا</t>
        </is>
      </c>
      <c r="C15" s="92" t="inlineStr">
        <is>
          <t>بازسازی کرسی؛ رویداد کرسی</t>
        </is>
      </c>
      <c r="D15" s="92" t="inlineStr">
        <is>
          <t>معرفی /تغییر در ترکیب اعضای هیئت مدیره/مدیر عامل</t>
        </is>
      </c>
      <c r="E15" s="92" t="n">
        <v>1386511</v>
      </c>
      <c r="F15" s="92" t="inlineStr">
        <is>
          <t>Cutoff 1404/12/29</t>
        </is>
      </c>
      <c r="G15" s="92" t="inlineStr">
        <is>
          <t>1404/05/15</t>
        </is>
      </c>
      <c r="H15" s="92" t="inlineStr"/>
      <c r="I15" s="92" t="inlineStr">
        <is>
          <t>https://www.codal.ir/Reports/Decision.aspx?LetterSerial=UJ1so0i61H6WpTMWJ3OsCA%3d%3d&amp;rt=0&amp;let=19&amp;ct=0&amp;ft=-1</t>
        </is>
      </c>
      <c r="J15" s="92" t="inlineStr">
        <is>
          <t>sources/codal/خساپا/v38_type19/T1386511.html</t>
        </is>
      </c>
      <c r="K15" s="92" t="inlineStr">
        <is>
          <t>3e249a8fcd4fe1e7aebb012852e457881c3cc4fc9f0e6cabace257323add9520</t>
        </is>
      </c>
      <c r="L15" s="92" t="inlineStr">
        <is>
          <t>در رجیستری v41</t>
        </is>
      </c>
      <c r="M15" s="92" t="inlineStr">
        <is>
          <t>بسته شواهد v41 ارائه نشد و کدال در این جلسه پاسخ 503 یا قطع اتصال داد؛ متن سند باز نشد</t>
        </is>
      </c>
      <c r="N15" s="92" t="inlineStr">
        <is>
          <t>بدون تغییر؛ فهرست 1404/12/29</t>
        </is>
      </c>
      <c r="O15" s="92" t="inlineStr">
        <is>
          <t>Snapshot Members v42؛ Turnover Events v42</t>
        </is>
      </c>
    </row>
    <row r="16" ht="44" customHeight="1" s="76">
      <c r="A16" s="92" t="inlineStr">
        <is>
          <t>T19_1306740</t>
        </is>
      </c>
      <c r="B16" s="92" t="inlineStr">
        <is>
          <t>خودرو</t>
        </is>
      </c>
      <c r="C16" s="92" t="inlineStr">
        <is>
          <t>بازسازی کرسی</t>
        </is>
      </c>
      <c r="D16" s="92" t="inlineStr">
        <is>
          <t>معرفی /تغییر در ترکیب اعضای هیئت مدیره/مدیر عامل</t>
        </is>
      </c>
      <c r="E16" s="92" t="n">
        <v>1306740</v>
      </c>
      <c r="F16" s="92" t="inlineStr">
        <is>
          <t>Cutoff 1403/12/29</t>
        </is>
      </c>
      <c r="G16" s="92" t="inlineStr">
        <is>
          <t>1403/11/21</t>
        </is>
      </c>
      <c r="H16" s="92" t="inlineStr"/>
      <c r="I16" s="92" t="inlineStr">
        <is>
          <t>https://www.codal.ir/Reports/Decision.aspx?LetterSerial=gVTCoHYs1M0v5mNrsaCDkA%3d%3d&amp;rt=0&amp;let=19&amp;ct=0&amp;ft=-1</t>
        </is>
      </c>
      <c r="J16" s="92" t="inlineStr">
        <is>
          <t>sources/codal/خودرو/v38_type19/T1306740.html</t>
        </is>
      </c>
      <c r="K16" s="92" t="inlineStr">
        <is>
          <t>03aad8458feec324cccf700bc2f12c27cc2ca58406378eb69f96110724a629d8</t>
        </is>
      </c>
      <c r="L16" s="92" t="inlineStr">
        <is>
          <t>در رجیستری v41</t>
        </is>
      </c>
      <c r="M16" s="92" t="inlineStr">
        <is>
          <t>بسته شواهد v41 ارائه نشد و کدال در این جلسه پاسخ 503 یا قطع اتصال داد؛ متن سند باز نشد</t>
        </is>
      </c>
      <c r="N16" s="92" t="inlineStr">
        <is>
          <t>فهرست 1403/12/29</t>
        </is>
      </c>
      <c r="O16" s="92" t="inlineStr">
        <is>
          <t>Snapshot Members v42</t>
        </is>
      </c>
    </row>
    <row r="17" ht="44" customHeight="1" s="76">
      <c r="A17" s="92" t="inlineStr">
        <is>
          <t>T19_1417850</t>
        </is>
      </c>
      <c r="B17" s="92" t="inlineStr">
        <is>
          <t>خودرو</t>
        </is>
      </c>
      <c r="C17" s="92" t="inlineStr">
        <is>
          <t>بازسازی کرسی؛ رویداد؛ رویداد کرسی</t>
        </is>
      </c>
      <c r="D17" s="92" t="inlineStr">
        <is>
          <t>معرفی /تغییر در ترکیب اعضای هیئت مدیره/مدیر عامل</t>
        </is>
      </c>
      <c r="E17" s="92" t="n">
        <v>1417850</v>
      </c>
      <c r="F17" s="92" t="inlineStr">
        <is>
          <t>Cutoff 1404/12/29</t>
        </is>
      </c>
      <c r="G17" s="92" t="inlineStr">
        <is>
          <t>1404/07/21</t>
        </is>
      </c>
      <c r="H17" s="92" t="inlineStr"/>
      <c r="I17" s="92" t="inlineStr">
        <is>
          <t>https://www.codal.ir/Reports/Decision.aspx?LetterSerial=8qXiOOObOOOscQQQaQQQfIOkx3DWj8Uw1Q%3d%3d&amp;rt=0&amp;let=19&amp;ct=0&amp;ft=-1</t>
        </is>
      </c>
      <c r="J17" s="92" t="inlineStr">
        <is>
          <t>sources/codal/خودرو/v38_type19/T1417850.html</t>
        </is>
      </c>
      <c r="K17" s="92" t="inlineStr">
        <is>
          <t>e8d2bbaae15cc76c9de36511c33c3271d1c3f78eead6f6da513241560b659ec2</t>
        </is>
      </c>
      <c r="L17" s="92" t="inlineStr">
        <is>
          <t>در رجیستری v41</t>
        </is>
      </c>
      <c r="M17" s="92" t="inlineStr">
        <is>
          <t>بسته شواهد v41 ارائه نشد و کدال در این جلسه پاسخ 503 یا قطع اتصال داد؛ متن سند باز نشد</t>
        </is>
      </c>
      <c r="N17" s="92" t="inlineStr">
        <is>
          <t>بدون تغییر؛ تغییر نماینده حقیقی با شخص حقوقی ثابت؛ فهرست 1404/12/29؛ مرتضی شفیعی تا حامد نائیجی</t>
        </is>
      </c>
      <c r="O17" s="92" t="inlineStr">
        <is>
          <t>Snapshot Members v42؛ Turnover Events v42</t>
        </is>
      </c>
    </row>
    <row r="18" ht="44" customHeight="1" s="76">
      <c r="A18" s="92" t="inlineStr">
        <is>
          <t>T19_1203308</t>
        </is>
      </c>
      <c r="B18" s="92" t="inlineStr">
        <is>
          <t>رمپنا</t>
        </is>
      </c>
      <c r="C18" s="92" t="inlineStr">
        <is>
          <t>پرونده</t>
        </is>
      </c>
      <c r="D18" s="92" t="inlineStr">
        <is>
          <t>معرفی /تغییر در ترکیب اعضای هیئت مدیره/مدیر عامل</t>
        </is>
      </c>
      <c r="E18" s="92" t="n">
        <v>1203308</v>
      </c>
      <c r="F18" s="92" t="inlineStr"/>
      <c r="G18" s="92" t="inlineStr">
        <is>
          <t>1403/03/26</t>
        </is>
      </c>
      <c r="H18" s="92" t="inlineStr"/>
      <c r="I18" s="92" t="inlineStr">
        <is>
          <t>https://www.codal.ir/Reports/Decision.aspx?LetterSerial=X0dV8ek43tXQYjTGrc7DYw%3d%3d&amp;rt=5&amp;let=19&amp;ct=0&amp;ft=-1</t>
        </is>
      </c>
      <c r="J18" s="92" t="inlineStr">
        <is>
          <t>sources/codal/رمپنا/v38_type19/T1203308.html</t>
        </is>
      </c>
      <c r="K18" s="92" t="inlineStr">
        <is>
          <t>a3df2d752a5c60340367930cdfe9f9a593871f4ef388f7e0a99c31d9e3c9107e</t>
        </is>
      </c>
      <c r="L18" s="92" t="inlineStr">
        <is>
          <t>در رجیستری v41</t>
        </is>
      </c>
      <c r="M18" s="92" t="inlineStr">
        <is>
          <t>بسته شواهد v41 ارائه نشد و کدال در این جلسه پاسخ 503 یا قطع اتصال داد؛ متن سند باز نشد</t>
        </is>
      </c>
      <c r="N18" s="92" t="inlineStr">
        <is>
          <t>R02</t>
        </is>
      </c>
      <c r="O18" s="92" t="inlineStr">
        <is>
          <t>Five Cases v42</t>
        </is>
      </c>
    </row>
    <row r="19" ht="44" customHeight="1" s="76">
      <c r="A19" s="92" t="inlineStr">
        <is>
          <t>T19_1343229</t>
        </is>
      </c>
      <c r="B19" s="92" t="inlineStr">
        <is>
          <t>رمپنا</t>
        </is>
      </c>
      <c r="C19" s="92" t="inlineStr">
        <is>
          <t>پرونده</t>
        </is>
      </c>
      <c r="D19" s="92" t="inlineStr">
        <is>
          <t>معرفی /تغییر در ترکیب اعضای هیئت مدیره/مدیر عامل</t>
        </is>
      </c>
      <c r="E19" s="92" t="n">
        <v>1343229</v>
      </c>
      <c r="F19" s="92" t="inlineStr"/>
      <c r="G19" s="92" t="inlineStr">
        <is>
          <t>1404/02/23</t>
        </is>
      </c>
      <c r="H19" s="92" t="inlineStr"/>
      <c r="I19" s="92" t="inlineStr">
        <is>
          <t>https://www.codal.ir/Reports/Decision.aspx?LetterSerial=1RbelsHZHs8H6r0ujf8E7Q%3d%3d&amp;rt=5&amp;let=19&amp;ct=0&amp;ft=-1</t>
        </is>
      </c>
      <c r="J19" s="92" t="inlineStr">
        <is>
          <t>sources/codal/رمپنا/v38_type19/T1343229.html</t>
        </is>
      </c>
      <c r="K19" s="92" t="inlineStr">
        <is>
          <t>df63af0dce558de7a878206061a6984b448aabd939212f52a06c55e9699072e8</t>
        </is>
      </c>
      <c r="L19" s="92" t="inlineStr">
        <is>
          <t>در رجیستری v41</t>
        </is>
      </c>
      <c r="M19" s="92" t="inlineStr">
        <is>
          <t>بسته شواهد v41 ارائه نشد و کدال در این جلسه پاسخ 503 یا قطع اتصال داد؛ متن سند باز نشد</t>
        </is>
      </c>
      <c r="N19" s="92" t="inlineStr">
        <is>
          <t>R01؛ R02</t>
        </is>
      </c>
      <c r="O19" s="92" t="inlineStr">
        <is>
          <t>Five Cases v42</t>
        </is>
      </c>
    </row>
    <row r="20" ht="44" customHeight="1" s="76">
      <c r="A20" s="92" t="inlineStr">
        <is>
          <t>T19_1309386</t>
        </is>
      </c>
      <c r="B20" s="92" t="inlineStr">
        <is>
          <t>شپدیس</t>
        </is>
      </c>
      <c r="C20" s="92" t="inlineStr">
        <is>
          <t>بازسازی کرسی</t>
        </is>
      </c>
      <c r="D20" s="92" t="inlineStr">
        <is>
          <t>معرفی /تغییر در ترکیب اعضای هیئت مدیره/مدیر عامل</t>
        </is>
      </c>
      <c r="E20" s="92" t="n">
        <v>1309386</v>
      </c>
      <c r="F20" s="92" t="inlineStr">
        <is>
          <t>Cutoff 1403/12/29</t>
        </is>
      </c>
      <c r="G20" s="92" t="inlineStr">
        <is>
          <t>1403/11/29</t>
        </is>
      </c>
      <c r="H20" s="92" t="inlineStr"/>
      <c r="I20" s="92" t="inlineStr">
        <is>
          <t>https://www.codal.ir/Reports/Decision.aspx?LetterSerial=C4XsKe3dMCJ7F1MqOaUJBw%3d%3d&amp;rt=0&amp;let=19&amp;ct=0&amp;ft=-1</t>
        </is>
      </c>
      <c r="J20" s="92" t="inlineStr">
        <is>
          <t>sources/codal/شپدیس/v38_type19/T1309386.html</t>
        </is>
      </c>
      <c r="K20" s="92" t="inlineStr">
        <is>
          <t>80509669d7a2fe62d0e4e6e6b100c90bfa03ca65fd8cb45a401d53c36a0c9911</t>
        </is>
      </c>
      <c r="L20" s="92" t="inlineStr">
        <is>
          <t>در رجیستری v41</t>
        </is>
      </c>
      <c r="M20" s="92" t="inlineStr">
        <is>
          <t>بسته شواهد v41 ارائه نشد و کدال در این جلسه پاسخ 503 یا قطع اتصال داد؛ متن سند باز نشد</t>
        </is>
      </c>
      <c r="N20" s="92" t="inlineStr">
        <is>
          <t>فهرست 1403/12/29</t>
        </is>
      </c>
      <c r="O20" s="92" t="inlineStr">
        <is>
          <t>Snapshot Members v42</t>
        </is>
      </c>
    </row>
    <row r="21" ht="44" customHeight="1" s="76">
      <c r="A21" s="92" t="inlineStr">
        <is>
          <t>T19_1433411</t>
        </is>
      </c>
      <c r="B21" s="92" t="inlineStr">
        <is>
          <t>شپدیس</t>
        </is>
      </c>
      <c r="C21" s="92" t="inlineStr">
        <is>
          <t>رویداد؛ رویداد کرسی</t>
        </is>
      </c>
      <c r="D21" s="92" t="inlineStr">
        <is>
          <t>معرفی /تغییر در ترکیب اعضای هیئت مدیره/مدیر عامل</t>
        </is>
      </c>
      <c r="E21" s="92" t="n">
        <v>1433411</v>
      </c>
      <c r="F21" s="92" t="inlineStr">
        <is>
          <t>۱۴۰۳→۱۴۰۴ (Cutoff 1403/12/29 → 1404/12/29)</t>
        </is>
      </c>
      <c r="G21" s="92" t="inlineStr">
        <is>
          <t>1404/08/17</t>
        </is>
      </c>
      <c r="H21" s="92" t="inlineStr"/>
      <c r="I21" s="92" t="inlineStr">
        <is>
          <t>https://www.codal.ir/Reports/Decision.aspx?LetterSerial=wdvkPalLR21S83nLTXWEcA%3d%3d&amp;rt=0&amp;let=19&amp;ct=0&amp;ft=-1</t>
        </is>
      </c>
      <c r="J21" s="92" t="inlineStr">
        <is>
          <t>sources/codal/شپدیس/v38_type19/T1433411.html</t>
        </is>
      </c>
      <c r="K21" s="92" t="inlineStr">
        <is>
          <t>ea4a48cdb2f54f6a31483251bfb639e1f78aaededff96ae2433354c19a506092</t>
        </is>
      </c>
      <c r="L21" s="92" t="inlineStr">
        <is>
          <t>در رجیستری v41</t>
        </is>
      </c>
      <c r="M21" s="92" t="inlineStr">
        <is>
          <t>بسته شواهد v41 ارائه نشد و کدال در این جلسه پاسخ 503 یا قطع اتصال داد؛ متن سند باز نشد</t>
        </is>
      </c>
      <c r="N21" s="92" t="inlineStr">
        <is>
          <t>تغییر سمت فقط (Turnover نیست)؛ حسن شاه ولدی؛ هوشنگ گودرزی تا حسن شاه ولدی؛ ورود در کرسی خالی (غیرقابل مقایسه؛ عضو جدید)</t>
        </is>
      </c>
      <c r="O21" s="92" t="inlineStr">
        <is>
          <t>Turnover Events v42</t>
        </is>
      </c>
    </row>
    <row r="22" ht="44" customHeight="1" s="76">
      <c r="A22" s="92" t="inlineStr">
        <is>
          <t>T19_1443721</t>
        </is>
      </c>
      <c r="B22" s="92" t="inlineStr">
        <is>
          <t>شپدیس</t>
        </is>
      </c>
      <c r="C22" s="92" t="inlineStr">
        <is>
          <t>بازسازی کرسی؛ رویداد؛ رویداد کرسی</t>
        </is>
      </c>
      <c r="D22" s="92" t="inlineStr">
        <is>
          <t>معرفی /تغییر در ترکیب اعضای هیئت مدیره/مدیر عامل</t>
        </is>
      </c>
      <c r="E22" s="92" t="n">
        <v>1443721</v>
      </c>
      <c r="F22" s="92" t="inlineStr">
        <is>
          <t>Cutoff 1404/12/29</t>
        </is>
      </c>
      <c r="G22" s="92" t="inlineStr">
        <is>
          <t>1404/09/05</t>
        </is>
      </c>
      <c r="H22" s="92" t="inlineStr"/>
      <c r="I22" s="92" t="inlineStr">
        <is>
          <t>https://www.codal.ir/Reports/Decision.aspx?LetterSerial=Lh6dCOOObOOOOOObOOOHmUIfwOOObOOOrvn9DNRQ%3d%3d&amp;rt=0&amp;let=19&amp;ct=0&amp;ft=-1</t>
        </is>
      </c>
      <c r="J22" s="92" t="inlineStr">
        <is>
          <t>sources/codal/شپدیس/v38_type19/T1443721.html</t>
        </is>
      </c>
      <c r="K22" s="92" t="inlineStr">
        <is>
          <t>ef6be4185fc020d0140747c5e750e1b3a48a60005ac34dc55c0c4ea5bccb9fd2</t>
        </is>
      </c>
      <c r="L22" s="92" t="inlineStr">
        <is>
          <t>در رجیستری v41</t>
        </is>
      </c>
      <c r="M22" s="92" t="inlineStr">
        <is>
          <t>بسته شواهد v41 ارائه نشد و کدال در این جلسه پاسخ 503 یا قطع اتصال داد؛ متن سند باز نشد</t>
        </is>
      </c>
      <c r="N22" s="92" t="inlineStr">
        <is>
          <t>بدون تغییر؛ تغییر نماینده حقیقی با شخص حقوقی ثابت؛ سیدعلی نواب فر تا حسین سلاح ورزی؛ فهرست 1404/12/29؛ کاردار</t>
        </is>
      </c>
      <c r="O22" s="92" t="inlineStr">
        <is>
          <t>Snapshot Members v42؛ Turnover Events v42</t>
        </is>
      </c>
    </row>
    <row r="23" ht="44" customHeight="1" s="76">
      <c r="A23" s="92" t="inlineStr">
        <is>
          <t>T19_1317785</t>
        </is>
      </c>
      <c r="B23" s="92" t="inlineStr">
        <is>
          <t>فملی</t>
        </is>
      </c>
      <c r="C23" s="92" t="inlineStr">
        <is>
          <t>پرونده</t>
        </is>
      </c>
      <c r="D23" s="92" t="inlineStr">
        <is>
          <t>معرفی /تغییر در ترکیب اعضای هیئت مدیره/مدیر عامل(اصلاحیه)</t>
        </is>
      </c>
      <c r="E23" s="92" t="n">
        <v>1317785</v>
      </c>
      <c r="F23" s="92" t="inlineStr"/>
      <c r="G23" s="92" t="inlineStr">
        <is>
          <t>1403/12/15</t>
        </is>
      </c>
      <c r="H23" s="92" t="inlineStr"/>
      <c r="I23" s="92" t="inlineStr">
        <is>
          <t>https://www.codal.ir/Reports/Decision.aspx?LetterSerial=tYzRinmNGuATH232iBPlZw%3d%3d&amp;rt=0&amp;let=19&amp;ct=0&amp;ft=-1</t>
        </is>
      </c>
      <c r="J23" s="92" t="inlineStr">
        <is>
          <t>sources/codal/فملی/v38_type19/T1317785.html</t>
        </is>
      </c>
      <c r="K23" s="92" t="inlineStr">
        <is>
          <t>3fd407fecebbcce8dd04f3bdaadd7dfb9075c504832523b0272b4f5046f191c0</t>
        </is>
      </c>
      <c r="L23" s="92" t="inlineStr">
        <is>
          <t>در رجیستری v41</t>
        </is>
      </c>
      <c r="M23" s="92" t="inlineStr">
        <is>
          <t>بسته شواهد v41 ارائه نشد و کدال در این جلسه پاسخ 503 یا قطع اتصال داد؛ متن سند باز نشد</t>
        </is>
      </c>
      <c r="N23" s="92" t="inlineStr">
        <is>
          <t>M03؛ M04</t>
        </is>
      </c>
      <c r="O23" s="92" t="inlineStr">
        <is>
          <t>Five Cases v42</t>
        </is>
      </c>
    </row>
    <row r="24" ht="44" customHeight="1" s="76">
      <c r="A24" s="92" t="inlineStr">
        <is>
          <t>T19_1159936</t>
        </is>
      </c>
      <c r="B24" s="92" t="inlineStr">
        <is>
          <t>وتجارت</t>
        </is>
      </c>
      <c r="C24" s="92" t="inlineStr">
        <is>
          <t>بازسازی کرسی؛ پرونده</t>
        </is>
      </c>
      <c r="D24" s="92" t="inlineStr">
        <is>
          <t>معرفی /تغییر در ترکیب اعضای هیئت مدیره/مدیر عامل</t>
        </is>
      </c>
      <c r="E24" s="92" t="n">
        <v>1159936</v>
      </c>
      <c r="F24" s="92" t="inlineStr">
        <is>
          <t>Cutoff 1403/12/29</t>
        </is>
      </c>
      <c r="G24" s="92" t="inlineStr">
        <is>
          <t>1402/12/08</t>
        </is>
      </c>
      <c r="H24" s="92" t="inlineStr"/>
      <c r="I24" s="92" t="inlineStr">
        <is>
          <t>https://www.codal.ir/Reports/Decision.aspx?LetterSerial=OqEx%2bg3X3xQQQaQQQ1V8FTa1bU9w%3d%3d&amp;rt=3&amp;let=19&amp;ct=0&amp;ft=-1</t>
        </is>
      </c>
      <c r="J24" s="92" t="inlineStr">
        <is>
          <t>sources/codal/وتجارت/v38_type19/T1159936.html</t>
        </is>
      </c>
      <c r="K24" s="92" t="inlineStr">
        <is>
          <t>fcbe30ecc4fe1e4d92fba6b0a7fa8e6066a2f15ad957b1e08b8672263ec2ae83</t>
        </is>
      </c>
      <c r="L24" s="92" t="inlineStr">
        <is>
          <t>در رجیستری v41</t>
        </is>
      </c>
      <c r="M24" s="92" t="inlineStr">
        <is>
          <t>بسته شواهد v41 ارائه نشد و کدال در این جلسه پاسخ 503 یا قطع اتصال داد؛ متن سند باز نشد</t>
        </is>
      </c>
      <c r="N24" s="92" t="inlineStr">
        <is>
          <t>W03؛ فهرست 1403/12/29</t>
        </is>
      </c>
      <c r="O24" s="92" t="inlineStr">
        <is>
          <t>Five Cases v42؛ Snapshot Members v42</t>
        </is>
      </c>
    </row>
    <row r="25" ht="44" customHeight="1" s="76">
      <c r="A25" s="93" t="inlineStr">
        <is>
          <t>V42S022</t>
        </is>
      </c>
      <c r="B25" s="93" t="inlineStr">
        <is>
          <t>وتجارت</t>
        </is>
      </c>
      <c r="C25" s="93" t="inlineStr">
        <is>
          <t>پرونده</t>
        </is>
      </c>
      <c r="D25" s="93" t="inlineStr">
        <is>
          <t>عنوان در رجیستری v41 نیست؛ از متن v38</t>
        </is>
      </c>
      <c r="E25" s="93" t="n">
        <v>1385253</v>
      </c>
      <c r="F25" s="93" t="inlineStr"/>
      <c r="G25" s="93" t="inlineStr"/>
      <c r="H25" s="93" t="inlineStr"/>
      <c r="I25" s="93" t="inlineStr"/>
      <c r="J25" s="93" t="inlineStr"/>
      <c r="K25" s="93" t="inlineStr"/>
      <c r="L25" s="93" t="inlineStr">
        <is>
          <t>ردیف رجیستری ندارد؛ فقط از متن v38 یا Sources v39</t>
        </is>
      </c>
      <c r="M25" s="93" t="inlineStr">
        <is>
          <t>بسته شواهد v41 ارائه نشد و کدال در این جلسه پاسخ 503 یا قطع اتصال داد؛ متن سند باز نشد</t>
        </is>
      </c>
      <c r="N25" s="93" t="inlineStr">
        <is>
          <t>W03</t>
        </is>
      </c>
      <c r="O25" s="93" t="inlineStr">
        <is>
          <t>Five Cases v42</t>
        </is>
      </c>
    </row>
    <row r="26" ht="44" customHeight="1" s="76">
      <c r="A26" s="92" t="inlineStr">
        <is>
          <t>T19_1443078</t>
        </is>
      </c>
      <c r="B26" s="92" t="inlineStr">
        <is>
          <t>وتجارت</t>
        </is>
      </c>
      <c r="C26" s="92" t="inlineStr">
        <is>
          <t>پرونده</t>
        </is>
      </c>
      <c r="D26" s="92" t="inlineStr">
        <is>
          <t>معرفی /تغییر در ترکیب اعضای هیئت مدیره/مدیر عامل</t>
        </is>
      </c>
      <c r="E26" s="92" t="n">
        <v>1443078</v>
      </c>
      <c r="F26" s="92" t="inlineStr"/>
      <c r="G26" s="92" t="inlineStr">
        <is>
          <t>1404/09/04</t>
        </is>
      </c>
      <c r="H26" s="92" t="inlineStr"/>
      <c r="I26" s="92" t="inlineStr">
        <is>
          <t>https://www.codal.ir/Reports/Decision.aspx?LetterSerial=s68uu8w1pIytJrgW6WphNA%3d%3d&amp;rt=3&amp;let=19&amp;ct=0&amp;ft=-1</t>
        </is>
      </c>
      <c r="J26" s="92" t="inlineStr">
        <is>
          <t>sources/codal/وتجارت/v38_type19/T1443078.html</t>
        </is>
      </c>
      <c r="K26" s="92" t="inlineStr">
        <is>
          <t>6e80b256efe2fc025312b3e56b300d5a538a1661efe8ccb17a9d0085784dfc35</t>
        </is>
      </c>
      <c r="L26" s="92" t="inlineStr">
        <is>
          <t>در رجیستری v41</t>
        </is>
      </c>
      <c r="M26" s="92" t="inlineStr">
        <is>
          <t>بسته شواهد v41 ارائه نشد و کدال در این جلسه پاسخ 503 یا قطع اتصال داد؛ متن سند باز نشد</t>
        </is>
      </c>
      <c r="N26" s="92" t="inlineStr">
        <is>
          <t>W01؛ W04</t>
        </is>
      </c>
      <c r="O26" s="92" t="inlineStr">
        <is>
          <t>Five Cases v42</t>
        </is>
      </c>
    </row>
    <row r="27" ht="44" customHeight="1" s="76">
      <c r="A27" s="92" t="inlineStr">
        <is>
          <t>T19_1444154</t>
        </is>
      </c>
      <c r="B27" s="92" t="inlineStr">
        <is>
          <t>وتجارت</t>
        </is>
      </c>
      <c r="C27" s="92" t="inlineStr">
        <is>
          <t>بازسازی کرسی؛ رویداد؛ رویداد کرسی؛ پرونده</t>
        </is>
      </c>
      <c r="D27" s="92" t="inlineStr">
        <is>
          <t>معرفی /تغییر در ترکیب اعضای هیئت مدیره/مدیر عامل(اصلاحیه)</t>
        </is>
      </c>
      <c r="E27" s="92" t="n">
        <v>1444154</v>
      </c>
      <c r="F27" s="92" t="inlineStr">
        <is>
          <t>Cutoff 1404/12/29</t>
        </is>
      </c>
      <c r="G27" s="92" t="inlineStr">
        <is>
          <t>1404/09/15</t>
        </is>
      </c>
      <c r="H27" s="92" t="inlineStr"/>
      <c r="I27" s="92" t="inlineStr">
        <is>
          <t>https://www.codal.ir/Reports/Decision.aspx?LetterSerial=tL1npzfj3XSDR4oEqs1VIw%3d%3d&amp;rt=3&amp;let=19&amp;ct=0&amp;ft=-1</t>
        </is>
      </c>
      <c r="J27" s="92" t="inlineStr">
        <is>
          <t>sources/codal/وتجارت/v38_type19/T1444154.html</t>
        </is>
      </c>
      <c r="K27" s="92" t="inlineStr">
        <is>
          <t>f5ccc1d41f6592f7355b6e9feb12addb9b3c838cecc248ced54fd0c4d2cf7848</t>
        </is>
      </c>
      <c r="L27" s="92" t="inlineStr">
        <is>
          <t>در رجیستری v41</t>
        </is>
      </c>
      <c r="M27" s="92" t="inlineStr">
        <is>
          <t>بسته شواهد v41 ارائه نشد و کدال در این جلسه پاسخ 503 یا قطع اتصال داد؛ متن سند باز نشد</t>
        </is>
      </c>
      <c r="N27" s="92" t="inlineStr">
        <is>
          <t>W01؛ W04؛ بدون تغییر؛ حمیدرضا شریفیان؛ خروج بدون جایگزین؛ فهرست 1404/12/29</t>
        </is>
      </c>
      <c r="O27" s="92" t="inlineStr">
        <is>
          <t>Five Cases v42؛ Snapshot Members v42؛ Turnover Events v42</t>
        </is>
      </c>
    </row>
    <row r="28" ht="44" customHeight="1" s="76">
      <c r="A28" s="93" t="inlineStr">
        <is>
          <t>V42S025</t>
        </is>
      </c>
      <c r="B28" s="93" t="inlineStr">
        <is>
          <t>وپاسار</t>
        </is>
      </c>
      <c r="C28" s="93" t="inlineStr">
        <is>
          <t>رویداد کرسی؛ پرونده</t>
        </is>
      </c>
      <c r="D28" s="93" t="inlineStr">
        <is>
          <t>گزارش فعالیت هیئت مدیره منتهی به ۱۴۰۳/۱۲/۳۰ (بانک پاسارگاد)</t>
        </is>
      </c>
      <c r="E28" s="93" t="n">
        <v>1396276</v>
      </c>
      <c r="F28" s="93" t="inlineStr">
        <is>
          <t>۱۴۰۴</t>
        </is>
      </c>
      <c r="G28" s="93" t="inlineStr">
        <is>
          <t>1404/06/16</t>
        </is>
      </c>
      <c r="H28" s="93" t="inlineStr"/>
      <c r="I28" s="93" t="inlineStr">
        <is>
          <t>https://www.codal.ir/Reports/Attachment.aspx?LetterSerial=Cxkdj8wztt52xU9MoBXp2w%3d%3d</t>
        </is>
      </c>
      <c r="J28" s="93" t="inlineStr"/>
      <c r="K28" s="93" t="inlineStr"/>
      <c r="L28" s="93" t="inlineStr">
        <is>
          <t>ردیف رجیستری ندارد؛ فقط از متن v38 یا Sources v39</t>
        </is>
      </c>
      <c r="M28" s="93" t="inlineStr">
        <is>
          <t>بسته شواهد v41 ارائه نشد و کدال در این جلسه پاسخ 503 یا قطع اتصال داد؛ متن سند باز نشد</t>
        </is>
      </c>
      <c r="N28" s="93" t="inlineStr">
        <is>
          <t>P06؛ اعضای هیئت مدیره FY1403: ۷ نفر در گزارش سالانه (مجمع ۱۴۰۲/۰۴/۲۸) اما ۵ نفر در تصمیمات مجمع ۱۴۰۴/۰۶/۱۷</t>
        </is>
      </c>
      <c r="O28" s="93" t="inlineStr">
        <is>
          <t>Five Cases v42؛ Turnover Events v42</t>
        </is>
      </c>
    </row>
    <row r="29" ht="44" customHeight="1" s="76">
      <c r="A29" s="93" t="inlineStr">
        <is>
          <t>V42S026</t>
        </is>
      </c>
      <c r="B29" s="93" t="inlineStr">
        <is>
          <t>وپاسار</t>
        </is>
      </c>
      <c r="C29" s="93" t="inlineStr">
        <is>
          <t>پرونده</t>
        </is>
      </c>
      <c r="D29" s="93" t="inlineStr">
        <is>
          <t>عنوان در رجیستری v41 نیست؛ از متن v38</t>
        </is>
      </c>
      <c r="E29" s="93" t="n">
        <v>1526305</v>
      </c>
      <c r="F29" s="93" t="inlineStr"/>
      <c r="G29" s="93" t="inlineStr"/>
      <c r="H29" s="93" t="inlineStr"/>
      <c r="I29" s="93" t="inlineStr">
        <is>
          <t>https://www.codal.ir/Reports/Decision.aspx?LetterSerial=UtkvD7QAtPic497u28Cz6g%3d%3d&amp;rt=3&amp;let=90&amp;ct=0&amp;ft=-1</t>
        </is>
      </c>
      <c r="J29" s="93" t="inlineStr"/>
      <c r="K29" s="93" t="inlineStr"/>
      <c r="L29" s="93" t="inlineStr">
        <is>
          <t>ردیف رجیستری ندارد؛ فقط از متن v38 یا Sources v39</t>
        </is>
      </c>
      <c r="M29" s="93" t="inlineStr">
        <is>
          <t>بسته شواهد v41 ارائه نشد و کدال در این جلسه پاسخ 503 یا قطع اتصال داد؛ متن سند باز نشد</t>
        </is>
      </c>
      <c r="N29" s="93" t="inlineStr">
        <is>
          <t>P01</t>
        </is>
      </c>
      <c r="O29" s="93" t="inlineStr">
        <is>
          <t>Five Cases v42</t>
        </is>
      </c>
    </row>
    <row r="30" ht="44" customHeight="1" s="76">
      <c r="A30" s="92" t="inlineStr">
        <is>
          <t>T19_1288275</t>
        </is>
      </c>
      <c r="B30" s="92" t="inlineStr">
        <is>
          <t>پارسان</t>
        </is>
      </c>
      <c r="C30" s="92" t="inlineStr">
        <is>
          <t>بازسازی کرسی</t>
        </is>
      </c>
      <c r="D30" s="92" t="inlineStr">
        <is>
          <t>معرفی /تغییر در ترکیب اعضای هیئت مدیره/مدیر عامل(اصلاحیه)</t>
        </is>
      </c>
      <c r="E30" s="92" t="n">
        <v>1288275</v>
      </c>
      <c r="F30" s="92" t="inlineStr">
        <is>
          <t>Cutoff 1403/12/29</t>
        </is>
      </c>
      <c r="G30" s="92" t="inlineStr">
        <is>
          <t>1403/10/05</t>
        </is>
      </c>
      <c r="H30" s="92" t="inlineStr"/>
      <c r="I30" s="92" t="inlineStr">
        <is>
          <t>https://www.codal.ir/Reports/Decision.aspx?LetterSerial=DsOgAmOOObOOOXCBilD6gqB1SIaw%3d%3d&amp;rt=2&amp;let=19&amp;ct=0&amp;ft=-1</t>
        </is>
      </c>
      <c r="J30" s="92" t="inlineStr">
        <is>
          <t>sources/codal/پارسان/v38_type19/T1288275.html</t>
        </is>
      </c>
      <c r="K30" s="92" t="inlineStr">
        <is>
          <t>b96e17eb366a0fa138600f9bdfa497726d577403a04b212a8cd671e9b9f2c728</t>
        </is>
      </c>
      <c r="L30" s="92" t="inlineStr">
        <is>
          <t>در رجیستری v41</t>
        </is>
      </c>
      <c r="M30" s="92" t="inlineStr">
        <is>
          <t>بسته شواهد v41 ارائه نشد و کدال در این جلسه پاسخ 503 یا قطع اتصال داد؛ متن سند باز نشد</t>
        </is>
      </c>
      <c r="N30" s="92" t="inlineStr">
        <is>
          <t>فهرست 1403/12/29</t>
        </is>
      </c>
      <c r="O30" s="92" t="inlineStr">
        <is>
          <t>Snapshot Members v42</t>
        </is>
      </c>
    </row>
    <row r="31" ht="44" customHeight="1" s="76">
      <c r="A31" s="92" t="inlineStr">
        <is>
          <t>T19_1345985</t>
        </is>
      </c>
      <c r="B31" s="92" t="inlineStr">
        <is>
          <t>پارسان</t>
        </is>
      </c>
      <c r="C31" s="92" t="inlineStr">
        <is>
          <t>رویداد؛ رویداد کرسی</t>
        </is>
      </c>
      <c r="D31" s="92" t="inlineStr">
        <is>
          <t>معرفی /تغییر در ترکیب اعضای هیئت مدیره/مدیر عامل</t>
        </is>
      </c>
      <c r="E31" s="92" t="n">
        <v>1345985</v>
      </c>
      <c r="F31" s="92" t="inlineStr">
        <is>
          <t>۱۴۰۳→۱۴۰۴ (Cutoff 1403/12/29 → 1404/12/29)</t>
        </is>
      </c>
      <c r="G31" s="92" t="inlineStr">
        <is>
          <t>1404/02/30</t>
        </is>
      </c>
      <c r="H31" s="92" t="inlineStr"/>
      <c r="I31" s="92" t="inlineStr">
        <is>
          <t>https://www.codal.ir/Reports/Decision.aspx?LetterSerial=Isgmsl2s3SpQQQaQQQYOnBYzL9bw%3d%3d&amp;rt=2&amp;let=19&amp;ct=0&amp;ft=-1</t>
        </is>
      </c>
      <c r="J31" s="92" t="inlineStr">
        <is>
          <t>sources/codal/پارسان/v38_type19/T1345985.html</t>
        </is>
      </c>
      <c r="K31" s="92" t="inlineStr">
        <is>
          <t>c5afcf78c9032ca8b006075dfb7522ddbaa312adb4a6fe64d03357036ab1061d</t>
        </is>
      </c>
      <c r="L31" s="92" t="inlineStr">
        <is>
          <t>در رجیستری v41</t>
        </is>
      </c>
      <c r="M31" s="92" t="inlineStr">
        <is>
          <t>بسته شواهد v41 ارائه نشد و کدال در این جلسه پاسخ 503 یا قطع اتصال داد؛ متن سند باز نشد</t>
        </is>
      </c>
      <c r="N31" s="92" t="inlineStr">
        <is>
          <t>تغییر نماینده حقیقی با شخص حقوقی ثابت؛ متین دیداری تا علیرضا غلامی؛ محمدرضا حیدرزاده تا علی مهری پرگو</t>
        </is>
      </c>
      <c r="O31" s="92" t="inlineStr">
        <is>
          <t>Turnover Events v42</t>
        </is>
      </c>
    </row>
    <row r="32" ht="44" customHeight="1" s="76">
      <c r="A32" s="92" t="inlineStr">
        <is>
          <t>T19_1443940</t>
        </is>
      </c>
      <c r="B32" s="92" t="inlineStr">
        <is>
          <t>پارسان</t>
        </is>
      </c>
      <c r="C32" s="92" t="inlineStr">
        <is>
          <t>بازسازی کرسی؛ رویداد کرسی</t>
        </is>
      </c>
      <c r="D32" s="92" t="inlineStr">
        <is>
          <t>معرفی /تغییر در ترکیب اعضای هیئت مدیره/مدیر عامل(اصلاحیه)</t>
        </is>
      </c>
      <c r="E32" s="92" t="n">
        <v>1443940</v>
      </c>
      <c r="F32" s="92" t="inlineStr">
        <is>
          <t>Cutoff 1404/12/29</t>
        </is>
      </c>
      <c r="G32" s="92" t="inlineStr">
        <is>
          <t>1404/09/06</t>
        </is>
      </c>
      <c r="H32" s="92" t="inlineStr"/>
      <c r="I32" s="92" t="inlineStr">
        <is>
          <t>https://www.codal.ir/Reports/Decision.aspx?LetterSerial=zNIQQQaQQQIYcl2yMb4DUIPu3s7w%3d%3d&amp;rt=2&amp;let=19&amp;ct=0&amp;ft=-1</t>
        </is>
      </c>
      <c r="J32" s="92" t="inlineStr">
        <is>
          <t>sources/codal/پارسان/v38_type19/T1443940.html</t>
        </is>
      </c>
      <c r="K32" s="92" t="inlineStr">
        <is>
          <t>6bada336a4f2a0c4f5293c99b549eba45d143296c6023345e5e9b6406caeee87</t>
        </is>
      </c>
      <c r="L32" s="92" t="inlineStr">
        <is>
          <t>در رجیستری v41</t>
        </is>
      </c>
      <c r="M32" s="92" t="inlineStr">
        <is>
          <t>بسته شواهد v41 ارائه نشد و کدال در این جلسه پاسخ 503 یا قطع اتصال داد؛ متن سند باز نشد</t>
        </is>
      </c>
      <c r="N32" s="92" t="inlineStr">
        <is>
          <t>بدون تغییر؛ فهرست 1404/12/29</t>
        </is>
      </c>
      <c r="O32" s="92" t="inlineStr">
        <is>
          <t>Snapshot Members v42؛ Turnover Events v42</t>
        </is>
      </c>
    </row>
    <row r="33" ht="44" customHeight="1" s="76">
      <c r="A33" s="92" t="inlineStr">
        <is>
          <t>T19_1515744</t>
        </is>
      </c>
      <c r="B33" s="92" t="inlineStr">
        <is>
          <t>پارسان</t>
        </is>
      </c>
      <c r="C33" s="92" t="inlineStr">
        <is>
          <t>رویداد</t>
        </is>
      </c>
      <c r="D33" s="92" t="inlineStr">
        <is>
          <t>معرفی /تغییر در ترکیب اعضای هیئت مدیره/مدیر عامل</t>
        </is>
      </c>
      <c r="E33" s="92" t="n">
        <v>1515744</v>
      </c>
      <c r="F33" s="92" t="inlineStr"/>
      <c r="G33" s="92" t="inlineStr">
        <is>
          <t>1405/02/08</t>
        </is>
      </c>
      <c r="H33" s="92" t="inlineStr"/>
      <c r="I33" s="92" t="inlineStr">
        <is>
          <t>https://www.codal.ir/Reports/Decision.aspx?LetterSerial=ZsQQQaQQQ7NKJBxEPKajHG8hBbng%3d%3d&amp;rt=2&amp;let=19&amp;ct=0&amp;ft=-1</t>
        </is>
      </c>
      <c r="J33" s="92" t="inlineStr">
        <is>
          <t>sources/codal/پارسان/v38_type19/T1515744.html</t>
        </is>
      </c>
      <c r="K33" s="92" t="inlineStr">
        <is>
          <t>ff46039bc3361d4b85b4bd974b015d870b0fc9cff2d9ab8b16146da6d5dc5bb2</t>
        </is>
      </c>
      <c r="L33" s="92" t="inlineStr">
        <is>
          <t>در رجیستری v41</t>
        </is>
      </c>
      <c r="M33" s="92" t="inlineStr">
        <is>
          <t>بسته شواهد v41 ارائه نشد و کدال در این جلسه پاسخ 503 یا قطع اتصال داد؛ متن سند باز نشد</t>
        </is>
      </c>
      <c r="N33" s="92" t="inlineStr">
        <is>
          <t>سرمایه گذاری مهرگان تأمین پارس و دریابان</t>
        </is>
      </c>
      <c r="O33" s="92" t="inlineStr">
        <is>
          <t>Turnover Events v42</t>
        </is>
      </c>
    </row>
    <row r="34" ht="44" customHeight="1" s="76">
      <c r="A34" s="92" t="inlineStr">
        <is>
          <t>T19_1515813</t>
        </is>
      </c>
      <c r="B34" s="92" t="inlineStr">
        <is>
          <t>پارسان</t>
        </is>
      </c>
      <c r="C34" s="92" t="inlineStr">
        <is>
          <t>رویداد</t>
        </is>
      </c>
      <c r="D34" s="92" t="inlineStr">
        <is>
          <t>معرفی /تغییر در ترکیب اعضای هیئت مدیره/مدیر عامل(اصلاحیه)</t>
        </is>
      </c>
      <c r="E34" s="92" t="n">
        <v>1515813</v>
      </c>
      <c r="F34" s="92" t="inlineStr"/>
      <c r="G34" s="92" t="inlineStr">
        <is>
          <t>1405/02/08</t>
        </is>
      </c>
      <c r="H34" s="92" t="inlineStr"/>
      <c r="I34" s="92" t="inlineStr">
        <is>
          <t>https://www.codal.ir/Reports/Decision.aspx?LetterSerial=JkOpvbSCefwHFf65Sx4P0Q%3d%3d&amp;rt=2&amp;let=19&amp;ct=0&amp;ft=-1</t>
        </is>
      </c>
      <c r="J34" s="92" t="inlineStr">
        <is>
          <t>sources/codal/پارسان/v38_type19/T1515813.html</t>
        </is>
      </c>
      <c r="K34" s="92" t="inlineStr">
        <is>
          <t>d928e32184888bdeebacfc845b5546f5e682813594f3fdd77f8cb1c6eefd30e9</t>
        </is>
      </c>
      <c r="L34" s="92" t="inlineStr">
        <is>
          <t>در رجیستری v41</t>
        </is>
      </c>
      <c r="M34" s="92" t="inlineStr">
        <is>
          <t>بسته شواهد v41 ارائه نشد و کدال در این جلسه پاسخ 503 یا قطع اتصال داد؛ متن سند باز نشد</t>
        </is>
      </c>
      <c r="N34" s="92" t="inlineStr">
        <is>
          <t>سرمایه گذاری مهرگان تأمین پارس و دریابان</t>
        </is>
      </c>
      <c r="O34" s="92" t="inlineStr">
        <is>
          <t>Turnover Events v42</t>
        </is>
      </c>
    </row>
    <row r="35" ht="44" customHeight="1" s="76">
      <c r="A35" s="92" t="inlineStr">
        <is>
          <t>T19_1551463</t>
        </is>
      </c>
      <c r="B35" s="92" t="inlineStr">
        <is>
          <t>پارسان</t>
        </is>
      </c>
      <c r="C35" s="92" t="inlineStr">
        <is>
          <t>رویداد</t>
        </is>
      </c>
      <c r="D35" s="92" t="inlineStr">
        <is>
          <t>معرفی /تغییر در ترکیب اعضای هیئت مدیره/مدیر عامل</t>
        </is>
      </c>
      <c r="E35" s="92" t="n">
        <v>1551463</v>
      </c>
      <c r="F35" s="92" t="inlineStr"/>
      <c r="G35" s="92" t="inlineStr">
        <is>
          <t>1405/03/26</t>
        </is>
      </c>
      <c r="H35" s="92" t="inlineStr"/>
      <c r="I35" s="92" t="inlineStr">
        <is>
          <t>https://www.codal.ir/Reports/Decision.aspx?LetterSerial=QESigfwj5vCKnxHP4NdMYg%3d%3d&amp;rt=2&amp;let=19&amp;ct=0&amp;ft=-1</t>
        </is>
      </c>
      <c r="J35" s="92" t="inlineStr">
        <is>
          <t>sources/codal/پارسان/v38_type19/T1551463.html</t>
        </is>
      </c>
      <c r="K35" s="92" t="inlineStr">
        <is>
          <t>4ef4642a66f2f27c2b09ff42fa91e706f657ffa7bcb55356d28c66692bbef0ff</t>
        </is>
      </c>
      <c r="L35" s="92" t="inlineStr">
        <is>
          <t>در رجیستری v41</t>
        </is>
      </c>
      <c r="M35" s="92" t="inlineStr">
        <is>
          <t>بسته شواهد v41 ارائه نشد و کدال در این جلسه پاسخ 503 یا قطع اتصال داد؛ متن سند باز نشد</t>
        </is>
      </c>
      <c r="N35" s="92" t="inlineStr">
        <is>
          <t>سرمایه گذاری مهرگان تأمین پارس و دریابان</t>
        </is>
      </c>
      <c r="O35" s="92" t="inlineStr">
        <is>
          <t>Turnover Events v42</t>
        </is>
      </c>
    </row>
    <row r="36" ht="44" customHeight="1" s="76">
      <c r="A36" s="92" t="inlineStr">
        <is>
          <t>T19_1287746</t>
        </is>
      </c>
      <c r="B36" s="92" t="inlineStr">
        <is>
          <t>کچاد</t>
        </is>
      </c>
      <c r="C36" s="92" t="inlineStr">
        <is>
          <t>بازسازی کرسی</t>
        </is>
      </c>
      <c r="D36" s="92" t="inlineStr">
        <is>
          <t>معرفی /تغییر در ترکیب اعضای هیئت مدیره/مدیر عامل</t>
        </is>
      </c>
      <c r="E36" s="92" t="n">
        <v>1287746</v>
      </c>
      <c r="F36" s="92" t="inlineStr">
        <is>
          <t>Cutoff 1403/12/29</t>
        </is>
      </c>
      <c r="G36" s="92" t="inlineStr">
        <is>
          <t>1403/10/05</t>
        </is>
      </c>
      <c r="H36" s="92" t="inlineStr"/>
      <c r="I36" s="92" t="inlineStr">
        <is>
          <t>https://www.codal.ir/Reports/Decision.aspx?LetterSerial=v9VDr2f0BIJNqKEnWy6Rug%3d%3d&amp;rt=0&amp;let=19&amp;ct=0&amp;ft=-1</t>
        </is>
      </c>
      <c r="J36" s="92" t="inlineStr">
        <is>
          <t>sources/codal/کچاد/v38_type19/T1287746.html</t>
        </is>
      </c>
      <c r="K36" s="92" t="inlineStr">
        <is>
          <t>b5b20aad27f4c04b1db146fa525e8a1aeceb8af6a412225033a32a85a052d881</t>
        </is>
      </c>
      <c r="L36" s="92" t="inlineStr">
        <is>
          <t>در رجیستری v41</t>
        </is>
      </c>
      <c r="M36" s="92" t="inlineStr">
        <is>
          <t>بسته شواهد v41 ارائه نشد و کدال در این جلسه پاسخ 503 یا قطع اتصال داد؛ متن سند باز نشد</t>
        </is>
      </c>
      <c r="N36" s="92" t="inlineStr">
        <is>
          <t>فهرست 1403/12/29</t>
        </is>
      </c>
      <c r="O36" s="92" t="inlineStr">
        <is>
          <t>Snapshot Members v42</t>
        </is>
      </c>
    </row>
    <row r="37" ht="44" customHeight="1" s="76">
      <c r="A37" s="92" t="inlineStr">
        <is>
          <t>T19_1343237</t>
        </is>
      </c>
      <c r="B37" s="92" t="inlineStr">
        <is>
          <t>کچاد</t>
        </is>
      </c>
      <c r="C37" s="92" t="inlineStr">
        <is>
          <t>رویداد؛ رویداد کرسی</t>
        </is>
      </c>
      <c r="D37" s="92" t="inlineStr">
        <is>
          <t>معرفی /تغییر در ترکیب اعضای هیئت مدیره/مدیر عامل</t>
        </is>
      </c>
      <c r="E37" s="92" t="n">
        <v>1343237</v>
      </c>
      <c r="F37" s="92" t="inlineStr">
        <is>
          <t>۱۴۰۳→۱۴۰۴ (Cutoff 1403/12/29 → 1404/12/29)</t>
        </is>
      </c>
      <c r="G37" s="92" t="inlineStr">
        <is>
          <t>1404/02/24</t>
        </is>
      </c>
      <c r="H37" s="92" t="inlineStr"/>
      <c r="I37" s="92" t="inlineStr">
        <is>
          <t>https://www.codal.ir/Reports/Decision.aspx?LetterSerial=WtxLMfRQBjXMKexEV1XDIA%3d%3d&amp;rt=0&amp;let=19&amp;ct=0&amp;ft=-1</t>
        </is>
      </c>
      <c r="J37" s="92" t="inlineStr">
        <is>
          <t>sources/codal/کچاد/v38_type19/T1343237.html</t>
        </is>
      </c>
      <c r="K37" s="92" t="inlineStr">
        <is>
          <t>8c141b7e5ac264ded667c015ad412f98b47308735814aaa2cd3272627030e37c</t>
        </is>
      </c>
      <c r="L37" s="92" t="inlineStr">
        <is>
          <t>در رجیستری v41</t>
        </is>
      </c>
      <c r="M37" s="92" t="inlineStr">
        <is>
          <t>بسته شواهد v41 ارائه نشد و کدال در این جلسه پاسخ 503 یا قطع اتصال داد؛ متن سند باز نشد</t>
        </is>
      </c>
      <c r="N37" s="92" t="inlineStr">
        <is>
          <t>تغییر نماینده حقیقی با شخص حقوقی ثابت؛ سعید مستشار تا حامد دهقانان؛ محمود صلاحی تا محمدرضا تابش</t>
        </is>
      </c>
      <c r="O37" s="92" t="inlineStr">
        <is>
          <t>Turnover Events v42</t>
        </is>
      </c>
    </row>
    <row r="38" ht="44" customHeight="1" s="76">
      <c r="A38" s="92" t="inlineStr">
        <is>
          <t>T19_1391765</t>
        </is>
      </c>
      <c r="B38" s="92" t="inlineStr">
        <is>
          <t>کچاد</t>
        </is>
      </c>
      <c r="C38" s="92" t="inlineStr">
        <is>
          <t>رویداد؛ رویداد کرسی</t>
        </is>
      </c>
      <c r="D38" s="92" t="inlineStr">
        <is>
          <t>معرفی /تغییر در ترکیب اعضای هیئت مدیره/مدیر عامل</t>
        </is>
      </c>
      <c r="E38" s="92" t="n">
        <v>1391765</v>
      </c>
      <c r="F38" s="92" t="inlineStr">
        <is>
          <t>۱۴۰۳→۱۴۰۴ (Cutoff 1403/12/29 → 1404/12/29)</t>
        </is>
      </c>
      <c r="G38" s="92" t="inlineStr">
        <is>
          <t>1404/05/20</t>
        </is>
      </c>
      <c r="H38" s="92" t="inlineStr"/>
      <c r="I38" s="92" t="inlineStr">
        <is>
          <t>https://www.codal.ir/Reports/Decision.aspx?LetterSerial=IAYTKaAQbe89etLVXMBN9w%3d%3d&amp;rt=0&amp;let=19&amp;ct=0&amp;ft=-1</t>
        </is>
      </c>
      <c r="J38" s="92" t="inlineStr">
        <is>
          <t>sources/codal/کچاد/v38_type19/T1391765.html</t>
        </is>
      </c>
      <c r="K38" s="92" t="inlineStr">
        <is>
          <t>363a6b6ce372cc3ffce1450be1d1902e456806b8a5c9f38455908021c8e68a88</t>
        </is>
      </c>
      <c r="L38" s="92" t="inlineStr">
        <is>
          <t>در رجیستری v41</t>
        </is>
      </c>
      <c r="M38" s="92" t="inlineStr">
        <is>
          <t>بسته شواهد v41 ارائه نشد و کدال در این جلسه پاسخ 503 یا قطع اتصال داد؛ متن سند باز نشد</t>
        </is>
      </c>
      <c r="N38" s="92" t="inlineStr">
        <is>
          <t>خدایار کریم نژاد؛ ورود در کرسی خالی (غیرقابل مقایسه؛ عضو جدید)</t>
        </is>
      </c>
      <c r="O38" s="92" t="inlineStr">
        <is>
          <t>Turnover Events v42</t>
        </is>
      </c>
    </row>
    <row r="39" ht="44" customHeight="1" s="76">
      <c r="A39" s="92" t="inlineStr">
        <is>
          <t>T19_1473973</t>
        </is>
      </c>
      <c r="B39" s="92" t="inlineStr">
        <is>
          <t>کچاد</t>
        </is>
      </c>
      <c r="C39" s="92" t="inlineStr">
        <is>
          <t>بازسازی کرسی؛ رویداد؛ رویداد کرسی</t>
        </is>
      </c>
      <c r="D39" s="92" t="inlineStr">
        <is>
          <t>معرفی /تغییر در ترکیب اعضای هیئت مدیره/مدیر عامل</t>
        </is>
      </c>
      <c r="E39" s="92" t="n">
        <v>1473973</v>
      </c>
      <c r="F39" s="92" t="inlineStr">
        <is>
          <t>Cutoff 1404/12/29</t>
        </is>
      </c>
      <c r="G39" s="92" t="inlineStr">
        <is>
          <t>1404/10/29</t>
        </is>
      </c>
      <c r="H39" s="92" t="inlineStr"/>
      <c r="I39" s="92" t="inlineStr">
        <is>
          <t>https://www.codal.ir/Reports/Decision.aspx?LetterSerial=XPg1kJyBIkadWnCXHnsdKg%3d%3d&amp;rt=0&amp;let=19&amp;ct=0&amp;ft=-1</t>
        </is>
      </c>
      <c r="J39" s="92" t="inlineStr">
        <is>
          <t>sources/codal/کچاد/v38_type19/T1473973.html</t>
        </is>
      </c>
      <c r="K39" s="92" t="inlineStr">
        <is>
          <t>c37f32e7a7547d754228de5f1605be40c12000bdbdaa3b2d59a04ed89d430c99</t>
        </is>
      </c>
      <c r="L39" s="92" t="inlineStr">
        <is>
          <t>در رجیستری v41</t>
        </is>
      </c>
      <c r="M39" s="92" t="inlineStr">
        <is>
          <t>بسته شواهد v41 ارائه نشد و کدال در این جلسه پاسخ 503 یا قطع اتصال داد؛ متن سند باز نشد</t>
        </is>
      </c>
      <c r="N39" s="92" t="inlineStr">
        <is>
          <t>بدون تغییر؛ حامد دهقانان؛ خدایار کریم نژاد؛ فهرست 1404/12/29؛ مجتبی شعبانی</t>
        </is>
      </c>
      <c r="O39" s="92" t="inlineStr">
        <is>
          <t>Snapshot Members v42؛ Turnover Events v42</t>
        </is>
      </c>
    </row>
    <row r="40" ht="40" customHeight="1" s="76">
      <c r="A40" s="92" t="inlineStr">
        <is>
          <t>SRC_F01_FY1404</t>
        </is>
      </c>
      <c r="B40" s="92" t="inlineStr">
        <is>
          <t>فملی</t>
        </is>
      </c>
      <c r="C40" s="92" t="inlineStr">
        <is>
          <t>گزارش فعالیت هیئت مدیره FY1404؛ پایان دوره مالی و تصدی</t>
        </is>
      </c>
      <c r="D40" s="92" t="inlineStr">
        <is>
          <t>گزارش فعالیت هیئت مدیره دوره ۱۲ ماهه منتهی به  ۱۴۰۴/۱۲/۲۹</t>
        </is>
      </c>
      <c r="E40" s="92" t="n">
        <v>1566308</v>
      </c>
      <c r="F40" s="92" t="inlineStr">
        <is>
          <t>مقطع 1404/12/29</t>
        </is>
      </c>
      <c r="G40" s="92" t="inlineStr">
        <is>
          <t>1405/04/21</t>
        </is>
      </c>
      <c r="H40" s="92" t="inlineStr"/>
      <c r="I40" s="92" t="inlineStr">
        <is>
          <t>https://www.codal.ir/Reports/Attachment.aspx?LetterSerial=qFAlYPrWWU4mR2wbOXOOObOOOsiA%3d%3d</t>
        </is>
      </c>
      <c r="J40" s="92" t="inlineStr"/>
      <c r="K40" s="92" t="inlineStr"/>
      <c r="L40" s="92" t="inlineStr">
        <is>
          <t>در رجیستری v41</t>
        </is>
      </c>
      <c r="M40" s="92" t="inlineStr">
        <is>
          <t>بسته شواهد v41 ارائه نشد و کدال در این جلسه پاسخ 503 یا قطع اتصال داد؛ متن سند باز نشد</t>
        </is>
      </c>
      <c r="N40" s="92" t="inlineStr">
        <is>
          <t>تایید پایان دوره مالی FY1404 و تاریخ شروع عضویت</t>
        </is>
      </c>
      <c r="O40" s="92" t="inlineStr">
        <is>
          <t>Scope v42؛ Person Flows v42</t>
        </is>
      </c>
    </row>
    <row r="41" ht="40" customHeight="1" s="76">
      <c r="A41" s="92" t="inlineStr">
        <is>
          <t>SRC_F02_FY1404</t>
        </is>
      </c>
      <c r="B41" s="92" t="inlineStr">
        <is>
          <t>تاپیکو</t>
        </is>
      </c>
      <c r="C41" s="92" t="inlineStr">
        <is>
          <t>گزارش فعالیت هیئت مدیره FY1404؛ پایان دوره مالی و تصدی</t>
        </is>
      </c>
      <c r="D41" s="92" t="inlineStr">
        <is>
          <t>گزارش فعالیت هیئت مدیره دوره ۱۲ ماهه منتهی به  ۱۴۰۴/۰۲/۳۱</t>
        </is>
      </c>
      <c r="E41" s="92" t="n">
        <v>1394922</v>
      </c>
      <c r="F41" s="92" t="inlineStr">
        <is>
          <t>مقطع 1404/02/31</t>
        </is>
      </c>
      <c r="G41" s="92" t="inlineStr">
        <is>
          <t>1404/06/25</t>
        </is>
      </c>
      <c r="H41" s="92" t="inlineStr"/>
      <c r="I41" s="92" t="inlineStr">
        <is>
          <t>https://www.codal.ir/Reports/Attachment.aspx?LetterSerial=BuFOOObOOOo6jufQQQaQQQ5kvXlvOOObOOOry5cw%3d%3d</t>
        </is>
      </c>
      <c r="J41" s="92" t="inlineStr"/>
      <c r="K41" s="92" t="inlineStr"/>
      <c r="L41" s="92" t="inlineStr">
        <is>
          <t>در رجیستری v41</t>
        </is>
      </c>
      <c r="M41" s="92" t="inlineStr">
        <is>
          <t>بسته شواهد v41 ارائه نشد و کدال در این جلسه پاسخ 503 یا قطع اتصال داد؛ متن سند باز نشد</t>
        </is>
      </c>
      <c r="N41" s="92" t="inlineStr">
        <is>
          <t>تایید پایان دوره مالی FY1404 و تاریخ شروع عضویت</t>
        </is>
      </c>
      <c r="O41" s="92" t="inlineStr">
        <is>
          <t>Scope v42؛ Person Flows v42</t>
        </is>
      </c>
    </row>
    <row r="42" ht="40" customHeight="1" s="76">
      <c r="A42" s="92" t="inlineStr">
        <is>
          <t>SRC_F03_FY1404</t>
        </is>
      </c>
      <c r="B42" s="92" t="inlineStr">
        <is>
          <t>فارس</t>
        </is>
      </c>
      <c r="C42" s="92" t="inlineStr">
        <is>
          <t>گزارش فعالیت هیئت مدیره FY1404؛ پایان دوره مالی و تصدی</t>
        </is>
      </c>
      <c r="D42" s="92" t="inlineStr">
        <is>
          <t>گزارش فعالیت هیئت مدیره دوره ۱۲ ماهه منتهی به  ۱۴۰۴/۰۳/۳۱</t>
        </is>
      </c>
      <c r="E42" s="92" t="n">
        <v>1416214</v>
      </c>
      <c r="F42" s="92" t="inlineStr">
        <is>
          <t>مقطع 1404/03/31</t>
        </is>
      </c>
      <c r="G42" s="92" t="inlineStr">
        <is>
          <t>۱۴۰۴/۰۷/۲۳</t>
        </is>
      </c>
      <c r="H42" s="92" t="inlineStr"/>
      <c r="I42" s="92" t="inlineStr">
        <is>
          <t>https://www.codal.ir/Reports/Attachment.aspx?LetterSerial=R1q7jKYS7pe0ND5SbFC8MQ%3d%3d</t>
        </is>
      </c>
      <c r="J42" s="92" t="inlineStr"/>
      <c r="K42" s="92" t="inlineStr"/>
      <c r="L42" s="92" t="inlineStr">
        <is>
          <t>در رجیستری v41</t>
        </is>
      </c>
      <c r="M42" s="92" t="inlineStr">
        <is>
          <t>بسته شواهد v41 ارائه نشد و کدال در این جلسه پاسخ 503 یا قطع اتصال داد؛ متن سند باز نشد</t>
        </is>
      </c>
      <c r="N42" s="92" t="inlineStr">
        <is>
          <t>تایید پایان دوره مالی FY1404 و تاریخ شروع عضویت</t>
        </is>
      </c>
      <c r="O42" s="92" t="inlineStr">
        <is>
          <t>Scope v42؛ Person Flows v42</t>
        </is>
      </c>
    </row>
    <row r="43" ht="40" customHeight="1" s="76">
      <c r="A43" s="92" t="inlineStr">
        <is>
          <t>SRC_F04_FY1404</t>
        </is>
      </c>
      <c r="B43" s="92" t="inlineStr">
        <is>
          <t>خودرو</t>
        </is>
      </c>
      <c r="C43" s="92" t="inlineStr">
        <is>
          <t>گزارش فعالیت هیئت مدیره FY1404؛ پایان دوره مالی و تصدی</t>
        </is>
      </c>
      <c r="D43" s="92" t="inlineStr">
        <is>
          <t>گزارش فعالیت هیئت مدیره دوره ۱۲ ماهه منتهی به ۱۴۰۴/۱۲/۲۹</t>
        </is>
      </c>
      <c r="E43" s="92" t="n">
        <v>1573022</v>
      </c>
      <c r="F43" s="92" t="inlineStr">
        <is>
          <t>مقطع 1404/12/29</t>
        </is>
      </c>
      <c r="G43" s="92" t="inlineStr">
        <is>
          <t>1405/04/31</t>
        </is>
      </c>
      <c r="H43" s="92" t="inlineStr"/>
      <c r="I43" s="92" t="inlineStr">
        <is>
          <t>https://www.codal.ir/Reports/Attachment.aspx?LetterSerial=HuJldWYU6bC4YAxgWhJwLA%3d%3d</t>
        </is>
      </c>
      <c r="J43" s="92" t="inlineStr"/>
      <c r="K43" s="92" t="inlineStr"/>
      <c r="L43" s="92" t="inlineStr">
        <is>
          <t>در رجیستری v41</t>
        </is>
      </c>
      <c r="M43" s="92" t="inlineStr">
        <is>
          <t>بسته شواهد v41 ارائه نشد و کدال در این جلسه پاسخ 503 یا قطع اتصال داد؛ متن سند باز نشد</t>
        </is>
      </c>
      <c r="N43" s="92" t="inlineStr">
        <is>
          <t>تایید پایان دوره مالی FY1404 و تاریخ شروع عضویت</t>
        </is>
      </c>
      <c r="O43" s="92" t="inlineStr">
        <is>
          <t>Scope v42؛ Person Flows v42</t>
        </is>
      </c>
    </row>
    <row r="44" ht="40" customHeight="1" s="76">
      <c r="A44" s="92" t="inlineStr">
        <is>
          <t>SRC_F05_FY1404</t>
        </is>
      </c>
      <c r="B44" s="92" t="inlineStr">
        <is>
          <t>زاگرس</t>
        </is>
      </c>
      <c r="C44" s="92" t="inlineStr">
        <is>
          <t>گزارش فعالیت هیئت مدیره FY1404؛ پایان دوره مالی و تصدی</t>
        </is>
      </c>
      <c r="D44" s="92" t="inlineStr">
        <is>
          <t>گزارش فعالیت هیئت مدیره دوره ۱۲ ماهه منتهی به  ۱۴۰۴/۱۲/۲۹</t>
        </is>
      </c>
      <c r="E44" s="92" t="n">
        <v>1565632</v>
      </c>
      <c r="F44" s="92" t="inlineStr">
        <is>
          <t>مقطع 1404/12/29</t>
        </is>
      </c>
      <c r="G44" s="92" t="inlineStr">
        <is>
          <t>1405/04/21</t>
        </is>
      </c>
      <c r="H44" s="92" t="inlineStr"/>
      <c r="I44" s="92" t="inlineStr">
        <is>
          <t>https://www.codal.ir/Reports/Attachment.aspx?LetterSerial=zY6COOObOOOcgr0C4s0ZIhRMGryg%3d%3d</t>
        </is>
      </c>
      <c r="J44" s="92" t="inlineStr"/>
      <c r="K44" s="92" t="inlineStr"/>
      <c r="L44" s="92" t="inlineStr">
        <is>
          <t>در رجیستری v41</t>
        </is>
      </c>
      <c r="M44" s="92" t="inlineStr">
        <is>
          <t>بسته شواهد v41 ارائه نشد و کدال در این جلسه پاسخ 503 یا قطع اتصال داد؛ متن سند باز نشد</t>
        </is>
      </c>
      <c r="N44" s="92" t="inlineStr">
        <is>
          <t>تایید پایان دوره مالی FY1404 و تاریخ شروع عضویت</t>
        </is>
      </c>
      <c r="O44" s="92" t="inlineStr">
        <is>
          <t>Scope v42؛ Person Flows v42</t>
        </is>
      </c>
    </row>
    <row r="45" ht="40" customHeight="1" s="76">
      <c r="A45" s="92" t="inlineStr">
        <is>
          <t>SRC_F06_FY1404</t>
        </is>
      </c>
      <c r="B45" s="92" t="inlineStr">
        <is>
          <t>شبندر</t>
        </is>
      </c>
      <c r="C45" s="92" t="inlineStr">
        <is>
          <t>گزارش فعالیت هیئت مدیره FY1404؛ پایان دوره مالی و تصدی</t>
        </is>
      </c>
      <c r="D45" s="92" t="inlineStr">
        <is>
          <t>گزارش فعالیت هیئت مدیره دوره ۱۲ ماهه منتهی به  ۱۴۰۴/۱۲/۲۹</t>
        </is>
      </c>
      <c r="E45" s="92" t="n">
        <v>1564208</v>
      </c>
      <c r="F45" s="92" t="inlineStr">
        <is>
          <t>مقطع 1404/12/29</t>
        </is>
      </c>
      <c r="G45" s="92" t="inlineStr">
        <is>
          <t>1405/04/24</t>
        </is>
      </c>
      <c r="H45" s="92" t="inlineStr"/>
      <c r="I45" s="92" t="inlineStr">
        <is>
          <t>https://www.codal.ir/Reports/Attachment.aspx?LetterSerial=N3GCfd3RcquN31sqdSRQQQaQQQug%3d%3d</t>
        </is>
      </c>
      <c r="J45" s="92" t="inlineStr"/>
      <c r="K45" s="92" t="inlineStr"/>
      <c r="L45" s="92" t="inlineStr">
        <is>
          <t>در رجیستری v41</t>
        </is>
      </c>
      <c r="M45" s="92" t="inlineStr">
        <is>
          <t>بسته شواهد v41 ارائه نشد و کدال در این جلسه پاسخ 503 یا قطع اتصال داد؛ متن سند باز نشد</t>
        </is>
      </c>
      <c r="N45" s="92" t="inlineStr">
        <is>
          <t>تایید پایان دوره مالی FY1404 و تاریخ شروع عضویت</t>
        </is>
      </c>
      <c r="O45" s="92" t="inlineStr">
        <is>
          <t>Scope v42؛ Person Flows v42</t>
        </is>
      </c>
    </row>
    <row r="46" ht="40" customHeight="1" s="76">
      <c r="A46" s="92" t="inlineStr">
        <is>
          <t>SRC_F07_FY1404</t>
        </is>
      </c>
      <c r="B46" s="92" t="inlineStr">
        <is>
          <t>پارس</t>
        </is>
      </c>
      <c r="C46" s="92" t="inlineStr">
        <is>
          <t>گزارش فعالیت هیئت مدیره FY1404؛ پایان دوره مالی و تصدی</t>
        </is>
      </c>
      <c r="D46" s="92" t="inlineStr">
        <is>
          <t>گزارش فعالیت هیئت مدیره دوره ۱۲ ماهه منتهی به  ۱۴۰۴/۱۲/۲۹</t>
        </is>
      </c>
      <c r="E46" s="92" t="n">
        <v>1559697</v>
      </c>
      <c r="F46" s="92" t="inlineStr">
        <is>
          <t>مقطع 1404/12/29</t>
        </is>
      </c>
      <c r="G46" s="92" t="inlineStr">
        <is>
          <t>1405/04/09</t>
        </is>
      </c>
      <c r="H46" s="92" t="inlineStr"/>
      <c r="I46" s="92" t="inlineStr">
        <is>
          <t>https://www.codal.ir/Reports/Attachment.aspx?LetterSerial=cdWaWGqftXF7vQrdXi5MJw%3d%3d</t>
        </is>
      </c>
      <c r="J46" s="92" t="inlineStr"/>
      <c r="K46" s="92" t="inlineStr"/>
      <c r="L46" s="92" t="inlineStr">
        <is>
          <t>در رجیستری v41</t>
        </is>
      </c>
      <c r="M46" s="92" t="inlineStr">
        <is>
          <t>بسته شواهد v41 ارائه نشد و کدال در این جلسه پاسخ 503 یا قطع اتصال داد؛ متن سند باز نشد</t>
        </is>
      </c>
      <c r="N46" s="92" t="inlineStr">
        <is>
          <t>تایید پایان دوره مالی FY1404 و تاریخ شروع عضویت</t>
        </is>
      </c>
      <c r="O46" s="92" t="inlineStr">
        <is>
          <t>Scope v42؛ Person Flows v42</t>
        </is>
      </c>
    </row>
    <row r="47" ht="40" customHeight="1" s="76">
      <c r="A47" s="92" t="inlineStr">
        <is>
          <t>SRC_F08_FY1404</t>
        </is>
      </c>
      <c r="B47" s="92" t="inlineStr">
        <is>
          <t>شتران</t>
        </is>
      </c>
      <c r="C47" s="92" t="inlineStr">
        <is>
          <t>گزارش فعالیت هیئت مدیره FY1404؛ پایان دوره مالی و تصدی</t>
        </is>
      </c>
      <c r="D47" s="92" t="inlineStr">
        <is>
          <t>گزارش فعالیت هیئت مدیره دوره ۱۲ ماهه منتهی به  ۱۴۰۴/۱۲/۲۹</t>
        </is>
      </c>
      <c r="E47" s="92" t="n">
        <v>1575311</v>
      </c>
      <c r="F47" s="92" t="inlineStr">
        <is>
          <t>مقطع 1404/12/29</t>
        </is>
      </c>
      <c r="G47" s="92" t="inlineStr">
        <is>
          <t>۱۴۰۵/۰۵/۰۳</t>
        </is>
      </c>
      <c r="H47" s="92" t="inlineStr"/>
      <c r="I47" s="92" t="inlineStr">
        <is>
          <t>https://www.codal.ir/Reports/Attachment.aspx?LetterSerial=F0veQQQaQQQX4tai7nAftHYyrDhg%3d%3d</t>
        </is>
      </c>
      <c r="J47" s="92" t="inlineStr"/>
      <c r="K47" s="92" t="inlineStr"/>
      <c r="L47" s="92" t="inlineStr">
        <is>
          <t>در رجیستری v41</t>
        </is>
      </c>
      <c r="M47" s="92" t="inlineStr">
        <is>
          <t>بسته شواهد v41 ارائه نشد و کدال در این جلسه پاسخ 503 یا قطع اتصال داد؛ متن سند باز نشد</t>
        </is>
      </c>
      <c r="N47" s="92" t="inlineStr">
        <is>
          <t>تایید پایان دوره مالی FY1404 و تاریخ شروع عضویت</t>
        </is>
      </c>
      <c r="O47" s="92" t="inlineStr">
        <is>
          <t>Scope v42؛ Person Flows v42</t>
        </is>
      </c>
    </row>
    <row r="48" ht="40" customHeight="1" s="76">
      <c r="A48" s="93" t="inlineStr">
        <is>
          <t>SRC_F09_FY1404</t>
        </is>
      </c>
      <c r="B48" s="93" t="inlineStr">
        <is>
          <t>وتجارت</t>
        </is>
      </c>
      <c r="C48" s="93" t="inlineStr">
        <is>
          <t>گزارش فعالیت هیئت مدیره FY1404؛ پایان دوره مالی و تصدی</t>
        </is>
      </c>
      <c r="D48" s="93" t="inlineStr">
        <is>
          <t>ندارد</t>
        </is>
      </c>
      <c r="E48" s="93" t="inlineStr"/>
      <c r="F48" s="93" t="inlineStr">
        <is>
          <t>مقطع 1404/12/29</t>
        </is>
      </c>
      <c r="G48" s="93" t="inlineStr"/>
      <c r="H48" s="93" t="inlineStr"/>
      <c r="I48" s="93" t="inlineStr"/>
      <c r="J48" s="93" t="inlineStr"/>
      <c r="K48" s="93" t="inlineStr"/>
      <c r="L48" s="93" t="inlineStr">
        <is>
          <t>بدون ردیابی در رجیستری</t>
        </is>
      </c>
      <c r="M48" s="93" t="inlineStr">
        <is>
          <t>بسته شواهد v41 ارائه نشد و کدال در این جلسه پاسخ 503 یا قطع اتصال داد؛ متن سند باز نشد</t>
        </is>
      </c>
      <c r="N48" s="93" t="inlineStr">
        <is>
          <t>تایید پایان دوره مالی FY1404 و تاریخ شروع عضویت</t>
        </is>
      </c>
      <c r="O48" s="93" t="inlineStr">
        <is>
          <t>Scope v42؛ Person Flows v42</t>
        </is>
      </c>
    </row>
    <row r="49" ht="40" customHeight="1" s="76">
      <c r="A49" s="92" t="inlineStr">
        <is>
          <t>SRC_F10_FY1404</t>
        </is>
      </c>
      <c r="B49" s="92" t="inlineStr">
        <is>
          <t>رمپنا</t>
        </is>
      </c>
      <c r="C49" s="92" t="inlineStr">
        <is>
          <t>گزارش فعالیت هیئت مدیره FY1404؛ پایان دوره مالی و تصدی</t>
        </is>
      </c>
      <c r="D49" s="92" t="inlineStr">
        <is>
          <t>گزارش فعالیت هیئت مدیره دوره ۱۲ ماهه منتهی به  ۱۴۰۴/۱۲/۲۹</t>
        </is>
      </c>
      <c r="E49" s="92" t="n">
        <v>1563170</v>
      </c>
      <c r="F49" s="92" t="inlineStr">
        <is>
          <t>مقطع 1404/12/29</t>
        </is>
      </c>
      <c r="G49" s="92" t="inlineStr">
        <is>
          <t>1405/04/21</t>
        </is>
      </c>
      <c r="H49" s="92" t="inlineStr"/>
      <c r="I49" s="92" t="inlineStr">
        <is>
          <t>https://www.codal.ir/Reports/Attachment.aspx?LetterSerial=8qAfr9YYyvle7McPhxI7uw%3d%3d</t>
        </is>
      </c>
      <c r="J49" s="92" t="inlineStr"/>
      <c r="K49" s="92" t="inlineStr"/>
      <c r="L49" s="92" t="inlineStr">
        <is>
          <t>در رجیستری v41</t>
        </is>
      </c>
      <c r="M49" s="92" t="inlineStr">
        <is>
          <t>بسته شواهد v41 ارائه نشد و کدال در این جلسه پاسخ 503 یا قطع اتصال داد؛ متن سند باز نشد</t>
        </is>
      </c>
      <c r="N49" s="92" t="inlineStr">
        <is>
          <t>تایید پایان دوره مالی FY1404 و تاریخ شروع عضویت</t>
        </is>
      </c>
      <c r="O49" s="92" t="inlineStr">
        <is>
          <t>Scope v42؛ Person Flows v42</t>
        </is>
      </c>
    </row>
    <row r="50" ht="40" customHeight="1" s="76">
      <c r="A50" s="92" t="inlineStr">
        <is>
          <t>SRC_F11_FY1404</t>
        </is>
      </c>
      <c r="B50" s="92" t="inlineStr">
        <is>
          <t>فخوز</t>
        </is>
      </c>
      <c r="C50" s="92" t="inlineStr">
        <is>
          <t>گزارش فعالیت هیئت مدیره FY1404؛ پایان دوره مالی و تصدی</t>
        </is>
      </c>
      <c r="D50" s="92" t="inlineStr">
        <is>
          <t>گزارش فعالیت هیئت مدیره دوره ۱۲ ماهه منتهی به  ۱۴۰۴/۱۲/۲۹</t>
        </is>
      </c>
      <c r="E50" s="92" t="n">
        <v>1585806</v>
      </c>
      <c r="F50" s="92" t="inlineStr">
        <is>
          <t>مقطع 1404/12/29</t>
        </is>
      </c>
      <c r="G50" s="92" t="inlineStr">
        <is>
          <t>1405/05/26</t>
        </is>
      </c>
      <c r="H50" s="92" t="inlineStr"/>
      <c r="I50" s="92" t="inlineStr">
        <is>
          <t>https://www.codal.ir/Reports/Attachment.aspx?LetterSerial=5ZWyvKDK0MJDzka9EiaU0g%3d%3d</t>
        </is>
      </c>
      <c r="J50" s="92" t="inlineStr"/>
      <c r="K50" s="92" t="inlineStr"/>
      <c r="L50" s="92" t="inlineStr">
        <is>
          <t>در رجیستری v41</t>
        </is>
      </c>
      <c r="M50" s="92" t="inlineStr">
        <is>
          <t>بسته شواهد v41 ارائه نشد و کدال در این جلسه پاسخ 503 یا قطع اتصال داد؛ متن سند باز نشد</t>
        </is>
      </c>
      <c r="N50" s="92" t="inlineStr">
        <is>
          <t>تایید پایان دوره مالی FY1404 و تاریخ شروع عضویت</t>
        </is>
      </c>
      <c r="O50" s="92" t="inlineStr">
        <is>
          <t>Scope v42؛ Person Flows v42</t>
        </is>
      </c>
    </row>
    <row r="51" ht="40" customHeight="1" s="76">
      <c r="A51" s="92" t="inlineStr">
        <is>
          <t>SRC_F12_FY1404</t>
        </is>
      </c>
      <c r="B51" s="92" t="inlineStr">
        <is>
          <t>شستا</t>
        </is>
      </c>
      <c r="C51" s="92" t="inlineStr">
        <is>
          <t>گزارش فعالیت هیئت مدیره FY1404؛ پایان دوره مالی و تصدی</t>
        </is>
      </c>
      <c r="D51" s="92" t="inlineStr">
        <is>
          <t>گزارش فعالیت هیئت مدیره دوره ۱۲ ماهه منتهی به  ۱۴۰۴/۰۳/۳۱</t>
        </is>
      </c>
      <c r="E51" s="92" t="n">
        <v>1417590</v>
      </c>
      <c r="F51" s="92" t="inlineStr">
        <is>
          <t>مقطع 1404/03/31</t>
        </is>
      </c>
      <c r="G51" s="92" t="inlineStr">
        <is>
          <t>۱۴۰۴/۰۷/۲۰</t>
        </is>
      </c>
      <c r="H51" s="92" t="inlineStr"/>
      <c r="I51" s="92" t="inlineStr">
        <is>
          <t>https://www.codal.ir/Reports/Attachment.aspx?LetterSerial=TEl3hTcY7RdDCFEpY1ehSg%3d%3d</t>
        </is>
      </c>
      <c r="J51" s="92" t="inlineStr"/>
      <c r="K51" s="92" t="inlineStr"/>
      <c r="L51" s="92" t="inlineStr">
        <is>
          <t>در رجیستری v41</t>
        </is>
      </c>
      <c r="M51" s="92" t="inlineStr">
        <is>
          <t>بسته شواهد v41 ارائه نشد و کدال در این جلسه پاسخ 503 یا قطع اتصال داد؛ متن سند باز نشد</t>
        </is>
      </c>
      <c r="N51" s="92" t="inlineStr">
        <is>
          <t>تایید پایان دوره مالی FY1404 و تاریخ شروع عضویت</t>
        </is>
      </c>
      <c r="O51" s="92" t="inlineStr">
        <is>
          <t>Scope v42؛ Person Flows v42</t>
        </is>
      </c>
    </row>
    <row r="52" ht="40" customHeight="1" s="76">
      <c r="A52" s="92" t="inlineStr">
        <is>
          <t>SRC_F13_FY1404</t>
        </is>
      </c>
      <c r="B52" s="92" t="inlineStr">
        <is>
          <t>شپنا</t>
        </is>
      </c>
      <c r="C52" s="92" t="inlineStr">
        <is>
          <t>گزارش فعالیت هیئت مدیره FY1404؛ پایان دوره مالی و تصدی</t>
        </is>
      </c>
      <c r="D52" s="92" t="inlineStr">
        <is>
          <t>گزارش فعالیت هیئت مدیره دوره ۱۲ ماهه منتهی به  ۱۴۰۴/۱۲/۲۹</t>
        </is>
      </c>
      <c r="E52" s="92" t="n">
        <v>1565408</v>
      </c>
      <c r="F52" s="92" t="inlineStr">
        <is>
          <t>مقطع 1404/12/29</t>
        </is>
      </c>
      <c r="G52" s="92" t="inlineStr">
        <is>
          <t>۱۴۰۵/۰۴/۲۱</t>
        </is>
      </c>
      <c r="H52" s="92" t="inlineStr"/>
      <c r="I52" s="92" t="inlineStr">
        <is>
          <t>https://www.codal.ir/Reports/Attachment.aspx?LetterSerial=WBnwPdhi1lTe8pRlgN6wYw%3d%3d</t>
        </is>
      </c>
      <c r="J52" s="92" t="inlineStr"/>
      <c r="K52" s="92" t="inlineStr"/>
      <c r="L52" s="92" t="inlineStr">
        <is>
          <t>در رجیستری v41</t>
        </is>
      </c>
      <c r="M52" s="92" t="inlineStr">
        <is>
          <t>بسته شواهد v41 ارائه نشد و کدال در این جلسه پاسخ 503 یا قطع اتصال داد؛ متن سند باز نشد</t>
        </is>
      </c>
      <c r="N52" s="92" t="inlineStr">
        <is>
          <t>تایید پایان دوره مالی FY1404 و تاریخ شروع عضویت</t>
        </is>
      </c>
      <c r="O52" s="92" t="inlineStr">
        <is>
          <t>Scope v42؛ Person Flows v42</t>
        </is>
      </c>
    </row>
    <row r="53" ht="40" customHeight="1" s="76">
      <c r="A53" s="92" t="inlineStr">
        <is>
          <t>SRC_F14_FY1404</t>
        </is>
      </c>
      <c r="B53" s="92" t="inlineStr">
        <is>
          <t>وغدیر</t>
        </is>
      </c>
      <c r="C53" s="92" t="inlineStr">
        <is>
          <t>گزارش فعالیت هیئت مدیره FY1404؛ پایان دوره مالی و تصدی</t>
        </is>
      </c>
      <c r="D53" s="92" t="inlineStr">
        <is>
          <t>گزارش فعالیت هیئت مدیره دوره ۱۲ ماهه منتهی به  ۱۴۰۴/۰۹/۳۰</t>
        </is>
      </c>
      <c r="E53" s="92" t="n">
        <v>1489172</v>
      </c>
      <c r="F53" s="92" t="inlineStr">
        <is>
          <t>مقطع 1404/09/30</t>
        </is>
      </c>
      <c r="G53" s="92" t="inlineStr">
        <is>
          <t>۱۴۰۴/۱۱/۲۷</t>
        </is>
      </c>
      <c r="H53" s="92" t="inlineStr"/>
      <c r="I53" s="92" t="inlineStr">
        <is>
          <t>https://www.codal.ir/Reports/Attachment.aspx?LetterSerial=t59jEJeZqIV2QQQaQQQEqa1HjS8A%3d%3d</t>
        </is>
      </c>
      <c r="J53" s="92" t="inlineStr"/>
      <c r="K53" s="92" t="inlineStr"/>
      <c r="L53" s="92" t="inlineStr">
        <is>
          <t>در رجیستری v41</t>
        </is>
      </c>
      <c r="M53" s="92" t="inlineStr">
        <is>
          <t>بسته شواهد v41 ارائه نشد و کدال در این جلسه پاسخ 503 یا قطع اتصال داد؛ متن سند باز نشد</t>
        </is>
      </c>
      <c r="N53" s="92" t="inlineStr">
        <is>
          <t>تایید پایان دوره مالی FY1404 و تاریخ شروع عضویت</t>
        </is>
      </c>
      <c r="O53" s="92" t="inlineStr">
        <is>
          <t>Scope v42؛ Person Flows v42</t>
        </is>
      </c>
    </row>
    <row r="54" ht="40" customHeight="1" s="76">
      <c r="A54" s="92" t="inlineStr">
        <is>
          <t>SRC_F15_FY1404</t>
        </is>
      </c>
      <c r="B54" s="92" t="inlineStr">
        <is>
          <t>نوری</t>
        </is>
      </c>
      <c r="C54" s="92" t="inlineStr">
        <is>
          <t>گزارش فعالیت هیئت مدیره FY1404؛ پایان دوره مالی و تصدی</t>
        </is>
      </c>
      <c r="D54" s="92" t="inlineStr">
        <is>
          <t>گزارش فعالیت هیئت مدیره دوره ۱۲ ماهه منتهی به  ۱۴۰۴/۱۲/۲۹</t>
        </is>
      </c>
      <c r="E54" s="92" t="n">
        <v>1561297</v>
      </c>
      <c r="F54" s="92" t="inlineStr">
        <is>
          <t>مقطع 1404/12/29</t>
        </is>
      </c>
      <c r="G54" s="92" t="inlineStr">
        <is>
          <t>۱۴۰۵/۰۴/۲۰</t>
        </is>
      </c>
      <c r="H54" s="92" t="inlineStr"/>
      <c r="I54" s="92" t="inlineStr">
        <is>
          <t>https://www.codal.ir/Reports/Attachment.aspx?LetterSerial=lWuukNFzDitnWL7VD4weCA%3d%3d</t>
        </is>
      </c>
      <c r="J54" s="92" t="inlineStr"/>
      <c r="K54" s="92" t="inlineStr"/>
      <c r="L54" s="92" t="inlineStr">
        <is>
          <t>در رجیستری v41</t>
        </is>
      </c>
      <c r="M54" s="92" t="inlineStr">
        <is>
          <t>بسته شواهد v41 ارائه نشد و کدال در این جلسه پاسخ 503 یا قطع اتصال داد؛ متن سند باز نشد</t>
        </is>
      </c>
      <c r="N54" s="92" t="inlineStr">
        <is>
          <t>تایید پایان دوره مالی FY1404 و تاریخ شروع عضویت</t>
        </is>
      </c>
      <c r="O54" s="92" t="inlineStr">
        <is>
          <t>Scope v42؛ Person Flows v42</t>
        </is>
      </c>
    </row>
    <row r="55" ht="40" customHeight="1" s="76">
      <c r="A55" s="92" t="inlineStr">
        <is>
          <t>SRC_F16_FY1404</t>
        </is>
      </c>
      <c r="B55" s="92" t="inlineStr">
        <is>
          <t>فولاد</t>
        </is>
      </c>
      <c r="C55" s="92" t="inlineStr">
        <is>
          <t>گزارش فعالیت هیئت مدیره FY1404؛ پایان دوره مالی و تصدی</t>
        </is>
      </c>
      <c r="D55" s="92" t="inlineStr">
        <is>
          <t>گزارش فعالیت هیئت مدیره دوره ۱۲ ماهه منتهی به  ۱۴۰۴/۱۲/۲۹</t>
        </is>
      </c>
      <c r="E55" s="92" t="n">
        <v>1579311</v>
      </c>
      <c r="F55" s="92" t="inlineStr">
        <is>
          <t>مقطع 1404/12/29</t>
        </is>
      </c>
      <c r="G55" s="92" t="inlineStr">
        <is>
          <t>۱۴۰۵/۰۵/۰۹</t>
        </is>
      </c>
      <c r="H55" s="92" t="inlineStr"/>
      <c r="I55" s="92" t="inlineStr">
        <is>
          <t>https://www.codal.ir/Reports/Attachment.aspx?LetterSerial=DjTPnm9Pa79X4Gv1Zp8FQQQaQQQQ%3d%3d</t>
        </is>
      </c>
      <c r="J55" s="92" t="inlineStr"/>
      <c r="K55" s="92" t="inlineStr"/>
      <c r="L55" s="92" t="inlineStr">
        <is>
          <t>در رجیستری v41</t>
        </is>
      </c>
      <c r="M55" s="92" t="inlineStr">
        <is>
          <t>بسته شواهد v41 ارائه نشد و کدال در این جلسه پاسخ 503 یا قطع اتصال داد؛ متن سند باز نشد</t>
        </is>
      </c>
      <c r="N55" s="92" t="inlineStr">
        <is>
          <t>تایید پایان دوره مالی FY1404 و تاریخ شروع عضویت</t>
        </is>
      </c>
      <c r="O55" s="92" t="inlineStr">
        <is>
          <t>Scope v42؛ Person Flows v42</t>
        </is>
      </c>
    </row>
    <row r="56" ht="40" customHeight="1" s="76">
      <c r="A56" s="92" t="inlineStr">
        <is>
          <t>SRC_F17_FY1404</t>
        </is>
      </c>
      <c r="B56" s="92" t="inlineStr">
        <is>
          <t>کچاد</t>
        </is>
      </c>
      <c r="C56" s="92" t="inlineStr">
        <is>
          <t>گزارش فعالیت هیئت مدیره FY1404؛ پایان دوره مالی و تصدی</t>
        </is>
      </c>
      <c r="D56" s="92" t="inlineStr">
        <is>
          <t>گزارش فعالیت هیئت مدیره دوره ۹ ماهه منتهی به  ۱۴۰۴/۰۹/۳۰</t>
        </is>
      </c>
      <c r="E56" s="92" t="n">
        <v>1525630</v>
      </c>
      <c r="F56" s="92" t="inlineStr">
        <is>
          <t>مقطع 1404/09/30</t>
        </is>
      </c>
      <c r="G56" s="92" t="inlineStr">
        <is>
          <t>۱۴۰۵/۰۲/۲۶</t>
        </is>
      </c>
      <c r="H56" s="92" t="inlineStr"/>
      <c r="I56" s="92" t="inlineStr">
        <is>
          <t>https://www.codal.ir/Reports/Attachment.aspx?LetterSerial=DHJOOObOOOqc3jnsfP3yy4jiGz1w%3d%3d</t>
        </is>
      </c>
      <c r="J56" s="92" t="inlineStr"/>
      <c r="K56" s="92" t="inlineStr"/>
      <c r="L56" s="92" t="inlineStr">
        <is>
          <t>در رجیستری v41</t>
        </is>
      </c>
      <c r="M56" s="92" t="inlineStr">
        <is>
          <t>بسته شواهد v41 ارائه نشد و کدال در این جلسه پاسخ 503 یا قطع اتصال داد؛ متن سند باز نشد</t>
        </is>
      </c>
      <c r="N56" s="92" t="inlineStr">
        <is>
          <t>تایید پایان دوره مالی FY1404 و تاریخ شروع عضویت</t>
        </is>
      </c>
      <c r="O56" s="92" t="inlineStr">
        <is>
          <t>Scope v42؛ Person Flows v42</t>
        </is>
      </c>
    </row>
    <row r="57" ht="40" customHeight="1" s="76">
      <c r="A57" s="92" t="inlineStr">
        <is>
          <t>SRC_F18_FY1404</t>
        </is>
      </c>
      <c r="B57" s="92" t="inlineStr">
        <is>
          <t>کگل</t>
        </is>
      </c>
      <c r="C57" s="92" t="inlineStr">
        <is>
          <t>گزارش فعالیت هیئت مدیره FY1404؛ پایان دوره مالی و تصدی</t>
        </is>
      </c>
      <c r="D57" s="92" t="inlineStr">
        <is>
          <t>گزارش فعالیت هیئت مدیره دوره ۹ ماهه منتهی به  ۱۴۰۴/۰۹/۳۰</t>
        </is>
      </c>
      <c r="E57" s="92" t="n">
        <v>1525656</v>
      </c>
      <c r="F57" s="92" t="inlineStr">
        <is>
          <t>مقطع 1404/09/30</t>
        </is>
      </c>
      <c r="G57" s="92" t="inlineStr">
        <is>
          <t>۱۴۰۵/۰۲/۲۸</t>
        </is>
      </c>
      <c r="H57" s="92" t="inlineStr"/>
      <c r="I57" s="92" t="inlineStr">
        <is>
          <t>https://www.codal.ir/Reports/Attachment.aspx?LetterSerial=GJchxNzFayYlVOX4LPTQQQaQQQJA%3d%3d</t>
        </is>
      </c>
      <c r="J57" s="92" t="inlineStr"/>
      <c r="K57" s="92" t="inlineStr"/>
      <c r="L57" s="92" t="inlineStr">
        <is>
          <t>در رجیستری v41</t>
        </is>
      </c>
      <c r="M57" s="92" t="inlineStr">
        <is>
          <t>بسته شواهد v41 ارائه نشد و کدال در این جلسه پاسخ 503 یا قطع اتصال داد؛ متن سند باز نشد</t>
        </is>
      </c>
      <c r="N57" s="92" t="inlineStr">
        <is>
          <t>تایید پایان دوره مالی FY1404 و تاریخ شروع عضویت</t>
        </is>
      </c>
      <c r="O57" s="92" t="inlineStr">
        <is>
          <t>Scope v42؛ Person Flows v42</t>
        </is>
      </c>
    </row>
    <row r="58" ht="40" customHeight="1" s="76">
      <c r="A58" s="92" t="inlineStr">
        <is>
          <t>SRC_F19_FY1404</t>
        </is>
      </c>
      <c r="B58" s="92" t="inlineStr">
        <is>
          <t>پارسان</t>
        </is>
      </c>
      <c r="C58" s="92" t="inlineStr">
        <is>
          <t>گزارش فعالیت هیئت مدیره FY1404؛ پایان دوره مالی و تصدی</t>
        </is>
      </c>
      <c r="D58" s="92" t="inlineStr">
        <is>
          <t>گزارش فعالیت هیئت مدیره دوره ۱۲ ماهه منتهی به  ۱۴۰۴/۰۶/۳۱</t>
        </is>
      </c>
      <c r="E58" s="92" t="n">
        <v>1467768</v>
      </c>
      <c r="F58" s="92" t="inlineStr">
        <is>
          <t>مقطع 1404/06/31</t>
        </is>
      </c>
      <c r="G58" s="92" t="inlineStr">
        <is>
          <t>۱۴۰۴/۱۰/۱۱</t>
        </is>
      </c>
      <c r="H58" s="92" t="inlineStr"/>
      <c r="I58" s="92" t="inlineStr">
        <is>
          <t>https://www.codal.ir/Reports/Attachment.aspx?LetterSerial=L6jPydiKkSCQR9kVCKMgkg%3d%3d</t>
        </is>
      </c>
      <c r="J58" s="92" t="inlineStr"/>
      <c r="K58" s="92" t="inlineStr"/>
      <c r="L58" s="92" t="inlineStr">
        <is>
          <t>در رجیستری v41</t>
        </is>
      </c>
      <c r="M58" s="92" t="inlineStr">
        <is>
          <t>بسته شواهد v41 ارائه نشد و کدال در این جلسه پاسخ 503 یا قطع اتصال داد؛ متن سند باز نشد</t>
        </is>
      </c>
      <c r="N58" s="92" t="inlineStr">
        <is>
          <t>تایید پایان دوره مالی FY1404 و تاریخ شروع عضویت</t>
        </is>
      </c>
      <c r="O58" s="92" t="inlineStr">
        <is>
          <t>Scope v42؛ Person Flows v42</t>
        </is>
      </c>
    </row>
    <row r="59" ht="40" customHeight="1" s="76">
      <c r="A59" s="92" t="inlineStr">
        <is>
          <t>SRC_F20_FY1404</t>
        </is>
      </c>
      <c r="B59" s="92" t="inlineStr">
        <is>
          <t>اخابر</t>
        </is>
      </c>
      <c r="C59" s="92" t="inlineStr">
        <is>
          <t>گزارش فعالیت هیئت مدیره FY1404؛ پایان دوره مالی و تصدی</t>
        </is>
      </c>
      <c r="D59" s="92" t="inlineStr">
        <is>
          <t>گزارش فعالیت هیئت مدیره دوره ۱۲ ماهه منتهی به  ۱۴۰۴/۱۲/۲۹</t>
        </is>
      </c>
      <c r="E59" s="92" t="n">
        <v>1556542</v>
      </c>
      <c r="F59" s="92" t="inlineStr">
        <is>
          <t>مقطع 1404/12/29</t>
        </is>
      </c>
      <c r="G59" s="92" t="inlineStr">
        <is>
          <t>1405/04/12</t>
        </is>
      </c>
      <c r="H59" s="92" t="inlineStr"/>
      <c r="I59" s="92" t="inlineStr">
        <is>
          <t>https://www.codal.ir/Reports/Attachment.aspx?LetterSerial=q3EF5HWBdE3Wa0MdSn8GbQ%3d%3d</t>
        </is>
      </c>
      <c r="J59" s="92" t="inlineStr"/>
      <c r="K59" s="92" t="inlineStr"/>
      <c r="L59" s="92" t="inlineStr">
        <is>
          <t>در رجیستری v41</t>
        </is>
      </c>
      <c r="M59" s="92" t="inlineStr">
        <is>
          <t>بسته شواهد v41 ارائه نشد و کدال در این جلسه پاسخ 503 یا قطع اتصال داد؛ متن سند باز نشد</t>
        </is>
      </c>
      <c r="N59" s="92" t="inlineStr">
        <is>
          <t>تایید پایان دوره مالی FY1404 و تاریخ شروع عضویت</t>
        </is>
      </c>
      <c r="O59" s="92" t="inlineStr">
        <is>
          <t>Scope v42؛ Person Flows v42</t>
        </is>
      </c>
    </row>
    <row r="60" ht="40" customHeight="1" s="76">
      <c r="A60" s="92" t="inlineStr">
        <is>
          <t>SRC_F21_FY1404</t>
        </is>
      </c>
      <c r="B60" s="92" t="inlineStr">
        <is>
          <t>جم</t>
        </is>
      </c>
      <c r="C60" s="92" t="inlineStr">
        <is>
          <t>گزارش فعالیت هیئت مدیره FY1404؛ پایان دوره مالی و تصدی</t>
        </is>
      </c>
      <c r="D60" s="92" t="inlineStr">
        <is>
          <t>گزارش فعالیت هیئت مدیره دوره ۱۲ ماهه منتهی به  ۱۴۰۴/۱۲/۲۹</t>
        </is>
      </c>
      <c r="E60" s="92" t="n">
        <v>1564049</v>
      </c>
      <c r="F60" s="92" t="inlineStr">
        <is>
          <t>مقطع 1404/12/29</t>
        </is>
      </c>
      <c r="G60" s="92" t="inlineStr">
        <is>
          <t>1405/04/18</t>
        </is>
      </c>
      <c r="H60" s="92" t="inlineStr"/>
      <c r="I60" s="92" t="inlineStr">
        <is>
          <t>https://www.codal.ir/Reports/Attachment.aspx?LetterSerial=CgOXSpDZ3Vj2G0QQQaQQQHLu6OZQ%3d%3d</t>
        </is>
      </c>
      <c r="J60" s="92" t="inlineStr"/>
      <c r="K60" s="92" t="inlineStr"/>
      <c r="L60" s="92" t="inlineStr">
        <is>
          <t>در رجیستری v41</t>
        </is>
      </c>
      <c r="M60" s="92" t="inlineStr">
        <is>
          <t>بسته شواهد v41 ارائه نشد و کدال در این جلسه پاسخ 503 یا قطع اتصال داد؛ متن سند باز نشد</t>
        </is>
      </c>
      <c r="N60" s="92" t="inlineStr">
        <is>
          <t>تایید پایان دوره مالی FY1404 و تاریخ شروع عضویت</t>
        </is>
      </c>
      <c r="O60" s="92" t="inlineStr">
        <is>
          <t>Scope v42؛ Person Flows v42</t>
        </is>
      </c>
    </row>
    <row r="61" ht="40" customHeight="1" s="76">
      <c r="A61" s="92" t="inlineStr">
        <is>
          <t>SRC_F22_FY1404</t>
        </is>
      </c>
      <c r="B61" s="92" t="inlineStr">
        <is>
          <t>ومعادن</t>
        </is>
      </c>
      <c r="C61" s="92" t="inlineStr">
        <is>
          <t>گزارش فعالیت هیئت مدیره FY1404؛ پایان دوره مالی و تصدی</t>
        </is>
      </c>
      <c r="D61" s="92" t="inlineStr">
        <is>
          <t>گزارش فعالیت هیئت مدیره دوره ۱۲ ماهه منتهی به  ۱۴۰۴/۱۲/۲۹</t>
        </is>
      </c>
      <c r="E61" s="92" t="n">
        <v>1563796</v>
      </c>
      <c r="F61" s="92" t="inlineStr">
        <is>
          <t>مقطع 1404/12/29</t>
        </is>
      </c>
      <c r="G61" s="92" t="inlineStr">
        <is>
          <t>1405/04/17</t>
        </is>
      </c>
      <c r="H61" s="92" t="inlineStr"/>
      <c r="I61" s="92" t="inlineStr">
        <is>
          <t>https://www.codal.ir/Reports/Attachment.aspx?LetterSerial=bRnwYafN0uOG5s7eZOOObOOObCPw%3d%3d</t>
        </is>
      </c>
      <c r="J61" s="92" t="inlineStr"/>
      <c r="K61" s="92" t="inlineStr"/>
      <c r="L61" s="92" t="inlineStr">
        <is>
          <t>در رجیستری v41</t>
        </is>
      </c>
      <c r="M61" s="92" t="inlineStr">
        <is>
          <t>بسته شواهد v41 ارائه نشد و کدال در این جلسه پاسخ 503 یا قطع اتصال داد؛ متن سند باز نشد</t>
        </is>
      </c>
      <c r="N61" s="92" t="inlineStr">
        <is>
          <t>تایید پایان دوره مالی FY1404 و تاریخ شروع عضویت</t>
        </is>
      </c>
      <c r="O61" s="92" t="inlineStr">
        <is>
          <t>Scope v42؛ Person Flows v42</t>
        </is>
      </c>
    </row>
    <row r="62" ht="40" customHeight="1" s="76">
      <c r="A62" s="92" t="inlineStr">
        <is>
          <t>SRC_F23_FY1404</t>
        </is>
      </c>
      <c r="B62" s="92" t="inlineStr">
        <is>
          <t>وامید</t>
        </is>
      </c>
      <c r="C62" s="92" t="inlineStr">
        <is>
          <t>گزارش فعالیت هیئت مدیره FY1404؛ پایان دوره مالی و تصدی</t>
        </is>
      </c>
      <c r="D62" s="92" t="inlineStr">
        <is>
          <t>گزارش فعالیت هیئت مدیره دوره ۱۲ ماهه منتهی به  ۱۴۰۴/۱۰/۳۰</t>
        </is>
      </c>
      <c r="E62" s="92" t="n">
        <v>1542189</v>
      </c>
      <c r="F62" s="92" t="inlineStr">
        <is>
          <t>مقطع 1404/10/30</t>
        </is>
      </c>
      <c r="G62" s="92" t="inlineStr">
        <is>
          <t>1405/04/01</t>
        </is>
      </c>
      <c r="H62" s="92" t="inlineStr"/>
      <c r="I62" s="92" t="inlineStr">
        <is>
          <t>https://www.codal.ir/Reports/Attachment.aspx?LetterSerial=L3pmVuuRgm42MhLxuM1ElQ%3d%3d</t>
        </is>
      </c>
      <c r="J62" s="92" t="inlineStr"/>
      <c r="K62" s="92" t="inlineStr"/>
      <c r="L62" s="92" t="inlineStr">
        <is>
          <t>در رجیستری v41</t>
        </is>
      </c>
      <c r="M62" s="92" t="inlineStr">
        <is>
          <t>بسته شواهد v41 ارائه نشد و کدال در این جلسه پاسخ 503 یا قطع اتصال داد؛ متن سند باز نشد</t>
        </is>
      </c>
      <c r="N62" s="92" t="inlineStr">
        <is>
          <t>تایید پایان دوره مالی FY1404 و تاریخ شروع عضویت</t>
        </is>
      </c>
      <c r="O62" s="92" t="inlineStr">
        <is>
          <t>Scope v42؛ Person Flows v42</t>
        </is>
      </c>
    </row>
    <row r="63" ht="40" customHeight="1" s="76">
      <c r="A63" s="92" t="inlineStr">
        <is>
          <t>SRC_F24_FY1404</t>
        </is>
      </c>
      <c r="B63" s="92" t="inlineStr">
        <is>
          <t>خساپا</t>
        </is>
      </c>
      <c r="C63" s="92" t="inlineStr">
        <is>
          <t>گزارش فعالیت هیئت مدیره FY1404؛ پایان دوره مالی و تصدی</t>
        </is>
      </c>
      <c r="D63" s="92" t="inlineStr">
        <is>
          <t>گزارش فعالیت هیئت مدیره دوره ۱۲ ماهه منتهی به  ۱۴۰۴/۱۲/۲۹</t>
        </is>
      </c>
      <c r="E63" s="92" t="n">
        <v>1573029</v>
      </c>
      <c r="F63" s="92" t="inlineStr">
        <is>
          <t>مقطع 1404/12/29</t>
        </is>
      </c>
      <c r="G63" s="92" t="inlineStr">
        <is>
          <t>۱۴۰۵/۰۴/۳۱</t>
        </is>
      </c>
      <c r="H63" s="92" t="inlineStr"/>
      <c r="I63" s="92" t="inlineStr">
        <is>
          <t>https://www.codal.ir/Reports/Attachment.aspx?LetterSerial=60kT03yuLOHH5WA9uPOCeA%3d%3d</t>
        </is>
      </c>
      <c r="J63" s="92" t="inlineStr"/>
      <c r="K63" s="92" t="inlineStr"/>
      <c r="L63" s="92" t="inlineStr">
        <is>
          <t>در رجیستری v41</t>
        </is>
      </c>
      <c r="M63" s="92" t="inlineStr">
        <is>
          <t>بسته شواهد v41 ارائه نشد و کدال در این جلسه پاسخ 503 یا قطع اتصال داد؛ متن سند باز نشد</t>
        </is>
      </c>
      <c r="N63" s="92" t="inlineStr">
        <is>
          <t>تایید پایان دوره مالی FY1404 و تاریخ شروع عضویت</t>
        </is>
      </c>
      <c r="O63" s="92" t="inlineStr">
        <is>
          <t>Scope v42؛ Person Flows v42</t>
        </is>
      </c>
    </row>
    <row r="64" ht="40" customHeight="1" s="76">
      <c r="A64" s="92" t="inlineStr">
        <is>
          <t>SRC_F25_FY1404</t>
        </is>
      </c>
      <c r="B64" s="92" t="inlineStr">
        <is>
          <t>همراه</t>
        </is>
      </c>
      <c r="C64" s="92" t="inlineStr">
        <is>
          <t>گزارش فعالیت هیئت مدیره FY1404؛ پایان دوره مالی و تصدی</t>
        </is>
      </c>
      <c r="D64" s="92" t="inlineStr">
        <is>
          <t>گزارش فعالیت هیئت مدیره دوره ۱۲ ماهه منتهی به  ۱۴۰۴/۱۲/۲۹</t>
        </is>
      </c>
      <c r="E64" s="92" t="n">
        <v>1546925</v>
      </c>
      <c r="F64" s="92" t="inlineStr">
        <is>
          <t>مقطع 1404/12/29</t>
        </is>
      </c>
      <c r="G64" s="92" t="inlineStr">
        <is>
          <t>1405/03/17</t>
        </is>
      </c>
      <c r="H64" s="92" t="inlineStr"/>
      <c r="I64" s="92" t="inlineStr">
        <is>
          <t>https://www.codal.ir/Reports/Attachment.aspx?LetterSerial=Ln6R9zsWXNJqeuz97OOObOOOaACw%3d%3d</t>
        </is>
      </c>
      <c r="J64" s="92" t="inlineStr"/>
      <c r="K64" s="92" t="inlineStr"/>
      <c r="L64" s="92" t="inlineStr">
        <is>
          <t>در رجیستری v41</t>
        </is>
      </c>
      <c r="M64" s="92" t="inlineStr">
        <is>
          <t>بسته شواهد v41 ارائه نشد و کدال در این جلسه پاسخ 503 یا قطع اتصال داد؛ متن سند باز نشد</t>
        </is>
      </c>
      <c r="N64" s="92" t="inlineStr">
        <is>
          <t>تایید پایان دوره مالی FY1404 و تاریخ شروع عضویت</t>
        </is>
      </c>
      <c r="O64" s="92" t="inlineStr">
        <is>
          <t>Scope v42؛ Person Flows v42</t>
        </is>
      </c>
    </row>
    <row r="65" ht="40" customHeight="1" s="76">
      <c r="A65" s="92" t="inlineStr">
        <is>
          <t>SRC_F26_FY1404</t>
        </is>
      </c>
      <c r="B65" s="92" t="inlineStr">
        <is>
          <t>وبملت</t>
        </is>
      </c>
      <c r="C65" s="92" t="inlineStr">
        <is>
          <t>گزارش فعالیت هیئت مدیره FY1404؛ پایان دوره مالی و تصدی</t>
        </is>
      </c>
      <c r="D65" s="92" t="inlineStr">
        <is>
          <t>گزارش فعالیت هیئت مدیره دوره ۱۲ ماهه منتهی به  ۱۴۰۴/۱۲/۲۹</t>
        </is>
      </c>
      <c r="E65" s="92" t="n">
        <v>1572964</v>
      </c>
      <c r="F65" s="92" t="inlineStr">
        <is>
          <t>مقطع 1404/12/29</t>
        </is>
      </c>
      <c r="G65" s="92" t="inlineStr">
        <is>
          <t>1405/04/31</t>
        </is>
      </c>
      <c r="H65" s="92" t="inlineStr"/>
      <c r="I65" s="92" t="inlineStr">
        <is>
          <t>https://www.codal.ir/Reports/Attachment.aspx?LetterSerial=THFdwqreiTgzbTNvC0gJkg%3d%3d</t>
        </is>
      </c>
      <c r="J65" s="92" t="inlineStr"/>
      <c r="K65" s="92" t="inlineStr"/>
      <c r="L65" s="92" t="inlineStr">
        <is>
          <t>در رجیستری v41</t>
        </is>
      </c>
      <c r="M65" s="92" t="inlineStr">
        <is>
          <t>بسته شواهد v41 ارائه نشد و کدال در این جلسه پاسخ 503 یا قطع اتصال داد؛ متن سند باز نشد</t>
        </is>
      </c>
      <c r="N65" s="92" t="inlineStr">
        <is>
          <t>تایید پایان دوره مالی FY1404 و تاریخ شروع عضویت</t>
        </is>
      </c>
      <c r="O65" s="92" t="inlineStr">
        <is>
          <t>Scope v42؛ Person Flows v42</t>
        </is>
      </c>
    </row>
    <row r="66" ht="40" customHeight="1" s="76">
      <c r="A66" s="92" t="inlineStr">
        <is>
          <t>SRC_F27_FY1404</t>
        </is>
      </c>
      <c r="B66" s="92" t="inlineStr">
        <is>
          <t>وبصادر</t>
        </is>
      </c>
      <c r="C66" s="92" t="inlineStr">
        <is>
          <t>گزارش فعالیت هیئت مدیره FY1404؛ پایان دوره مالی و تصدی</t>
        </is>
      </c>
      <c r="D66" s="92" t="inlineStr">
        <is>
          <t>گزارش فعالیت هیئت مدیره دوره ۱۲ ماهه منتهی به  ۱۴۰۴/۱۲/۲۹</t>
        </is>
      </c>
      <c r="E66" s="92" t="n">
        <v>1573026</v>
      </c>
      <c r="F66" s="92" t="inlineStr">
        <is>
          <t>مقطع 1404/12/29</t>
        </is>
      </c>
      <c r="G66" s="92" t="inlineStr">
        <is>
          <t>1405/04/31</t>
        </is>
      </c>
      <c r="H66" s="92" t="inlineStr"/>
      <c r="I66" s="92" t="inlineStr">
        <is>
          <t>https://www.codal.ir/Reports/Attachment.aspx?LetterSerial=p0cfFj1rDsXiFZsu35tCWw%3d%3d</t>
        </is>
      </c>
      <c r="J66" s="92" t="inlineStr"/>
      <c r="K66" s="92" t="inlineStr"/>
      <c r="L66" s="92" t="inlineStr">
        <is>
          <t>در رجیستری v41</t>
        </is>
      </c>
      <c r="M66" s="92" t="inlineStr">
        <is>
          <t>بسته شواهد v41 ارائه نشد و کدال در این جلسه پاسخ 503 یا قطع اتصال داد؛ متن سند باز نشد</t>
        </is>
      </c>
      <c r="N66" s="92" t="inlineStr">
        <is>
          <t>تایید پایان دوره مالی FY1404 و تاریخ شروع عضویت</t>
        </is>
      </c>
      <c r="O66" s="92" t="inlineStr">
        <is>
          <t>Scope v42؛ Person Flows v42</t>
        </is>
      </c>
    </row>
    <row r="67" ht="40" customHeight="1" s="76">
      <c r="A67" s="93" t="inlineStr">
        <is>
          <t>SRC_F28_FY1404</t>
        </is>
      </c>
      <c r="B67" s="93" t="inlineStr">
        <is>
          <t>وپاسار</t>
        </is>
      </c>
      <c r="C67" s="93" t="inlineStr">
        <is>
          <t>گزارش فعالیت هیئت مدیره FY1404؛ پایان دوره مالی و تصدی</t>
        </is>
      </c>
      <c r="D67" s="93" t="inlineStr">
        <is>
          <t>ندارد</t>
        </is>
      </c>
      <c r="E67" s="93" t="inlineStr"/>
      <c r="F67" s="93" t="inlineStr">
        <is>
          <t>مقطع 1404/12/29</t>
        </is>
      </c>
      <c r="G67" s="93" t="inlineStr"/>
      <c r="H67" s="93" t="inlineStr"/>
      <c r="I67" s="93" t="inlineStr"/>
      <c r="J67" s="93" t="inlineStr"/>
      <c r="K67" s="93" t="inlineStr"/>
      <c r="L67" s="93" t="inlineStr">
        <is>
          <t>بدون ردیابی در رجیستری</t>
        </is>
      </c>
      <c r="M67" s="93" t="inlineStr">
        <is>
          <t>بسته شواهد v41 ارائه نشد و کدال در این جلسه پاسخ 503 یا قطع اتصال داد؛ متن سند باز نشد</t>
        </is>
      </c>
      <c r="N67" s="93" t="inlineStr">
        <is>
          <t>تایید پایان دوره مالی FY1404 و تاریخ شروع عضویت</t>
        </is>
      </c>
      <c r="O67" s="93" t="inlineStr">
        <is>
          <t>Scope v42؛ Person Flows v42</t>
        </is>
      </c>
    </row>
    <row r="68" ht="40" customHeight="1" s="76">
      <c r="A68" s="92" t="inlineStr">
        <is>
          <t>SRC_F29_FY1404</t>
        </is>
      </c>
      <c r="B68" s="92" t="inlineStr">
        <is>
          <t>حکشتی</t>
        </is>
      </c>
      <c r="C68" s="92" t="inlineStr">
        <is>
          <t>گزارش فعالیت هیئت مدیره FY1404؛ پایان دوره مالی و تصدی</t>
        </is>
      </c>
      <c r="D68" s="92" t="inlineStr">
        <is>
          <t>گزارش فعالیت هیئت مدیره دوره ۱۲ ماهه منتهی به  ۱۴۰۴/۰۳/۳۱</t>
        </is>
      </c>
      <c r="E68" s="92" t="n">
        <v>1413901</v>
      </c>
      <c r="F68" s="92" t="inlineStr">
        <is>
          <t>مقطع 1404/03/31</t>
        </is>
      </c>
      <c r="G68" s="92" t="inlineStr">
        <is>
          <t>1404/07/09</t>
        </is>
      </c>
      <c r="H68" s="92" t="inlineStr"/>
      <c r="I68" s="92" t="inlineStr">
        <is>
          <t>https://www.codal.ir/Reports/Attachment.aspx?LetterSerial=3QQQaQQQITPSQQQaQQQ3dbYPQY9zB0bgKA%3d%3d</t>
        </is>
      </c>
      <c r="J68" s="92" t="inlineStr"/>
      <c r="K68" s="92" t="inlineStr"/>
      <c r="L68" s="92" t="inlineStr">
        <is>
          <t>در رجیستری v41</t>
        </is>
      </c>
      <c r="M68" s="92" t="inlineStr">
        <is>
          <t>بسته شواهد v41 ارائه نشد و کدال در این جلسه پاسخ 503 یا قطع اتصال داد؛ متن سند باز نشد</t>
        </is>
      </c>
      <c r="N68" s="92" t="inlineStr">
        <is>
          <t>تایید پایان دوره مالی FY1404 و تاریخ شروع عضویت</t>
        </is>
      </c>
      <c r="O68" s="92" t="inlineStr">
        <is>
          <t>Scope v42؛ Person Flows v42</t>
        </is>
      </c>
    </row>
    <row r="69" ht="40" customHeight="1" s="76">
      <c r="A69" s="92" t="inlineStr">
        <is>
          <t>SRC_F30_FY1404</t>
        </is>
      </c>
      <c r="B69" s="92" t="inlineStr">
        <is>
          <t>شپدیس</t>
        </is>
      </c>
      <c r="C69" s="92" t="inlineStr">
        <is>
          <t>گزارش فعالیت هیئت مدیره FY1404؛ پایان دوره مالی و تصدی</t>
        </is>
      </c>
      <c r="D69" s="92" t="inlineStr">
        <is>
          <t>گزارش فعالیت هیئت مدیره دوره ۱۲ ماهه منتهی به  ۱۴۰۴/۰۶/۳۱</t>
        </is>
      </c>
      <c r="E69" s="92" t="n">
        <v>1454478</v>
      </c>
      <c r="F69" s="92" t="inlineStr">
        <is>
          <t>مقطع 1404/06/31</t>
        </is>
      </c>
      <c r="G69" s="92" t="inlineStr">
        <is>
          <t>1404/09/19</t>
        </is>
      </c>
      <c r="H69" s="92" t="inlineStr"/>
      <c r="I69" s="92" t="inlineStr">
        <is>
          <t>https://www.codal.ir/Reports/Attachment.aspx?LetterSerial=t1tQQQaQQQcNvwpPS9GfIrOV6OOObOOOiQ%3d%3d</t>
        </is>
      </c>
      <c r="J69" s="92" t="inlineStr"/>
      <c r="K69" s="92" t="inlineStr"/>
      <c r="L69" s="92" t="inlineStr">
        <is>
          <t>در رجیستری v41</t>
        </is>
      </c>
      <c r="M69" s="92" t="inlineStr">
        <is>
          <t>بسته شواهد v41 ارائه نشد و کدال در این جلسه پاسخ 503 یا قطع اتصال داد؛ متن سند باز نشد</t>
        </is>
      </c>
      <c r="N69" s="92" t="inlineStr">
        <is>
          <t>تایید پایان دوره مالی FY1404 و تاریخ شروع عضویت</t>
        </is>
      </c>
      <c r="O69" s="92" t="inlineStr">
        <is>
          <t>Scope v42؛ Person Flows v42</t>
        </is>
      </c>
    </row>
    <row r="70" ht="44" customHeight="1" s="76">
      <c r="A70" s="93" t="inlineStr">
        <is>
          <t>V39S01</t>
        </is>
      </c>
      <c r="B70" s="93" t="inlineStr">
        <is>
          <t>وتجارت</t>
        </is>
      </c>
      <c r="C70" s="93" t="inlineStr">
        <is>
          <t>سرنخ v39 بدون شماره ردیابی</t>
        </is>
      </c>
      <c r="D70" s="93" t="inlineStr">
        <is>
          <t>صفحه فارسی هیئت مدیره بانک تجارت</t>
        </is>
      </c>
      <c r="E70" s="93" t="inlineStr"/>
      <c r="F70" s="93" t="inlineStr">
        <is>
          <t>بدون تاریخ موثر</t>
        </is>
      </c>
      <c r="G70" s="93" t="inlineStr"/>
      <c r="H70" s="93" t="inlineStr"/>
      <c r="I70" s="93" t="inlineStr">
        <is>
          <t>https://www.tejaratbank.ir/web_directory/1679-Board-of-Directors-and-Director.html</t>
        </is>
      </c>
      <c r="J70" s="93" t="inlineStr"/>
      <c r="K70" s="93" t="inlineStr"/>
      <c r="L70" s="93" t="inlineStr">
        <is>
          <t>فقط در Sources v39</t>
        </is>
      </c>
      <c r="M70" s="93" t="inlineStr">
        <is>
          <t>بسته شواهد v41 ارائه نشد و کدال در این جلسه پاسخ 503 یا قطع اتصال داد؛ متن سند باز نشد</t>
        </is>
      </c>
      <c r="N70" s="93" t="inlineStr">
        <is>
          <t>چهار نام درج شده و نام شریفیان در فهرست دیده نمی شود.</t>
        </is>
      </c>
      <c r="O70" s="93" t="inlineStr">
        <is>
          <t>Five Cases v42</t>
        </is>
      </c>
    </row>
    <row r="71" ht="44" customHeight="1" s="76">
      <c r="A71" s="93" t="inlineStr">
        <is>
          <t>V39S02</t>
        </is>
      </c>
      <c r="B71" s="93" t="inlineStr">
        <is>
          <t>وتجارت</t>
        </is>
      </c>
      <c r="C71" s="93" t="inlineStr">
        <is>
          <t>سرنخ v39 بدون شماره ردیابی</t>
        </is>
      </c>
      <c r="D71" s="93" t="inlineStr">
        <is>
          <t>صفحه انگلیسی هیئت مدیره بانک تجارت</t>
        </is>
      </c>
      <c r="E71" s="93" t="inlineStr"/>
      <c r="F71" s="93" t="inlineStr">
        <is>
          <t>بدون تاریخ موثر</t>
        </is>
      </c>
      <c r="G71" s="93" t="inlineStr"/>
      <c r="H71" s="93" t="inlineStr"/>
      <c r="I71" s="93" t="inlineStr">
        <is>
          <t>https://www.tejaratbank.ir/general_content/1520654-Board-Of-Directors.html</t>
        </is>
      </c>
      <c r="J71" s="93" t="inlineStr"/>
      <c r="K71" s="93" t="inlineStr"/>
      <c r="L71" s="93" t="inlineStr">
        <is>
          <t>فقط در Sources v39</t>
        </is>
      </c>
      <c r="M71" s="93" t="inlineStr">
        <is>
          <t>بسته شواهد v41 ارائه نشد و کدال در این جلسه پاسخ 503 یا قطع اتصال داد؛ متن سند باز نشد</t>
        </is>
      </c>
      <c r="N71" s="93" t="inlineStr">
        <is>
          <t>پنج نام دارد و حمیدرضا شریفیان را نایب رئیس معرفی می کند.</t>
        </is>
      </c>
      <c r="O71" s="93" t="inlineStr">
        <is>
          <t>Five Cases v42</t>
        </is>
      </c>
    </row>
    <row r="72" ht="44" customHeight="1" s="76">
      <c r="A72" s="93" t="inlineStr">
        <is>
          <t>V39S03</t>
        </is>
      </c>
      <c r="B72" s="93" t="inlineStr">
        <is>
          <t>وتجارت</t>
        </is>
      </c>
      <c r="C72" s="93" t="inlineStr">
        <is>
          <t>سرنخ v39 بدون شماره ردیابی</t>
        </is>
      </c>
      <c r="D72" s="93" t="inlineStr">
        <is>
          <t>خبر انتصاب رئیس و نایب رئیس بانک تجارت</t>
        </is>
      </c>
      <c r="E72" s="93" t="inlineStr"/>
      <c r="F72" s="93" t="inlineStr">
        <is>
          <t>۱۴۰۱/۱۲/۲۹</t>
        </is>
      </c>
      <c r="G72" s="93" t="inlineStr"/>
      <c r="H72" s="93" t="inlineStr"/>
      <c r="I72" s="93" t="inlineStr">
        <is>
          <t>https://www.tejaratbank.ir/news/2061976-tejaratbank.html</t>
        </is>
      </c>
      <c r="J72" s="93" t="inlineStr"/>
      <c r="K72" s="93" t="inlineStr"/>
      <c r="L72" s="93" t="inlineStr">
        <is>
          <t>فقط در Sources v39</t>
        </is>
      </c>
      <c r="M72" s="93" t="inlineStr">
        <is>
          <t>بسته شواهد v41 ارائه نشد و کدال در این جلسه پاسخ 503 یا قطع اتصال داد؛ متن سند باز نشد</t>
        </is>
      </c>
      <c r="N72" s="93" t="inlineStr">
        <is>
          <t>انتخاب ترک تبریزی و شریفیان به ریاست و نایب رئیسی را گزارش می کند.</t>
        </is>
      </c>
      <c r="O72" s="93" t="inlineStr">
        <is>
          <t>Five Cases v42</t>
        </is>
      </c>
    </row>
    <row r="73" ht="44" customHeight="1" s="76">
      <c r="A73" s="93" t="inlineStr">
        <is>
          <t>V39S05</t>
        </is>
      </c>
      <c r="B73" s="93" t="inlineStr">
        <is>
          <t>حکشتی</t>
        </is>
      </c>
      <c r="C73" s="93" t="inlineStr">
        <is>
          <t>سرنخ v39 بدون شماره ردیابی</t>
        </is>
      </c>
      <c r="D73" s="93" t="inlineStr">
        <is>
          <t>معرفی کشتیرانی جمهوری اسلامی ایران در فهرست اعضای انجمن</t>
        </is>
      </c>
      <c r="E73" s="93" t="inlineStr"/>
      <c r="F73" s="93" t="inlineStr">
        <is>
          <t>۱۴۰۳/۱۰/۱۷</t>
        </is>
      </c>
      <c r="G73" s="93" t="inlineStr"/>
      <c r="H73" s="93" t="inlineStr"/>
      <c r="I73" s="93" t="inlineStr">
        <is>
          <t>https://saoi.ir/کشتیرانی-جمهوری-اسلامی-ایران/</t>
        </is>
      </c>
      <c r="J73" s="93" t="inlineStr"/>
      <c r="K73" s="93" t="inlineStr"/>
      <c r="L73" s="93" t="inlineStr">
        <is>
          <t>فقط در Sources v39</t>
        </is>
      </c>
      <c r="M73" s="93" t="inlineStr">
        <is>
          <t>بسته شواهد v41 ارائه نشد و کدال در این جلسه پاسخ 503 یا قطع اتصال داد؛ متن سند باز نشد</t>
        </is>
      </c>
      <c r="N73" s="93" t="inlineStr">
        <is>
          <t>مدیرعامل محمدرضا مدرس خیابانی و رئیس هیئت مدیره علی مسیبی بهروز درج شده اند.</t>
        </is>
      </c>
      <c r="O73" s="93" t="inlineStr">
        <is>
          <t>Five Cases v42</t>
        </is>
      </c>
    </row>
    <row r="74" ht="44" customHeight="1" s="76">
      <c r="A74" s="93" t="inlineStr">
        <is>
          <t>V39S09</t>
        </is>
      </c>
      <c r="B74" s="93" t="inlineStr"/>
      <c r="C74" s="93" t="inlineStr">
        <is>
          <t>سرنخ v39 بدون شماره ردیابی</t>
        </is>
      </c>
      <c r="D74" s="93" t="inlineStr">
        <is>
          <t>گزارش آزمون دسترسی مستقیم</t>
        </is>
      </c>
      <c r="E74" s="93" t="inlineStr"/>
      <c r="F74" s="93" t="inlineStr">
        <is>
          <t>زمان همین بررسی</t>
        </is>
      </c>
      <c r="G74" s="93" t="inlineStr"/>
      <c r="H74" s="93" t="inlineStr"/>
      <c r="I74" s="93" t="inlineStr"/>
      <c r="J74" s="93" t="inlineStr"/>
      <c r="K74" s="93" t="inlineStr"/>
      <c r="L74" s="93" t="inlineStr">
        <is>
          <t>فقط در Sources v39</t>
        </is>
      </c>
      <c r="M74" s="93" t="inlineStr">
        <is>
          <t>بسته شواهد v41 ارائه نشد و کدال در این جلسه پاسخ 503 یا قطع اتصال داد؛ متن سند باز نشد</t>
        </is>
      </c>
      <c r="N74" s="93" t="inlineStr">
        <is>
          <t>متن کامل اسناد جدید کدال از این مسیر دریافت نشد.</t>
        </is>
      </c>
      <c r="O74" s="93" t="inlineStr">
        <is>
          <t>Five Cases v42</t>
        </is>
      </c>
    </row>
    <row r="75" ht="44" customHeight="1" s="76">
      <c r="A75" s="93" t="inlineStr">
        <is>
          <t>V39S10</t>
        </is>
      </c>
      <c r="B75" s="93" t="inlineStr"/>
      <c r="C75" s="93" t="inlineStr">
        <is>
          <t>سرنخ v39 بدون شماره ردیابی</t>
        </is>
      </c>
      <c r="D75" s="93" t="inlineStr">
        <is>
          <t>فایل مبنا و بازسازی سطح کرسی v38</t>
        </is>
      </c>
      <c r="E75" s="93" t="inlineStr"/>
      <c r="F75" s="93" t="inlineStr">
        <is>
          <t>فایل تحویلی کاربر</t>
        </is>
      </c>
      <c r="G75" s="93" t="inlineStr"/>
      <c r="H75" s="93" t="inlineStr"/>
      <c r="I75" s="93" t="inlineStr"/>
      <c r="J75" s="93" t="inlineStr"/>
      <c r="K75" s="93" t="inlineStr"/>
      <c r="L75" s="93" t="inlineStr">
        <is>
          <t>فقط در Sources v39</t>
        </is>
      </c>
      <c r="M75" s="93" t="inlineStr">
        <is>
          <t>بسته شواهد v41 ارائه نشد و کدال در این جلسه پاسخ 503 یا قطع اتصال داد؛ متن سند باز نشد</t>
        </is>
      </c>
      <c r="N75" s="93" t="inlineStr">
        <is>
          <t>مبنای محاسبه CR1A ستون V و برای هشت شرکت نام رئیس از برگه بازسازی سطح کرسی استخراج شد.</t>
        </is>
      </c>
      <c r="O75" s="93" t="inlineStr">
        <is>
          <t>Five Cases v42</t>
        </is>
      </c>
    </row>
  </sheetData>
  <autoFilter ref="A3:O75"/>
  <mergeCells count="2">
    <mergeCell ref="A1:O1"/>
    <mergeCell ref="A2:O2"/>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20"/>
  <sheetViews>
    <sheetView rightToLeft="1" workbookViewId="0">
      <pane xSplit="1" ySplit="3" topLeftCell="B4" activePane="bottomRight" state="frozen"/>
      <selection pane="topRight"/>
      <selection pane="bottomLeft"/>
      <selection pane="bottomRight" activeCell="A1" sqref="A1"/>
    </sheetView>
  </sheetViews>
  <sheetFormatPr baseColWidth="8" defaultRowHeight="15"/>
  <cols>
    <col width="16" customWidth="1" style="76" min="1" max="1"/>
    <col width="28" customWidth="1" style="76" min="2" max="2"/>
    <col width="24" customWidth="1" style="76" min="3" max="3"/>
    <col width="60" customWidth="1" style="76" min="4" max="4"/>
    <col width="10" customWidth="1" style="76" min="5" max="5"/>
    <col width="28" customWidth="1" style="76" min="6" max="6"/>
    <col width="70" customWidth="1" style="76" min="7" max="7"/>
    <col width="22" customWidth="1" style="76" min="8" max="8"/>
    <col width="22" customWidth="1" style="76" min="9" max="9"/>
  </cols>
  <sheetData>
    <row r="1" ht="26" customHeight="1" s="76">
      <c r="A1" s="89" t="inlineStr">
        <is>
          <t>فرهنگ داده v42: تعریف سنجه ها، قواعد تطبیق و دلیل تفاوت معیار فردی و کرسی</t>
        </is>
      </c>
    </row>
    <row r="2" ht="44" customHeight="1" s="76">
      <c r="A2" s="90" t="inlineStr">
        <is>
          <t>کدهای قبلی بدون تغییر تعریف نگه داشته شده اند؛ تعریف واقعی آنها از فرمول ها و یادداشت های Turnover نهایی خوانده و با بازتولید هشت شرکت (80 مقدار از 80) تایید شد. مفاهیم جدید کد مکمل غیرمتداخل دارند. هیچ جهت نظری فرض نشده است.</t>
        </is>
      </c>
    </row>
    <row r="3" ht="42" customHeight="1" s="76">
      <c r="A3" s="91" t="inlineStr">
        <is>
          <t>کد یا قاعده</t>
        </is>
      </c>
      <c r="B3" s="91" t="inlineStr">
        <is>
          <t>نام</t>
        </is>
      </c>
      <c r="C3" s="91" t="inlineStr">
        <is>
          <t>وضعیت</t>
        </is>
      </c>
      <c r="D3" s="91" t="inlineStr">
        <is>
          <t>تعریف</t>
        </is>
      </c>
      <c r="E3" s="91" t="inlineStr">
        <is>
          <t>واحد</t>
        </is>
      </c>
      <c r="F3" s="91" t="inlineStr">
        <is>
          <t>منبع داده</t>
        </is>
      </c>
      <c r="G3" s="91" t="inlineStr">
        <is>
          <t>محدودیت و تفاوت با معیار دیگر</t>
        </is>
      </c>
      <c r="H3" s="91" t="inlineStr">
        <is>
          <t>خانواده</t>
        </is>
      </c>
      <c r="I3" s="91" t="inlineStr">
        <is>
          <t>توصیفی یا نامزد اعتبارسنجی</t>
        </is>
      </c>
    </row>
    <row r="4" ht="70" customHeight="1" s="76">
      <c r="A4" s="92" t="inlineStr">
        <is>
          <t>REF05</t>
        </is>
      </c>
      <c r="B4" s="92" t="inlineStr">
        <is>
          <t>گردش فردی مبتنی بر کرسی</t>
        </is>
      </c>
      <c r="C4" s="92" t="inlineStr">
        <is>
          <t>کد قبلی؛ تعریف حفظ شد</t>
        </is>
      </c>
      <c r="D4" s="92" t="inlineStr">
        <is>
          <t>صورت: تعداد کرسی های قابل مقایسه که شخص نامبرده در دو مقطع فرق دارد. مخرج: تعداد کرسی های قابل مقایسه (کرسی با نماینده معلوم در مبنا). برای عضو حقیقی مستقیم: افراد مبنا که در پایان نیستند تقسیم بر افراد مبنا.</t>
        </is>
      </c>
      <c r="E4" s="92" t="inlineStr">
        <is>
          <t>نسبت</t>
        </is>
      </c>
      <c r="F4" s="92" t="inlineStr">
        <is>
          <t>Turnover نهایی ستون G و H؛ بازتولید در Measures v42</t>
        </is>
      </c>
      <c r="G4" s="92" t="inlineStr">
        <is>
          <t>در جابجایی همان افراد بین کرسی ها با نرخ خروج افراد یکتا فرق دارد: جم 2 از 5 در برابر 1 از 5 و خساپا 3 از 5 در برابر 2 از 5. این تفاوت خطا نیست.</t>
        </is>
      </c>
      <c r="H4" s="92" t="inlineStr">
        <is>
          <t>خروج و ورود</t>
        </is>
      </c>
      <c r="I4" s="92" t="inlineStr">
        <is>
          <t>توصیفی</t>
        </is>
      </c>
    </row>
    <row r="5" ht="70" customHeight="1" s="76">
      <c r="A5" s="92" t="inlineStr">
        <is>
          <t>REF08</t>
        </is>
      </c>
      <c r="B5" s="92" t="inlineStr">
        <is>
          <t>تغییر نماینده با شخص حقوقی ثابت</t>
        </is>
      </c>
      <c r="C5" s="92" t="inlineStr">
        <is>
          <t>کد قبلی؛ تعریف حفظ شد</t>
        </is>
      </c>
      <c r="D5" s="92" t="inlineStr">
        <is>
          <t>صورت: کرسی های با همان شخص حقوقی که نماینده فرق دارد. مخرج: کرسی های با همان شخص حقوقی و نماینده معلوم در هر دو مقطع. کرسی متعلق به شخص حقوقی جایگزین شده وارد مخرج نمی شود.</t>
        </is>
      </c>
      <c r="E5" s="92" t="inlineStr">
        <is>
          <t>نسبت</t>
        </is>
      </c>
      <c r="F5" s="92" t="inlineStr">
        <is>
          <t>Turnover نهایی ستون J و K</t>
        </is>
      </c>
      <c r="G5" s="92" t="inlineStr">
        <is>
          <t>اگر نرخ فقط برای کرسی های قابل مشاهده باشد نرخ کامل همه کرسی های ثابت نیست؛ سه شمارش جدا در Flow Summary v42: کل ثابت، با نماینده معلوم در هر دو مقطع، با نماینده نامشخص.</t>
        </is>
      </c>
      <c r="H5" s="92" t="inlineStr">
        <is>
          <t>نمایندگی</t>
        </is>
      </c>
      <c r="I5" s="92" t="inlineStr">
        <is>
          <t>توصیفی</t>
        </is>
      </c>
    </row>
    <row r="6" ht="70" customHeight="1" s="76">
      <c r="A6" s="92" t="inlineStr">
        <is>
          <t>ROB_LEGAL</t>
        </is>
      </c>
      <c r="B6" s="92" t="inlineStr">
        <is>
          <t>تغییر شخص حقوقی</t>
        </is>
      </c>
      <c r="C6" s="92" t="inlineStr">
        <is>
          <t>کد قبلی؛ تعریف حفظ شد</t>
        </is>
      </c>
      <c r="D6" s="92" t="inlineStr">
        <is>
          <t>صورت: کرسی هایی که شخص حقوقی دارنده فرق دارد. مخرج: کرسی های موجود در هر دو مقطع.</t>
        </is>
      </c>
      <c r="E6" s="92" t="inlineStr">
        <is>
          <t>نسبت</t>
        </is>
      </c>
      <c r="F6" s="92" t="inlineStr">
        <is>
          <t>Turnover نهایی ستون M و N</t>
        </is>
      </c>
      <c r="G6" s="92" t="inlineStr">
        <is>
          <t>تغییر نام با شناسه ثابت تغییر دارنده نیست؛ شناسه ملی اشخاص حقوقی در فایل نیست و مبنا نام است.</t>
        </is>
      </c>
      <c r="H6" s="92" t="inlineStr">
        <is>
          <t>نمایندگی</t>
        </is>
      </c>
      <c r="I6" s="92" t="inlineStr">
        <is>
          <t>توصیفی</t>
        </is>
      </c>
    </row>
    <row r="7" ht="70" customHeight="1" s="76">
      <c r="A7" s="92" t="inlineStr">
        <is>
          <t>ROB_NEW</t>
        </is>
      </c>
      <c r="B7" s="92" t="inlineStr">
        <is>
          <t>سهم اعضای جدید</t>
        </is>
      </c>
      <c r="C7" s="92" t="inlineStr">
        <is>
          <t>کد قبلی؛ تعریف حفظ شد</t>
        </is>
      </c>
      <c r="D7" s="92" t="inlineStr">
        <is>
          <t>صورت: افراد پایان که در مبنا نبودند. مخرج: افراد پایان. عضو جدید یعنی جدید نسبت به مبنا، نه اولین عضویت در تاریخ شرکت.</t>
        </is>
      </c>
      <c r="E7" s="92" t="inlineStr">
        <is>
          <t>نسبت</t>
        </is>
      </c>
      <c r="F7" s="92" t="inlineStr">
        <is>
          <t>Turnover نهایی ستون P و Q</t>
        </is>
      </c>
      <c r="G7" s="92" t="inlineStr">
        <is>
          <t>تعداد افراد جدید ممکن است از تعداد تغییرات کرسی کمتر باشد؛ شرط عمومی کمتر نبودن اعمال نشد.</t>
        </is>
      </c>
      <c r="H7" s="92" t="inlineStr">
        <is>
          <t>خروج و ورود</t>
        </is>
      </c>
      <c r="I7" s="92" t="inlineStr">
        <is>
          <t>توصیفی</t>
        </is>
      </c>
    </row>
    <row r="8" ht="70" customHeight="1" s="76">
      <c r="A8" s="92" t="inlineStr">
        <is>
          <t>ROB_STABILITY</t>
        </is>
      </c>
      <c r="B8" s="92" t="inlineStr">
        <is>
          <t>ثبات کرسی با همان شخص</t>
        </is>
      </c>
      <c r="C8" s="92" t="inlineStr">
        <is>
          <t>کد قبلی؛ تعریف حفظ شد</t>
        </is>
      </c>
      <c r="D8" s="92" t="inlineStr">
        <is>
          <t>صورت: کرسی های قابل مقایسه با همان شخص. مخرج: کرسی های قابل مقایسه (برابر مخرج REF05).</t>
        </is>
      </c>
      <c r="E8" s="92" t="inlineStr">
        <is>
          <t>نسبت</t>
        </is>
      </c>
      <c r="F8" s="92" t="inlineStr">
        <is>
          <t>Turnover نهایی ستون S و T</t>
        </is>
      </c>
      <c r="G8" s="92" t="inlineStr">
        <is>
          <t>ثبات کرسی با نرخ ماندگاری افراد یکتا یکی نیست: جم 3 از 5 در برابر 4 از 5.</t>
        </is>
      </c>
      <c r="H8" s="92" t="inlineStr">
        <is>
          <t>خروج و ورود</t>
        </is>
      </c>
      <c r="I8" s="92" t="inlineStr">
        <is>
          <t>توصیفی</t>
        </is>
      </c>
    </row>
    <row r="9" ht="70" customHeight="1" s="76">
      <c r="A9" s="92" t="inlineStr">
        <is>
          <t>CR1A</t>
        </is>
      </c>
      <c r="B9" s="92" t="inlineStr">
        <is>
          <t>تغییر رئیس بین دو مقطع</t>
        </is>
      </c>
      <c r="C9" s="92" t="inlineStr">
        <is>
          <t>کد قبلی؛ تعریف حفظ شد</t>
        </is>
      </c>
      <c r="D9" s="92" t="inlineStr">
        <is>
          <t>صورت: 1 اگر هویت رئیس هیئت مدیره در دو مقطع فرق دارد، 0 اگر برابر؛ مبتنی بر تفاوت هویت در دو انتها.</t>
        </is>
      </c>
      <c r="E9" s="92" t="inlineStr">
        <is>
          <t>دودویی</t>
        </is>
      </c>
      <c r="F9" s="92" t="inlineStr">
        <is>
          <t>Turnover نهایی ستون V؛ CR1A v39</t>
        </is>
      </c>
      <c r="G9" s="92" t="inlineStr">
        <is>
          <t>رئیس ثابت در دو انتها نبود تغییر میانی را اثبات نمی کند؛ تعداد رویدادهای مستند تغییر رئیس داخل دوره جدا در Turnover Events v42 است و تا کامل شدن زنجیره قطعی نیست. نام رئیس با نایب رئیس یا مدیرعامل یکی گرفته نشد.</t>
        </is>
      </c>
      <c r="H9" s="92" t="inlineStr">
        <is>
          <t>رهبری</t>
        </is>
      </c>
      <c r="I9" s="92" t="inlineStr">
        <is>
          <t>توصیفی</t>
        </is>
      </c>
    </row>
    <row r="10" ht="70" customHeight="1" s="76">
      <c r="A10" s="92" t="inlineStr">
        <is>
          <t>UPX1</t>
        </is>
      </c>
      <c r="B10" s="92" t="inlineStr">
        <is>
          <t>نرخ خروج افراد یکتا</t>
        </is>
      </c>
      <c r="C10" s="92" t="inlineStr">
        <is>
          <t>جدید؛ کد غیرمتداخل</t>
        </is>
      </c>
      <c r="D10" s="92" t="inlineStr">
        <is>
          <t>صورت: تعداد افراد حقیقی یکتا که در فهرست کامل مبنا بودند و در فهرست کامل پایان نیستند. مخرج: تعداد اعضای فعال مبنا.</t>
        </is>
      </c>
      <c r="E10" s="92" t="inlineStr">
        <is>
          <t>نسبت</t>
        </is>
      </c>
      <c r="F10" s="92" t="inlineStr">
        <is>
          <t>Snapshot Members v42</t>
        </is>
      </c>
      <c r="G10" s="92" t="inlineStr">
        <is>
          <t>فقط با دو فهرست کامل و بدون نماینده نامشخص؛ جای REF05 نشسته نیست. با UPR1 مکمل است و دو امتیاز مستقل نیست.</t>
        </is>
      </c>
      <c r="H10" s="92" t="inlineStr">
        <is>
          <t>خروج و ورود</t>
        </is>
      </c>
      <c r="I10" s="92" t="inlineStr">
        <is>
          <t>توصیفی؛ نامزد در مرحله بعد فقط با اجازه</t>
        </is>
      </c>
    </row>
    <row r="11" ht="70" customHeight="1" s="76">
      <c r="A11" s="92" t="inlineStr">
        <is>
          <t>UPN1</t>
        </is>
      </c>
      <c r="B11" s="92" t="inlineStr">
        <is>
          <t>سهم افراد واردشده</t>
        </is>
      </c>
      <c r="C11" s="92" t="inlineStr">
        <is>
          <t>جدید؛ کد غیرمتداخل</t>
        </is>
      </c>
      <c r="D11" s="92" t="inlineStr">
        <is>
          <t>صورت: تعداد افراد یکتا که در فهرست پایان هستند و در مبنا نبودند. مخرج: تعداد اعضای فعال پایان.</t>
        </is>
      </c>
      <c r="E11" s="92" t="inlineStr">
        <is>
          <t>نسبت</t>
        </is>
      </c>
      <c r="F11" s="92" t="inlineStr">
        <is>
          <t>Snapshot Members v42</t>
        </is>
      </c>
      <c r="G11" s="92" t="inlineStr">
        <is>
          <t>مخرج پایان است نه مبنا؛ جمع UPX1 و UPN1 نرخ گردش واحد نیست چون یک جانشینی هم خروج دارد و هم ورود.</t>
        </is>
      </c>
      <c r="H11" s="92" t="inlineStr">
        <is>
          <t>خروج و ورود</t>
        </is>
      </c>
      <c r="I11" s="92" t="inlineStr">
        <is>
          <t>توصیفی</t>
        </is>
      </c>
    </row>
    <row r="12" ht="70" customHeight="1" s="76">
      <c r="A12" s="92" t="inlineStr">
        <is>
          <t>UPR1</t>
        </is>
      </c>
      <c r="B12" s="92" t="inlineStr">
        <is>
          <t>نرخ ماندگاری افراد یکتا</t>
        </is>
      </c>
      <c r="C12" s="92" t="inlineStr">
        <is>
          <t>جدید؛ کد غیرمتداخل</t>
        </is>
      </c>
      <c r="D12" s="92" t="inlineStr">
        <is>
          <t>صورت: تعداد افراد حاضر در هر دو مقطع. مخرج: تعداد اعضای فعال مبنا.</t>
        </is>
      </c>
      <c r="E12" s="92" t="inlineStr">
        <is>
          <t>نسبت</t>
        </is>
      </c>
      <c r="F12" s="92" t="inlineStr">
        <is>
          <t>Snapshot Members v42</t>
        </is>
      </c>
      <c r="G12" s="92" t="inlineStr">
        <is>
          <t>UPX1 به علاوه UPR1 برابر یک است؛ در شاخص ترکیبی هر دو را به عنوان دو امتیاز مستقل نشمار.</t>
        </is>
      </c>
      <c r="H12" s="92" t="inlineStr">
        <is>
          <t>خروج و ورود</t>
        </is>
      </c>
      <c r="I12" s="92" t="inlineStr">
        <is>
          <t>توصیفی</t>
        </is>
      </c>
    </row>
    <row r="13" ht="70" customHeight="1" s="76">
      <c r="A13" s="92" t="inlineStr">
        <is>
          <t>UPF1</t>
        </is>
      </c>
      <c r="B13" s="92" t="inlineStr">
        <is>
          <t>افراد یکتا در نمای مالی</t>
        </is>
      </c>
      <c r="C13" s="92" t="inlineStr">
        <is>
          <t>جدید؛ نمای مالی</t>
        </is>
      </c>
      <c r="D13" s="92" t="inlineStr">
        <is>
          <t>همان سه نسبت بین پایان دوره مالی 1403 و 1404 هر شرکت؛ فقط وقتی فهرست هر دو پایان معتبر و کامل باشد.</t>
        </is>
      </c>
      <c r="E13" s="92" t="inlineStr">
        <is>
          <t>نسبت</t>
        </is>
      </c>
      <c r="F13" s="92" t="inlineStr">
        <is>
          <t>Scope v42</t>
        </is>
      </c>
      <c r="G13" s="92" t="inlineStr">
        <is>
          <t>در این مرحله برای هیچ شرکتی محاسبه نشد؛ مشاهدات این نما با پنجره مشترک در شمارش یکتا جمع نمی شود.</t>
        </is>
      </c>
      <c r="H13" s="92" t="inlineStr">
        <is>
          <t>خروج و ورود</t>
        </is>
      </c>
      <c r="I13" s="92" t="inlineStr">
        <is>
          <t>توصیفی</t>
        </is>
      </c>
    </row>
    <row r="14" ht="70" customHeight="1" s="76">
      <c r="A14" s="92" t="inlineStr">
        <is>
          <t>SCT1</t>
        </is>
      </c>
      <c r="B14" s="92" t="inlineStr">
        <is>
          <t>شمارش کرسی های حقوقی ثابت</t>
        </is>
      </c>
      <c r="C14" s="92" t="inlineStr">
        <is>
          <t>جدید؛ شمارش</t>
        </is>
      </c>
      <c r="D14" s="92" t="inlineStr">
        <is>
          <t>کل کرسی های حقوقی با دارنده ثابت؛ تعداد دارای نماینده معلوم در هر دو مقطع؛ تعداد دارای نماینده نامشخص؛ تعداد خالی مستند.</t>
        </is>
      </c>
      <c r="E14" s="92" t="inlineStr">
        <is>
          <t>تعداد</t>
        </is>
      </c>
      <c r="F14" s="92" t="inlineStr">
        <is>
          <t>Flow Summary v42</t>
        </is>
      </c>
      <c r="G14" s="92" t="inlineStr">
        <is>
          <t>نماینده نامشخص کمبود داده است نه غیرقابل اعمال و نه صفر تغییر.</t>
        </is>
      </c>
      <c r="H14" s="92" t="inlineStr">
        <is>
          <t>نمایندگی</t>
        </is>
      </c>
      <c r="I14" s="92" t="inlineStr">
        <is>
          <t>توصیفی</t>
        </is>
      </c>
    </row>
    <row r="15" ht="70" customHeight="1" s="76">
      <c r="A15" s="92" t="inlineStr">
        <is>
          <t>MATCH_PERSON</t>
        </is>
      </c>
      <c r="B15" s="92" t="inlineStr">
        <is>
          <t>قاعده تطبیق فرد</t>
        </is>
      </c>
      <c r="C15" s="92" t="inlineStr">
        <is>
          <t>قاعده</t>
        </is>
      </c>
      <c r="D15" s="92" t="inlineStr">
        <is>
          <t>شناسه معتبر فرد در صورت وجود؛ در نبود آن نام یکسان سازی شده (یکسان سازی ی و ک، فاصله مجازی به فاصله، حذف اعراب) در همان شرکت. هیچ ادغام فازی انجام نمی شود.</t>
        </is>
      </c>
      <c r="E15" s="92" t="inlineStr"/>
      <c r="F15" s="92" t="inlineStr">
        <is>
          <t>names.py</t>
        </is>
      </c>
      <c r="G15" s="92" t="inlineStr">
        <is>
          <t>کد ملی در فایل برای ردیف های بازسازی v38 نیست؛ مبنای هویت نام است و در Snapshot Members v42 ثبت شده است. تطبیق بین شرکت ها انجام نشد.</t>
        </is>
      </c>
      <c r="H15" s="92" t="inlineStr">
        <is>
          <t>قاعده</t>
        </is>
      </c>
      <c r="I15" s="92" t="inlineStr"/>
    </row>
    <row r="16" ht="70" customHeight="1" s="76">
      <c r="A16" s="92" t="inlineStr">
        <is>
          <t>MATCH_SEAT</t>
        </is>
      </c>
      <c r="B16" s="92" t="inlineStr">
        <is>
          <t>قاعده تطبیق کرسی</t>
        </is>
      </c>
      <c r="C16" s="92" t="inlineStr">
        <is>
          <t>قاعده</t>
        </is>
      </c>
      <c r="D16" s="92" t="inlineStr">
        <is>
          <t>کرسی فقط با نام دارنده حقوقی یا جایگزینی مستند دارنده (ستون قبلی و جدید اطلاعیه) جفت می شود. شماره ردیف و ترتیب نام ها مبنا نیست. کرسی حقیقی مستقیم جفت نمی شود.</t>
        </is>
      </c>
      <c r="E16" s="92" t="inlineStr"/>
      <c r="F16" s="92" t="inlineStr">
        <is>
          <t>engine.py</t>
        </is>
      </c>
      <c r="G16" s="92" t="inlineStr">
        <is>
          <t>شناسه پایدار کرسی در اسناد نیست؛ این محدودیت ثبت شد و تطبیق فرضی ساخته نشد.</t>
        </is>
      </c>
      <c r="H16" s="92" t="inlineStr">
        <is>
          <t>قاعده</t>
        </is>
      </c>
      <c r="I16" s="92" t="inlineStr"/>
    </row>
    <row r="17" ht="70" customHeight="1" s="76">
      <c r="A17" s="92" t="inlineStr">
        <is>
          <t>STATUS</t>
        </is>
      </c>
      <c r="B17" s="92" t="inlineStr">
        <is>
          <t>واژگان وضعیت</t>
        </is>
      </c>
      <c r="C17" s="92" t="inlineStr">
        <is>
          <t>قاعده</t>
        </is>
      </c>
      <c r="D17" s="92" t="inlineStr">
        <is>
          <t>تاییدشده؛ تایید جزئی؛ متعارض؛ داده کافی پیدا نشد؛ منبع در دسترس نبود؛ هنوز بررسی نشده؛ از نظر تعریف قابل اعمال نیست.</t>
        </is>
      </c>
      <c r="E17" s="92" t="inlineStr"/>
      <c r="F17" s="92" t="inlineStr">
        <is>
          <t>curated.py</t>
        </is>
      </c>
      <c r="G17" s="92" t="inlineStr">
        <is>
          <t>پیدا نشدن داده شرکت را خودکار از جمعیت واجد شرایط خارج نمی کند.</t>
        </is>
      </c>
      <c r="H17" s="92" t="inlineStr">
        <is>
          <t>قاعده</t>
        </is>
      </c>
      <c r="I17" s="92" t="inlineStr"/>
    </row>
    <row r="18" ht="70" customHeight="1" s="76">
      <c r="A18" s="92" t="inlineStr">
        <is>
          <t>COMPLETE</t>
        </is>
      </c>
      <c r="B18" s="92" t="inlineStr">
        <is>
          <t>قاعده کامل بودن فهرست</t>
        </is>
      </c>
      <c r="C18" s="92" t="inlineStr">
        <is>
          <t>قاعده</t>
        </is>
      </c>
      <c r="D18" s="92" t="inlineStr">
        <is>
          <t>فهرست وقتی کامل است که همه کرسی ها نماینده نامبرده یا خالی بودن مستند داشته باشند و اعتبار سند و تاریخ آن برای همان مقطع بررسی شده باشد. تعداد کرسی مصوب با تعداد اعضای فعال یکی نیست.</t>
        </is>
      </c>
      <c r="E18" s="92" t="inlineStr"/>
      <c r="F18" s="92" t="inlineStr">
        <is>
          <t>snapshots.py</t>
        </is>
      </c>
      <c r="G18" s="92" t="inlineStr">
        <is>
          <t>چهار نام در یک جدول به تنهایی کرسی پنجم خالی را اثبات نمی کند. عبارت فاقد نماینده به خالی بودن، خروج یا صفر تغییر تبدیل نشد.</t>
        </is>
      </c>
      <c r="H18" s="92" t="inlineStr">
        <is>
          <t>قاعده</t>
        </is>
      </c>
      <c r="I18" s="92" t="inlineStr"/>
    </row>
    <row r="19" ht="70" customHeight="1" s="76">
      <c r="A19" s="92" t="inlineStr">
        <is>
          <t>DATES</t>
        </is>
      </c>
      <c r="B19" s="92" t="inlineStr">
        <is>
          <t>انواع تاریخ و مبنای زمانی</t>
        </is>
      </c>
      <c r="C19" s="92" t="inlineStr">
        <is>
          <t>قاعده</t>
        </is>
      </c>
      <c r="D19" s="92" t="inlineStr">
        <is>
          <t>تاریخ موثر، تاریخ جلسه، تاریخ مجمع و تاریخ انتشار جدا ثبت می شوند. مبنای مشترک 1403/12/29 و 1404/12/29 قراردادی است؛ 1403 کبیسه و آخرین روز آن 1403/12/30 است. نمای مالی پایان دوره هر شرکت را به کار می برد.</t>
        </is>
      </c>
      <c r="E19" s="92" t="inlineStr"/>
      <c r="F19" s="92" t="inlineStr">
        <is>
          <t>jalali.py</t>
        </is>
      </c>
      <c r="G19" s="92" t="inlineStr">
        <is>
          <t>تاریخ نامشخص با روز ساختگی پر نمی شود. گزارش منتشرشده پس از مقطع فقط با متن صریح همان زمان وضعیت تاریخی را اثبات می کند.</t>
        </is>
      </c>
      <c r="H19" s="92" t="inlineStr">
        <is>
          <t>قاعده</t>
        </is>
      </c>
      <c r="I19" s="92" t="inlineStr"/>
    </row>
    <row r="20" ht="70" customHeight="1" s="76">
      <c r="A20" s="92" t="inlineStr">
        <is>
          <t>DIFF</t>
        </is>
      </c>
      <c r="B20" s="92" t="inlineStr">
        <is>
          <t>چرا معیار فردی و کرسی فرق می کند</t>
        </is>
      </c>
      <c r="C20" s="92" t="inlineStr">
        <is>
          <t>توضیح</t>
        </is>
      </c>
      <c r="D20" s="92" t="inlineStr">
        <is>
          <t>REF05 کرسی محور است و جابجایی یک فرد بین دو کرسی را تغییر در هر دو کرسی می شمارد؛ نرخ خروج یکتا فرد محور است و آن جابجایی را خروج نمی شمارد. جم: نجفی و اکبری جابجا شدند و فقط نجفی رفت. خساپا: پرویزیان از کرسی رنا به کرسی سازمان مدیریت صنعتی رفت.</t>
        </is>
      </c>
      <c r="E20" s="92" t="inlineStr"/>
      <c r="F20" s="92" t="inlineStr">
        <is>
          <t>Flow Summary v42</t>
        </is>
      </c>
      <c r="G20" s="92" t="inlineStr">
        <is>
          <t>در شرکت هایی که فرق دارند: جم و خساپا.</t>
        </is>
      </c>
      <c r="H20" s="92" t="inlineStr">
        <is>
          <t>توضیح</t>
        </is>
      </c>
      <c r="I20" s="92" t="inlineStr"/>
    </row>
  </sheetData>
  <mergeCells count="2">
    <mergeCell ref="A1:I1"/>
    <mergeCell ref="A2:I2"/>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13"/>
  <sheetViews>
    <sheetView rightToLeft="1" workbookViewId="0">
      <pane xSplit="1" ySplit="3" topLeftCell="B4" activePane="bottomRight" state="frozen"/>
      <selection pane="topRight"/>
      <selection pane="bottomLeft"/>
      <selection pane="bottomRight" activeCell="A1" sqref="A1"/>
    </sheetView>
  </sheetViews>
  <sheetFormatPr baseColWidth="8" defaultRowHeight="15"/>
  <cols>
    <col width="8" customWidth="1" style="76" min="1" max="1"/>
    <col width="16" customWidth="1" style="76" min="2" max="2"/>
    <col width="26" customWidth="1" style="76" min="3" max="3"/>
    <col width="16" customWidth="1" style="76" min="4" max="4"/>
    <col width="30" customWidth="1" style="76" min="5" max="5"/>
    <col width="30" customWidth="1" style="76" min="6" max="6"/>
    <col width="60" customWidth="1" style="76" min="7" max="7"/>
    <col width="36" customWidth="1" style="76" min="8" max="8"/>
  </cols>
  <sheetData>
    <row r="1" ht="26" customHeight="1" s="76">
      <c r="A1" s="89" t="inlineStr">
        <is>
          <t>ثبت تغییرات v42</t>
        </is>
      </c>
    </row>
    <row r="2" ht="44" customHeight="1" s="76">
      <c r="A2" s="90" t="inlineStr">
        <is>
          <t>هیچ مقدار مستر یا برگه قبلی بازنویسی نشد. فایل v41 دست نخورده و نسخه v42 از روی آن ساخته شد. موارد زیر صف اصلاح اند، نه تغییر.</t>
        </is>
      </c>
    </row>
    <row r="3" ht="42" customHeight="1" s="76">
      <c r="A3" s="91" t="inlineStr">
        <is>
          <t>شناسه</t>
        </is>
      </c>
      <c r="B3" s="91" t="inlineStr">
        <is>
          <t>نوع</t>
        </is>
      </c>
      <c r="C3" s="91" t="inlineStr">
        <is>
          <t>برگه</t>
        </is>
      </c>
      <c r="D3" s="91" t="inlineStr">
        <is>
          <t>سلول</t>
        </is>
      </c>
      <c r="E3" s="91" t="inlineStr">
        <is>
          <t>مقدار قبلی</t>
        </is>
      </c>
      <c r="F3" s="91" t="inlineStr">
        <is>
          <t>مقدار جدید</t>
        </is>
      </c>
      <c r="G3" s="91" t="inlineStr">
        <is>
          <t>دلیل</t>
        </is>
      </c>
      <c r="H3" s="91" t="inlineStr">
        <is>
          <t>منبع</t>
        </is>
      </c>
    </row>
    <row r="4" ht="60" customHeight="1" s="76">
      <c r="A4" s="92" t="inlineStr">
        <is>
          <t>CH01</t>
        </is>
      </c>
      <c r="B4" s="92" t="inlineStr">
        <is>
          <t>افزودن</t>
        </is>
      </c>
      <c r="C4" s="92" t="inlineStr">
        <is>
          <t>برگه های جدید</t>
        </is>
      </c>
      <c r="D4" s="92" t="inlineStr"/>
      <c r="E4" s="92" t="inlineStr"/>
      <c r="F4" s="92" t="inlineStr">
        <is>
          <t>12 برگه جدید به انتهای فایل</t>
        </is>
      </c>
      <c r="G4" s="92" t="inlineStr">
        <is>
          <t>برگه های v41 و پیش از آن دست نخورده اند</t>
        </is>
      </c>
      <c r="H4" s="92" t="inlineStr">
        <is>
          <t>build_v42.py</t>
        </is>
      </c>
    </row>
    <row r="5" ht="60" customHeight="1" s="76">
      <c r="A5" s="92" t="inlineStr">
        <is>
          <t>CH02</t>
        </is>
      </c>
      <c r="B5" s="92" t="inlineStr">
        <is>
          <t>عدم تغییر</t>
        </is>
      </c>
      <c r="C5" s="92" t="inlineStr">
        <is>
          <t>مستر (Turnover نهایی، جدول استاد، معماری، Measureها، AC، BR)</t>
        </is>
      </c>
      <c r="D5" s="92" t="inlineStr"/>
      <c r="E5" s="92" t="inlineStr"/>
      <c r="F5" s="92" t="inlineStr">
        <is>
          <t>0 سلول تغییر کرد</t>
        </is>
      </c>
      <c r="G5" s="92" t="inlineStr">
        <is>
          <t>هیچ سند اصلی تازه ای برای اصلاح یک مقدار قدیمی در دسترس نبود؛ مقایسه سلول به سلول همه برگه های v41 با v42 انجام شد</t>
        </is>
      </c>
      <c r="H5" s="92" t="inlineStr">
        <is>
          <t>QA v42</t>
        </is>
      </c>
    </row>
    <row r="6" ht="60" customHeight="1" s="76">
      <c r="A6" s="92" t="inlineStr">
        <is>
          <t>CH03</t>
        </is>
      </c>
      <c r="B6" s="92" t="inlineStr">
        <is>
          <t>صف اصلاح</t>
        </is>
      </c>
      <c r="C6" s="92" t="inlineStr">
        <is>
          <t>Turnover نهایی</t>
        </is>
      </c>
      <c r="D6" s="92" t="inlineStr">
        <is>
          <t>G4 تا U4 و V4</t>
        </is>
      </c>
      <c r="E6" s="92" t="inlineStr">
        <is>
          <t>فملی گردش 0 از 5؛ تغییر رئیس خیر</t>
        </is>
      </c>
      <c r="F6" s="92" t="inlineStr">
        <is>
          <t>مقدار قابل استفاده: نیازمند بررسی</t>
        </is>
      </c>
      <c r="G6" s="92" t="inlineStr">
        <is>
          <t>سه عضو با شروع پس از مبنا در BR Tenure v41 (T001، T003، T006) با مقدار صفر نمی خواند؛ فهرست اسمی مبنا برای ساخت مقدار اصلاح شده در دسترس نیست؛ مقدار تاریخی حفظ شد</t>
        </is>
      </c>
      <c r="H6" s="92" t="inlineStr">
        <is>
          <t>BR Tenure v41</t>
        </is>
      </c>
    </row>
    <row r="7" ht="60" customHeight="1" s="76">
      <c r="A7" s="92" t="inlineStr">
        <is>
          <t>CH04</t>
        </is>
      </c>
      <c r="B7" s="92" t="inlineStr">
        <is>
          <t>صف اصلاح</t>
        </is>
      </c>
      <c r="C7" s="92" t="inlineStr">
        <is>
          <t>Turnover نهایی</t>
        </is>
      </c>
      <c r="D7" s="92" t="inlineStr">
        <is>
          <t>F32</t>
        </is>
      </c>
      <c r="E7" s="92" t="inlineStr">
        <is>
          <t>حکشتی: ساختار نمایندگی حقوقی خیر</t>
        </is>
      </c>
      <c r="F7" s="92" t="inlineStr">
        <is>
          <t>بله (پنج کرسی حقوقی)</t>
        </is>
      </c>
      <c r="G7" s="92" t="inlineStr">
        <is>
          <t>v41 و بازسازی v38 هر دو پنج دارنده حقوقی دارند؛ ردیف حکشتی در Turnover نهایی خارج از مخرج پایلوت مانده و مستر تغییر نکرد</t>
        </is>
      </c>
      <c r="H7" s="92" t="inlineStr">
        <is>
          <t>BR Independence v41 F29؛ Turnover Resolution Audit</t>
        </is>
      </c>
    </row>
    <row r="8" ht="60" customHeight="1" s="76">
      <c r="A8" s="92" t="inlineStr">
        <is>
          <t>CH05</t>
        </is>
      </c>
      <c r="B8" s="92" t="inlineStr">
        <is>
          <t>صف اصلاح</t>
        </is>
      </c>
      <c r="C8" s="92" t="inlineStr">
        <is>
          <t>BR Scope v41</t>
        </is>
      </c>
      <c r="D8" s="92" t="inlineStr">
        <is>
          <t>D4 تا D33 (ستون شروع سال مالی؛ شرکت های سال تقویمی)</t>
        </is>
      </c>
      <c r="E8" s="92" t="inlineStr">
        <is>
          <t>1403/12/30 برای شرکت های سال تقویمی</t>
        </is>
      </c>
      <c r="F8" s="92" t="inlineStr">
        <is>
          <t>1404/01/01</t>
        </is>
      </c>
      <c r="G8" s="92" t="inlineStr">
        <is>
          <t>شروع FY1404 برای شرکت های سال تقویمی 1404/01/01 است؛ 1403/12/30 آخرین روز 1403 کبیسه است. محاسبه تفاوت روز v41 درست است و این ستون در هیچ محاسبه ای به کار نرفته است</t>
        </is>
      </c>
      <c r="H8" s="92" t="inlineStr">
        <is>
          <t>jalali.py</t>
        </is>
      </c>
    </row>
    <row r="9" ht="60" customHeight="1" s="76">
      <c r="A9" s="92" t="inlineStr">
        <is>
          <t>CH06</t>
        </is>
      </c>
      <c r="B9" s="92" t="inlineStr">
        <is>
          <t>صف اصلاح</t>
        </is>
      </c>
      <c r="C9" s="92" t="inlineStr">
        <is>
          <t>Turnover نهایی</t>
        </is>
      </c>
      <c r="D9" s="92" t="inlineStr">
        <is>
          <t>V4 و V13؛ CR1A v39</t>
        </is>
      </c>
      <c r="E9" s="92" t="inlineStr">
        <is>
          <t>فملی و رمپنا خارج از پوشش محافظه کارانه</t>
        </is>
      </c>
      <c r="F9" s="92" t="inlineStr">
        <is>
          <t>پشتیبانی غیرمستقیم بله برای هر دو</t>
        </is>
      </c>
      <c r="G9" s="92" t="inlineStr">
        <is>
          <t>رئیس پایان هر دو شرکت پس از مبنا عضو و رئیس شده است؛ نام رئیس مبنا باید از اطلاعیه 1317785 و 1203308 خوانده شود</t>
        </is>
      </c>
      <c r="H9" s="92" t="inlineStr">
        <is>
          <t>BR Tenure v41 T001 T002 T063 T064</t>
        </is>
      </c>
    </row>
    <row r="10" ht="60" customHeight="1" s="76">
      <c r="A10" s="92" t="inlineStr">
        <is>
          <t>CH07</t>
        </is>
      </c>
      <c r="B10" s="92" t="inlineStr">
        <is>
          <t>مشاهده</t>
        </is>
      </c>
      <c r="C10" s="92" t="inlineStr">
        <is>
          <t>Turnover نهایی</t>
        </is>
      </c>
      <c r="D10" s="92" t="inlineStr">
        <is>
          <t>ستون S و T</t>
        </is>
      </c>
      <c r="E10" s="92" t="inlineStr">
        <is>
          <t>ثبات کرسی</t>
        </is>
      </c>
      <c r="F10" s="92" t="inlineStr">
        <is>
          <t>تعریف تاریخی حفظ شد</t>
        </is>
      </c>
      <c r="G10" s="92" t="inlineStr">
        <is>
          <t>REF05 و ثبات هر دو کرسی محورند و با نرخ ماندگاری افراد یکتا فرق دارند (جم، خساپا)</t>
        </is>
      </c>
      <c r="H10" s="92" t="inlineStr">
        <is>
          <t>Dictionary v42</t>
        </is>
      </c>
    </row>
    <row r="11" ht="60" customHeight="1" s="76">
      <c r="A11" s="92" t="inlineStr">
        <is>
          <t>CH08</t>
        </is>
      </c>
      <c r="B11" s="92" t="inlineStr">
        <is>
          <t>مشاهده</t>
        </is>
      </c>
      <c r="C11" s="92" t="inlineStr">
        <is>
          <t>AC و استقلال</t>
        </is>
      </c>
      <c r="D11" s="92" t="inlineStr"/>
      <c r="E11" s="92" t="inlineStr"/>
      <c r="F11" s="92" t="inlineStr">
        <is>
          <t>تغییری ایجاد نشد</t>
        </is>
      </c>
      <c r="G11" s="92" t="inlineStr">
        <is>
          <t>خارج از دامنه این مرحله؛ در بازتولید هیچ خطایی در آنها دیده نشد</t>
        </is>
      </c>
      <c r="H11" s="92" t="inlineStr">
        <is>
          <t>QA v42</t>
        </is>
      </c>
    </row>
    <row r="12" ht="60" customHeight="1" s="76">
      <c r="A12" s="92" t="inlineStr">
        <is>
          <t>CH09</t>
        </is>
      </c>
      <c r="B12" s="92" t="inlineStr">
        <is>
          <t>مشاهده</t>
        </is>
      </c>
      <c r="C12" s="92" t="inlineStr">
        <is>
          <t>Turnover Resolution Audit</t>
        </is>
      </c>
      <c r="D12" s="92" t="inlineStr">
        <is>
          <t>وتجارت ردیف ترک تبریزی</t>
        </is>
      </c>
      <c r="E12" s="92" t="inlineStr">
        <is>
          <t>آخرین مشاهده 1401/12/25</t>
        </is>
      </c>
      <c r="F12" s="92" t="inlineStr">
        <is>
          <t>نادرست طبق یادداشت خود v38</t>
        </is>
      </c>
      <c r="G12" s="92" t="inlineStr">
        <is>
          <t>تصدی پیوسته تا FY1404 در BR Tenure v41 درست ثبت شده؛ مقدار برگه ممیزی قدیمی بدون تغییر ماند</t>
        </is>
      </c>
      <c r="H12" s="92" t="inlineStr">
        <is>
          <t>BR Tenure v41 T058</t>
        </is>
      </c>
    </row>
    <row r="13" ht="60" customHeight="1" s="76">
      <c r="A13" s="92" t="inlineStr">
        <is>
          <t>CH10</t>
        </is>
      </c>
      <c r="B13" s="92" t="inlineStr">
        <is>
          <t>مشاهده</t>
        </is>
      </c>
      <c r="C13" s="92" t="inlineStr">
        <is>
          <t>Gap Review v39</t>
        </is>
      </c>
      <c r="D13" s="92" t="inlineStr">
        <is>
          <t>ردیف CR1A</t>
        </is>
      </c>
      <c r="E13" s="92" t="inlineStr">
        <is>
          <t>26 از 30 محافظه کارانه</t>
        </is>
      </c>
      <c r="F13" s="92" t="inlineStr">
        <is>
          <t>بدون تغییر: 26 از 30</t>
        </is>
      </c>
      <c r="G13" s="92" t="inlineStr">
        <is>
          <t>تعریف v39 دست نخورد؛ دو مورد غیرمستقیم جدا گزارش شد</t>
        </is>
      </c>
      <c r="H13" s="92" t="inlineStr">
        <is>
          <t>Coverage v42</t>
        </is>
      </c>
    </row>
  </sheetData>
  <mergeCells count="2">
    <mergeCell ref="A2:H2"/>
    <mergeCell ref="A1:H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30"/>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8" customWidth="1" style="76" min="1" max="1"/>
    <col width="60" customWidth="1" style="76" min="2" max="2"/>
    <col width="16" customWidth="1" style="76" min="3" max="3"/>
    <col width="16" customWidth="1" style="76" min="4" max="4"/>
    <col width="10" customWidth="1" style="76" min="5" max="5"/>
    <col width="70" customWidth="1" style="76" min="6" max="6"/>
  </cols>
  <sheetData>
    <row r="1" ht="26" customHeight="1" s="76">
      <c r="A1" s="89" t="inlineStr">
        <is>
          <t>کنترل کیفیت v42</t>
        </is>
      </c>
    </row>
    <row r="2" ht="44" customHeight="1" s="76">
      <c r="A2" s="90" t="inlineStr">
        <is>
          <t>کنترل ها پیش از تحویل اجرا شده اند. بازبینی دوم هوش مصنوعی است و جایگزین ارزیابی مستقل انسانی نیست. قبولی آزمون های محاسباتی جای بررسی صحت سند را نمی گیرد؛ هیچ سند اصلی در این جلسه بازدریافت نشد.</t>
        </is>
      </c>
    </row>
    <row r="3" ht="42" customHeight="1" s="76">
      <c r="A3" s="91" t="inlineStr">
        <is>
          <t>شناسه</t>
        </is>
      </c>
      <c r="B3" s="91" t="inlineStr">
        <is>
          <t>کنترل</t>
        </is>
      </c>
      <c r="C3" s="91" t="inlineStr">
        <is>
          <t>مورد انتظار</t>
        </is>
      </c>
      <c r="D3" s="91" t="inlineStr">
        <is>
          <t>مشاهده</t>
        </is>
      </c>
      <c r="E3" s="91" t="inlineStr">
        <is>
          <t>وضعیت</t>
        </is>
      </c>
      <c r="F3" s="91" t="inlineStr">
        <is>
          <t>یادداشت</t>
        </is>
      </c>
    </row>
    <row r="4" ht="36" customHeight="1" s="76">
      <c r="A4" s="92" t="inlineStr">
        <is>
          <t>QA01</t>
        </is>
      </c>
      <c r="B4" s="92" t="inlineStr">
        <is>
          <t>تعداد شرکت یکتا در Scope v42</t>
        </is>
      </c>
      <c r="C4" s="92" t="n">
        <v>30</v>
      </c>
      <c r="D4" s="92">
        <f>SUMPRODUCT(1/COUNTIF('Scope v42'!B4:B33,'Scope v42'!B4:B33))</f>
        <v>30</v>
      </c>
      <c r="E4" s="92" t="str">
        <f>IF(D4=C4,"OK","FAIL")</f>
        <v>OK</v>
      </c>
      <c r="F4" s="92" t="inlineStr"/>
    </row>
    <row r="5" ht="36" customHeight="1" s="76">
      <c r="A5" s="92" t="inlineStr">
        <is>
          <t>QA02</t>
        </is>
      </c>
      <c r="B5" s="92" t="inlineStr">
        <is>
          <t>تعداد ردیف Scope v42</t>
        </is>
      </c>
      <c r="C5" s="92" t="n">
        <v>30</v>
      </c>
      <c r="D5" s="92">
        <f>COUNTA('Scope v42'!B4:B33)</f>
        <v>30</v>
      </c>
      <c r="E5" s="92" t="str">
        <f>IF(D5=C5,"OK","FAIL")</f>
        <v>OK</v>
      </c>
      <c r="F5" s="92" t="inlineStr"/>
    </row>
    <row r="6" ht="36" customHeight="1" s="76">
      <c r="A6" s="92" t="inlineStr">
        <is>
          <t>QA03</t>
        </is>
      </c>
      <c r="B6" s="92" t="inlineStr">
        <is>
          <t>هر مقایسه دقیقا دو مقطع مشخص دارد (شمار شرکت های با دو مقطع و فقط دو مقطع)</t>
        </is>
      </c>
      <c r="C6" s="92" t="n">
        <v>8</v>
      </c>
      <c r="D6" s="92" t="n">
        <v>8</v>
      </c>
      <c r="E6" s="92" t="str">
        <f>IF(D6=C6,"OK","FAIL")</f>
        <v>OK</v>
      </c>
      <c r="F6" s="92" t="inlineStr">
        <is>
          <t>هشت شرکت فهرست اسمی</t>
        </is>
      </c>
    </row>
    <row r="7" ht="36" customHeight="1" s="76">
      <c r="A7" s="92" t="inlineStr">
        <is>
          <t>QA04</t>
        </is>
      </c>
      <c r="B7" s="92" t="inlineStr">
        <is>
          <t>شخصی در فهرست همان مقطع دو بار شمرده نشده (تعداد تکرار)</t>
        </is>
      </c>
      <c r="C7" s="92" t="n">
        <v>0</v>
      </c>
      <c r="D7" s="92" t="n">
        <v>0</v>
      </c>
      <c r="E7" s="92" t="str">
        <f>IF(D7=C7,"OK","FAIL")</f>
        <v>OK</v>
      </c>
      <c r="F7" s="92" t="inlineStr"/>
    </row>
    <row r="8" ht="36" customHeight="1" s="76">
      <c r="A8" s="92" t="inlineStr">
        <is>
          <t>QA05</t>
        </is>
      </c>
      <c r="B8" s="92" t="inlineStr">
        <is>
          <t>موازنه فهرست کامل: مبنا منهای خروج به علاوه ورود برابر پایان (تعداد نقض)</t>
        </is>
      </c>
      <c r="C8" s="92" t="n">
        <v>0</v>
      </c>
      <c r="D8" s="92" t="n">
        <v>0</v>
      </c>
      <c r="E8" s="92" t="str">
        <f>IF(D8=C8,"OK","FAIL")</f>
        <v>OK</v>
      </c>
      <c r="F8" s="92" t="inlineStr">
        <is>
          <t>برای هفت شرکت با فهرست کامل</t>
        </is>
      </c>
    </row>
    <row r="9" ht="36" customHeight="1" s="76">
      <c r="A9" s="92" t="inlineStr">
        <is>
          <t>QA06</t>
        </is>
      </c>
      <c r="B9" s="92" t="inlineStr">
        <is>
          <t>خروج و ماندگاری با مخرج یکسان جمعشان یک است (تعداد نقض)</t>
        </is>
      </c>
      <c r="C9" s="92" t="n">
        <v>0</v>
      </c>
      <c r="D9" s="92" t="n">
        <v>0</v>
      </c>
      <c r="E9" s="92" t="str">
        <f>IF(D9=C9,"OK","FAIL")</f>
        <v>OK</v>
      </c>
      <c r="F9" s="92" t="inlineStr"/>
    </row>
    <row r="10" ht="36" customHeight="1" s="76">
      <c r="A10" s="92" t="inlineStr">
        <is>
          <t>QA07</t>
        </is>
      </c>
      <c r="B10" s="92" t="inlineStr">
        <is>
          <t>نام های مشابه در یک مقطع که ادغام نشده اند (جفت های با شباهت 0.85 و بالاتر، برای بازبینی)</t>
        </is>
      </c>
      <c r="C10" s="92" t="n">
        <v>0</v>
      </c>
      <c r="D10" s="92" t="n">
        <v>0</v>
      </c>
      <c r="E10" s="92" t="str">
        <f>IF(D10=C10,"OK","FAIL")</f>
        <v>OK</v>
      </c>
      <c r="F10" s="92" t="inlineStr">
        <is>
          <t>هیچ ادغامی انجام نشد؛ جفت ها در صورت وجود باید دستی دیده شوند</t>
        </is>
      </c>
    </row>
    <row r="11" ht="36" customHeight="1" s="76">
      <c r="A11" s="92" t="inlineStr">
        <is>
          <t>QA08</t>
        </is>
      </c>
      <c r="B11" s="92" t="inlineStr">
        <is>
          <t>کرسی حقیقی مستقیم جفت شده (تعداد)</t>
        </is>
      </c>
      <c r="C11" s="92" t="n">
        <v>0</v>
      </c>
      <c r="D11" s="92" t="n">
        <v>0</v>
      </c>
      <c r="E11" s="92" t="str">
        <f>IF(D11=C11,"OK","FAIL")</f>
        <v>OK</v>
      </c>
      <c r="F11" s="92" t="inlineStr"/>
    </row>
    <row r="12" ht="36" customHeight="1" s="76">
      <c r="A12" s="92" t="inlineStr">
        <is>
          <t>QA09</t>
        </is>
      </c>
      <c r="B12" s="92" t="inlineStr">
        <is>
          <t>تغییر سمت اشتباه با خروج از هیئت ثبت شده (تعداد)</t>
        </is>
      </c>
      <c r="C12" s="92" t="n">
        <v>0</v>
      </c>
      <c r="D12" s="92" t="n">
        <v>0</v>
      </c>
      <c r="E12" s="92" t="str">
        <f>IF(D12=C12,"OK","FAIL")</f>
        <v>OK</v>
      </c>
      <c r="F12" s="92" t="inlineStr"/>
    </row>
    <row r="13" ht="36" customHeight="1" s="76">
      <c r="A13" s="92" t="inlineStr">
        <is>
          <t>QA10</t>
        </is>
      </c>
      <c r="B13" s="92" t="inlineStr">
        <is>
          <t>کرسی با نماینده نامشخص در هشت شرکت اسمی (باید صفر؛ نامشخص ها فقط حکشتی اند)</t>
        </is>
      </c>
      <c r="C13" s="92" t="n">
        <v>0</v>
      </c>
      <c r="D13" s="92" t="n">
        <v>0</v>
      </c>
      <c r="E13" s="92" t="str">
        <f>IF(D13=C13,"OK","FAIL")</f>
        <v>OK</v>
      </c>
      <c r="F13" s="92" t="inlineStr"/>
    </row>
    <row r="14" ht="36" customHeight="1" s="76">
      <c r="A14" s="92" t="inlineStr">
        <is>
          <t>QA11</t>
        </is>
      </c>
      <c r="B14" s="92" t="inlineStr">
        <is>
          <t>کرسی خالی مستند فقط با یادداشت v38 (کچاد و شپدیس در مقطع مبنا)</t>
        </is>
      </c>
      <c r="C14" s="92" t="n">
        <v>2</v>
      </c>
      <c r="D14" s="92" t="n">
        <v>2</v>
      </c>
      <c r="E14" s="92" t="str">
        <f>IF(D14=C14,"OK","FAIL")</f>
        <v>OK</v>
      </c>
      <c r="F14" s="92" t="inlineStr"/>
    </row>
    <row r="15" ht="36" customHeight="1" s="76">
      <c r="A15" s="92" t="inlineStr">
        <is>
          <t>QA12</t>
        </is>
      </c>
      <c r="B15" s="92" t="inlineStr">
        <is>
          <t>منبع بازسازی با ناشر دیگر در رجیستری (تعداد ناسازگاری نماد)</t>
        </is>
      </c>
      <c r="C15" s="92" t="n">
        <v>0</v>
      </c>
      <c r="D15" s="92" t="n">
        <v>0</v>
      </c>
      <c r="E15" s="92" t="str">
        <f>IF(D15=C15,"OK","FAIL")</f>
        <v>OK</v>
      </c>
      <c r="F15" s="92" t="inlineStr">
        <is>
          <t>80 ردیف از 80 ردیف بازسازی در رجیستری v41 دارد</t>
        </is>
      </c>
    </row>
    <row r="16" ht="36" customHeight="1" s="76">
      <c r="A16" s="92" t="inlineStr">
        <is>
          <t>QA13</t>
        </is>
      </c>
      <c r="B16" s="92" t="inlineStr">
        <is>
          <t>نرخ های Measures v42 در بازه صفر تا یک (تعداد خارج از بازه)</t>
        </is>
      </c>
      <c r="C16" s="92" t="n">
        <v>0</v>
      </c>
      <c r="D16" s="92">
        <f>COUNTIF('Measures v42'!J4:J1000,"&gt;1")+COUNTIF('Measures v42'!J4:J1000,"&lt;0")</f>
        <v>0</v>
      </c>
      <c r="E16" s="92" t="str">
        <f>IF(D16=C16,"OK","FAIL")</f>
        <v>OK</v>
      </c>
      <c r="F16" s="92" t="inlineStr"/>
    </row>
    <row r="17" ht="36" customHeight="1" s="76">
      <c r="A17" s="92" t="inlineStr">
        <is>
          <t>QA14</t>
        </is>
      </c>
      <c r="B17" s="92" t="inlineStr">
        <is>
          <t>نرخ های Flow Summary v42 در بازه صفر تا یک (تعداد خارج از بازه)</t>
        </is>
      </c>
      <c r="C17" s="92" t="n">
        <v>0</v>
      </c>
      <c r="D17" s="92">
        <f>COUNTIF('Flow Summary v42'!L4:N40,"&gt;1")+COUNTIF('Flow Summary v42'!L4:N40,"&lt;0")+COUNTIF('Flow Summary v42'!S4:S40,"&gt;1")</f>
        <v>0</v>
      </c>
      <c r="E17" s="92" t="str">
        <f>IF(D17=C17,"OK","FAIL")</f>
        <v>OK</v>
      </c>
      <c r="F17" s="92" t="inlineStr"/>
    </row>
    <row r="18" ht="36" customHeight="1" s="76">
      <c r="A18" s="92" t="inlineStr">
        <is>
          <t>QA15</t>
        </is>
      </c>
      <c r="B18" s="92" t="inlineStr">
        <is>
          <t>بازتولید 10 مقدار قدیمی (G H J K M N P Q S T) برای هشت شرکت با تعریف تاریخی</t>
        </is>
      </c>
      <c r="C18" s="92" t="n">
        <v>80</v>
      </c>
      <c r="D18" s="92" t="n">
        <v>80</v>
      </c>
      <c r="E18" s="92" t="str">
        <f>IF(D18=C18,"OK","FAIL")</f>
        <v>OK</v>
      </c>
      <c r="F18" s="92" t="inlineStr">
        <is>
          <t>80 از 80 برابر</t>
        </is>
      </c>
    </row>
    <row r="19" ht="36" customHeight="1" s="76">
      <c r="A19" s="92" t="inlineStr">
        <is>
          <t>QA16</t>
        </is>
      </c>
      <c r="B19" s="92" t="inlineStr">
        <is>
          <t>بازتولید تغییر رئیس هشت شرکت با مستر</t>
        </is>
      </c>
      <c r="C19" s="92" t="n">
        <v>8</v>
      </c>
      <c r="D19" s="92" t="n">
        <v>8</v>
      </c>
      <c r="E19" s="92" t="str">
        <f>IF(D19=C19,"OK","FAIL")</f>
        <v>OK</v>
      </c>
      <c r="F19" s="92" t="inlineStr"/>
    </row>
    <row r="20" ht="36" customHeight="1" s="76">
      <c r="A20" s="92" t="inlineStr">
        <is>
          <t>QA17</t>
        </is>
      </c>
      <c r="B20" s="92" t="inlineStr">
        <is>
          <t>تاریخ جلالی نامعتبر در برگه های جدید (تعداد)</t>
        </is>
      </c>
      <c r="C20" s="92" t="n">
        <v>0</v>
      </c>
      <c r="D20" s="92" t="n">
        <v>0</v>
      </c>
      <c r="E20" s="92" t="str">
        <f>IF(D20=C20,"OK","FAIL")</f>
        <v>OK</v>
      </c>
      <c r="F20" s="92" t="inlineStr">
        <is>
          <t>کبیسه و طول ماه کنترل شد</t>
        </is>
      </c>
    </row>
    <row r="21" ht="36" customHeight="1" s="76">
      <c r="A21" s="92" t="inlineStr">
        <is>
          <t>QA18</t>
        </is>
      </c>
      <c r="B21" s="92" t="inlineStr">
        <is>
          <t>تقویم: 1403/12/30 معتبر و 1404/12/30 نامعتبر و 1404/06/31 معتبر</t>
        </is>
      </c>
      <c r="C21" s="92" t="b">
        <v>1</v>
      </c>
      <c r="D21" s="92" t="b">
        <v>1</v>
      </c>
      <c r="E21" s="92" t="str">
        <f>IF(D21=C21,"OK","FAIL")</f>
        <v>OK</v>
      </c>
      <c r="F21" s="92" t="inlineStr"/>
    </row>
    <row r="22" ht="36" customHeight="1" s="76">
      <c r="A22" s="92" t="inlineStr">
        <is>
          <t>QA19</t>
        </is>
      </c>
      <c r="B22" s="92" t="inlineStr">
        <is>
          <t>الگوریتم جلالی مستقل در برابر jdatetime برای 14609 روز (تعداد اختلاف)</t>
        </is>
      </c>
      <c r="C22" s="92" t="n">
        <v>0</v>
      </c>
      <c r="D22" s="92" t="n">
        <v>0</v>
      </c>
      <c r="E22" s="92" t="str">
        <f>IF(D22=C22,"OK","FAIL")</f>
        <v>OK</v>
      </c>
      <c r="F22" s="92" t="inlineStr">
        <is>
          <t>اجرای tests/test_jalali.py و بازبینی کامل</t>
        </is>
      </c>
    </row>
    <row r="23" ht="36" customHeight="1" s="76">
      <c r="A23" s="92" t="inlineStr">
        <is>
          <t>QA20</t>
        </is>
      </c>
      <c r="B23" s="92" t="inlineStr">
        <is>
          <t>هم راستایی ورود تصدی v41 با ستون P مستر (شرکت های متعارض)</t>
        </is>
      </c>
      <c r="C23" s="92" t="n">
        <v>1</v>
      </c>
      <c r="D23" s="92" t="n">
        <v>1</v>
      </c>
      <c r="E23" s="92" t="str">
        <f>IF(D23=C23,"OK","FAIL")</f>
        <v>OK</v>
      </c>
      <c r="F23" s="92" t="inlineStr">
        <is>
          <t>فقط فملی؛ مقدار قدیمی حفظ و نیازمند بررسی اعلام شد</t>
        </is>
      </c>
    </row>
    <row r="24" ht="36" customHeight="1" s="76">
      <c r="A24" s="92" t="inlineStr">
        <is>
          <t>QA21</t>
        </is>
      </c>
      <c r="B24" s="92" t="inlineStr">
        <is>
          <t>فهرست پایان بازسازی v38 با فهرست v41 هم مبنا (چهار شرکت با پایان مالی برابر پایان مشترک: ناهماهنگی)</t>
        </is>
      </c>
      <c r="C24" s="92" t="n">
        <v>0</v>
      </c>
      <c r="D24" s="92" t="n">
        <v>0</v>
      </c>
      <c r="E24" s="92" t="str">
        <f>IF(D24=C24,"OK","FAIL")</f>
        <v>OK</v>
      </c>
      <c r="F24" s="92" t="inlineStr">
        <is>
          <t>خودرو، جم، خساپا، وتجارت. یک تفاوت املایی در خودرو (عبداله در v41 و عبدالله در v38) فقط برای همین کنترل دستی تطبیق شد؛ ادغام خودکار یا فازی انجام نشد و شناسه پژوهشی دو برگه برای او جداست</t>
        </is>
      </c>
    </row>
    <row r="25" ht="36" customHeight="1" s="76">
      <c r="A25" s="92" t="inlineStr">
        <is>
          <t>QA22</t>
        </is>
      </c>
      <c r="B25" s="92" t="inlineStr">
        <is>
          <t>جمع کل شرکت ها در هر سنجه Coverage برابر 30 (تعداد ردیف ناسازگار)</t>
        </is>
      </c>
      <c r="C25" s="92" t="n">
        <v>0</v>
      </c>
      <c r="D25" s="92">
        <f>COUNTIF('Coverage v42'!D4:D13,"&lt;&gt;30")</f>
        <v>0</v>
      </c>
      <c r="E25" s="92" t="str">
        <f>IF(D25=C25,"OK","FAIL")</f>
        <v>OK</v>
      </c>
      <c r="F25" s="92" t="inlineStr"/>
    </row>
    <row r="26" ht="36" customHeight="1" s="76">
      <c r="A26" s="92" t="inlineStr">
        <is>
          <t>QA23</t>
        </is>
      </c>
      <c r="B26" s="92" t="inlineStr">
        <is>
          <t>متن فارسی جدید بدون خط تیره و اعراب (تعداد تخلف)</t>
        </is>
      </c>
      <c r="C26" s="92" t="n">
        <v>0</v>
      </c>
      <c r="D26" s="92" t="n">
        <v>0</v>
      </c>
      <c r="E26" s="92" t="str">
        <f>IF(D26=C26,"OK","FAIL")</f>
        <v>OK</v>
      </c>
      <c r="F26" s="92" t="inlineStr"/>
    </row>
    <row r="27" ht="36" customHeight="1" s="76">
      <c r="A27" s="92" t="inlineStr">
        <is>
          <t>QA24</t>
        </is>
      </c>
      <c r="B27" s="92" t="inlineStr">
        <is>
          <t>هر پنج پرونده در سطح ادعا ثبت شده (کمینه تعداد ادعا)</t>
        </is>
      </c>
      <c r="C27" s="92" t="b">
        <v>1</v>
      </c>
      <c r="D27" s="92" t="b">
        <v>1</v>
      </c>
      <c r="E27" s="92" t="str">
        <f>IF(D27=C27,"OK","FAIL")</f>
        <v>OK</v>
      </c>
      <c r="F27" s="92" t="inlineStr">
        <is>
          <t>{'وتجارت': 10, 'وپاسار': 9, 'حکشتی': 8, 'فملی': 5, 'رمپنا': 5}</t>
        </is>
      </c>
    </row>
    <row r="28" ht="36" customHeight="1" s="76">
      <c r="A28" s="92" t="inlineStr">
        <is>
          <t>QA25</t>
        </is>
      </c>
      <c r="B28" s="92" t="inlineStr">
        <is>
          <t>وتجارت: خروج بین دو مقطع، تاریخ خروج، علت خروج و تغییر رئیس چهار ادعای جدا</t>
        </is>
      </c>
      <c r="C28" s="92" t="n">
        <v>4</v>
      </c>
      <c r="D28" s="92" t="n">
        <v>4</v>
      </c>
      <c r="E28" s="92" t="str">
        <f>IF(D28=C28,"OK","FAIL")</f>
        <v>OK</v>
      </c>
      <c r="F28" s="92" t="inlineStr"/>
    </row>
    <row r="29" ht="36" customHeight="1" s="76">
      <c r="A29" s="92" t="inlineStr">
        <is>
          <t>QA26</t>
        </is>
      </c>
      <c r="B29" s="92" t="inlineStr">
        <is>
          <t>مقدار مستر قبلی بازنویسی شده (تعداد سلول)</t>
        </is>
      </c>
      <c r="C29" s="92" t="n">
        <v>0</v>
      </c>
      <c r="D29" s="92" t="n">
        <v>0</v>
      </c>
      <c r="E29" s="92" t="str">
        <f>IF(D29=C29,"OK","FAIL")</f>
        <v>OK</v>
      </c>
      <c r="F29" s="92" t="inlineStr">
        <is>
          <t>مقایسه سلول به سلول پس از ساخت؛ فرمول و مقدار</t>
        </is>
      </c>
    </row>
    <row r="30" ht="36" customHeight="1" s="76">
      <c r="A30" s="92" t="inlineStr">
        <is>
          <t>QA27</t>
        </is>
      </c>
      <c r="B30" s="92" t="inlineStr">
        <is>
          <t>بازبینی هوش مصنوعی و ارزیابی مستقل انسانی</t>
        </is>
      </c>
      <c r="C30" s="92" t="inlineStr">
        <is>
          <t>جدا</t>
        </is>
      </c>
      <c r="D30" s="92" t="inlineStr">
        <is>
          <t>جدا</t>
        </is>
      </c>
      <c r="E30" s="92" t="str">
        <f>IF(D30=C30,"OK","FAIL")</f>
        <v>OK</v>
      </c>
      <c r="F30" s="92" t="inlineStr">
        <is>
          <t>این فایل ارزیابی انسانی ندارد</t>
        </is>
      </c>
    </row>
  </sheetData>
  <autoFilter ref="A3:F30"/>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Iran BSI v37 Final Master Audited</dc:title>
  <dc:description xmlns:dc="http://purl.org/dc/elements/1.1/">Built from v36 corrected integrated workbook, independent audit, and additional measure candidate analysis.</dc:description>
  <dc:subject xmlns:dc="http://purl.org/dc/elements/1.1/">Integrated audited pilot workbook with source and calculation traceability</dc:subject>
  <dc:language xmlns:dc="http://purl.org/dc/elements/1.1/">en-US</dc:language>
  <dcterms:created xmlns:dcterms="http://purl.org/dc/terms/" xmlns:xsi="http://www.w3.org/2001/XMLSchema-instance" xsi:type="dcterms:W3CDTF">2026-10-01T10:05:49Z</dcterms:created>
  <dcterms:modified xmlns:dcterms="http://purl.org/dc/terms/" xmlns:xsi="http://www.w3.org/2001/XMLSchema-instance" xsi:type="dcterms:W3CDTF">2026-10-02T22:14:28Z</dcterms:modified>
  <cp:lastModifiedBy>Farbod Salimi</cp:lastModifiedBy>
  <cp:revision>0</cp:revision>
</cp:coreProperties>
</file>